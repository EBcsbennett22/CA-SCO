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updateLinks="always"/>
  <mc:AlternateContent xmlns:mc="http://schemas.openxmlformats.org/markup-compatibility/2006">
    <mc:Choice Requires="x15">
      <x15ac:absPath xmlns:x15ac="http://schemas.microsoft.com/office/spreadsheetml/2010/11/ac" url="https://eidebailly-my.sharepoint.com/personal/cbennett_eidebailly_com/Documents/Current Projects/State of California/Accounting Standards/Current Year/GASB 87/Completed Templates/Financed Purchase/"/>
    </mc:Choice>
  </mc:AlternateContent>
  <xr:revisionPtr revIDLastSave="2" documentId="13_ncr:1_{FADAAFF9-7980-4426-A79D-856EFAD2AE2F}" xr6:coauthVersionLast="47" xr6:coauthVersionMax="47" xr10:uidLastSave="{49566A6E-108F-4C4A-93BD-9537E82374DF}"/>
  <bookViews>
    <workbookView xWindow="29820" yWindow="-15390" windowWidth="21600" windowHeight="11235" tabRatio="921" firstSheet="2" activeTab="3" xr2:uid="{00000000-000D-0000-FFFF-FFFF00000000}"/>
  </bookViews>
  <sheets>
    <sheet name="Drop Down Menus" sheetId="1" state="hidden" r:id="rId1"/>
    <sheet name="qryIndex02a" sheetId="11" state="hidden" r:id="rId2"/>
    <sheet name="FP-Version Changes" sheetId="14" r:id="rId3"/>
    <sheet name="FP-Fund 5225 Journal Entries" sheetId="18" r:id="rId4"/>
    <sheet name="FP-Lease Liabilities" sheetId="19" r:id="rId5"/>
  </sheets>
  <externalReferences>
    <externalReference r:id="rId6"/>
    <externalReference r:id="rId7"/>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 localSheetId="2">#REF!</definedName>
    <definedName name="AgencyCode">#REF!</definedName>
    <definedName name="AgencyCode1" localSheetId="2">#REF!</definedName>
    <definedName name="AgencyCode1">#REF!</definedName>
    <definedName name="AnalystGASB">[1]DeveloperInfo!$D$20</definedName>
    <definedName name="Annuity" localSheetId="2">#REF!</definedName>
    <definedName name="Annuity">#REF!</definedName>
    <definedName name="Annuity1" localSheetId="2">#REF!</definedName>
    <definedName name="Annuity1">#REF!</definedName>
    <definedName name="AnnuityLY" localSheetId="2">#REF!</definedName>
    <definedName name="AnnuityLY">#REF!</definedName>
    <definedName name="AssetClasses">'[2]Drop-down menus'!#REF!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 localSheetId="2">#REF!</definedName>
    <definedName name="EmployerRates">#REF!</definedName>
    <definedName name="EmployerRates1" localSheetId="2">#REF!</definedName>
    <definedName name="EmployerRates1">#REF!</definedName>
    <definedName name="EmployerRatesLEO" localSheetId="2">#REF!</definedName>
    <definedName name="EmployerRatesLEO">#REF!</definedName>
    <definedName name="EmployerRatesLEO1" localSheetId="2">#REF!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 localSheetId="2">#REF!</definedName>
    <definedName name="Pension">#REF!</definedName>
    <definedName name="Pension1" localSheetId="2">#REF!</definedName>
    <definedName name="Pension1">#REF!</definedName>
    <definedName name="PensionLY" localSheetId="2">#REF!</definedName>
    <definedName name="PensionLY">#REF!</definedName>
    <definedName name="PlanNameLongGASB">[1]DeveloperInfo!$D$7</definedName>
    <definedName name="PlanNameShortGASB">[1]DeveloperInfo!$D$8</definedName>
    <definedName name="_xlnm.Print_Area" localSheetId="3">'FP-Fund 5225 Journal Entries'!$A$1:$J$9</definedName>
    <definedName name="_xlnm.Print_Area" localSheetId="4">'FP-Lease Liabilities'!$B$2:$Q$17</definedName>
    <definedName name="ProjDisc?">[1]DeveloperInfo!$D$65</definedName>
    <definedName name="ProValResults" localSheetId="2">#REF!</definedName>
    <definedName name="ProValResults">#REF!</definedName>
    <definedName name="ProValResults1" localSheetId="2">#REF!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 localSheetId="2">#REF!</definedName>
    <definedName name="TableData">#REF!</definedName>
    <definedName name="TableData1" localSheetId="2">#REF!</definedName>
    <definedName name="TableData1">#REF!</definedName>
    <definedName name="Type" localSheetId="2">#REF!</definedName>
    <definedName name="Type">#REF!</definedName>
    <definedName name="TypeAnnuity" localSheetId="2">#REF!</definedName>
    <definedName name="TypeAnnuity">#REF!</definedName>
    <definedName name="TypeAnnuity1" localSheetId="2">#REF!</definedName>
    <definedName name="TypeAnnuity1">#REF!</definedName>
    <definedName name="TypePension" localSheetId="2">#REF!</definedName>
    <definedName name="TypePension">#REF!</definedName>
    <definedName name="TypePension1" localSheetId="2">#REF!</definedName>
    <definedName name="TypePension1">#REF!</definedName>
    <definedName name="UnfundedData" localSheetId="2">#REF!</definedName>
    <definedName name="UnfundedData">#REF!</definedName>
    <definedName name="UnfundedData1" localSheetId="2">#REF!</definedName>
    <definedName name="UnfundedData1">#REF!</definedName>
    <definedName name="UnfundedLY" localSheetId="2">#REF!</definedName>
    <definedName name="UnfundedLY">#REF!</definedName>
    <definedName name="UnfundedLY1" localSheetId="2">#REF!</definedName>
    <definedName name="UnfundedLY1">#REF!</definedName>
    <definedName name="UnfundedLYLEO1" localSheetId="2">#REF!</definedName>
    <definedName name="UnfundedLYLEO1">#REF!</definedName>
    <definedName name="UnfunedLYLEO" localSheetId="2">#REF!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0" i="19" l="1"/>
  <c r="N11" i="19" s="1"/>
  <c r="K64" i="18"/>
  <c r="J59" i="18"/>
  <c r="K53" i="18"/>
  <c r="F10" i="19"/>
  <c r="F11" i="19" s="1"/>
  <c r="J10" i="19"/>
  <c r="J11" i="19" s="1"/>
  <c r="H10" i="19"/>
  <c r="H11" i="19" s="1"/>
  <c r="J64" i="18"/>
  <c r="K59" i="18"/>
  <c r="J53" i="18"/>
  <c r="N19" i="19"/>
  <c r="J19" i="19"/>
  <c r="H19" i="19"/>
  <c r="F19" i="19"/>
  <c r="L18" i="19"/>
  <c r="L19" i="19" s="1"/>
  <c r="N15" i="19"/>
  <c r="J15" i="19"/>
  <c r="H15" i="19"/>
  <c r="F15" i="19"/>
  <c r="L14" i="19"/>
  <c r="P14" i="19" s="1"/>
  <c r="P15" i="19" s="1"/>
  <c r="J5" i="19"/>
  <c r="J4" i="19"/>
  <c r="L7" i="19" s="1"/>
  <c r="K80" i="18"/>
  <c r="J69" i="18"/>
  <c r="B57" i="18"/>
  <c r="K46" i="18"/>
  <c r="J46" i="18"/>
  <c r="L46" i="18" s="1"/>
  <c r="K41" i="18"/>
  <c r="J41" i="18"/>
  <c r="L41" i="18" s="1"/>
  <c r="L34" i="18"/>
  <c r="K34" i="18"/>
  <c r="J34" i="18"/>
  <c r="S25" i="18"/>
  <c r="Q24" i="18"/>
  <c r="S24" i="18" s="1"/>
  <c r="S23" i="18"/>
  <c r="K23" i="18"/>
  <c r="S22" i="18"/>
  <c r="K22" i="18"/>
  <c r="S21" i="18"/>
  <c r="K21" i="18"/>
  <c r="S19" i="18"/>
  <c r="P18" i="18"/>
  <c r="S18" i="18" s="1"/>
  <c r="S17" i="18"/>
  <c r="J17" i="18"/>
  <c r="K79" i="18" s="1"/>
  <c r="S16" i="18"/>
  <c r="J16" i="18"/>
  <c r="K78" i="18" s="1"/>
  <c r="S15" i="18"/>
  <c r="J15" i="18"/>
  <c r="K77" i="18" s="1"/>
  <c r="F9" i="18"/>
  <c r="C33" i="18" s="1"/>
  <c r="K69" i="18" l="1"/>
  <c r="L69" i="18" s="1"/>
  <c r="K83" i="18"/>
  <c r="L10" i="19"/>
  <c r="L11" i="19" s="1"/>
  <c r="K82" i="18"/>
  <c r="L64" i="18"/>
  <c r="L59" i="18"/>
  <c r="L53" i="18"/>
  <c r="J18" i="18"/>
  <c r="K24" i="18"/>
  <c r="K25" i="18" s="1"/>
  <c r="K26" i="18" s="1"/>
  <c r="J19" i="18"/>
  <c r="J26" i="18" s="1"/>
  <c r="C58" i="18"/>
  <c r="K81" i="18"/>
  <c r="P18" i="19"/>
  <c r="P19" i="19" s="1"/>
  <c r="L15" i="19"/>
  <c r="F7" i="19"/>
  <c r="P10" i="19" l="1"/>
  <c r="P11" i="19" s="1"/>
  <c r="L26" i="18"/>
</calcChain>
</file>

<file path=xl/sharedStrings.xml><?xml version="1.0" encoding="utf-8"?>
<sst xmlns="http://schemas.openxmlformats.org/spreadsheetml/2006/main" count="7502" uniqueCount="1670">
  <si>
    <t>Manually complete every yellow field in this worksheet—there are no automatically calculated data-entry cells in this worksheet.</t>
  </si>
  <si>
    <t>Fund Number:</t>
  </si>
  <si>
    <t>Fund Classification:</t>
  </si>
  <si>
    <t>Entry #</t>
  </si>
  <si>
    <t>Fiscal Year:</t>
  </si>
  <si>
    <t>Schedule of Changes in Lease Liabilities</t>
  </si>
  <si>
    <t>Additions</t>
  </si>
  <si>
    <t>Deductions</t>
  </si>
  <si>
    <t>Due Within One Year</t>
  </si>
  <si>
    <t>Noncurrent Liabilities</t>
  </si>
  <si>
    <t>Governmental Funds</t>
  </si>
  <si>
    <t>Installment Contracts Payable (Financed Purchase)</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</si>
  <si>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</si>
  <si>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</si>
  <si>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</si>
  <si>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</si>
  <si>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</si>
  <si>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</si>
  <si>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</si>
  <si>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</si>
  <si>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</si>
  <si>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</si>
  <si>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</si>
  <si>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</si>
  <si>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</si>
  <si>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</si>
  <si>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</si>
  <si>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</si>
  <si>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</si>
  <si>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</si>
  <si>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</si>
  <si>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</si>
  <si>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</si>
  <si>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</si>
  <si>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</si>
  <si>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</si>
  <si>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</si>
  <si>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</si>
  <si>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</si>
  <si>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</si>
  <si>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</si>
  <si>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</si>
  <si>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</si>
  <si>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</si>
  <si>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</si>
  <si>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</si>
  <si>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</si>
  <si>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</si>
  <si>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</si>
  <si>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</si>
  <si>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</si>
  <si>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</si>
  <si>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</si>
  <si>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</si>
  <si>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</si>
  <si>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</si>
  <si>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</si>
  <si>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</si>
  <si>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</si>
  <si>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</si>
  <si>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</si>
  <si>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</si>
  <si>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</si>
  <si>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</si>
  <si>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</si>
  <si>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</si>
  <si>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</si>
  <si>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</si>
  <si>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</si>
  <si>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</si>
  <si>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</si>
  <si>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</si>
  <si>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</si>
  <si>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</si>
  <si>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</si>
  <si>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</si>
  <si>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</si>
  <si>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</si>
  <si>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</si>
  <si>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</si>
  <si>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</si>
  <si>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</si>
  <si>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</si>
  <si>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</si>
  <si>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</si>
  <si>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</si>
  <si>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</si>
  <si>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</si>
  <si>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</si>
  <si>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</si>
  <si>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</si>
  <si>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</si>
  <si>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</si>
  <si>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</si>
  <si>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</si>
  <si>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</si>
  <si>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</si>
  <si>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</si>
  <si>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</si>
  <si>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</si>
  <si>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</si>
  <si>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</si>
  <si>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</si>
  <si>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</si>
  <si>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</si>
  <si>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</si>
  <si>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</si>
  <si>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</si>
  <si>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</si>
  <si>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</si>
  <si>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</si>
  <si>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</si>
  <si>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</si>
  <si>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</si>
  <si>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</si>
  <si>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</si>
  <si>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</si>
  <si>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</si>
  <si>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</si>
  <si>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</si>
  <si>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Reduce financed purchase contracts liability for total current year principal payments.</t>
  </si>
  <si>
    <t>Reclassify the principal amount due in the next FY to the current liability.</t>
  </si>
  <si>
    <t xml:space="preserve">Replace proceeds from leases with other noncurrent liabilities. </t>
  </si>
  <si>
    <t>Record depreciation of the financed purchase assets for the year.</t>
  </si>
  <si>
    <t>Record financed purchase assets. These amounts should be included in the Report 18.</t>
  </si>
  <si>
    <t>Proprietary - Enterprise Fund</t>
  </si>
  <si>
    <t>Proprietary - Internal Service Fund</t>
  </si>
  <si>
    <t>Proprietary - Internal Service Funds</t>
  </si>
  <si>
    <t>Total Proprietary - Internal Service Funds</t>
  </si>
  <si>
    <t>Proprietary - Enterprise Funds</t>
  </si>
  <si>
    <t>Total Proprietary - Enterprise Funds</t>
  </si>
  <si>
    <t>Governmental Fund</t>
  </si>
  <si>
    <t>Dr: Acct 0950 - BEGINNING FUND BALANCE</t>
  </si>
  <si>
    <t>Dr: Acct 0952 - BEGINNING FUND ADJUSTMENT/PRIOR PERIOD ADJUSTMENT</t>
  </si>
  <si>
    <t>Cr: Acct 0950 - BEGINNING FUND BALANCE</t>
  </si>
  <si>
    <t>Cr: Acct 0952 - BEGINNING FUND ADJUSTMENT/PRIOR PERIOD ADJUSTMENT</t>
  </si>
  <si>
    <t>Cr: Acct 0458 - ACCUMULATED DEPRECIATION - BUILDINGS AND BUILDING IMPROVEMENTS</t>
  </si>
  <si>
    <t>Cr: Acct 0695 - OTHER NONCURRENT LIABILITIES</t>
  </si>
  <si>
    <t>Land is not depreciable</t>
  </si>
  <si>
    <t>Cr: Acct 0462 - ACCUMULATED DEPRECIATION - EQUIPMENT</t>
  </si>
  <si>
    <t>Dr: Acct 0446 - LAND AND LAND IMPROVEMENTS</t>
  </si>
  <si>
    <t>Dr: Acct 0448 - BUILDINGS AND BUILDING IMPROVEMENTS</t>
  </si>
  <si>
    <t>Dr: Acct 0450 - EQUIPMENT</t>
  </si>
  <si>
    <t>Dr: Acct 0842 - CAPITAL OUTLAY</t>
  </si>
  <si>
    <t>Cr: Acct 0842 - CAPITAL OUTLAY</t>
  </si>
  <si>
    <t>Dr: Acct 0875 - DEPRECIATION/AMORTIZATION</t>
  </si>
  <si>
    <t>Dr: Acct 0848 - DEBT SERVICE - PRINCIPAL LEASES</t>
  </si>
  <si>
    <t>Cr: Acct 0848 - DEBT SERVICE - PRINCIPAL LEASES</t>
  </si>
  <si>
    <t>Organization Name:</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</si>
  <si>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</si>
  <si>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</si>
  <si>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</si>
  <si>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</si>
  <si>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</si>
  <si>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</si>
  <si>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</si>
  <si>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</si>
  <si>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</si>
  <si>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</si>
  <si>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</si>
  <si>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</si>
  <si>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</si>
  <si>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</si>
  <si>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</si>
  <si>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</si>
  <si>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</si>
  <si>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</si>
  <si>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</si>
  <si>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</si>
  <si>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</si>
  <si>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</si>
  <si>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</si>
  <si>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</si>
  <si>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</si>
  <si>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</si>
  <si>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</si>
  <si>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</si>
  <si>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</si>
  <si>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</si>
  <si>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</si>
  <si>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</si>
  <si>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</si>
  <si>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</si>
  <si>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</si>
  <si>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</si>
  <si>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</si>
  <si>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</si>
  <si>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</si>
  <si>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</si>
  <si>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</si>
  <si>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</si>
  <si>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</si>
  <si>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</si>
  <si>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</si>
  <si>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</si>
  <si>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</si>
  <si>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</si>
  <si>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</si>
  <si>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</si>
  <si>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</si>
  <si>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</si>
  <si>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</si>
  <si>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</si>
  <si>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</si>
  <si>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</si>
  <si>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</si>
  <si>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</si>
  <si>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</si>
  <si>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</si>
  <si>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</si>
  <si>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</si>
  <si>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</si>
  <si>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</si>
  <si>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</si>
  <si>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</si>
  <si>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</si>
  <si>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</si>
  <si>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</si>
  <si>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</si>
  <si>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</si>
  <si>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</si>
  <si>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</si>
  <si>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</si>
  <si>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</si>
  <si>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</si>
  <si>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</si>
  <si>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</si>
  <si>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</si>
  <si>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</si>
  <si>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</si>
  <si>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</si>
  <si>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</si>
  <si>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</si>
  <si>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</si>
  <si>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</si>
  <si>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</si>
  <si>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</si>
  <si>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</si>
  <si>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</si>
  <si>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</si>
  <si>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</si>
  <si>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</si>
  <si>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</si>
  <si>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</si>
  <si>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</si>
  <si>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</si>
  <si>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</si>
  <si>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</si>
  <si>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</si>
  <si>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</si>
  <si>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</si>
  <si>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</si>
  <si>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</si>
  <si>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</si>
  <si>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</si>
  <si>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</si>
  <si>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</si>
  <si>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</si>
  <si>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</si>
  <si>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</si>
  <si>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</si>
  <si>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</si>
  <si>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</si>
  <si>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</si>
  <si>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</si>
  <si>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</si>
  <si>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</si>
  <si>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</si>
  <si>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</si>
  <si>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</si>
  <si>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</si>
  <si>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</si>
  <si>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</si>
  <si>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</si>
  <si>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</si>
  <si>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</si>
  <si>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</si>
  <si>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</si>
  <si>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</si>
  <si>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</si>
  <si>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</si>
  <si>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</si>
  <si>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</si>
  <si>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</si>
  <si>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</si>
  <si>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</si>
  <si>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</si>
  <si>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</si>
  <si>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</si>
  <si>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</si>
  <si>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</si>
  <si>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</si>
  <si>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</si>
  <si>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</si>
  <si>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</si>
  <si>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</si>
  <si>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</si>
  <si>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</si>
  <si>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</si>
  <si>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</si>
  <si>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</si>
  <si>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</si>
  <si>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</si>
  <si>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</si>
  <si>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</si>
  <si>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</si>
  <si>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</si>
  <si>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</si>
  <si>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</si>
  <si>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</si>
  <si>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</si>
  <si>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</si>
  <si>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</si>
  <si>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</si>
  <si>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</si>
  <si>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</si>
  <si>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</si>
  <si>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</si>
  <si>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</si>
  <si>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</si>
  <si>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</si>
  <si>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</si>
  <si>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</si>
  <si>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</si>
  <si>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</si>
  <si>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</si>
  <si>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</si>
  <si>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</si>
  <si>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</si>
  <si>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</si>
  <si>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</si>
  <si>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</si>
  <si>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</si>
  <si>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</si>
  <si>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</si>
  <si>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</si>
  <si>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</si>
  <si>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</si>
  <si>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</si>
  <si>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</si>
  <si>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</si>
  <si>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</si>
  <si>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</si>
  <si>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</si>
  <si>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</si>
  <si>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</si>
  <si>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</si>
  <si>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</si>
  <si>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</si>
  <si>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</si>
  <si>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</si>
  <si>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</si>
  <si>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</si>
  <si>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</si>
  <si>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</si>
  <si>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</si>
  <si>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</si>
  <si>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</si>
  <si>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</si>
  <si>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</si>
  <si>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</si>
  <si>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</si>
  <si>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</si>
  <si>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</si>
  <si>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</si>
  <si>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</si>
  <si>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</si>
  <si>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</si>
  <si>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</si>
  <si>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</si>
  <si>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</si>
  <si>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</si>
  <si>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</si>
  <si>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</si>
  <si>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</si>
  <si>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</si>
  <si>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</si>
  <si>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</si>
  <si>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</si>
  <si>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</si>
  <si>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</si>
  <si>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</si>
  <si>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</si>
  <si>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</si>
  <si>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</si>
  <si>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</si>
  <si>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</si>
  <si>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</si>
  <si>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</si>
  <si>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</si>
  <si>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</si>
  <si>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</si>
  <si>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</si>
  <si>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</si>
  <si>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</si>
  <si>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</si>
  <si>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</si>
  <si>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</si>
  <si>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</si>
  <si>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</si>
  <si>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</si>
  <si>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</si>
  <si>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</si>
  <si>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</si>
  <si>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</si>
  <si>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</si>
  <si>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</si>
  <si>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</si>
  <si>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</si>
  <si>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</si>
  <si>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</si>
  <si>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</si>
  <si>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</si>
  <si>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</si>
  <si>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</si>
  <si>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</si>
  <si>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</si>
  <si>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</si>
  <si>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</si>
  <si>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</si>
  <si>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</si>
  <si>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</si>
  <si>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</si>
  <si>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</si>
  <si>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</si>
  <si>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</si>
  <si>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</si>
  <si>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</si>
  <si>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</si>
  <si>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</si>
  <si>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</si>
  <si>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</si>
  <si>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</si>
  <si>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</si>
  <si>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</si>
  <si>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</si>
  <si>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</si>
  <si>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</si>
  <si>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</si>
  <si>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</si>
  <si>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</si>
  <si>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</si>
  <si>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</si>
  <si>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</si>
  <si>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</si>
  <si>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</si>
  <si>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</si>
  <si>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</si>
  <si>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</si>
  <si>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</si>
  <si>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</si>
  <si>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</si>
  <si>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</si>
  <si>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</si>
  <si>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</si>
  <si>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</si>
  <si>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</si>
  <si>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</si>
  <si>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</si>
  <si>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</si>
  <si>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</si>
  <si>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</si>
  <si>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</si>
  <si>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</si>
  <si>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</si>
  <si>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</si>
  <si>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</si>
  <si>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</si>
  <si>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</si>
  <si>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</si>
  <si>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</si>
  <si>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</si>
  <si>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</si>
  <si>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</si>
  <si>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</si>
  <si>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</si>
  <si>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</si>
  <si>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</si>
  <si>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</si>
  <si>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</si>
  <si>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</si>
  <si>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</si>
  <si>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</si>
  <si>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</si>
  <si>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</si>
  <si>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</si>
  <si>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</si>
  <si>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</si>
  <si>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</si>
  <si>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</si>
  <si>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</si>
  <si>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</si>
  <si>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</si>
  <si>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</si>
  <si>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</si>
  <si>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</si>
  <si>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</si>
  <si>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</si>
  <si>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</si>
  <si>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</si>
  <si>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</si>
  <si>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</si>
  <si>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</si>
  <si>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</si>
  <si>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</si>
  <si>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</si>
  <si>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</si>
  <si>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</si>
  <si>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</si>
  <si>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</si>
  <si>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</si>
  <si>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</si>
  <si>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</si>
  <si>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</si>
  <si>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</si>
  <si>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</si>
  <si>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</si>
  <si>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</si>
  <si>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</si>
  <si>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</si>
  <si>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</si>
  <si>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</si>
  <si>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</si>
  <si>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</si>
  <si>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</si>
  <si>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</si>
  <si>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</si>
  <si>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</si>
  <si>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</si>
  <si>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</si>
  <si>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</si>
  <si>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</si>
  <si>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</si>
  <si>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</si>
  <si>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</si>
  <si>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</si>
  <si>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</si>
  <si>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</si>
  <si>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</si>
  <si>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</si>
  <si>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</si>
  <si>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</si>
  <si>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</si>
  <si>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</si>
  <si>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</si>
  <si>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</si>
  <si>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</si>
  <si>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</si>
  <si>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</si>
  <si>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</si>
  <si>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</si>
  <si>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</si>
  <si>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</si>
  <si>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</si>
  <si>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</si>
  <si>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</si>
  <si>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</si>
  <si>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</si>
  <si>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</si>
  <si>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</si>
  <si>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</si>
  <si>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</si>
  <si>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</si>
  <si>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</si>
  <si>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</si>
  <si>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</si>
  <si>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</si>
  <si>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</si>
  <si>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</si>
  <si>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</si>
  <si>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</si>
  <si>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</si>
  <si>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</si>
  <si>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</si>
  <si>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</si>
  <si>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</si>
  <si>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</si>
  <si>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</si>
  <si>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</si>
  <si>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</si>
  <si>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</si>
  <si>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</si>
  <si>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</si>
  <si>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</si>
  <si>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</si>
  <si>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</si>
  <si>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</si>
  <si>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</si>
  <si>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</si>
  <si>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</si>
  <si>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</si>
  <si>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</si>
  <si>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</si>
  <si>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</si>
  <si>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</si>
  <si>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</si>
  <si>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</si>
  <si>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</si>
  <si>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</si>
  <si>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</si>
  <si>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</si>
  <si>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</si>
  <si>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</si>
  <si>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</si>
  <si>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</si>
  <si>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</si>
  <si>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</si>
  <si>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</si>
  <si>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</si>
  <si>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</si>
  <si>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</si>
  <si>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</si>
  <si>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</si>
  <si>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</si>
  <si>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</si>
  <si>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</si>
  <si>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</si>
  <si>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</si>
  <si>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</si>
  <si>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</si>
  <si>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</si>
  <si>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</si>
  <si>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</si>
  <si>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</si>
  <si>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</si>
  <si>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</si>
  <si>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</si>
  <si>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</si>
  <si>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</si>
  <si>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</si>
  <si>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</si>
  <si>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</si>
  <si>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</si>
  <si>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</si>
  <si>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</si>
  <si>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</si>
  <si>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</si>
  <si>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</si>
  <si>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</si>
  <si>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</si>
  <si>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</si>
  <si>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</si>
  <si>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</si>
  <si>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</si>
  <si>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</si>
  <si>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</si>
  <si>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</si>
  <si>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</si>
  <si>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</si>
  <si>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</si>
  <si>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</si>
  <si>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</si>
  <si>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</si>
  <si>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</si>
  <si>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</si>
  <si>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</si>
  <si>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</si>
  <si>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</si>
  <si>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</si>
  <si>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</si>
  <si>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</si>
  <si>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</si>
  <si>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</si>
  <si>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</si>
  <si>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</si>
  <si>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</si>
  <si>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</si>
  <si>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</si>
  <si>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</si>
  <si>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</si>
  <si>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</si>
  <si>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</si>
  <si>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</si>
  <si>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</si>
  <si>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</si>
  <si>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</si>
  <si>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</si>
  <si>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</si>
  <si>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</si>
  <si>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</si>
  <si>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</si>
  <si>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</si>
  <si>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</si>
  <si>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</si>
  <si>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</si>
  <si>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</si>
  <si>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</si>
  <si>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</si>
  <si>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</si>
  <si>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</si>
  <si>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</si>
  <si>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</si>
  <si>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</si>
  <si>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</si>
  <si>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</si>
  <si>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</si>
  <si>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</si>
  <si>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</si>
  <si>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</si>
  <si>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</si>
  <si>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</si>
  <si>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</si>
  <si>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</si>
  <si>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</si>
  <si>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</si>
  <si>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</si>
  <si>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</si>
  <si>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</si>
  <si>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</si>
  <si>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</si>
  <si>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</si>
  <si>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</si>
  <si>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</si>
  <si>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</si>
  <si>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</si>
  <si>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</si>
  <si>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</si>
  <si>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</si>
  <si>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</si>
  <si>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</si>
  <si>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</si>
  <si>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</si>
  <si>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</si>
  <si>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</si>
  <si>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</si>
  <si>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</si>
  <si>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</si>
  <si>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</si>
  <si>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</si>
  <si>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</si>
  <si>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</si>
  <si>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</si>
  <si>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</si>
  <si>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</si>
  <si>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</si>
  <si>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</si>
  <si>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</si>
  <si>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</si>
  <si>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</si>
  <si>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</si>
  <si>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</si>
  <si>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</si>
  <si>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</si>
  <si>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</si>
  <si>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</si>
  <si>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</si>
  <si>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</si>
  <si>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</si>
  <si>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</si>
  <si>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</si>
  <si>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</si>
  <si>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</si>
  <si>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</si>
  <si>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</si>
  <si>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</si>
  <si>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</si>
  <si>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</si>
  <si>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</si>
  <si>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</si>
  <si>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</si>
  <si>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</si>
  <si>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</si>
  <si>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</si>
  <si>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</si>
  <si>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</si>
  <si>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</si>
  <si>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</si>
  <si>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</si>
  <si>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</si>
  <si>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</si>
  <si>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</si>
  <si>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</si>
  <si>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</si>
  <si>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</si>
  <si>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</si>
  <si>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</si>
  <si>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</si>
  <si>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</si>
  <si>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</si>
  <si>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</si>
  <si>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</si>
  <si>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</si>
  <si>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</si>
  <si>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</si>
  <si>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</si>
  <si>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</si>
  <si>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</si>
  <si>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</si>
  <si>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</si>
  <si>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</si>
  <si>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</si>
  <si>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</si>
  <si>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</si>
  <si>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</si>
  <si>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</si>
  <si>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</si>
  <si>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</si>
  <si>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</si>
  <si>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</si>
  <si>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</si>
  <si>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</si>
  <si>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</si>
  <si>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</si>
  <si>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</si>
  <si>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</si>
  <si>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</si>
  <si>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</si>
  <si>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</si>
  <si>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</si>
  <si>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</si>
  <si>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</si>
  <si>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</si>
  <si>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</si>
  <si>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</si>
  <si>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</si>
  <si>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</si>
  <si>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</si>
  <si>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</si>
  <si>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</si>
  <si>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</si>
  <si>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</si>
  <si>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</si>
  <si>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</si>
  <si>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</si>
  <si>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</si>
  <si>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</si>
  <si>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</si>
  <si>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</si>
  <si>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</si>
  <si>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</si>
  <si>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</si>
  <si>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</si>
  <si>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</si>
  <si>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</si>
  <si>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</si>
  <si>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</si>
  <si>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</si>
  <si>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</si>
  <si>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</si>
  <si>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</si>
  <si>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</si>
  <si>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</si>
  <si>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</si>
  <si>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</si>
  <si>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</si>
  <si>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</si>
  <si>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</si>
  <si>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</si>
  <si>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</si>
  <si>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</si>
  <si>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</si>
  <si>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</si>
  <si>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</si>
  <si>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</si>
  <si>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</si>
  <si>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</si>
  <si>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</si>
  <si>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</si>
  <si>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</si>
  <si>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</si>
  <si>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</si>
  <si>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</si>
  <si>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</si>
  <si>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</si>
  <si>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</si>
  <si>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</si>
  <si>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</si>
  <si>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</si>
  <si>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</si>
  <si>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</si>
  <si>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</si>
  <si>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</si>
  <si>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</si>
  <si>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</si>
  <si>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</si>
  <si>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</si>
  <si>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</si>
  <si>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</si>
  <si>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</si>
  <si>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</si>
  <si>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</si>
  <si>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</si>
  <si>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</si>
  <si>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</si>
  <si>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</si>
  <si>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</si>
  <si>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</si>
  <si>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</si>
  <si>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</si>
  <si>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</si>
  <si>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</si>
  <si>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</si>
  <si>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</si>
  <si>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</si>
  <si>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</si>
  <si>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</si>
  <si>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</si>
  <si>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</si>
  <si>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</si>
  <si>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</si>
  <si>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</si>
  <si>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</si>
  <si>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</si>
  <si>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</si>
  <si>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</si>
  <si>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</si>
  <si>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</si>
  <si>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</si>
  <si>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</si>
  <si>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</si>
  <si>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</si>
  <si>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</si>
  <si>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</si>
  <si>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</si>
  <si>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</si>
  <si>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</si>
  <si>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</si>
  <si>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</si>
  <si>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</si>
  <si>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</si>
  <si>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</si>
  <si>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</si>
  <si>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</si>
  <si>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</si>
  <si>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</si>
  <si>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</si>
  <si>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</si>
  <si>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</si>
  <si>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</si>
  <si>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</si>
  <si>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</si>
  <si>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</si>
  <si>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</si>
  <si>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</si>
  <si>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</si>
  <si>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</si>
  <si>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</si>
  <si>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</si>
  <si>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</si>
  <si>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</si>
  <si>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</si>
  <si>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</si>
  <si>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</si>
  <si>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</si>
  <si>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</si>
  <si>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</si>
  <si>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</si>
  <si>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</si>
  <si>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</si>
  <si>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</si>
  <si>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</si>
  <si>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</si>
  <si>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</si>
  <si>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</si>
  <si>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</si>
  <si>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</si>
  <si>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</si>
  <si>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</si>
  <si>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</si>
  <si>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</si>
  <si>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</si>
  <si>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</si>
  <si>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</si>
  <si>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</si>
  <si>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</si>
  <si>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</si>
  <si>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</si>
  <si>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</si>
  <si>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</si>
  <si>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</si>
  <si>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</si>
  <si>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</si>
  <si>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</si>
  <si>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</si>
  <si>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</si>
  <si>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</si>
  <si>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</si>
  <si>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</si>
  <si>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</si>
  <si>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</si>
  <si>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</si>
  <si>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</si>
  <si>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</si>
  <si>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</si>
  <si>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</si>
  <si>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</si>
  <si>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</si>
  <si>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</si>
  <si>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</si>
  <si>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</si>
  <si>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</si>
  <si>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</si>
  <si>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</si>
  <si>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</si>
  <si>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</si>
  <si>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</si>
  <si>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</si>
  <si>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</si>
  <si>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</si>
  <si>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</si>
  <si>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</si>
  <si>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</si>
  <si>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</si>
  <si>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</si>
  <si>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</si>
  <si>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</si>
  <si>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</si>
  <si>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</si>
  <si>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</si>
  <si>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</si>
  <si>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</si>
  <si>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</si>
  <si>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</si>
  <si>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</si>
  <si>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</si>
  <si>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</si>
  <si>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</si>
  <si>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</si>
  <si>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</si>
  <si>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</si>
  <si>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</si>
  <si>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</si>
  <si>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</si>
  <si>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</si>
  <si>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</si>
  <si>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</si>
  <si>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</si>
  <si>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</si>
  <si>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</si>
  <si>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</si>
  <si>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</si>
  <si>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</si>
  <si>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</si>
  <si>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</si>
  <si>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</si>
  <si>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</si>
  <si>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</si>
  <si>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</si>
  <si>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</si>
  <si>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</si>
  <si>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</si>
  <si>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</si>
  <si>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</si>
  <si>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</si>
  <si>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</si>
  <si>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</si>
  <si>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</si>
  <si>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</si>
  <si>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</si>
  <si>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</si>
  <si>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</si>
  <si>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</si>
  <si>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</si>
  <si>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</si>
  <si>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</si>
  <si>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</si>
  <si>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</si>
  <si>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</si>
  <si>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</si>
  <si>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</si>
  <si>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</si>
  <si>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</si>
  <si>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</si>
  <si>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</si>
  <si>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</si>
  <si>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</si>
  <si>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</si>
  <si>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</si>
  <si>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</si>
  <si>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</si>
  <si>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</si>
  <si>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</si>
  <si>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</si>
  <si>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</si>
  <si>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</si>
  <si>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</si>
  <si>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</si>
  <si>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</si>
  <si>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</si>
  <si>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</si>
  <si>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</si>
  <si>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</si>
  <si>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</si>
  <si>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</si>
  <si>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</si>
  <si>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</si>
  <si>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</si>
  <si>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</si>
  <si>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</si>
  <si>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</si>
  <si>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</si>
  <si>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</si>
  <si>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</si>
  <si>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</si>
  <si>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</si>
  <si>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</si>
  <si>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</si>
  <si>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</si>
  <si>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</si>
  <si>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</si>
  <si>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</si>
  <si>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</si>
  <si>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</si>
  <si>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</si>
  <si>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</si>
  <si>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</si>
  <si>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</si>
  <si>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</si>
  <si>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</si>
  <si>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</si>
  <si>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</si>
  <si>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</si>
  <si>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</si>
  <si>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</si>
  <si>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</si>
  <si>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</si>
  <si>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</si>
  <si>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</si>
  <si>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</si>
  <si>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</si>
  <si>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</si>
  <si>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</si>
  <si>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</si>
  <si>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</si>
  <si>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</si>
  <si>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</si>
  <si>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</si>
  <si>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</si>
  <si>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</si>
  <si>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</si>
  <si>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</si>
  <si>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</si>
  <si>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</si>
  <si>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</si>
  <si>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</si>
  <si>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</si>
  <si>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</si>
  <si>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</si>
  <si>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</si>
  <si>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</si>
  <si>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</si>
  <si>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</si>
  <si>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</si>
  <si>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</si>
  <si>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</si>
  <si>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</si>
  <si>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</si>
  <si>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</si>
  <si>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</si>
  <si>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</si>
  <si>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</si>
  <si>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</si>
  <si>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</si>
  <si>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</si>
  <si>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</si>
  <si>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</si>
  <si>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</si>
  <si>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</si>
  <si>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</si>
  <si>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</si>
  <si>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</si>
  <si>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</si>
  <si>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</si>
  <si>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</si>
  <si>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</si>
  <si>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</si>
  <si>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</si>
  <si>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</si>
  <si>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</si>
  <si>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</si>
  <si>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</si>
  <si>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</si>
  <si>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</si>
  <si>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</si>
  <si>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</si>
  <si>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</si>
  <si>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</si>
  <si>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</si>
  <si>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</si>
  <si>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</si>
  <si>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</si>
  <si>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</si>
  <si>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</si>
  <si>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</si>
  <si>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</si>
  <si>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</si>
  <si>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</si>
  <si>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</si>
  <si>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</si>
  <si>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</si>
  <si>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</si>
  <si>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</si>
  <si>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</si>
  <si>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</si>
  <si>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</si>
  <si>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</si>
  <si>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</si>
  <si>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</si>
  <si>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</si>
  <si>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</si>
  <si>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</si>
  <si>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</si>
  <si>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</si>
  <si>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</si>
  <si>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</si>
  <si>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</si>
  <si>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</si>
  <si>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</si>
  <si>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</si>
  <si>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</si>
  <si>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</si>
  <si>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</si>
  <si>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</si>
  <si>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</si>
  <si>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</si>
  <si>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</si>
  <si>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</si>
  <si>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</si>
  <si>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</si>
  <si>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</si>
  <si>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</si>
  <si>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</si>
  <si>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</si>
  <si>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</si>
  <si>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</si>
  <si>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</si>
  <si>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</si>
  <si>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</si>
  <si>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</si>
  <si>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</si>
  <si>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</si>
  <si>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</si>
  <si>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</si>
  <si>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</si>
  <si>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</si>
  <si>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</si>
  <si>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</si>
  <si>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</si>
  <si>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</si>
  <si>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</si>
  <si>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</si>
  <si>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</si>
  <si>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</si>
  <si>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</si>
  <si>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</si>
  <si>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</si>
  <si>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</si>
  <si>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</si>
  <si>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</si>
  <si>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</si>
  <si>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</si>
  <si>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</si>
  <si>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</si>
  <si>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</si>
  <si>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</si>
  <si>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</si>
  <si>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</si>
  <si>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</si>
  <si>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</si>
  <si>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</si>
  <si>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</si>
  <si>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</si>
  <si>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</si>
  <si>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</si>
  <si>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</si>
  <si>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</si>
  <si>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</si>
  <si>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</si>
  <si>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</si>
  <si>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</si>
  <si>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</si>
  <si>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</si>
  <si>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</si>
  <si>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</si>
  <si>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</si>
  <si>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</si>
  <si>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</si>
  <si>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</si>
  <si>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</si>
  <si>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</si>
  <si>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</si>
  <si>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</si>
  <si>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</si>
  <si>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</si>
  <si>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</si>
  <si>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</si>
  <si>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</si>
  <si>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</si>
  <si>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</si>
  <si>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</si>
  <si>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</si>
  <si>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</si>
  <si>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</si>
  <si>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</si>
  <si>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</si>
  <si>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</si>
  <si>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</si>
  <si>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</si>
  <si>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</si>
  <si>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</si>
  <si>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</si>
  <si>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</si>
  <si>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</si>
  <si>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</si>
  <si>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</si>
  <si>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</si>
  <si>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</si>
  <si>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</si>
  <si>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</si>
  <si>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</si>
  <si>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</si>
  <si>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</si>
  <si>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</si>
  <si>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</si>
  <si>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</si>
  <si>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</si>
  <si>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</si>
  <si>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</si>
  <si>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</si>
  <si>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</si>
  <si>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</si>
  <si>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</si>
  <si>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</si>
  <si>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</si>
  <si>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</si>
  <si>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</si>
  <si>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</si>
  <si>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</si>
  <si>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</si>
  <si>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</si>
  <si>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</si>
  <si>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</si>
  <si>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</si>
  <si>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</si>
  <si>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</si>
  <si>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</si>
  <si>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</si>
  <si>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</si>
  <si>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</si>
  <si>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</si>
  <si>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</si>
  <si>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</si>
  <si>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</si>
  <si>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</si>
  <si>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</si>
  <si>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</si>
  <si>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</si>
  <si>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</si>
  <si>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</si>
  <si>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</si>
  <si>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</si>
  <si>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</si>
  <si>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</si>
  <si>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</si>
  <si>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</si>
  <si>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</si>
  <si>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</si>
  <si>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</si>
  <si>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</si>
  <si>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</si>
  <si>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</si>
  <si>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</si>
  <si>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</si>
  <si>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</si>
  <si>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</si>
  <si>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</si>
  <si>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</si>
  <si>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</si>
  <si>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</si>
  <si>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</si>
  <si>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</si>
  <si>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</si>
  <si>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</si>
  <si>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</si>
  <si>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</si>
  <si>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</si>
  <si>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</si>
  <si>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</si>
  <si>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</si>
  <si>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</si>
  <si>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</si>
  <si>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</si>
  <si>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</si>
  <si>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</si>
  <si>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</si>
  <si>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</si>
  <si>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</si>
  <si>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</si>
  <si>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</si>
  <si>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</si>
  <si>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</si>
  <si>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</si>
  <si>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</si>
  <si>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</si>
  <si>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</si>
  <si>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</si>
  <si>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</si>
  <si>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</si>
  <si>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</si>
  <si>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</si>
  <si>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</si>
  <si>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</si>
  <si>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</si>
  <si>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</si>
  <si>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</si>
  <si>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</si>
  <si>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</si>
  <si>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</si>
  <si>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</si>
  <si>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</si>
  <si>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</si>
  <si>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</si>
  <si>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</si>
  <si>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</si>
  <si>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</si>
  <si>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</si>
  <si>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</si>
  <si>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</si>
  <si>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</si>
  <si>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</si>
  <si>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</si>
  <si>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</si>
  <si>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</si>
  <si>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</si>
  <si>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</si>
  <si>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</si>
  <si>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</si>
  <si>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</si>
  <si>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</si>
  <si>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</si>
  <si>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</si>
  <si>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</si>
  <si>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</si>
  <si>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</si>
  <si>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</si>
  <si>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</si>
  <si>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</si>
  <si>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</si>
  <si>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</si>
  <si>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</si>
  <si>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</si>
  <si>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</si>
  <si>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</si>
  <si>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</si>
  <si>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</si>
  <si>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</si>
  <si>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</si>
  <si>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</si>
  <si>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</si>
  <si>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</si>
  <si>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</si>
  <si>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</si>
  <si>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</si>
  <si>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</si>
  <si>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</si>
  <si>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</si>
  <si>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</si>
  <si>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</si>
  <si>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</si>
  <si>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</si>
  <si>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</si>
  <si>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</si>
  <si>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</si>
  <si>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</si>
  <si>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</si>
  <si>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</si>
  <si>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</si>
  <si>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</si>
  <si>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</si>
  <si>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</si>
  <si>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</si>
  <si>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</si>
  <si>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</si>
  <si>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</si>
  <si>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</si>
  <si>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</si>
  <si>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</si>
  <si>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</si>
  <si>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</si>
  <si>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</si>
  <si>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</si>
  <si>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</si>
  <si>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</si>
  <si>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</si>
  <si>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</si>
  <si>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</si>
  <si>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</si>
  <si>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</si>
  <si>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</si>
  <si>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</si>
  <si>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</si>
  <si>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</si>
  <si>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</si>
  <si>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</si>
  <si>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</si>
  <si>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</si>
  <si>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</si>
  <si>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</si>
  <si>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</si>
  <si>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</si>
  <si>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</si>
  <si>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</si>
  <si>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</si>
  <si>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</si>
  <si>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</si>
  <si>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</si>
  <si>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</si>
  <si>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</si>
  <si>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</si>
  <si>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</si>
  <si>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</si>
  <si>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</si>
  <si>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</si>
  <si>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</si>
  <si>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</si>
  <si>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</si>
  <si>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</si>
  <si>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</si>
  <si>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</si>
  <si>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</si>
  <si>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</si>
  <si>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</si>
  <si>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</si>
  <si>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</si>
  <si>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</si>
  <si>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</si>
  <si>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</si>
  <si>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</si>
  <si>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</si>
  <si>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</si>
  <si>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</si>
  <si>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</si>
  <si>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</si>
  <si>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</si>
  <si>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</si>
  <si>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</si>
  <si>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</si>
  <si>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</si>
  <si>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</si>
  <si>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</si>
  <si>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</si>
  <si>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</si>
  <si>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</si>
  <si>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</si>
  <si>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</si>
  <si>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</si>
  <si>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</si>
  <si>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</si>
  <si>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</si>
  <si>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</si>
  <si>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</si>
  <si>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</si>
  <si>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</si>
  <si>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</si>
  <si>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</si>
  <si>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</si>
  <si>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</si>
  <si>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</si>
  <si>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</si>
  <si>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</si>
  <si>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</si>
  <si>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</si>
  <si>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</si>
  <si>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</si>
  <si>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</si>
  <si>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</si>
  <si>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</si>
  <si>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</si>
  <si>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</si>
  <si>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</si>
  <si>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</si>
  <si>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Cr: Acct  0695 - OTHER NONCURRENT LIABILITIES</t>
  </si>
  <si>
    <t>Dr: Acct 0695 - OTHER NONCURRENT LIABILITIES</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</si>
  <si>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</si>
  <si>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</si>
  <si>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</si>
  <si>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</si>
  <si>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</si>
  <si>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</si>
  <si>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</si>
  <si>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</si>
  <si>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</si>
  <si>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r>
      <t xml:space="preserve">Financed Purchase-Type Contracts Fund-by-Fund Journal Entries Form 
</t>
    </r>
    <r>
      <rPr>
        <sz val="16"/>
        <rFont val="Arial"/>
        <family val="2"/>
      </rPr>
      <t>(to be submitted to the SCO annually—one form per fund)</t>
    </r>
  </si>
  <si>
    <t>From SCO BB List</t>
  </si>
  <si>
    <t>Difference</t>
  </si>
  <si>
    <t>Combined FP Templates</t>
  </si>
  <si>
    <t>(Entry #0)</t>
  </si>
  <si>
    <t>(Entry #7)</t>
  </si>
  <si>
    <t>(Entry #3)</t>
  </si>
  <si>
    <t>(Entry #6)</t>
  </si>
  <si>
    <t>Debit (Credit)</t>
  </si>
  <si>
    <t>Informational - Ending Balances of Assets and Liabilities</t>
  </si>
  <si>
    <t>Acct 0446 - LAND AND LAND IMPROVEMENTS</t>
  </si>
  <si>
    <t>Acct 0448 - BUILDINGS AND BUILDING IMPROVEMENTS</t>
  </si>
  <si>
    <t>Acct 0450 - EQUIPMENT</t>
  </si>
  <si>
    <t>Acct 0462 - ACCUMULATED DEPRECIATION - EQUIPMENT</t>
  </si>
  <si>
    <t>Acct 0458 - ACCUMULATED DEPRECIATION - BUILDINGS AND BUILDING IMPROVEMENTS</t>
  </si>
  <si>
    <t>Acct 0695 - OTHER NONCURRENT LIABILITIES</t>
  </si>
  <si>
    <t>Version 1</t>
  </si>
  <si>
    <t>Version 2</t>
  </si>
  <si>
    <t>Summary of Changes</t>
  </si>
  <si>
    <t>Sheet</t>
  </si>
  <si>
    <t>Feature</t>
  </si>
  <si>
    <t>Location V1</t>
  </si>
  <si>
    <t>Location V2</t>
  </si>
  <si>
    <t>Description</t>
  </si>
  <si>
    <t>Required Action</t>
  </si>
  <si>
    <t>Revised - Instructions</t>
  </si>
  <si>
    <t>Row 1</t>
  </si>
  <si>
    <t>Row 7</t>
  </si>
  <si>
    <t>N/A</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</si>
  <si>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</si>
  <si>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</si>
  <si>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</si>
  <si>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Select if the fund type is Governmental, Proprietary ISF, or Proprietary EF. This assists in the SCO's preparation of disclosures for the ACFR.</t>
  </si>
  <si>
    <t>Select one fund type.</t>
  </si>
  <si>
    <t>Added - Functional Expense</t>
  </si>
  <si>
    <t>Row 4</t>
  </si>
  <si>
    <t>Row 8</t>
  </si>
  <si>
    <t>Row 9</t>
  </si>
  <si>
    <t>Added a row to type in the organization name.</t>
  </si>
  <si>
    <t>Type organization name.</t>
  </si>
  <si>
    <t>Added - Organization Name</t>
  </si>
  <si>
    <t>Removed - Fi$Cal or Non-Fi$Cal Departments</t>
  </si>
  <si>
    <t>Added - Headers</t>
  </si>
  <si>
    <t>Added journal entry headers to help clarify when each set of entries are applicable. Informative only.</t>
  </si>
  <si>
    <t>Revised - Entry #0</t>
  </si>
  <si>
    <t>Row 10</t>
  </si>
  <si>
    <t>Row 14</t>
  </si>
  <si>
    <t>Rows 67-81</t>
  </si>
  <si>
    <t>Added - Informational - Ending Balances</t>
  </si>
  <si>
    <t>When compiling information from the lessee templates, distinguish between Proprietary ISF and Proprietary EF funds.</t>
  </si>
  <si>
    <t>Revised - Column D</t>
  </si>
  <si>
    <t>Column D</t>
  </si>
  <si>
    <t>Added - Journal Entry References</t>
  </si>
  <si>
    <t>The GASB 87 Annual Reporting Submission Workbook is required to be updated and submitted every year. See below for the summary of changes between versions.</t>
  </si>
  <si>
    <t>Added a lookup of SCO GAAP functional expense based on organization code entered into row 5. This functional expense will automatically populate in Entry #1, 5, and M1.</t>
  </si>
  <si>
    <t xml:space="preserve">Entry #0, rolling the prior fiscal year ending balance for the current year opening balance, was revised to add "Acct 0950 - Beginning Fund Balances". 
This entry will remain blank if the fund did not have any leases in the prior year. </t>
  </si>
  <si>
    <t>Revised - Entries #5 and #6, Account Numbers</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</si>
  <si>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</si>
  <si>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FP-Fund #### Journal Entries</t>
  </si>
  <si>
    <t>FP-Lease Liabilities</t>
  </si>
  <si>
    <t>Added a reference (journal entry number) under each column header to help identify where to find the necessary information on the FP-Fund #### Journal Entry tab.</t>
  </si>
  <si>
    <t>Only use this worksheet for leases that do transfer ownership.</t>
  </si>
  <si>
    <t>Rows 12, 29, and 48</t>
  </si>
  <si>
    <t>No change in action required. Continue to populate Entry #0 based on amounts populated on the Lessee FP Template(s) for this fund.</t>
  </si>
  <si>
    <r>
      <t xml:space="preserve">This sheet details the changes made between version 1 and version 2 of the </t>
    </r>
    <r>
      <rPr>
        <u/>
        <sz val="11"/>
        <color theme="1"/>
        <rFont val="Arial"/>
        <family val="2"/>
      </rPr>
      <t>GASB 87 Lessee Financed Purchase Annual Reporting Submission Workbook</t>
    </r>
    <r>
      <rPr>
        <sz val="11"/>
        <color theme="1"/>
        <rFont val="Arial"/>
        <family val="2"/>
      </rPr>
      <t>. Familiarize yourself with the changes in the table below and follow the instructions for updating data from template version 1 to version 2.</t>
    </r>
  </si>
  <si>
    <t>Added a calculation of ending balances for all financed purchase assets and liabilities.</t>
  </si>
  <si>
    <t>The row headers is column D were modified for two results. 
Firstly, Lease Liability (leases that do not transfer ownership) were removed from worksheet. Leases Liability and Installment Contracts Payable (Financed Purchase) are now on separate worksheets.
Secondly, the Proprietary Funds sections was split into Proprietary - ISF and Proprietary - EF in version 2.</t>
  </si>
  <si>
    <t>Non-transferring leases were removed from the worksheet. This worksheet is now isolated to just leases that do transfer ownership. There is a separate worksheet, "LS-Fund #### Journal Entries" to use if your fund has leases that do not transfer ownership.</t>
  </si>
  <si>
    <t>NOTE: This is an annual accrual. It is to be reversed at the start of the next fiscal year. SCO combines the current and non current amount in Entry #0 to reestablish the beginning balances. No action required.</t>
  </si>
  <si>
    <t>Establish Beginning Balances (existing financed purchases only)</t>
  </si>
  <si>
    <t>Record Annual Activity (all financed purchases)</t>
  </si>
  <si>
    <t>Roll prior year to record opening balances of financed purchase assets and liabilities.</t>
  </si>
  <si>
    <t>Record New Financed Purchases (new financed purchases only)</t>
  </si>
  <si>
    <t>Record financed purchase contract commencement (fund-based entries only)</t>
  </si>
  <si>
    <t>Reclassify rents and leases exp. to financed purchase contract principal and interest exp.</t>
  </si>
  <si>
    <t>Cr: Acct 0789 - LEASE AND OTHER FINANCING PROCEEDS</t>
  </si>
  <si>
    <t>Dr: Acct 0789 - LEASE AND OTHER FINANCING PROCEEDS</t>
  </si>
  <si>
    <t>Rows 55-63</t>
  </si>
  <si>
    <t>Row 75</t>
  </si>
  <si>
    <t>Cr: Acct 0677 - CURRENT PORTION OF OTHER LONG-TERM LIABILITIES</t>
  </si>
  <si>
    <t>Revised - Entry #7 Account Number</t>
  </si>
  <si>
    <t>Row 68</t>
  </si>
  <si>
    <t>"Acct: 0645 - Contracts and Notes Payable" was updated to "Acct: 0677 - Current Portion of Other Long-Term Liabilites".</t>
  </si>
  <si>
    <t>Row 87</t>
  </si>
  <si>
    <t>Acct 0677 - CURRENT PORTION OF OTHER LONG-TERM LIABILITIES</t>
  </si>
  <si>
    <t>Published on SCO website from August 2023 to March 2024 for use for the 2021-2022 reporting period.</t>
  </si>
  <si>
    <t>Published on SCO website in March 2024 for use for reporting periods 2022-2023 and afterwards.</t>
  </si>
  <si>
    <t>Department of Corrections and Rehabilitation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</si>
</sst>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33"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sz val="14"/>
      <color theme="1"/>
      <name val="Arial Narrow"/>
      <family val="2"/>
    </font>
    <font>
      <b/>
      <sz val="16"/>
      <color theme="1"/>
      <name val="Arial Narrow"/>
      <family val="2"/>
    </font>
    <font>
      <b/>
      <sz val="14"/>
      <color theme="1"/>
      <name val="Arial Narrow"/>
      <family val="2"/>
    </font>
    <font>
      <b/>
      <sz val="14"/>
      <color rgb="FF00B050"/>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s>
  <fills count="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rgb="FFC0C0C0"/>
        <bgColor rgb="FFC0C0C0"/>
      </patternFill>
    </fill>
    <fill>
      <patternFill patternType="solid">
        <fgColor theme="9" tint="0.7999816888943144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120">
    <xf numFmtId="0" fontId="0" fillId="0" borderId="0" xfId="0"/>
    <xf numFmtId="0" fontId="4" fillId="0" borderId="0" xfId="0" applyFont="1"/>
    <xf numFmtId="0" fontId="12" fillId="3" borderId="0" xfId="0" applyFont="1" applyFill="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165" fontId="3" fillId="0" borderId="0" xfId="0" applyNumberFormat="1" applyFont="1" applyAlignment="1">
      <alignment horizontal="left" indent="1"/>
    </xf>
    <xf numFmtId="0" fontId="3" fillId="0" borderId="0" xfId="0" applyFont="1" applyAlignment="1">
      <alignment vertical="top"/>
    </xf>
    <xf numFmtId="165" fontId="6" fillId="0" borderId="0" xfId="2" applyNumberFormat="1" applyFont="1" applyAlignment="1" applyProtection="1">
      <alignment vertical="top"/>
    </xf>
    <xf numFmtId="0" fontId="11" fillId="3" borderId="0" xfId="0" applyFont="1" applyFill="1"/>
    <xf numFmtId="38" fontId="11" fillId="3" borderId="0" xfId="0" applyNumberFormat="1" applyFont="1" applyFill="1"/>
    <xf numFmtId="0" fontId="11" fillId="3" borderId="2" xfId="0" applyFont="1" applyFill="1" applyBorder="1"/>
    <xf numFmtId="0" fontId="11" fillId="3" borderId="3" xfId="0" applyFont="1" applyFill="1" applyBorder="1"/>
    <xf numFmtId="38" fontId="11" fillId="3" borderId="3" xfId="0" applyNumberFormat="1" applyFont="1" applyFill="1" applyBorder="1"/>
    <xf numFmtId="0" fontId="11" fillId="3" borderId="4" xfId="0" applyFont="1" applyFill="1" applyBorder="1"/>
    <xf numFmtId="0" fontId="11" fillId="3" borderId="5" xfId="0" applyFont="1" applyFill="1" applyBorder="1"/>
    <xf numFmtId="0" fontId="12" fillId="3" borderId="0" xfId="0" applyFont="1" applyFill="1" applyAlignment="1">
      <alignment horizontal="center"/>
    </xf>
    <xf numFmtId="0" fontId="11" fillId="3" borderId="6" xfId="0" applyFont="1" applyFill="1" applyBorder="1"/>
    <xf numFmtId="38" fontId="13" fillId="3" borderId="7" xfId="0" applyNumberFormat="1" applyFont="1" applyFill="1" applyBorder="1" applyAlignment="1">
      <alignment horizontal="center" wrapText="1"/>
    </xf>
    <xf numFmtId="0" fontId="13" fillId="3" borderId="0" xfId="0" applyFont="1" applyFill="1"/>
    <xf numFmtId="38" fontId="13" fillId="3" borderId="7" xfId="0" applyNumberFormat="1" applyFont="1" applyFill="1" applyBorder="1" applyAlignment="1">
      <alignment horizontal="center"/>
    </xf>
    <xf numFmtId="0" fontId="11" fillId="3" borderId="0" xfId="0" applyFont="1" applyFill="1" applyAlignment="1">
      <alignment wrapText="1"/>
    </xf>
    <xf numFmtId="0" fontId="11" fillId="3" borderId="9" xfId="0" applyFont="1" applyFill="1" applyBorder="1"/>
    <xf numFmtId="0" fontId="11" fillId="3" borderId="7" xfId="0" applyFont="1" applyFill="1" applyBorder="1"/>
    <xf numFmtId="38" fontId="11" fillId="3" borderId="7" xfId="0" applyNumberFormat="1" applyFont="1" applyFill="1" applyBorder="1"/>
    <xf numFmtId="0" fontId="11" fillId="3" borderId="10" xfId="0" applyFont="1" applyFill="1" applyBorder="1"/>
    <xf numFmtId="0" fontId="14" fillId="0" borderId="0" xfId="0" applyFont="1" applyAlignment="1">
      <alignment vertical="center"/>
    </xf>
    <xf numFmtId="0" fontId="6" fillId="0" borderId="0" xfId="0" applyFont="1" applyAlignment="1">
      <alignment vertical="top" wrapText="1"/>
    </xf>
    <xf numFmtId="0" fontId="12" fillId="0" borderId="0" xfId="0" applyFont="1" applyAlignment="1" applyProtection="1">
      <alignment horizontal="center"/>
      <protection locked="0"/>
    </xf>
    <xf numFmtId="166" fontId="11" fillId="3" borderId="0" xfId="1" applyNumberFormat="1" applyFont="1" applyFill="1"/>
    <xf numFmtId="166" fontId="11" fillId="2" borderId="0" xfId="1" applyNumberFormat="1" applyFont="1" applyFill="1" applyProtection="1">
      <protection locked="0"/>
    </xf>
    <xf numFmtId="166" fontId="11" fillId="3" borderId="0" xfId="1" quotePrefix="1" applyNumberFormat="1" applyFont="1" applyFill="1"/>
    <xf numFmtId="166" fontId="11" fillId="3" borderId="0" xfId="1" applyNumberFormat="1" applyFont="1" applyFill="1" applyBorder="1"/>
    <xf numFmtId="165" fontId="11" fillId="3" borderId="8" xfId="2" applyNumberFormat="1" applyFont="1" applyFill="1" applyBorder="1"/>
    <xf numFmtId="0" fontId="6" fillId="0" borderId="0" xfId="0" applyFont="1" applyAlignment="1">
      <alignment horizontal="center" vertical="top" wrapText="1"/>
    </xf>
    <xf numFmtId="0" fontId="2" fillId="0" borderId="0" xfId="0" applyFont="1" applyAlignment="1">
      <alignment vertical="top" wrapText="1"/>
    </xf>
    <xf numFmtId="44" fontId="6" fillId="0" borderId="0" xfId="2" applyFont="1" applyProtection="1"/>
    <xf numFmtId="0" fontId="15" fillId="5" borderId="1" xfId="0" applyFont="1" applyFill="1" applyBorder="1" applyAlignment="1">
      <alignment horizontal="center" vertical="center"/>
    </xf>
    <xf numFmtId="0" fontId="16" fillId="0" borderId="13" xfId="0" applyFont="1" applyBorder="1" applyAlignment="1">
      <alignment vertical="center"/>
    </xf>
    <xf numFmtId="0" fontId="0" fillId="0" borderId="0" xfId="0" quotePrefix="1"/>
    <xf numFmtId="0" fontId="0" fillId="0" borderId="0" xfId="0" applyAlignment="1">
      <alignment wrapText="1"/>
    </xf>
    <xf numFmtId="0" fontId="17" fillId="0" borderId="13" xfId="0" applyFont="1" applyBorder="1" applyAlignment="1">
      <alignment vertical="center" wrapText="1"/>
    </xf>
    <xf numFmtId="0" fontId="5" fillId="0" borderId="0" xfId="0" applyFont="1" applyAlignment="1">
      <alignment vertical="center" wrapText="1"/>
    </xf>
    <xf numFmtId="0" fontId="20" fillId="4" borderId="0" xfId="0" applyFont="1" applyFill="1" applyAlignment="1">
      <alignment horizontal="left"/>
    </xf>
    <xf numFmtId="165" fontId="20" fillId="4" borderId="0" xfId="0" applyNumberFormat="1" applyFont="1" applyFill="1"/>
    <xf numFmtId="165" fontId="21" fillId="4" borderId="0" xfId="0" applyNumberFormat="1" applyFont="1" applyFill="1"/>
    <xf numFmtId="165" fontId="21" fillId="4" borderId="0" xfId="2" applyNumberFormat="1" applyFont="1" applyFill="1" applyProtection="1"/>
    <xf numFmtId="165" fontId="21" fillId="4" borderId="0" xfId="0" applyNumberFormat="1" applyFont="1" applyFill="1" applyAlignment="1">
      <alignment horizontal="left"/>
    </xf>
    <xf numFmtId="0" fontId="22" fillId="0" borderId="0" xfId="0" applyFont="1" applyAlignment="1">
      <alignment horizontal="left" vertical="top"/>
    </xf>
    <xf numFmtId="0" fontId="23" fillId="0" borderId="0" xfId="0" applyFont="1" applyAlignment="1">
      <alignment vertical="top"/>
    </xf>
    <xf numFmtId="165" fontId="18" fillId="0" borderId="0" xfId="0" applyNumberFormat="1" applyFont="1" applyAlignment="1">
      <alignment horizontal="left"/>
    </xf>
    <xf numFmtId="0" fontId="19" fillId="0" borderId="12" xfId="0" applyFont="1" applyBorder="1" applyAlignment="1">
      <alignment horizontal="center"/>
    </xf>
    <xf numFmtId="44" fontId="18" fillId="0" borderId="0" xfId="2" applyFont="1" applyProtection="1"/>
    <xf numFmtId="0" fontId="19" fillId="0" borderId="0" xfId="0" applyFont="1" applyAlignment="1">
      <alignment vertical="top"/>
    </xf>
    <xf numFmtId="165" fontId="18" fillId="0" borderId="0" xfId="0" applyNumberFormat="1" applyFont="1"/>
    <xf numFmtId="165" fontId="18"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6" fontId="3" fillId="2" borderId="0" xfId="1" applyNumberFormat="1" applyFont="1" applyFill="1" applyProtection="1">
      <protection locked="0"/>
    </xf>
    <xf numFmtId="0" fontId="19" fillId="0" borderId="0" xfId="0" applyFont="1" applyAlignment="1">
      <alignment horizontal="center"/>
    </xf>
    <xf numFmtId="0" fontId="18" fillId="0" borderId="0" xfId="0" applyFont="1"/>
    <xf numFmtId="44" fontId="3" fillId="0" borderId="0" xfId="2" applyFont="1" applyProtection="1"/>
    <xf numFmtId="0" fontId="24" fillId="0" borderId="0" xfId="0" applyFont="1" applyAlignment="1">
      <alignment horizontal="left"/>
    </xf>
    <xf numFmtId="44" fontId="2" fillId="0" borderId="0" xfId="2" applyFont="1" applyProtection="1"/>
    <xf numFmtId="165" fontId="2" fillId="0" borderId="0" xfId="0" applyNumberFormat="1" applyFont="1" applyAlignment="1">
      <alignment horizontal="left" indent="1"/>
    </xf>
    <xf numFmtId="165" fontId="2" fillId="0" borderId="0" xfId="2" applyNumberFormat="1" applyFont="1" applyFill="1" applyProtection="1"/>
    <xf numFmtId="44" fontId="2" fillId="0" borderId="0" xfId="2" applyFont="1" applyFill="1" applyProtection="1"/>
    <xf numFmtId="44" fontId="2" fillId="0" borderId="0" xfId="0" applyNumberFormat="1" applyFont="1"/>
    <xf numFmtId="0" fontId="19" fillId="0" borderId="1" xfId="0" applyFont="1" applyBorder="1" applyAlignment="1">
      <alignment horizontal="center" vertical="top"/>
    </xf>
    <xf numFmtId="166" fontId="4" fillId="0" borderId="0" xfId="0" applyNumberFormat="1" applyFont="1" applyAlignment="1">
      <alignment vertical="top"/>
    </xf>
    <xf numFmtId="166" fontId="4" fillId="0" borderId="0" xfId="1" applyNumberFormat="1" applyFont="1" applyFill="1" applyAlignment="1">
      <alignment vertical="top"/>
    </xf>
    <xf numFmtId="38" fontId="13" fillId="3" borderId="0" xfId="0" applyNumberFormat="1" applyFont="1" applyFill="1" applyAlignment="1">
      <alignment horizontal="center" wrapText="1"/>
    </xf>
    <xf numFmtId="38" fontId="27" fillId="3" borderId="0" xfId="0" applyNumberFormat="1" applyFont="1" applyFill="1" applyAlignment="1">
      <alignment horizontal="center" wrapText="1"/>
    </xf>
    <xf numFmtId="0" fontId="20" fillId="0" borderId="14" xfId="0" applyFont="1" applyBorder="1" applyAlignment="1">
      <alignment horizontal="left"/>
    </xf>
    <xf numFmtId="165" fontId="20" fillId="0" borderId="16" xfId="0" applyNumberFormat="1" applyFont="1" applyBorder="1"/>
    <xf numFmtId="165" fontId="21" fillId="0" borderId="16" xfId="0" applyNumberFormat="1" applyFont="1" applyBorder="1"/>
    <xf numFmtId="165" fontId="21" fillId="0" borderId="16" xfId="2" applyNumberFormat="1" applyFont="1" applyFill="1" applyBorder="1" applyProtection="1"/>
    <xf numFmtId="165" fontId="21" fillId="0" borderId="15" xfId="2" applyNumberFormat="1" applyFont="1" applyFill="1" applyBorder="1" applyProtection="1"/>
    <xf numFmtId="166" fontId="4" fillId="4" borderId="0" xfId="0" applyNumberFormat="1" applyFont="1" applyFill="1" applyAlignment="1">
      <alignment vertical="top"/>
    </xf>
    <xf numFmtId="0" fontId="7" fillId="0" borderId="0" xfId="0" applyFont="1" applyAlignment="1">
      <alignment horizontal="center" vertical="top"/>
    </xf>
    <xf numFmtId="0" fontId="28" fillId="0" borderId="0" xfId="0" applyFont="1" applyAlignment="1">
      <alignment vertical="top" wrapText="1"/>
    </xf>
    <xf numFmtId="0" fontId="29" fillId="0" borderId="0" xfId="0" applyFont="1" applyAlignment="1">
      <alignment vertical="top" wrapText="1"/>
    </xf>
    <xf numFmtId="0" fontId="28" fillId="0" borderId="0" xfId="0" applyFont="1" applyAlignment="1">
      <alignment vertical="top"/>
    </xf>
    <xf numFmtId="0" fontId="30" fillId="0" borderId="0" xfId="0" applyFont="1" applyAlignment="1">
      <alignment vertical="top"/>
    </xf>
    <xf numFmtId="0" fontId="29" fillId="0" borderId="0" xfId="0" applyFont="1" applyAlignment="1">
      <alignment horizontal="right" vertical="top" wrapText="1"/>
    </xf>
    <xf numFmtId="0" fontId="31" fillId="0" borderId="0" xfId="0" applyFont="1" applyAlignment="1">
      <alignment horizontal="left" vertical="top"/>
    </xf>
    <xf numFmtId="0" fontId="29" fillId="6" borderId="11" xfId="0" applyFont="1" applyFill="1" applyBorder="1" applyAlignment="1">
      <alignment vertical="top" wrapText="1"/>
    </xf>
    <xf numFmtId="166" fontId="3" fillId="0" borderId="0" xfId="1" applyNumberFormat="1" applyFont="1" applyFill="1" applyProtection="1">
      <protection locked="0"/>
    </xf>
    <xf numFmtId="166" fontId="3" fillId="4" borderId="0" xfId="1" applyNumberFormat="1" applyFont="1" applyFill="1" applyProtection="1"/>
    <xf numFmtId="166" fontId="4" fillId="4" borderId="0" xfId="1" applyNumberFormat="1" applyFont="1" applyFill="1" applyAlignment="1" applyProtection="1">
      <alignment vertical="top"/>
    </xf>
    <xf numFmtId="0" fontId="28" fillId="0" borderId="17" xfId="0" applyFont="1" applyBorder="1" applyAlignment="1">
      <alignment horizontal="left" vertical="top" wrapText="1"/>
    </xf>
    <xf numFmtId="0" fontId="28" fillId="0" borderId="18" xfId="0" applyFont="1" applyBorder="1" applyAlignment="1">
      <alignment horizontal="left" vertical="top" wrapText="1"/>
    </xf>
    <xf numFmtId="0" fontId="28" fillId="0" borderId="19" xfId="0" applyFont="1" applyBorder="1" applyAlignment="1">
      <alignment horizontal="left" vertical="top" wrapText="1"/>
    </xf>
    <xf numFmtId="0" fontId="28" fillId="0" borderId="20" xfId="0" applyFont="1" applyBorder="1" applyAlignment="1">
      <alignment horizontal="left" vertical="top" wrapText="1"/>
    </xf>
    <xf numFmtId="0" fontId="28" fillId="0" borderId="11" xfId="0" applyFont="1" applyBorder="1" applyAlignment="1">
      <alignment horizontal="left" vertical="top" wrapText="1"/>
    </xf>
    <xf numFmtId="0" fontId="28" fillId="0" borderId="21" xfId="0" applyFont="1" applyBorder="1" applyAlignment="1">
      <alignment horizontal="left" vertical="top" wrapText="1"/>
    </xf>
    <xf numFmtId="0" fontId="24" fillId="0" borderId="0" xfId="0" applyFont="1" applyAlignment="1">
      <alignment horizontal="left" wrapText="1"/>
    </xf>
    <xf numFmtId="0" fontId="2" fillId="0" borderId="0" xfId="0" applyFont="1" applyAlignment="1">
      <alignment horizontal="left" vertical="top"/>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19" fillId="0" borderId="14" xfId="0" applyFont="1" applyBorder="1" applyAlignment="1">
      <alignment horizontal="center" vertical="top"/>
    </xf>
    <xf numFmtId="0" fontId="19" fillId="0" borderId="15" xfId="0" applyFont="1" applyBorder="1" applyAlignment="1">
      <alignment horizontal="center" vertical="top"/>
    </xf>
    <xf numFmtId="49" fontId="6" fillId="2" borderId="0" xfId="1" applyNumberFormat="1" applyFont="1" applyFill="1" applyBorder="1" applyAlignment="1" applyProtection="1">
      <alignment horizontal="left"/>
      <protection locked="0"/>
    </xf>
    <xf numFmtId="0" fontId="26" fillId="0" borderId="0" xfId="0" applyFont="1" applyAlignment="1">
      <alignment horizontal="center" vertical="top" wrapText="1"/>
    </xf>
    <xf numFmtId="0" fontId="6" fillId="0" borderId="0" xfId="0" applyFont="1" applyAlignment="1">
      <alignment horizontal="left" vertical="center" wrapText="1"/>
    </xf>
    <xf numFmtId="0" fontId="6" fillId="2" borderId="0" xfId="0" applyFont="1" applyFill="1" applyAlignment="1" applyProtection="1">
      <alignment horizontal="left" vertical="top"/>
      <protection locked="0"/>
    </xf>
  </cellXfs>
  <cellStyles count="4">
    <cellStyle name="Comma" xfId="1" builtinId="3"/>
    <cellStyle name="Currency" xfId="2" builtinId="4"/>
    <cellStyle name="Normal" xfId="0" builtinId="0"/>
    <cellStyle name="Normal 2" xfId="3" xr:uid="{00000000-0005-0000-0000-000003000000}"/>
  </cellStyles>
  <dxfs count="0"/>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https://cdcr-my.sharepoint.com/personal/mai_moua_cdcr_ca_gov/Documents/Desktop/Mai%20Moua/AAI%20Specialist/GAAP/GAAP%20FY22-23/GASB%2087/1.%20Reports%20Submitted%20to%20SCO/Amortization%20Schedules-to%20be%20consolidated/GASB_87_Lessee_Financed.xlsx" TargetMode="External"/><Relationship Id="rId2" Type="http://schemas.microsoft.com/office/2019/04/relationships/externalLinkLongPath" Target="https://cdcr-my.sharepoint.com/personal/mai_moua_cdcr_ca_gov/Documents/Desktop/Mai%20Moua/AAI%20Specialist/GAAP/GAAP%20FY22-23/GASB%2087/1.%20Reports%20Submitted%20to%20SCO/Amortization%20Schedules-to%20be%20consolidated/GASB_87_Lessee_Financed.xlsx?CB4D1FE7" TargetMode="External"/><Relationship Id="rId1" Type="http://schemas.openxmlformats.org/officeDocument/2006/relationships/externalLinkPath" Target="file:///\\CB4D1FE7\GASB_87_Lessee_Financed.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cdcr-my.sharepoint.com/personal/mai_moua_cdcr_ca_gov/Documents/Desktop/Mai%20Moua/AAI%20Specialist/GAAP/GAAP%20FY22-23/GASB%2087/SCO%20procedures/GASB_87_Annual_Reporting_Submission_Workbook_V2.xlsx" TargetMode="External"/><Relationship Id="rId1" Type="http://schemas.openxmlformats.org/officeDocument/2006/relationships/externalLinkPath" Target="https://cdcr-my.sharepoint.com/personal/mai_moua_cdcr_ca_gov/Documents/Desktop/Mai%20Moua/AAI%20Specialist/GAAP/GAAP%20FY22-23/GASB%2087/SCO%20procedures/GASB_87_Annual_Reporting_Submission_Workbook_V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Drop-down menus"/>
      <sheetName val="1 Main St SQ"/>
      <sheetName val="Contract 1 Output"/>
      <sheetName val="16756 Chino"/>
      <sheetName val="Contract 2 Output"/>
      <sheetName val="7650 S Newcastle"/>
      <sheetName val="Contract 3 Output"/>
      <sheetName val="FP-Fund #### Journal Entries"/>
      <sheetName val="FP-Lease Liabilities"/>
      <sheetName val="FP-Fund 5225 JE"/>
      <sheetName val="qryIndex02a"/>
    </sheetNames>
    <sheetDataSet>
      <sheetData sheetId="0"/>
      <sheetData sheetId="1"/>
      <sheetData sheetId="2">
        <row r="19">
          <cell r="J19">
            <v>190083.55528125013</v>
          </cell>
        </row>
      </sheetData>
      <sheetData sheetId="3"/>
      <sheetData sheetId="4">
        <row r="19">
          <cell r="J19">
            <v>1644331.8957488597</v>
          </cell>
        </row>
      </sheetData>
      <sheetData sheetId="5"/>
      <sheetData sheetId="6">
        <row r="19">
          <cell r="J19">
            <v>933769.40222105756</v>
          </cell>
        </row>
      </sheetData>
      <sheetData sheetId="7"/>
      <sheetData sheetId="8"/>
      <sheetData sheetId="9"/>
      <sheetData sheetId="1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rop Down Menus"/>
      <sheetName val="qryIndex02a"/>
      <sheetName val="LS-Version Changes"/>
      <sheetName val="LS-Fund #### Journal Entries"/>
      <sheetName val="LS-Department Note Disclosure"/>
      <sheetName val="LS-Lease Liabilities"/>
      <sheetName val="LS-Check Figures  "/>
      <sheetName val="LR-Version Changes"/>
      <sheetName val="LR-Fund #### Journal Entries"/>
      <sheetName val="LR-Department Note Disclosure"/>
      <sheetName val="LR-Check Figures"/>
      <sheetName val="FP-Version Changes"/>
      <sheetName val="FP-Fund #### Journal Entries"/>
      <sheetName val="FP-Lease Liabilities"/>
    </sheetNames>
    <sheetDataSet>
      <sheetData sheetId="0">
        <row r="2">
          <cell r="F2" t="str">
            <v>General government</v>
          </cell>
          <cell r="G2" t="str">
            <v>Cr: Acct 0808 - GENERAL GOV. (GAAP ADJ)</v>
          </cell>
        </row>
        <row r="3">
          <cell r="F3" t="str">
            <v>Education</v>
          </cell>
          <cell r="G3" t="str">
            <v>Cr: Acct 0810 - EDUCATION EXP (GAAP ADJ)</v>
          </cell>
        </row>
        <row r="4">
          <cell r="F4" t="str">
            <v>Health and human services</v>
          </cell>
          <cell r="G4" t="str">
            <v>Cr: Acct 0815 - HLTH&amp;HUM SV SV.LAB(GAAP ADJ)</v>
          </cell>
        </row>
        <row r="5">
          <cell r="F5" t="str">
            <v>Resources</v>
          </cell>
          <cell r="G5" t="str">
            <v>Cr: Acct 0820 - NAT RES &amp; ENVIRON (GAAP ADJ)</v>
          </cell>
        </row>
        <row r="6">
          <cell r="F6" t="str">
            <v>BUS, CONSUMER SERV, HOUSING</v>
          </cell>
          <cell r="G6" t="str">
            <v>Cr: Acct 0825 - BUS, CONSUMER SERV, HOUSING</v>
          </cell>
        </row>
        <row r="7">
          <cell r="F7" t="str">
            <v>Transportation</v>
          </cell>
          <cell r="G7" t="str">
            <v>Cr: Acct 0830 - TRANSPORTATION (GAAP ADJ)</v>
          </cell>
        </row>
        <row r="8">
          <cell r="F8" t="str">
            <v>CORRECTIONS AND REHABILITATION</v>
          </cell>
          <cell r="G8" t="str">
            <v>Cr: Acct 0835 - CORRECTIONS AND REHABILITATION</v>
          </cell>
        </row>
        <row r="9">
          <cell r="F9" t="str">
            <v>Proprietary fund</v>
          </cell>
          <cell r="G9" t="str">
            <v>Cr: Acct 0870 - SERVICES &amp; CHARGES (MG ADJ)</v>
          </cell>
        </row>
        <row r="10">
          <cell r="F10" t="str">
            <v>Unidentified</v>
          </cell>
          <cell r="G10" t="str">
            <v>Cr: Acct 0XXX - FUNCTIONAL EXPENSE</v>
          </cell>
        </row>
      </sheetData>
      <sheetData sheetId="1">
        <row r="2">
          <cell r="A2" t="str">
            <v>0000</v>
          </cell>
          <cell r="B2" t="str">
            <v>BOND INTEREST AND REDEMPTION</v>
          </cell>
          <cell r="C2" t="str">
            <v>9000</v>
          </cell>
          <cell r="D2" t="str">
            <v>BOND INTEREST AND REDEMPTION</v>
          </cell>
          <cell r="E2" t="str">
            <v/>
          </cell>
          <cell r="F2" t="str">
            <v>9030</v>
          </cell>
          <cell r="G2" t="str">
            <v>9600</v>
          </cell>
          <cell r="H2" t="str">
            <v>0000</v>
          </cell>
          <cell r="I2" t="str">
            <v>0000</v>
          </cell>
          <cell r="J2" t="str">
            <v>04/04/1984</v>
          </cell>
          <cell r="K2" t="str">
            <v>00/00/0000</v>
          </cell>
        </row>
        <row r="3">
          <cell r="A3" t="str">
            <v>0010</v>
          </cell>
          <cell r="B3" t="str">
            <v>LEGISLATIVE, JUDICIAL AND EXEC</v>
          </cell>
          <cell r="C3" t="str">
            <v>0808</v>
          </cell>
          <cell r="D3" t="str">
            <v>GENERAL GOVERNMENT</v>
          </cell>
          <cell r="E3" t="str">
            <v/>
          </cell>
          <cell r="F3" t="str">
            <v>0000</v>
          </cell>
          <cell r="G3" t="str">
            <v>0000</v>
          </cell>
          <cell r="H3" t="str">
            <v>0000</v>
          </cell>
          <cell r="I3" t="str">
            <v>0000</v>
          </cell>
          <cell r="J3" t="str">
            <v>07/11/2006</v>
          </cell>
          <cell r="K3" t="str">
            <v>00/00/0000</v>
          </cell>
        </row>
        <row r="4">
          <cell r="A4" t="str">
            <v>0015</v>
          </cell>
          <cell r="B4" t="str">
            <v>ADD AGENCY TEST</v>
          </cell>
          <cell r="C4" t="str">
            <v>0808</v>
          </cell>
          <cell r="D4" t="str">
            <v>GENERAL GOVERNMENT</v>
          </cell>
          <cell r="E4" t="str">
            <v/>
          </cell>
          <cell r="F4" t="str">
            <v>0000</v>
          </cell>
          <cell r="G4" t="str">
            <v>0000</v>
          </cell>
          <cell r="H4" t="str">
            <v>0000</v>
          </cell>
          <cell r="I4" t="str">
            <v>0000</v>
          </cell>
          <cell r="J4" t="str">
            <v>99/99/9999</v>
          </cell>
          <cell r="K4" t="str">
            <v>00/00/0000</v>
          </cell>
        </row>
        <row r="5">
          <cell r="A5" t="str">
            <v>0020</v>
          </cell>
          <cell r="B5" t="str">
            <v>LEGISLATIVE</v>
          </cell>
          <cell r="C5" t="str">
            <v>0808</v>
          </cell>
          <cell r="D5" t="str">
            <v>GENERAL GOVERNMENT</v>
          </cell>
          <cell r="E5" t="str">
            <v/>
          </cell>
          <cell r="F5" t="str">
            <v>0000</v>
          </cell>
          <cell r="G5" t="str">
            <v>0000</v>
          </cell>
          <cell r="H5" t="str">
            <v>0000</v>
          </cell>
          <cell r="I5" t="str">
            <v>0000</v>
          </cell>
          <cell r="J5" t="str">
            <v>99/99/9999</v>
          </cell>
          <cell r="K5" t="str">
            <v>00/00/0000</v>
          </cell>
        </row>
        <row r="6">
          <cell r="A6" t="str">
            <v>0100</v>
          </cell>
          <cell r="B6" t="str">
            <v>LEGISLATURE</v>
          </cell>
          <cell r="C6" t="str">
            <v>0808</v>
          </cell>
          <cell r="D6" t="str">
            <v>GENERAL GOVERNMENT</v>
          </cell>
          <cell r="E6" t="str">
            <v/>
          </cell>
          <cell r="F6" t="str">
            <v>0000</v>
          </cell>
          <cell r="G6" t="str">
            <v>0000</v>
          </cell>
          <cell r="H6" t="str">
            <v>0000</v>
          </cell>
          <cell r="I6" t="str">
            <v>0000</v>
          </cell>
          <cell r="J6" t="str">
            <v>99/99/9999</v>
          </cell>
          <cell r="K6" t="str">
            <v>00/00/0000</v>
          </cell>
        </row>
        <row r="7">
          <cell r="A7" t="str">
            <v>0110</v>
          </cell>
          <cell r="B7" t="str">
            <v>SENATE</v>
          </cell>
          <cell r="C7" t="str">
            <v>0808</v>
          </cell>
          <cell r="D7" t="str">
            <v>GENERAL GOVERNMENT</v>
          </cell>
          <cell r="E7" t="str">
            <v/>
          </cell>
          <cell r="F7" t="str">
            <v>0000</v>
          </cell>
          <cell r="G7" t="str">
            <v>0000</v>
          </cell>
          <cell r="H7" t="str">
            <v>0000</v>
          </cell>
          <cell r="I7" t="str">
            <v>0000</v>
          </cell>
          <cell r="J7" t="str">
            <v>06/26/1985</v>
          </cell>
          <cell r="K7" t="str">
            <v>00/00/0000</v>
          </cell>
        </row>
        <row r="8">
          <cell r="A8" t="str">
            <v>0120</v>
          </cell>
          <cell r="B8" t="str">
            <v>ASSEMBLY</v>
          </cell>
          <cell r="C8" t="str">
            <v>0808</v>
          </cell>
          <cell r="D8" t="str">
            <v>GENERAL GOVERNMENT</v>
          </cell>
          <cell r="E8" t="str">
            <v/>
          </cell>
          <cell r="F8" t="str">
            <v>0000</v>
          </cell>
          <cell r="G8" t="str">
            <v>0000</v>
          </cell>
          <cell r="H8" t="str">
            <v>0000</v>
          </cell>
          <cell r="I8" t="str">
            <v>0000</v>
          </cell>
          <cell r="J8" t="str">
            <v>06/26/1985</v>
          </cell>
          <cell r="K8" t="str">
            <v>00/00/0000</v>
          </cell>
        </row>
        <row r="9">
          <cell r="A9" t="str">
            <v>0130</v>
          </cell>
          <cell r="B9" t="str">
            <v>LEGISLATIVE JOINT EXPENSES</v>
          </cell>
          <cell r="C9" t="str">
            <v>0808</v>
          </cell>
          <cell r="D9" t="str">
            <v>GENERAL GOVERNMENT</v>
          </cell>
          <cell r="E9" t="str">
            <v/>
          </cell>
          <cell r="F9" t="str">
            <v>0000</v>
          </cell>
          <cell r="G9" t="str">
            <v>0000</v>
          </cell>
          <cell r="H9" t="str">
            <v>0000</v>
          </cell>
          <cell r="I9" t="str">
            <v>0000</v>
          </cell>
          <cell r="J9" t="str">
            <v>06/26/1985</v>
          </cell>
          <cell r="K9" t="str">
            <v>00/00/0000</v>
          </cell>
        </row>
        <row r="10">
          <cell r="A10" t="str">
            <v>0150</v>
          </cell>
          <cell r="B10" t="str">
            <v>CONTRIB TO LEGIS RETIRE FUND</v>
          </cell>
          <cell r="C10" t="str">
            <v>0808</v>
          </cell>
          <cell r="D10" t="str">
            <v>GENERAL GOVERNMENT</v>
          </cell>
          <cell r="E10" t="str">
            <v/>
          </cell>
          <cell r="F10" t="str">
            <v>0000</v>
          </cell>
          <cell r="G10" t="str">
            <v>0000</v>
          </cell>
          <cell r="H10" t="str">
            <v>0000</v>
          </cell>
          <cell r="I10" t="str">
            <v>0000</v>
          </cell>
          <cell r="J10" t="str">
            <v>07/11/2006</v>
          </cell>
          <cell r="K10" t="str">
            <v>00/00/0000</v>
          </cell>
        </row>
        <row r="11">
          <cell r="A11" t="str">
            <v>0155</v>
          </cell>
          <cell r="B11" t="str">
            <v>AUDITOR GENERAL OFFICE</v>
          </cell>
          <cell r="C11" t="str">
            <v>0808</v>
          </cell>
          <cell r="D11" t="str">
            <v>GENERAL GOVERNMENT</v>
          </cell>
          <cell r="E11" t="str">
            <v/>
          </cell>
          <cell r="F11" t="str">
            <v>0000</v>
          </cell>
          <cell r="G11" t="str">
            <v>0000</v>
          </cell>
          <cell r="H11" t="str">
            <v>0000</v>
          </cell>
          <cell r="I11" t="str">
            <v>0000</v>
          </cell>
          <cell r="J11" t="str">
            <v>99/99/9999</v>
          </cell>
          <cell r="K11" t="str">
            <v>00/00/0000</v>
          </cell>
        </row>
        <row r="12">
          <cell r="A12" t="str">
            <v>0160</v>
          </cell>
          <cell r="B12" t="str">
            <v>LEGISLATIVE COUNSEL BUREAU</v>
          </cell>
          <cell r="C12" t="str">
            <v>0808</v>
          </cell>
          <cell r="D12" t="str">
            <v>GENERAL GOVERNMENT</v>
          </cell>
          <cell r="E12" t="str">
            <v/>
          </cell>
          <cell r="F12" t="str">
            <v>0000</v>
          </cell>
          <cell r="G12" t="str">
            <v>0000</v>
          </cell>
          <cell r="H12" t="str">
            <v>0000</v>
          </cell>
          <cell r="I12" t="str">
            <v>0000</v>
          </cell>
          <cell r="J12" t="str">
            <v>04/04/1984</v>
          </cell>
          <cell r="K12" t="str">
            <v>00/00/0000</v>
          </cell>
        </row>
        <row r="13">
          <cell r="A13" t="str">
            <v>0170</v>
          </cell>
          <cell r="B13" t="str">
            <v>CA LAW REVISION COMMISSION</v>
          </cell>
          <cell r="C13" t="str">
            <v>0808</v>
          </cell>
          <cell r="D13" t="str">
            <v>GENERAL GOVERNMENT</v>
          </cell>
          <cell r="E13" t="str">
            <v/>
          </cell>
          <cell r="F13" t="str">
            <v>0000</v>
          </cell>
          <cell r="G13" t="str">
            <v>0000</v>
          </cell>
          <cell r="H13" t="str">
            <v>0000</v>
          </cell>
          <cell r="I13" t="str">
            <v>0000</v>
          </cell>
          <cell r="J13" t="str">
            <v>99/99/9999</v>
          </cell>
          <cell r="K13" t="str">
            <v>07/01/1985</v>
          </cell>
        </row>
        <row r="14">
          <cell r="A14" t="str">
            <v>0180</v>
          </cell>
          <cell r="B14" t="str">
            <v>COMMISSION ON UNIFORM ST LAWS</v>
          </cell>
          <cell r="C14" t="str">
            <v>0808</v>
          </cell>
          <cell r="D14" t="str">
            <v>GENERAL GOVERNMENT</v>
          </cell>
          <cell r="E14" t="str">
            <v/>
          </cell>
          <cell r="F14" t="str">
            <v>0000</v>
          </cell>
          <cell r="G14" t="str">
            <v>0000</v>
          </cell>
          <cell r="H14" t="str">
            <v>0000</v>
          </cell>
          <cell r="I14" t="str">
            <v>0000</v>
          </cell>
          <cell r="J14" t="str">
            <v>99/99/9999</v>
          </cell>
          <cell r="K14" t="str">
            <v>07/01/1985</v>
          </cell>
        </row>
        <row r="15">
          <cell r="A15" t="str">
            <v>0200</v>
          </cell>
          <cell r="B15" t="str">
            <v>JUDICIAL</v>
          </cell>
          <cell r="C15" t="str">
            <v>0808</v>
          </cell>
          <cell r="D15" t="str">
            <v>GENERAL GOVERNMENT</v>
          </cell>
          <cell r="E15" t="str">
            <v/>
          </cell>
          <cell r="F15" t="str">
            <v>0000</v>
          </cell>
          <cell r="G15" t="str">
            <v>0000</v>
          </cell>
          <cell r="H15" t="str">
            <v>0000</v>
          </cell>
          <cell r="I15" t="str">
            <v>0000</v>
          </cell>
          <cell r="J15" t="str">
            <v>99/99/9999</v>
          </cell>
          <cell r="K15" t="str">
            <v>00/00/0000</v>
          </cell>
        </row>
        <row r="16">
          <cell r="A16" t="str">
            <v>0240</v>
          </cell>
          <cell r="B16" t="str">
            <v>CA JUDICAL CENTER LIBRARY</v>
          </cell>
          <cell r="C16" t="str">
            <v>0808</v>
          </cell>
          <cell r="D16" t="str">
            <v>GENERAL GOVERNMENT</v>
          </cell>
          <cell r="E16" t="str">
            <v/>
          </cell>
          <cell r="F16" t="str">
            <v>0000</v>
          </cell>
          <cell r="G16" t="str">
            <v>0000</v>
          </cell>
          <cell r="H16" t="str">
            <v>0000</v>
          </cell>
          <cell r="I16" t="str">
            <v>0000</v>
          </cell>
          <cell r="J16" t="str">
            <v>08/18/2000</v>
          </cell>
          <cell r="K16" t="str">
            <v>00/00/0000</v>
          </cell>
        </row>
        <row r="17">
          <cell r="A17" t="str">
            <v>0250</v>
          </cell>
          <cell r="B17" t="str">
            <v>JUDICIARY</v>
          </cell>
          <cell r="C17" t="str">
            <v>0808</v>
          </cell>
          <cell r="D17" t="str">
            <v>GENERAL GOVERNMENT</v>
          </cell>
          <cell r="E17" t="str">
            <v/>
          </cell>
          <cell r="F17" t="str">
            <v>0000</v>
          </cell>
          <cell r="G17" t="str">
            <v>0000</v>
          </cell>
          <cell r="H17" t="str">
            <v>0000</v>
          </cell>
          <cell r="I17" t="str">
            <v>0000</v>
          </cell>
          <cell r="J17" t="str">
            <v>04/04/1984</v>
          </cell>
          <cell r="K17" t="str">
            <v>00/00/0000</v>
          </cell>
        </row>
        <row r="18">
          <cell r="A18" t="str">
            <v>0260</v>
          </cell>
          <cell r="B18" t="str">
            <v>SUPREME COURT</v>
          </cell>
          <cell r="C18" t="str">
            <v>0808</v>
          </cell>
          <cell r="D18" t="str">
            <v>GENERAL GOVERNMENT</v>
          </cell>
          <cell r="E18" t="str">
            <v/>
          </cell>
          <cell r="F18" t="str">
            <v>0000</v>
          </cell>
          <cell r="G18" t="str">
            <v>0000</v>
          </cell>
          <cell r="H18" t="str">
            <v>0000</v>
          </cell>
          <cell r="I18" t="str">
            <v>0000</v>
          </cell>
          <cell r="J18" t="str">
            <v>04/04/1984</v>
          </cell>
          <cell r="K18" t="str">
            <v>00/00/0000</v>
          </cell>
        </row>
        <row r="19">
          <cell r="A19" t="str">
            <v>0270</v>
          </cell>
          <cell r="B19" t="str">
            <v>JUDICIAL COUNCIL</v>
          </cell>
          <cell r="C19" t="str">
            <v>0808</v>
          </cell>
          <cell r="D19" t="str">
            <v>GENERAL GOVERNMENT</v>
          </cell>
          <cell r="E19" t="str">
            <v/>
          </cell>
          <cell r="F19" t="str">
            <v>0000</v>
          </cell>
          <cell r="G19" t="str">
            <v>0000</v>
          </cell>
          <cell r="H19" t="str">
            <v>0000</v>
          </cell>
          <cell r="I19" t="str">
            <v>0000</v>
          </cell>
          <cell r="J19" t="str">
            <v>04/04/1984</v>
          </cell>
          <cell r="K19" t="str">
            <v>00/00/0000</v>
          </cell>
        </row>
        <row r="20">
          <cell r="A20" t="str">
            <v>0280</v>
          </cell>
          <cell r="B20" t="str">
            <v>COMM ON JUDICIAL PERFORMANCE</v>
          </cell>
          <cell r="C20" t="str">
            <v>0808</v>
          </cell>
          <cell r="D20" t="str">
            <v>GENERAL GOVERNMENT</v>
          </cell>
          <cell r="E20" t="str">
            <v/>
          </cell>
          <cell r="F20" t="str">
            <v>0000</v>
          </cell>
          <cell r="G20" t="str">
            <v>0000</v>
          </cell>
          <cell r="H20" t="str">
            <v>0000</v>
          </cell>
          <cell r="I20" t="str">
            <v>0000</v>
          </cell>
          <cell r="J20" t="str">
            <v>07/11/2006</v>
          </cell>
          <cell r="K20" t="str">
            <v>00/00/0000</v>
          </cell>
        </row>
        <row r="21">
          <cell r="A21" t="str">
            <v>0290</v>
          </cell>
          <cell r="B21" t="str">
            <v>HABEAS RESOURCE CENTER</v>
          </cell>
          <cell r="C21" t="str">
            <v>0808</v>
          </cell>
          <cell r="D21" t="str">
            <v>GENERAL GOVERNMENT</v>
          </cell>
          <cell r="E21" t="str">
            <v/>
          </cell>
          <cell r="F21" t="str">
            <v>0000</v>
          </cell>
          <cell r="G21" t="str">
            <v>0000</v>
          </cell>
          <cell r="H21" t="str">
            <v>0000</v>
          </cell>
          <cell r="I21" t="str">
            <v>0000</v>
          </cell>
          <cell r="J21" t="str">
            <v>07/23/1999</v>
          </cell>
          <cell r="K21" t="str">
            <v>00/00/0000</v>
          </cell>
        </row>
        <row r="22">
          <cell r="A22" t="str">
            <v>0300</v>
          </cell>
          <cell r="B22" t="str">
            <v>DISTRICT COURTS OF APPEAL</v>
          </cell>
          <cell r="C22" t="str">
            <v>0808</v>
          </cell>
          <cell r="D22" t="str">
            <v>GENERAL GOVERNMENT</v>
          </cell>
          <cell r="E22" t="str">
            <v/>
          </cell>
          <cell r="F22" t="str">
            <v>0000</v>
          </cell>
          <cell r="G22" t="str">
            <v>0000</v>
          </cell>
          <cell r="H22" t="str">
            <v>0000</v>
          </cell>
          <cell r="I22" t="str">
            <v>0000</v>
          </cell>
          <cell r="J22" t="str">
            <v>04/05/1984</v>
          </cell>
          <cell r="K22" t="str">
            <v>00/00/0000</v>
          </cell>
        </row>
        <row r="23">
          <cell r="A23" t="str">
            <v>0310</v>
          </cell>
          <cell r="B23" t="str">
            <v>FIRST DIST COURT OF APPEAL</v>
          </cell>
          <cell r="C23" t="str">
            <v>0808</v>
          </cell>
          <cell r="D23" t="str">
            <v>GENERAL GOVERNMENT</v>
          </cell>
          <cell r="E23" t="str">
            <v/>
          </cell>
          <cell r="F23" t="str">
            <v>0000</v>
          </cell>
          <cell r="G23" t="str">
            <v>0000</v>
          </cell>
          <cell r="H23" t="str">
            <v>0000</v>
          </cell>
          <cell r="I23" t="str">
            <v>0000</v>
          </cell>
          <cell r="J23" t="str">
            <v>04/04/1984</v>
          </cell>
          <cell r="K23" t="str">
            <v>00/00/0000</v>
          </cell>
        </row>
        <row r="24">
          <cell r="A24" t="str">
            <v>0320</v>
          </cell>
          <cell r="B24" t="str">
            <v>SECOND DIST COURT OF APPEAL</v>
          </cell>
          <cell r="C24" t="str">
            <v>0808</v>
          </cell>
          <cell r="D24" t="str">
            <v>GENERAL GOVERNMENT</v>
          </cell>
          <cell r="E24" t="str">
            <v/>
          </cell>
          <cell r="F24" t="str">
            <v>0000</v>
          </cell>
          <cell r="G24" t="str">
            <v>0000</v>
          </cell>
          <cell r="H24" t="str">
            <v>0000</v>
          </cell>
          <cell r="I24" t="str">
            <v>0000</v>
          </cell>
          <cell r="J24" t="str">
            <v>07/11/2006</v>
          </cell>
          <cell r="K24" t="str">
            <v>00/00/0000</v>
          </cell>
        </row>
        <row r="25">
          <cell r="A25" t="str">
            <v>0330</v>
          </cell>
          <cell r="B25" t="str">
            <v>THIRD DIST COURT OF APPEAL</v>
          </cell>
          <cell r="C25" t="str">
            <v>0808</v>
          </cell>
          <cell r="D25" t="str">
            <v>GENERAL GOVERNMENT</v>
          </cell>
          <cell r="E25" t="str">
            <v/>
          </cell>
          <cell r="F25" t="str">
            <v>0000</v>
          </cell>
          <cell r="G25" t="str">
            <v>0000</v>
          </cell>
          <cell r="H25" t="str">
            <v>0000</v>
          </cell>
          <cell r="I25" t="str">
            <v>0000</v>
          </cell>
          <cell r="J25" t="str">
            <v>04/04/1984</v>
          </cell>
          <cell r="K25" t="str">
            <v>00/00/0000</v>
          </cell>
        </row>
        <row r="26">
          <cell r="A26" t="str">
            <v>0340</v>
          </cell>
          <cell r="B26" t="str">
            <v>FOURTH DIST COURT OF APPEAL</v>
          </cell>
          <cell r="C26" t="str">
            <v>0808</v>
          </cell>
          <cell r="D26" t="str">
            <v>GENERAL GOVERNMENT</v>
          </cell>
          <cell r="E26" t="str">
            <v/>
          </cell>
          <cell r="F26" t="str">
            <v>0000</v>
          </cell>
          <cell r="G26" t="str">
            <v>0000</v>
          </cell>
          <cell r="H26" t="str">
            <v>0000</v>
          </cell>
          <cell r="I26" t="str">
            <v>0000</v>
          </cell>
          <cell r="J26" t="str">
            <v>07/11/2006</v>
          </cell>
          <cell r="K26" t="str">
            <v>00/00/0000</v>
          </cell>
        </row>
        <row r="27">
          <cell r="A27" t="str">
            <v>0350</v>
          </cell>
          <cell r="B27" t="str">
            <v>FIFTH DIST COURT OF APPEAL</v>
          </cell>
          <cell r="C27" t="str">
            <v>0808</v>
          </cell>
          <cell r="D27" t="str">
            <v>GENERAL GOVERNMENT</v>
          </cell>
          <cell r="E27" t="str">
            <v/>
          </cell>
          <cell r="F27" t="str">
            <v>0000</v>
          </cell>
          <cell r="G27" t="str">
            <v>0000</v>
          </cell>
          <cell r="H27" t="str">
            <v>0000</v>
          </cell>
          <cell r="I27" t="str">
            <v>0000</v>
          </cell>
          <cell r="J27" t="str">
            <v>04/04/1984</v>
          </cell>
          <cell r="K27" t="str">
            <v>00/00/0000</v>
          </cell>
        </row>
        <row r="28">
          <cell r="A28" t="str">
            <v>0360</v>
          </cell>
          <cell r="B28" t="str">
            <v>SIXTH DIST COURT OF APPEAL</v>
          </cell>
          <cell r="C28" t="str">
            <v>0808</v>
          </cell>
          <cell r="D28" t="str">
            <v>GENERAL GOVERNMENT</v>
          </cell>
          <cell r="E28" t="str">
            <v/>
          </cell>
          <cell r="F28" t="str">
            <v>0000</v>
          </cell>
          <cell r="G28" t="str">
            <v>0000</v>
          </cell>
          <cell r="H28" t="str">
            <v>0000</v>
          </cell>
          <cell r="I28" t="str">
            <v>0000</v>
          </cell>
          <cell r="J28" t="str">
            <v>04/04/1984</v>
          </cell>
          <cell r="K28" t="str">
            <v>00/00/0000</v>
          </cell>
        </row>
        <row r="29">
          <cell r="A29" t="str">
            <v>0390</v>
          </cell>
          <cell r="B29" t="str">
            <v>CONTRIB TO JUDGES RET FUND</v>
          </cell>
          <cell r="C29" t="str">
            <v>0808</v>
          </cell>
          <cell r="D29" t="str">
            <v>GENERAL GOVERNMENT</v>
          </cell>
          <cell r="E29" t="str">
            <v/>
          </cell>
          <cell r="F29" t="str">
            <v>0000</v>
          </cell>
          <cell r="G29" t="str">
            <v>0000</v>
          </cell>
          <cell r="H29" t="str">
            <v>0000</v>
          </cell>
          <cell r="I29" t="str">
            <v>0000</v>
          </cell>
          <cell r="J29" t="str">
            <v>07/11/2006</v>
          </cell>
          <cell r="K29" t="str">
            <v>00/00/0000</v>
          </cell>
        </row>
        <row r="30">
          <cell r="A30" t="str">
            <v>0420</v>
          </cell>
          <cell r="B30" t="str">
            <v>SAL OF SUPERIOR COURT JUDGES</v>
          </cell>
          <cell r="C30" t="str">
            <v>0808</v>
          </cell>
          <cell r="D30" t="str">
            <v>GENERAL GOVERNMENT</v>
          </cell>
          <cell r="E30" t="str">
            <v/>
          </cell>
          <cell r="F30" t="str">
            <v>0000</v>
          </cell>
          <cell r="G30" t="str">
            <v>0000</v>
          </cell>
          <cell r="H30" t="str">
            <v>0000</v>
          </cell>
          <cell r="I30" t="str">
            <v>0000</v>
          </cell>
          <cell r="J30" t="str">
            <v>07/11/2006</v>
          </cell>
          <cell r="K30" t="str">
            <v>00/00/0000</v>
          </cell>
        </row>
        <row r="31">
          <cell r="A31" t="str">
            <v>0440</v>
          </cell>
          <cell r="B31" t="str">
            <v>ST BLOCK GRANT FOR SUP CT JUDG</v>
          </cell>
          <cell r="C31" t="str">
            <v>0808</v>
          </cell>
          <cell r="D31" t="str">
            <v>GENERAL GOVERNMENT</v>
          </cell>
          <cell r="E31" t="str">
            <v/>
          </cell>
          <cell r="F31" t="str">
            <v>0000</v>
          </cell>
          <cell r="G31" t="str">
            <v>0000</v>
          </cell>
          <cell r="H31" t="str">
            <v>0000</v>
          </cell>
          <cell r="I31" t="str">
            <v>0000</v>
          </cell>
          <cell r="J31" t="str">
            <v>07/11/2006</v>
          </cell>
          <cell r="K31" t="str">
            <v>00/00/0000</v>
          </cell>
        </row>
        <row r="32">
          <cell r="A32" t="str">
            <v>0450</v>
          </cell>
          <cell r="B32" t="str">
            <v>ST. BLK GRANT TRIAL CT.FUNDING</v>
          </cell>
          <cell r="C32" t="str">
            <v>0808</v>
          </cell>
          <cell r="D32" t="str">
            <v>GENERAL GOVERNMENT</v>
          </cell>
          <cell r="E32" t="str">
            <v/>
          </cell>
          <cell r="F32" t="str">
            <v>0000</v>
          </cell>
          <cell r="G32" t="str">
            <v>0000</v>
          </cell>
          <cell r="H32" t="str">
            <v>0000</v>
          </cell>
          <cell r="I32" t="str">
            <v>0000</v>
          </cell>
          <cell r="J32" t="str">
            <v>07/11/2006</v>
          </cell>
          <cell r="K32" t="str">
            <v>00/00/0000</v>
          </cell>
        </row>
        <row r="33">
          <cell r="A33" t="str">
            <v>0460</v>
          </cell>
          <cell r="B33" t="str">
            <v>NAT CENTER FOR STATE COURTS</v>
          </cell>
          <cell r="C33" t="str">
            <v>0808</v>
          </cell>
          <cell r="D33" t="str">
            <v>GENERAL GOVERNMENT</v>
          </cell>
          <cell r="E33" t="str">
            <v/>
          </cell>
          <cell r="F33" t="str">
            <v>0000</v>
          </cell>
          <cell r="G33" t="str">
            <v>0000</v>
          </cell>
          <cell r="H33" t="str">
            <v>0000</v>
          </cell>
          <cell r="I33" t="str">
            <v>0000</v>
          </cell>
          <cell r="J33" t="str">
            <v>07/11/2006</v>
          </cell>
          <cell r="K33" t="str">
            <v>00/00/0000</v>
          </cell>
        </row>
        <row r="34">
          <cell r="A34" t="str">
            <v>0490</v>
          </cell>
          <cell r="B34" t="str">
            <v>EXECUTIVE</v>
          </cell>
          <cell r="C34" t="str">
            <v>0808</v>
          </cell>
          <cell r="D34" t="str">
            <v>GENERAL GOVERNMENT</v>
          </cell>
          <cell r="E34" t="str">
            <v/>
          </cell>
          <cell r="F34" t="str">
            <v>0000</v>
          </cell>
          <cell r="G34" t="str">
            <v>0000</v>
          </cell>
          <cell r="H34" t="str">
            <v>0000</v>
          </cell>
          <cell r="I34" t="str">
            <v>0000</v>
          </cell>
          <cell r="J34" t="str">
            <v>99/99/9999</v>
          </cell>
          <cell r="K34" t="str">
            <v>00/00/0000</v>
          </cell>
        </row>
        <row r="35">
          <cell r="A35" t="str">
            <v>0500</v>
          </cell>
          <cell r="B35" t="str">
            <v>GOVERNORS OFFICE</v>
          </cell>
          <cell r="C35" t="str">
            <v>0808</v>
          </cell>
          <cell r="D35" t="str">
            <v>GENERAL GOVERNMENT</v>
          </cell>
          <cell r="E35" t="str">
            <v/>
          </cell>
          <cell r="F35" t="str">
            <v>0000</v>
          </cell>
          <cell r="G35" t="str">
            <v>0000</v>
          </cell>
          <cell r="H35" t="str">
            <v>0000</v>
          </cell>
          <cell r="I35" t="str">
            <v>0000</v>
          </cell>
          <cell r="J35" t="str">
            <v>06/26/1985</v>
          </cell>
          <cell r="K35" t="str">
            <v>00/00/0000</v>
          </cell>
        </row>
        <row r="36">
          <cell r="A36" t="str">
            <v>0505</v>
          </cell>
          <cell r="B36" t="str">
            <v>OFFICE OF TECHNOLOGY</v>
          </cell>
          <cell r="C36" t="str">
            <v>0808</v>
          </cell>
          <cell r="D36" t="str">
            <v>GENERAL GOVERNMENT- DO NOT USE</v>
          </cell>
          <cell r="E36" t="str">
            <v/>
          </cell>
          <cell r="F36" t="str">
            <v>0000</v>
          </cell>
          <cell r="G36" t="str">
            <v>0000</v>
          </cell>
          <cell r="H36" t="str">
            <v>0000</v>
          </cell>
          <cell r="I36" t="str">
            <v>0000</v>
          </cell>
          <cell r="J36" t="str">
            <v>11/04/2016</v>
          </cell>
          <cell r="K36" t="str">
            <v>00/00/0000</v>
          </cell>
        </row>
        <row r="37">
          <cell r="A37" t="str">
            <v>0509</v>
          </cell>
          <cell r="B37" t="str">
            <v>GOV OFC OF BUSINESS &amp; ECONOMIC</v>
          </cell>
          <cell r="C37" t="str">
            <v>0808</v>
          </cell>
          <cell r="D37" t="str">
            <v>GENERAL GOVERNMENT</v>
          </cell>
          <cell r="E37" t="str">
            <v/>
          </cell>
          <cell r="F37" t="str">
            <v>0000</v>
          </cell>
          <cell r="G37" t="str">
            <v>0000</v>
          </cell>
          <cell r="H37" t="str">
            <v>0000</v>
          </cell>
          <cell r="I37" t="str">
            <v>0000</v>
          </cell>
          <cell r="J37" t="str">
            <v>08/06/2013</v>
          </cell>
          <cell r="K37" t="str">
            <v>00/00/0000</v>
          </cell>
        </row>
        <row r="38">
          <cell r="A38" t="str">
            <v>0511</v>
          </cell>
          <cell r="B38" t="str">
            <v>SEC FOR GOVERNMENT OPERATIONS</v>
          </cell>
          <cell r="C38" t="str">
            <v>0808</v>
          </cell>
          <cell r="D38" t="str">
            <v>GENERAL GOVERNMENT</v>
          </cell>
          <cell r="E38" t="str">
            <v/>
          </cell>
          <cell r="F38" t="str">
            <v>0000</v>
          </cell>
          <cell r="G38" t="str">
            <v>0000</v>
          </cell>
          <cell r="H38" t="str">
            <v>0000</v>
          </cell>
          <cell r="I38" t="str">
            <v>0000</v>
          </cell>
          <cell r="J38" t="str">
            <v>08/26/2014</v>
          </cell>
          <cell r="K38" t="str">
            <v>00/00/0000</v>
          </cell>
        </row>
        <row r="39">
          <cell r="A39" t="str">
            <v>0515</v>
          </cell>
          <cell r="B39" t="str">
            <v>SEC FOR BUS-CONSUM-SERV &amp; HOUS</v>
          </cell>
          <cell r="C39" t="str">
            <v>0825</v>
          </cell>
          <cell r="D39" t="str">
            <v>BUS, CONSUMER SERV, HOUSING</v>
          </cell>
          <cell r="E39" t="str">
            <v/>
          </cell>
          <cell r="F39" t="str">
            <v>0000</v>
          </cell>
          <cell r="G39" t="str">
            <v>0000</v>
          </cell>
          <cell r="H39" t="str">
            <v>0000</v>
          </cell>
          <cell r="I39" t="str">
            <v>0000</v>
          </cell>
          <cell r="J39" t="str">
            <v>08/19/2016</v>
          </cell>
          <cell r="K39" t="str">
            <v>00/00/0000</v>
          </cell>
        </row>
        <row r="40">
          <cell r="A40" t="str">
            <v>0521</v>
          </cell>
          <cell r="B40" t="str">
            <v>SECRETARY OF TRANSPORTATION AG</v>
          </cell>
          <cell r="C40" t="str">
            <v>0830</v>
          </cell>
          <cell r="D40" t="str">
            <v>TRANSPORTATION</v>
          </cell>
          <cell r="E40" t="str">
            <v/>
          </cell>
          <cell r="F40" t="str">
            <v>0000</v>
          </cell>
          <cell r="G40" t="str">
            <v>0000</v>
          </cell>
          <cell r="H40" t="str">
            <v>0000</v>
          </cell>
          <cell r="I40" t="str">
            <v>0000</v>
          </cell>
          <cell r="J40" t="str">
            <v>08/19/2016</v>
          </cell>
          <cell r="K40" t="str">
            <v>00/00/0000</v>
          </cell>
        </row>
        <row r="41">
          <cell r="A41" t="str">
            <v>0530</v>
          </cell>
          <cell r="B41" t="str">
            <v>HEALTH AND WELFARE AGENCY</v>
          </cell>
          <cell r="C41" t="str">
            <v>0815</v>
          </cell>
          <cell r="D41" t="str">
            <v>HEALTH AND HUMAN SERVICES</v>
          </cell>
          <cell r="E41" t="str">
            <v/>
          </cell>
          <cell r="F41" t="str">
            <v>0000</v>
          </cell>
          <cell r="G41" t="str">
            <v>0000</v>
          </cell>
          <cell r="H41" t="str">
            <v>0000</v>
          </cell>
          <cell r="I41" t="str">
            <v>0000</v>
          </cell>
          <cell r="J41" t="str">
            <v>11/04/2016</v>
          </cell>
          <cell r="K41" t="str">
            <v>00/00/0000</v>
          </cell>
        </row>
        <row r="42">
          <cell r="A42" t="str">
            <v>0531</v>
          </cell>
          <cell r="B42" t="str">
            <v>OFFICE OF SYSTEM INTEGRATION</v>
          </cell>
          <cell r="C42" t="str">
            <v>0815</v>
          </cell>
          <cell r="D42" t="str">
            <v>HEALTH AND HUMAN SERVICES</v>
          </cell>
          <cell r="E42" t="str">
            <v/>
          </cell>
          <cell r="F42" t="str">
            <v>0000</v>
          </cell>
          <cell r="G42" t="str">
            <v>0000</v>
          </cell>
          <cell r="H42" t="str">
            <v>0000</v>
          </cell>
          <cell r="I42" t="str">
            <v>0000</v>
          </cell>
          <cell r="J42" t="str">
            <v>11/04/2016</v>
          </cell>
          <cell r="K42" t="str">
            <v>00/00/0000</v>
          </cell>
        </row>
        <row r="43">
          <cell r="A43" t="str">
            <v>0540</v>
          </cell>
          <cell r="B43" t="str">
            <v>NATURAL RESOURCES AGENCY, SECY</v>
          </cell>
          <cell r="C43" t="str">
            <v>0820</v>
          </cell>
          <cell r="D43" t="str">
            <v>RESOURCES</v>
          </cell>
          <cell r="E43" t="str">
            <v/>
          </cell>
          <cell r="F43" t="str">
            <v>0000</v>
          </cell>
          <cell r="G43" t="str">
            <v>0000</v>
          </cell>
          <cell r="H43" t="str">
            <v>0000</v>
          </cell>
          <cell r="I43" t="str">
            <v>0000</v>
          </cell>
          <cell r="J43" t="str">
            <v>07/08/2016</v>
          </cell>
          <cell r="K43" t="str">
            <v>00/00/1999</v>
          </cell>
        </row>
        <row r="44">
          <cell r="A44" t="str">
            <v>0550</v>
          </cell>
          <cell r="B44" t="str">
            <v>YOUTH &amp; ADULT CORRECTIONAL AG</v>
          </cell>
          <cell r="C44" t="str">
            <v>0835</v>
          </cell>
          <cell r="D44" t="str">
            <v>CORRECTIONS AND REHAB DONOTUSE</v>
          </cell>
          <cell r="E44" t="str">
            <v/>
          </cell>
          <cell r="F44" t="str">
            <v>0000</v>
          </cell>
          <cell r="G44" t="str">
            <v>0000</v>
          </cell>
          <cell r="H44" t="str">
            <v>0000</v>
          </cell>
          <cell r="I44" t="str">
            <v>0000</v>
          </cell>
          <cell r="J44" t="str">
            <v>11/04/2016</v>
          </cell>
          <cell r="K44" t="str">
            <v>00/00/1999</v>
          </cell>
        </row>
        <row r="45">
          <cell r="A45" t="str">
            <v>0552</v>
          </cell>
          <cell r="B45" t="str">
            <v>OFFICE OF THE INSPECTOR GENERL</v>
          </cell>
          <cell r="C45" t="str">
            <v>0808</v>
          </cell>
          <cell r="D45" t="str">
            <v>GENERAL GOVERNMENT</v>
          </cell>
          <cell r="E45" t="str">
            <v/>
          </cell>
          <cell r="F45" t="str">
            <v>0000</v>
          </cell>
          <cell r="G45" t="str">
            <v>0000</v>
          </cell>
          <cell r="H45" t="str">
            <v>0000</v>
          </cell>
          <cell r="I45" t="str">
            <v>0000</v>
          </cell>
          <cell r="J45" t="str">
            <v>07/23/1999</v>
          </cell>
          <cell r="K45" t="str">
            <v>00/00/0000</v>
          </cell>
        </row>
        <row r="46">
          <cell r="A46" t="str">
            <v>0553</v>
          </cell>
          <cell r="B46" t="str">
            <v>OFFICE OF INSPECTOR GENERAL</v>
          </cell>
          <cell r="C46" t="str">
            <v>0808</v>
          </cell>
          <cell r="D46" t="str">
            <v>GENERAL GOVERNMENT</v>
          </cell>
          <cell r="E46" t="str">
            <v/>
          </cell>
          <cell r="F46" t="str">
            <v>0000</v>
          </cell>
          <cell r="G46" t="str">
            <v>0000</v>
          </cell>
          <cell r="H46" t="str">
            <v>0000</v>
          </cell>
          <cell r="I46" t="str">
            <v>0000</v>
          </cell>
          <cell r="J46" t="str">
            <v>08/29/2001</v>
          </cell>
          <cell r="K46" t="str">
            <v>00/00/0000</v>
          </cell>
        </row>
        <row r="47">
          <cell r="A47" t="str">
            <v>0555</v>
          </cell>
          <cell r="B47" t="str">
            <v>ENVIRONMENTAL PROTECTION, SECY</v>
          </cell>
          <cell r="C47" t="str">
            <v>0820</v>
          </cell>
          <cell r="D47" t="str">
            <v>RESOURCES</v>
          </cell>
          <cell r="E47" t="str">
            <v/>
          </cell>
          <cell r="F47" t="str">
            <v>0000</v>
          </cell>
          <cell r="G47" t="str">
            <v>0000</v>
          </cell>
          <cell r="H47" t="str">
            <v>0000</v>
          </cell>
          <cell r="I47" t="str">
            <v>0000</v>
          </cell>
          <cell r="J47" t="str">
            <v>07/08/2016</v>
          </cell>
          <cell r="K47" t="str">
            <v>00/00/0000</v>
          </cell>
        </row>
        <row r="48">
          <cell r="A48" t="str">
            <v>0558</v>
          </cell>
          <cell r="B48" t="str">
            <v>SECTY CHILD DEV &amp; EDUCATION</v>
          </cell>
          <cell r="C48" t="str">
            <v>0810</v>
          </cell>
          <cell r="D48" t="str">
            <v>EDUCATION - DO NOT USE</v>
          </cell>
          <cell r="E48" t="str">
            <v/>
          </cell>
          <cell r="F48" t="str">
            <v>0000</v>
          </cell>
          <cell r="G48" t="str">
            <v>0000</v>
          </cell>
          <cell r="H48" t="str">
            <v>0000</v>
          </cell>
          <cell r="I48" t="str">
            <v>0000</v>
          </cell>
          <cell r="J48" t="str">
            <v>11/04/2016</v>
          </cell>
          <cell r="K48" t="str">
            <v>00/00/0000</v>
          </cell>
        </row>
        <row r="49">
          <cell r="A49" t="str">
            <v>0559</v>
          </cell>
          <cell r="B49" t="str">
            <v>SEC-LABOR-AND-WORKFORCE-DEVLMT</v>
          </cell>
          <cell r="C49" t="str">
            <v>0815</v>
          </cell>
          <cell r="D49" t="str">
            <v>HEALTH AND HUMAN SERVICES</v>
          </cell>
          <cell r="E49" t="str">
            <v/>
          </cell>
          <cell r="F49" t="str">
            <v>0000</v>
          </cell>
          <cell r="G49" t="str">
            <v>0000</v>
          </cell>
          <cell r="H49" t="str">
            <v>0000</v>
          </cell>
          <cell r="I49" t="str">
            <v>0000</v>
          </cell>
          <cell r="J49" t="str">
            <v>11/04/2016</v>
          </cell>
          <cell r="K49" t="str">
            <v>00/00/0000</v>
          </cell>
        </row>
        <row r="50">
          <cell r="A50" t="str">
            <v>0560</v>
          </cell>
          <cell r="B50" t="str">
            <v>CITIZEN INIT &amp; VOLUNTARY ACT</v>
          </cell>
          <cell r="C50" t="str">
            <v>0808</v>
          </cell>
          <cell r="D50" t="str">
            <v>GENERAL GOVERNMENT</v>
          </cell>
          <cell r="E50" t="str">
            <v/>
          </cell>
          <cell r="F50" t="str">
            <v>0000</v>
          </cell>
          <cell r="G50" t="str">
            <v>0000</v>
          </cell>
          <cell r="H50" t="str">
            <v>0000</v>
          </cell>
          <cell r="I50" t="str">
            <v>0000</v>
          </cell>
          <cell r="J50" t="str">
            <v>07/11/2006</v>
          </cell>
          <cell r="K50" t="str">
            <v>00/00/0000</v>
          </cell>
        </row>
        <row r="51">
          <cell r="A51" t="str">
            <v>0565</v>
          </cell>
          <cell r="B51" t="str">
            <v>CA COMM INDUSTRIAL INNOVATION</v>
          </cell>
          <cell r="C51" t="str">
            <v>0808</v>
          </cell>
          <cell r="D51" t="str">
            <v>GENERAL GOVERNMENT</v>
          </cell>
          <cell r="E51" t="str">
            <v/>
          </cell>
          <cell r="F51" t="str">
            <v>0000</v>
          </cell>
          <cell r="G51" t="str">
            <v>0000</v>
          </cell>
          <cell r="H51" t="str">
            <v>0000</v>
          </cell>
          <cell r="I51" t="str">
            <v>0000</v>
          </cell>
          <cell r="J51" t="str">
            <v>07/11/2006</v>
          </cell>
          <cell r="K51" t="str">
            <v>00/00/0000</v>
          </cell>
        </row>
        <row r="52">
          <cell r="A52" t="str">
            <v>0570</v>
          </cell>
          <cell r="B52" t="str">
            <v>GOV COUNCIL ON WEL &amp; PHYS FIT</v>
          </cell>
          <cell r="C52" t="str">
            <v>0808</v>
          </cell>
          <cell r="D52" t="str">
            <v>GENERAL GOVERNMENT</v>
          </cell>
          <cell r="E52" t="str">
            <v/>
          </cell>
          <cell r="F52" t="str">
            <v>0000</v>
          </cell>
          <cell r="G52" t="str">
            <v>0000</v>
          </cell>
          <cell r="H52" t="str">
            <v>0000</v>
          </cell>
          <cell r="I52" t="str">
            <v>0000</v>
          </cell>
          <cell r="J52" t="str">
            <v>07/11/2006</v>
          </cell>
          <cell r="K52" t="str">
            <v>00/00/0000</v>
          </cell>
        </row>
        <row r="53">
          <cell r="A53" t="str">
            <v>0580</v>
          </cell>
          <cell r="B53" t="str">
            <v>OFFICE CA/MEXICO AFFAIRS</v>
          </cell>
          <cell r="C53" t="str">
            <v>0808</v>
          </cell>
          <cell r="D53" t="str">
            <v>GENERAL GOVERNMENT</v>
          </cell>
          <cell r="E53" t="str">
            <v/>
          </cell>
          <cell r="F53" t="str">
            <v>0000</v>
          </cell>
          <cell r="G53" t="str">
            <v>0000</v>
          </cell>
          <cell r="H53" t="str">
            <v>0000</v>
          </cell>
          <cell r="I53" t="str">
            <v>0000</v>
          </cell>
          <cell r="J53" t="str">
            <v>07/11/2006</v>
          </cell>
          <cell r="K53" t="str">
            <v>00/00/0000</v>
          </cell>
        </row>
        <row r="54">
          <cell r="A54" t="str">
            <v>0585</v>
          </cell>
          <cell r="B54" t="str">
            <v>CA STATE WORLD TRADE COMM</v>
          </cell>
          <cell r="C54" t="str">
            <v>0808</v>
          </cell>
          <cell r="D54" t="str">
            <v>GENERAL GOVERNMENT</v>
          </cell>
          <cell r="E54" t="str">
            <v/>
          </cell>
          <cell r="F54" t="str">
            <v>0000</v>
          </cell>
          <cell r="G54" t="str">
            <v>0000</v>
          </cell>
          <cell r="H54" t="str">
            <v>0000</v>
          </cell>
          <cell r="I54" t="str">
            <v>0000</v>
          </cell>
          <cell r="J54" t="str">
            <v>99/99/9999</v>
          </cell>
          <cell r="K54" t="str">
            <v>00/00/0000</v>
          </cell>
        </row>
        <row r="55">
          <cell r="A55" t="str">
            <v>0590</v>
          </cell>
          <cell r="B55" t="str">
            <v>SOUTHWEST BOARDER REG CONN</v>
          </cell>
          <cell r="C55" t="str">
            <v>0808</v>
          </cell>
          <cell r="D55" t="str">
            <v>GENERAL GOVERNMENT</v>
          </cell>
          <cell r="E55" t="str">
            <v/>
          </cell>
          <cell r="F55" t="str">
            <v>0000</v>
          </cell>
          <cell r="G55" t="str">
            <v>0000</v>
          </cell>
          <cell r="H55" t="str">
            <v>0000</v>
          </cell>
          <cell r="I55" t="str">
            <v>0000</v>
          </cell>
          <cell r="J55" t="str">
            <v>99/99/9999</v>
          </cell>
          <cell r="K55" t="str">
            <v>01/01/1984</v>
          </cell>
        </row>
        <row r="56">
          <cell r="A56" t="str">
            <v>0630</v>
          </cell>
          <cell r="B56" t="str">
            <v>OFC/SP HEALTH CARE NEGOTIATNS</v>
          </cell>
          <cell r="C56" t="str">
            <v>0808</v>
          </cell>
          <cell r="D56" t="str">
            <v>GENERAL GOVERNMENT</v>
          </cell>
          <cell r="E56" t="str">
            <v/>
          </cell>
          <cell r="F56" t="str">
            <v>0000</v>
          </cell>
          <cell r="G56" t="str">
            <v>0000</v>
          </cell>
          <cell r="H56" t="str">
            <v>0000</v>
          </cell>
          <cell r="I56" t="str">
            <v>0000</v>
          </cell>
          <cell r="J56" t="str">
            <v>07/11/2006</v>
          </cell>
          <cell r="K56" t="str">
            <v>00/00/0000</v>
          </cell>
        </row>
        <row r="57">
          <cell r="A57" t="str">
            <v>0650</v>
          </cell>
          <cell r="B57" t="str">
            <v>OFFICE OF PLANNING &amp; RESEARCH</v>
          </cell>
          <cell r="C57" t="str">
            <v>0808</v>
          </cell>
          <cell r="D57" t="str">
            <v>GENERAL GOVERNMENT</v>
          </cell>
          <cell r="E57" t="str">
            <v/>
          </cell>
          <cell r="F57" t="str">
            <v>0000</v>
          </cell>
          <cell r="G57" t="str">
            <v>0000</v>
          </cell>
          <cell r="H57" t="str">
            <v>0000</v>
          </cell>
          <cell r="I57" t="str">
            <v>0000</v>
          </cell>
          <cell r="J57" t="str">
            <v>07/11/2006</v>
          </cell>
          <cell r="K57" t="str">
            <v>00/00/1999</v>
          </cell>
        </row>
        <row r="58">
          <cell r="A58" t="str">
            <v>0660</v>
          </cell>
          <cell r="B58" t="str">
            <v>DEPT. OF ECONOMIC OPPORTUNITY</v>
          </cell>
          <cell r="C58" t="str">
            <v>0808</v>
          </cell>
          <cell r="D58" t="str">
            <v>GENERAL GOVERNMENT</v>
          </cell>
          <cell r="E58" t="str">
            <v/>
          </cell>
          <cell r="F58" t="str">
            <v>0000</v>
          </cell>
          <cell r="G58" t="str">
            <v>0000</v>
          </cell>
          <cell r="H58" t="str">
            <v>0000</v>
          </cell>
          <cell r="I58" t="str">
            <v>0000</v>
          </cell>
          <cell r="J58" t="str">
            <v>99/99/9999</v>
          </cell>
          <cell r="K58" t="str">
            <v>00/00/0000</v>
          </cell>
        </row>
        <row r="59">
          <cell r="A59" t="str">
            <v>0670</v>
          </cell>
          <cell r="B59" t="str">
            <v>OFFICE LONG-ERM CARE</v>
          </cell>
          <cell r="C59" t="str">
            <v>0808</v>
          </cell>
          <cell r="D59" t="str">
            <v>GENERAL GOVERNMENT</v>
          </cell>
          <cell r="E59" t="str">
            <v/>
          </cell>
          <cell r="F59" t="str">
            <v>0000</v>
          </cell>
          <cell r="G59" t="str">
            <v>0000</v>
          </cell>
          <cell r="H59" t="str">
            <v>0000</v>
          </cell>
          <cell r="I59" t="str">
            <v>0000</v>
          </cell>
          <cell r="J59" t="str">
            <v>06/28/1984</v>
          </cell>
          <cell r="K59" t="str">
            <v>00/00/0000</v>
          </cell>
        </row>
        <row r="60">
          <cell r="A60" t="str">
            <v>0690</v>
          </cell>
          <cell r="B60" t="str">
            <v>CA EMERGENCY MANAGEMENT AGENCY</v>
          </cell>
          <cell r="C60" t="str">
            <v>0808</v>
          </cell>
          <cell r="D60" t="str">
            <v>GENERAL GOVERNMENT</v>
          </cell>
          <cell r="E60" t="str">
            <v/>
          </cell>
          <cell r="F60" t="str">
            <v>0000</v>
          </cell>
          <cell r="G60" t="str">
            <v>0000</v>
          </cell>
          <cell r="H60" t="str">
            <v>0000</v>
          </cell>
          <cell r="I60" t="str">
            <v>0000</v>
          </cell>
          <cell r="J60" t="str">
            <v>09/17/2009</v>
          </cell>
          <cell r="K60" t="str">
            <v>00/00/1999</v>
          </cell>
        </row>
        <row r="61">
          <cell r="A61" t="str">
            <v>0695</v>
          </cell>
          <cell r="B61" t="str">
            <v>NATURAL DISASTER ASSISTANCE</v>
          </cell>
          <cell r="C61" t="str">
            <v>0808</v>
          </cell>
          <cell r="D61" t="str">
            <v>GENERAL GOVERNMENT</v>
          </cell>
          <cell r="E61" t="str">
            <v/>
          </cell>
          <cell r="F61" t="str">
            <v>0000</v>
          </cell>
          <cell r="G61" t="str">
            <v>0000</v>
          </cell>
          <cell r="H61" t="str">
            <v>0000</v>
          </cell>
          <cell r="I61" t="str">
            <v>0000</v>
          </cell>
          <cell r="J61" t="str">
            <v>06/28/1990</v>
          </cell>
          <cell r="K61" t="str">
            <v>00/00/0000</v>
          </cell>
        </row>
        <row r="62">
          <cell r="A62" t="str">
            <v>0697</v>
          </cell>
          <cell r="B62" t="str">
            <v>NORTHRIDGE EARTHQUAKE</v>
          </cell>
          <cell r="C62" t="str">
            <v>0808</v>
          </cell>
          <cell r="D62" t="str">
            <v>GENERAL GOVERNMENT</v>
          </cell>
          <cell r="E62" t="str">
            <v/>
          </cell>
          <cell r="F62" t="str">
            <v>0000</v>
          </cell>
          <cell r="G62" t="str">
            <v>0000</v>
          </cell>
          <cell r="H62" t="str">
            <v>0000</v>
          </cell>
          <cell r="I62" t="str">
            <v>0000</v>
          </cell>
          <cell r="J62" t="str">
            <v>07/30/1997</v>
          </cell>
          <cell r="K62" t="str">
            <v>00/00/0000</v>
          </cell>
        </row>
        <row r="63">
          <cell r="A63" t="str">
            <v>0720</v>
          </cell>
          <cell r="B63" t="str">
            <v>GOVERNORS PORTRAIT</v>
          </cell>
          <cell r="C63" t="str">
            <v>0808</v>
          </cell>
          <cell r="D63" t="str">
            <v>GENERAL GOVERNMENT</v>
          </cell>
          <cell r="E63" t="str">
            <v/>
          </cell>
          <cell r="F63" t="str">
            <v>0000</v>
          </cell>
          <cell r="G63" t="str">
            <v>0000</v>
          </cell>
          <cell r="H63" t="str">
            <v>0000</v>
          </cell>
          <cell r="I63" t="str">
            <v>0000</v>
          </cell>
          <cell r="J63" t="str">
            <v>04/04/1984</v>
          </cell>
          <cell r="K63" t="str">
            <v>00/00/0000</v>
          </cell>
        </row>
        <row r="64">
          <cell r="A64" t="str">
            <v>0730</v>
          </cell>
          <cell r="B64" t="str">
            <v>REG OF GOV ELECT &amp; OUTGO GOV</v>
          </cell>
          <cell r="C64" t="str">
            <v>0808</v>
          </cell>
          <cell r="D64" t="str">
            <v>GENERAL GOVERNMENT</v>
          </cell>
          <cell r="E64" t="str">
            <v/>
          </cell>
          <cell r="F64" t="str">
            <v>0000</v>
          </cell>
          <cell r="G64" t="str">
            <v>0000</v>
          </cell>
          <cell r="H64" t="str">
            <v>0000</v>
          </cell>
          <cell r="I64" t="str">
            <v>0000</v>
          </cell>
          <cell r="J64" t="str">
            <v>07/11/2006</v>
          </cell>
          <cell r="K64" t="str">
            <v>00/00/0000</v>
          </cell>
        </row>
        <row r="65">
          <cell r="A65" t="str">
            <v>0740</v>
          </cell>
          <cell r="B65" t="str">
            <v>EXECUTIVE/CONSTITUTIONAL OFF</v>
          </cell>
          <cell r="C65" t="str">
            <v>0808</v>
          </cell>
          <cell r="D65" t="str">
            <v>GENERAL GOVERNMENT</v>
          </cell>
          <cell r="E65" t="str">
            <v/>
          </cell>
          <cell r="F65" t="str">
            <v>0000</v>
          </cell>
          <cell r="G65" t="str">
            <v>0000</v>
          </cell>
          <cell r="H65" t="str">
            <v>0000</v>
          </cell>
          <cell r="I65" t="str">
            <v>0000</v>
          </cell>
          <cell r="J65" t="str">
            <v>07/11/2006</v>
          </cell>
          <cell r="K65" t="str">
            <v>00/00/0000</v>
          </cell>
        </row>
        <row r="66">
          <cell r="A66" t="str">
            <v>0750</v>
          </cell>
          <cell r="B66" t="str">
            <v>OFFICE OF LIEUTENANT GOVERNOR</v>
          </cell>
          <cell r="C66" t="str">
            <v>0808</v>
          </cell>
          <cell r="D66" t="str">
            <v>GENERAL GOVERNMENT</v>
          </cell>
          <cell r="E66" t="str">
            <v/>
          </cell>
          <cell r="F66" t="str">
            <v>0000</v>
          </cell>
          <cell r="G66" t="str">
            <v>0000</v>
          </cell>
          <cell r="H66" t="str">
            <v>0000</v>
          </cell>
          <cell r="I66" t="str">
            <v>0000</v>
          </cell>
          <cell r="J66" t="str">
            <v>07/11/2006</v>
          </cell>
          <cell r="K66" t="str">
            <v>00/00/1999</v>
          </cell>
        </row>
        <row r="67">
          <cell r="A67" t="str">
            <v>0780</v>
          </cell>
          <cell r="B67" t="str">
            <v>RURAL YOUTH EMPLOYMENT COMM</v>
          </cell>
          <cell r="C67" t="str">
            <v>0808</v>
          </cell>
          <cell r="D67" t="str">
            <v>GENERAL GOVERNMENT</v>
          </cell>
          <cell r="E67" t="str">
            <v/>
          </cell>
          <cell r="F67" t="str">
            <v>0000</v>
          </cell>
          <cell r="G67" t="str">
            <v>0000</v>
          </cell>
          <cell r="H67" t="str">
            <v>0000</v>
          </cell>
          <cell r="I67" t="str">
            <v>0000</v>
          </cell>
          <cell r="J67" t="str">
            <v>07/11/2006</v>
          </cell>
          <cell r="K67" t="str">
            <v>00/00/0000</v>
          </cell>
        </row>
        <row r="68">
          <cell r="A68" t="str">
            <v>0820</v>
          </cell>
          <cell r="B68" t="str">
            <v>DEPARTMENT OF JUSTICE</v>
          </cell>
          <cell r="C68" t="str">
            <v>0808</v>
          </cell>
          <cell r="D68" t="str">
            <v>GENERAL GOVERNMENT</v>
          </cell>
          <cell r="E68" t="str">
            <v/>
          </cell>
          <cell r="F68" t="str">
            <v>0000</v>
          </cell>
          <cell r="G68" t="str">
            <v>0000</v>
          </cell>
          <cell r="H68" t="str">
            <v>0000</v>
          </cell>
          <cell r="I68" t="str">
            <v>0000</v>
          </cell>
          <cell r="J68" t="str">
            <v>04/04/1984</v>
          </cell>
          <cell r="K68" t="str">
            <v>00/00/0000</v>
          </cell>
        </row>
        <row r="69">
          <cell r="A69" t="str">
            <v>0825</v>
          </cell>
          <cell r="B69" t="str">
            <v>OJ HAWKINS DATA CENTER</v>
          </cell>
          <cell r="C69" t="str">
            <v>0808</v>
          </cell>
          <cell r="D69" t="str">
            <v>GENERAL GOVERNMENT</v>
          </cell>
          <cell r="E69" t="str">
            <v/>
          </cell>
          <cell r="F69" t="str">
            <v>0000</v>
          </cell>
          <cell r="G69" t="str">
            <v>0000</v>
          </cell>
          <cell r="H69" t="str">
            <v>0000</v>
          </cell>
          <cell r="I69" t="str">
            <v>0000</v>
          </cell>
          <cell r="J69" t="str">
            <v>07/30/1997</v>
          </cell>
          <cell r="K69" t="str">
            <v>00/00/0000</v>
          </cell>
        </row>
        <row r="70">
          <cell r="A70" t="str">
            <v>0840</v>
          </cell>
          <cell r="B70" t="str">
            <v>STATE CONTROLLER</v>
          </cell>
          <cell r="C70" t="str">
            <v>0808</v>
          </cell>
          <cell r="D70" t="str">
            <v>GENERAL GOVERNMENT</v>
          </cell>
          <cell r="E70" t="str">
            <v/>
          </cell>
          <cell r="F70" t="str">
            <v>0000</v>
          </cell>
          <cell r="G70" t="str">
            <v>0000</v>
          </cell>
          <cell r="H70" t="str">
            <v>0000</v>
          </cell>
          <cell r="I70" t="str">
            <v>0000</v>
          </cell>
          <cell r="J70" t="str">
            <v>04/04/1984</v>
          </cell>
          <cell r="K70" t="str">
            <v>00/00/0000</v>
          </cell>
        </row>
        <row r="71">
          <cell r="A71" t="str">
            <v>0841</v>
          </cell>
          <cell r="B71" t="str">
            <v>SCO STATEWIDE INFO TECH PROJ</v>
          </cell>
          <cell r="C71" t="str">
            <v>0808</v>
          </cell>
          <cell r="D71" t="str">
            <v>GENERAL GOVERNMENT</v>
          </cell>
          <cell r="E71" t="str">
            <v/>
          </cell>
          <cell r="F71" t="str">
            <v>0000</v>
          </cell>
          <cell r="G71" t="str">
            <v>0000</v>
          </cell>
          <cell r="H71" t="str">
            <v>0000</v>
          </cell>
          <cell r="I71" t="str">
            <v>0000</v>
          </cell>
          <cell r="J71" t="str">
            <v>08/18/2000</v>
          </cell>
          <cell r="K71" t="str">
            <v>00/00/0000</v>
          </cell>
        </row>
        <row r="72">
          <cell r="A72" t="str">
            <v>0845</v>
          </cell>
          <cell r="B72" t="str">
            <v>DEPARTMENT OF INSURANCE</v>
          </cell>
          <cell r="C72" t="str">
            <v>0808</v>
          </cell>
          <cell r="D72" t="str">
            <v>GENERAL GOVERNMENT</v>
          </cell>
          <cell r="E72" t="str">
            <v/>
          </cell>
          <cell r="F72" t="str">
            <v>0000</v>
          </cell>
          <cell r="G72" t="str">
            <v>0000</v>
          </cell>
          <cell r="H72" t="str">
            <v>0000</v>
          </cell>
          <cell r="I72" t="str">
            <v>0000</v>
          </cell>
          <cell r="J72" t="str">
            <v>10/24/1995</v>
          </cell>
          <cell r="K72" t="str">
            <v>00/00/0000</v>
          </cell>
        </row>
        <row r="73">
          <cell r="A73" t="str">
            <v>0850</v>
          </cell>
          <cell r="B73" t="str">
            <v>CAL STATE LOTTERY COMMISSION</v>
          </cell>
          <cell r="C73" t="str">
            <v>0808</v>
          </cell>
          <cell r="D73" t="str">
            <v>GENERAL GOVERNMENT</v>
          </cell>
          <cell r="E73" t="str">
            <v/>
          </cell>
          <cell r="F73" t="str">
            <v>0000</v>
          </cell>
          <cell r="G73" t="str">
            <v>0000</v>
          </cell>
          <cell r="H73" t="str">
            <v>0000</v>
          </cell>
          <cell r="I73" t="str">
            <v>0000</v>
          </cell>
          <cell r="J73" t="str">
            <v>07/11/2006</v>
          </cell>
          <cell r="K73" t="str">
            <v>00/00/1999</v>
          </cell>
        </row>
        <row r="74">
          <cell r="A74" t="str">
            <v>0855</v>
          </cell>
          <cell r="B74" t="str">
            <v>GAMBLING CONTROL COMMISSION</v>
          </cell>
          <cell r="C74" t="str">
            <v>0808</v>
          </cell>
          <cell r="D74" t="str">
            <v>GENERAL GOVERNMENT</v>
          </cell>
          <cell r="E74" t="str">
            <v/>
          </cell>
          <cell r="F74" t="str">
            <v>0000</v>
          </cell>
          <cell r="G74" t="str">
            <v>0000</v>
          </cell>
          <cell r="H74" t="str">
            <v>0000</v>
          </cell>
          <cell r="I74" t="str">
            <v>0000</v>
          </cell>
          <cell r="J74" t="str">
            <v>08/19/2016</v>
          </cell>
          <cell r="K74" t="str">
            <v>00/00/0000</v>
          </cell>
        </row>
        <row r="75">
          <cell r="A75" t="str">
            <v>0860</v>
          </cell>
          <cell r="B75" t="str">
            <v>STATE BOARD OF EQUALIZATION</v>
          </cell>
          <cell r="C75" t="str">
            <v>0808</v>
          </cell>
          <cell r="D75" t="str">
            <v>GENERAL GOVERNMENT</v>
          </cell>
          <cell r="E75" t="str">
            <v/>
          </cell>
          <cell r="F75" t="str">
            <v>0000</v>
          </cell>
          <cell r="G75" t="str">
            <v>0000</v>
          </cell>
          <cell r="H75" t="str">
            <v>0000</v>
          </cell>
          <cell r="I75" t="str">
            <v>0000</v>
          </cell>
          <cell r="J75" t="str">
            <v>04/04/1984</v>
          </cell>
          <cell r="K75" t="str">
            <v>00/00/0000</v>
          </cell>
        </row>
        <row r="76">
          <cell r="A76" t="str">
            <v>0870</v>
          </cell>
          <cell r="B76" t="str">
            <v>OFFICE OF TAX APPEALS</v>
          </cell>
          <cell r="C76" t="str">
            <v>0808</v>
          </cell>
          <cell r="D76" t="str">
            <v>GENERAL GOVERNMENT</v>
          </cell>
          <cell r="E76" t="str">
            <v/>
          </cell>
          <cell r="F76" t="str">
            <v>0000</v>
          </cell>
          <cell r="G76" t="str">
            <v>0000</v>
          </cell>
          <cell r="H76" t="str">
            <v>0000</v>
          </cell>
          <cell r="I76" t="str">
            <v>0000</v>
          </cell>
          <cell r="J76" t="str">
            <v>08/06/2018</v>
          </cell>
          <cell r="K76" t="str">
            <v>00/00/0000</v>
          </cell>
        </row>
        <row r="77">
          <cell r="A77" t="str">
            <v>0890</v>
          </cell>
          <cell r="B77" t="str">
            <v>SECRETARY OF STATE</v>
          </cell>
          <cell r="C77" t="str">
            <v>0808</v>
          </cell>
          <cell r="D77" t="str">
            <v>GENERAL GOVERNMENT</v>
          </cell>
          <cell r="E77" t="str">
            <v/>
          </cell>
          <cell r="F77" t="str">
            <v>0000</v>
          </cell>
          <cell r="G77" t="str">
            <v>0000</v>
          </cell>
          <cell r="H77" t="str">
            <v>0000</v>
          </cell>
          <cell r="I77" t="str">
            <v>0000</v>
          </cell>
          <cell r="J77" t="str">
            <v>04/04/1984</v>
          </cell>
          <cell r="K77" t="str">
            <v>00/00/0000</v>
          </cell>
        </row>
        <row r="78">
          <cell r="A78" t="str">
            <v>0911</v>
          </cell>
          <cell r="B78" t="str">
            <v>CITIZENS REDISTRICTING COMM</v>
          </cell>
          <cell r="C78" t="str">
            <v>0808</v>
          </cell>
          <cell r="D78" t="str">
            <v>GENERAL GOVERNMENT</v>
          </cell>
          <cell r="E78" t="str">
            <v/>
          </cell>
          <cell r="F78" t="str">
            <v>0000</v>
          </cell>
          <cell r="G78" t="str">
            <v>0000</v>
          </cell>
          <cell r="H78" t="str">
            <v>0000</v>
          </cell>
          <cell r="I78" t="str">
            <v>0000</v>
          </cell>
          <cell r="J78" t="str">
            <v>08/25/2010</v>
          </cell>
          <cell r="K78" t="str">
            <v>00/00/0000</v>
          </cell>
        </row>
        <row r="79">
          <cell r="A79" t="str">
            <v>0950</v>
          </cell>
          <cell r="B79" t="str">
            <v>STATE TREASURER</v>
          </cell>
          <cell r="C79" t="str">
            <v>0808</v>
          </cell>
          <cell r="D79" t="str">
            <v>GENERAL GOVERNMENT</v>
          </cell>
          <cell r="E79" t="str">
            <v/>
          </cell>
          <cell r="F79" t="str">
            <v>0000</v>
          </cell>
          <cell r="G79" t="str">
            <v>0000</v>
          </cell>
          <cell r="H79" t="str">
            <v>0000</v>
          </cell>
          <cell r="I79" t="str">
            <v>0000</v>
          </cell>
          <cell r="J79" t="str">
            <v>04/18/1988</v>
          </cell>
          <cell r="K79" t="str">
            <v>00/00/1999</v>
          </cell>
        </row>
        <row r="80">
          <cell r="A80" t="str">
            <v>0953</v>
          </cell>
          <cell r="B80" t="str">
            <v>LOCAL AGY INDEBTEDNSS LOAN PGM</v>
          </cell>
          <cell r="C80" t="str">
            <v>0808</v>
          </cell>
          <cell r="D80" t="str">
            <v>GENERAL GOVERNMENT</v>
          </cell>
          <cell r="E80" t="str">
            <v/>
          </cell>
          <cell r="F80" t="str">
            <v>0000</v>
          </cell>
          <cell r="G80" t="str">
            <v>0000</v>
          </cell>
          <cell r="H80" t="str">
            <v>0000</v>
          </cell>
          <cell r="I80" t="str">
            <v>0000</v>
          </cell>
          <cell r="J80" t="str">
            <v>07/11/2006</v>
          </cell>
          <cell r="K80" t="str">
            <v>00/00/0000</v>
          </cell>
        </row>
        <row r="81">
          <cell r="A81" t="str">
            <v>0954</v>
          </cell>
          <cell r="B81" t="str">
            <v>SCHOLARSHARE INVESTMENT BOARD</v>
          </cell>
          <cell r="C81" t="str">
            <v>0810</v>
          </cell>
          <cell r="D81" t="str">
            <v>EDUCATION</v>
          </cell>
          <cell r="E81" t="str">
            <v/>
          </cell>
          <cell r="F81" t="str">
            <v>0000</v>
          </cell>
          <cell r="G81" t="str">
            <v>0000</v>
          </cell>
          <cell r="H81" t="str">
            <v>0000</v>
          </cell>
          <cell r="I81" t="str">
            <v>0000</v>
          </cell>
          <cell r="J81" t="str">
            <v>07/08/2016</v>
          </cell>
          <cell r="K81" t="str">
            <v>00/00/0000</v>
          </cell>
        </row>
        <row r="82">
          <cell r="A82" t="str">
            <v>0955</v>
          </cell>
          <cell r="B82" t="str">
            <v>CALIF REVENUE BOND FINAN AU</v>
          </cell>
          <cell r="C82" t="str">
            <v>0808</v>
          </cell>
          <cell r="D82" t="str">
            <v>GENERAL GOVERNMENT</v>
          </cell>
          <cell r="E82" t="str">
            <v/>
          </cell>
          <cell r="F82" t="str">
            <v>0000</v>
          </cell>
          <cell r="G82" t="str">
            <v>0000</v>
          </cell>
          <cell r="H82" t="str">
            <v>0000</v>
          </cell>
          <cell r="I82" t="str">
            <v>0000</v>
          </cell>
          <cell r="J82" t="str">
            <v>07/11/2006</v>
          </cell>
          <cell r="K82" t="str">
            <v>00/00/0000</v>
          </cell>
        </row>
        <row r="83">
          <cell r="A83" t="str">
            <v>0956</v>
          </cell>
          <cell r="B83" t="str">
            <v>DEBT ADVISORY COMMISSION</v>
          </cell>
          <cell r="C83" t="str">
            <v>0808</v>
          </cell>
          <cell r="D83" t="str">
            <v>GENERAL GOVERNMENT</v>
          </cell>
          <cell r="E83" t="str">
            <v/>
          </cell>
          <cell r="F83" t="str">
            <v>0000</v>
          </cell>
          <cell r="G83" t="str">
            <v>0000</v>
          </cell>
          <cell r="H83" t="str">
            <v>0000</v>
          </cell>
          <cell r="I83" t="str">
            <v>0000</v>
          </cell>
          <cell r="J83" t="str">
            <v>07/11/2006</v>
          </cell>
          <cell r="K83" t="str">
            <v>00/00/0000</v>
          </cell>
        </row>
        <row r="84">
          <cell r="A84" t="str">
            <v>0959</v>
          </cell>
          <cell r="B84" t="str">
            <v>CA DEBT LIMIT ALLOCATN COMMITE</v>
          </cell>
          <cell r="C84" t="str">
            <v>0808</v>
          </cell>
          <cell r="D84" t="str">
            <v>GENERAL GOVERNMENT</v>
          </cell>
          <cell r="E84" t="str">
            <v/>
          </cell>
          <cell r="F84" t="str">
            <v>0000</v>
          </cell>
          <cell r="G84" t="str">
            <v>0000</v>
          </cell>
          <cell r="H84" t="str">
            <v>0000</v>
          </cell>
          <cell r="I84" t="str">
            <v>0000</v>
          </cell>
          <cell r="J84" t="str">
            <v>07/11/2006</v>
          </cell>
          <cell r="K84" t="str">
            <v>00/00/0000</v>
          </cell>
        </row>
        <row r="85">
          <cell r="A85" t="str">
            <v>0960</v>
          </cell>
          <cell r="B85" t="str">
            <v>LOCAL AGCY INDEBTEDNESS LN PG</v>
          </cell>
          <cell r="C85" t="str">
            <v>0808</v>
          </cell>
          <cell r="D85" t="str">
            <v>GENERAL GOVERNMENT</v>
          </cell>
          <cell r="E85" t="str">
            <v/>
          </cell>
          <cell r="F85" t="str">
            <v>0000</v>
          </cell>
          <cell r="G85" t="str">
            <v>0000</v>
          </cell>
          <cell r="H85" t="str">
            <v>0000</v>
          </cell>
          <cell r="I85" t="str">
            <v>0000</v>
          </cell>
          <cell r="J85" t="str">
            <v>99/99/9999</v>
          </cell>
          <cell r="K85" t="str">
            <v>07/01/1985</v>
          </cell>
        </row>
        <row r="86">
          <cell r="A86" t="str">
            <v>0962</v>
          </cell>
          <cell r="B86" t="str">
            <v>CAL RAIL PASSENGER FIN COMM</v>
          </cell>
          <cell r="C86" t="str">
            <v>0808</v>
          </cell>
          <cell r="D86" t="str">
            <v>GENERAL GOVERNMENT</v>
          </cell>
          <cell r="E86" t="str">
            <v/>
          </cell>
          <cell r="F86" t="str">
            <v>0000</v>
          </cell>
          <cell r="G86" t="str">
            <v>0000</v>
          </cell>
          <cell r="H86" t="str">
            <v>0000</v>
          </cell>
          <cell r="I86" t="str">
            <v>0000</v>
          </cell>
          <cell r="J86" t="str">
            <v>07/11/2006</v>
          </cell>
          <cell r="K86" t="str">
            <v>00/00/0000</v>
          </cell>
        </row>
        <row r="87">
          <cell r="A87" t="str">
            <v>0964</v>
          </cell>
          <cell r="B87" t="str">
            <v>CA TRANSPORTATION FINANCE AUTH</v>
          </cell>
          <cell r="C87" t="str">
            <v>0808</v>
          </cell>
          <cell r="D87" t="str">
            <v>GENERAL GOVERNMENT</v>
          </cell>
          <cell r="E87" t="str">
            <v/>
          </cell>
          <cell r="F87" t="str">
            <v>0000</v>
          </cell>
          <cell r="G87" t="str">
            <v>0000</v>
          </cell>
          <cell r="H87" t="str">
            <v>0000</v>
          </cell>
          <cell r="I87" t="str">
            <v>0000</v>
          </cell>
          <cell r="J87" t="str">
            <v>08/25/2010</v>
          </cell>
          <cell r="K87" t="str">
            <v>00/00/0000</v>
          </cell>
        </row>
        <row r="88">
          <cell r="A88" t="str">
            <v>0965</v>
          </cell>
          <cell r="B88" t="str">
            <v>CA INDUSTRL DEV FIN ADVRY COMM</v>
          </cell>
          <cell r="C88" t="str">
            <v>0808</v>
          </cell>
          <cell r="D88" t="str">
            <v>GENERAL GOVERNMENT</v>
          </cell>
          <cell r="E88" t="str">
            <v/>
          </cell>
          <cell r="F88" t="str">
            <v>0000</v>
          </cell>
          <cell r="G88" t="str">
            <v>0000</v>
          </cell>
          <cell r="H88" t="str">
            <v>0000</v>
          </cell>
          <cell r="I88" t="str">
            <v>0000</v>
          </cell>
          <cell r="J88" t="str">
            <v>07/11/2006</v>
          </cell>
          <cell r="K88" t="str">
            <v>00/00/0000</v>
          </cell>
        </row>
        <row r="89">
          <cell r="A89" t="str">
            <v>0968</v>
          </cell>
          <cell r="B89" t="str">
            <v>MORTGAGE BOND ALLOC COMMITTEE</v>
          </cell>
          <cell r="C89" t="str">
            <v>0808</v>
          </cell>
          <cell r="D89" t="str">
            <v>GENERAL GOVERNMENT</v>
          </cell>
          <cell r="E89" t="str">
            <v/>
          </cell>
          <cell r="F89" t="str">
            <v>0000</v>
          </cell>
          <cell r="G89" t="str">
            <v>0000</v>
          </cell>
          <cell r="H89" t="str">
            <v>0000</v>
          </cell>
          <cell r="I89" t="str">
            <v>0000</v>
          </cell>
          <cell r="J89" t="str">
            <v>07/11/2006</v>
          </cell>
          <cell r="K89" t="str">
            <v>00/00/0000</v>
          </cell>
        </row>
        <row r="90">
          <cell r="A90" t="str">
            <v>0970</v>
          </cell>
          <cell r="B90" t="str">
            <v>DEBT ADVISORY COMMISSION</v>
          </cell>
          <cell r="C90" t="str">
            <v>0808</v>
          </cell>
          <cell r="D90" t="str">
            <v>GENERAL GOVERNMENT</v>
          </cell>
          <cell r="E90" t="str">
            <v/>
          </cell>
          <cell r="F90" t="str">
            <v>0000</v>
          </cell>
          <cell r="G90" t="str">
            <v>0000</v>
          </cell>
          <cell r="H90" t="str">
            <v>0000</v>
          </cell>
          <cell r="I90" t="str">
            <v>0000</v>
          </cell>
          <cell r="J90" t="str">
            <v>99/99/9999</v>
          </cell>
          <cell r="K90" t="str">
            <v>07/01/1985</v>
          </cell>
        </row>
        <row r="91">
          <cell r="A91" t="str">
            <v>0971</v>
          </cell>
          <cell r="B91" t="str">
            <v>CA ALT ENERGY SOURCE FIN AUTHY</v>
          </cell>
          <cell r="C91" t="str">
            <v>0808</v>
          </cell>
          <cell r="D91" t="str">
            <v>GENERAL GOVERNMENT</v>
          </cell>
          <cell r="E91" t="str">
            <v/>
          </cell>
          <cell r="F91" t="str">
            <v>0000</v>
          </cell>
          <cell r="G91" t="str">
            <v>0000</v>
          </cell>
          <cell r="H91" t="str">
            <v>0000</v>
          </cell>
          <cell r="I91" t="str">
            <v>0000</v>
          </cell>
          <cell r="J91" t="str">
            <v>07/11/2006</v>
          </cell>
          <cell r="K91" t="str">
            <v>00/00/0000</v>
          </cell>
        </row>
        <row r="92">
          <cell r="A92" t="str">
            <v>0974</v>
          </cell>
          <cell r="B92" t="str">
            <v>POLLUTION CONTRL FINANCNG AUTH</v>
          </cell>
          <cell r="C92" t="str">
            <v>0808</v>
          </cell>
          <cell r="D92" t="str">
            <v>GENERAL GOVERNMENT</v>
          </cell>
          <cell r="E92" t="str">
            <v/>
          </cell>
          <cell r="F92" t="str">
            <v>0000</v>
          </cell>
          <cell r="G92" t="str">
            <v>0000</v>
          </cell>
          <cell r="H92" t="str">
            <v>0000</v>
          </cell>
          <cell r="I92" t="str">
            <v>0000</v>
          </cell>
          <cell r="J92" t="str">
            <v>07/11/2006</v>
          </cell>
          <cell r="K92" t="str">
            <v>00/00/0000</v>
          </cell>
        </row>
        <row r="93">
          <cell r="A93" t="str">
            <v>0975</v>
          </cell>
          <cell r="B93" t="str">
            <v>L.A. STATE BLDG AUTHORITY</v>
          </cell>
          <cell r="C93" t="str">
            <v>0808</v>
          </cell>
          <cell r="D93" t="str">
            <v>GENERAL GOVERNMENT</v>
          </cell>
          <cell r="E93" t="str">
            <v/>
          </cell>
          <cell r="F93" t="str">
            <v>0000</v>
          </cell>
          <cell r="G93" t="str">
            <v>0000</v>
          </cell>
          <cell r="H93" t="str">
            <v>0000</v>
          </cell>
          <cell r="I93" t="str">
            <v>0000</v>
          </cell>
          <cell r="J93" t="str">
            <v>07/11/2006</v>
          </cell>
          <cell r="K93" t="str">
            <v>00/00/0000</v>
          </cell>
        </row>
        <row r="94">
          <cell r="A94" t="str">
            <v>0976</v>
          </cell>
          <cell r="B94" t="str">
            <v>CAPITOL AREA DEVELOPMENT AUTH</v>
          </cell>
          <cell r="C94" t="str">
            <v>0808</v>
          </cell>
          <cell r="D94" t="str">
            <v>GENERAL GOVERNMENT</v>
          </cell>
          <cell r="E94" t="str">
            <v/>
          </cell>
          <cell r="F94" t="str">
            <v>0000</v>
          </cell>
          <cell r="G94" t="str">
            <v>0000</v>
          </cell>
          <cell r="H94" t="str">
            <v>0000</v>
          </cell>
          <cell r="I94" t="str">
            <v>0000</v>
          </cell>
          <cell r="J94" t="str">
            <v>07/11/2006</v>
          </cell>
          <cell r="K94" t="str">
            <v>00/00/0000</v>
          </cell>
        </row>
        <row r="95">
          <cell r="A95" t="str">
            <v>0977</v>
          </cell>
          <cell r="B95" t="str">
            <v>CA HEALTH FACILITIES FIN AUTH</v>
          </cell>
          <cell r="C95" t="str">
            <v>0808</v>
          </cell>
          <cell r="D95" t="str">
            <v>GENERAL GOVERNMENT</v>
          </cell>
          <cell r="E95" t="str">
            <v/>
          </cell>
          <cell r="F95" t="str">
            <v>0000</v>
          </cell>
          <cell r="G95" t="str">
            <v>0000</v>
          </cell>
          <cell r="H95" t="str">
            <v>0000</v>
          </cell>
          <cell r="I95" t="str">
            <v>0000</v>
          </cell>
          <cell r="J95" t="str">
            <v>07/11/2006</v>
          </cell>
          <cell r="K95" t="str">
            <v>00/00/0000</v>
          </cell>
        </row>
        <row r="96">
          <cell r="A96" t="str">
            <v>0978</v>
          </cell>
          <cell r="B96" t="str">
            <v>S.F. STATE BLDG AUTHORITY</v>
          </cell>
          <cell r="C96" t="str">
            <v>0808</v>
          </cell>
          <cell r="D96" t="str">
            <v>GENERAL GOVERNMENT</v>
          </cell>
          <cell r="E96" t="str">
            <v/>
          </cell>
          <cell r="F96" t="str">
            <v>0000</v>
          </cell>
          <cell r="G96" t="str">
            <v>0000</v>
          </cell>
          <cell r="H96" t="str">
            <v>0000</v>
          </cell>
          <cell r="I96" t="str">
            <v>0000</v>
          </cell>
          <cell r="J96" t="str">
            <v>07/11/2006</v>
          </cell>
          <cell r="K96" t="str">
            <v>00/00/0000</v>
          </cell>
        </row>
        <row r="97">
          <cell r="A97" t="str">
            <v>0979</v>
          </cell>
          <cell r="B97" t="str">
            <v>OAKLAND JOINT POWERS AUTHORITY</v>
          </cell>
          <cell r="C97" t="str">
            <v>0808</v>
          </cell>
          <cell r="D97" t="str">
            <v>GENERAL GOVERNMENT</v>
          </cell>
          <cell r="E97" t="str">
            <v/>
          </cell>
          <cell r="F97" t="str">
            <v>0000</v>
          </cell>
          <cell r="G97" t="str">
            <v>0000</v>
          </cell>
          <cell r="H97" t="str">
            <v>0000</v>
          </cell>
          <cell r="I97" t="str">
            <v>0000</v>
          </cell>
          <cell r="J97" t="str">
            <v>10/24/1995</v>
          </cell>
          <cell r="K97" t="str">
            <v>00/00/0000</v>
          </cell>
        </row>
        <row r="98">
          <cell r="A98" t="str">
            <v>0980</v>
          </cell>
          <cell r="B98" t="str">
            <v>CAL RAIL PASSENGER FIN COMM</v>
          </cell>
          <cell r="C98" t="str">
            <v>0808</v>
          </cell>
          <cell r="D98" t="str">
            <v>GENERAL GOVERNMENT</v>
          </cell>
          <cell r="E98" t="str">
            <v/>
          </cell>
          <cell r="F98" t="str">
            <v>0000</v>
          </cell>
          <cell r="G98" t="str">
            <v>0000</v>
          </cell>
          <cell r="H98" t="str">
            <v>0000</v>
          </cell>
          <cell r="I98" t="str">
            <v>0000</v>
          </cell>
          <cell r="J98" t="str">
            <v>99/99/9999</v>
          </cell>
          <cell r="K98" t="str">
            <v>07/01/1985</v>
          </cell>
        </row>
        <row r="99">
          <cell r="A99" t="str">
            <v>0981</v>
          </cell>
          <cell r="B99" t="str">
            <v>CALIFORNIA ABLE ACT BOARD</v>
          </cell>
          <cell r="C99" t="str">
            <v>0808</v>
          </cell>
          <cell r="D99" t="str">
            <v>CALIFORNIA ABLE ACT BOARD</v>
          </cell>
          <cell r="E99" t="str">
            <v/>
          </cell>
          <cell r="F99" t="str">
            <v>0000</v>
          </cell>
          <cell r="G99" t="str">
            <v>0000</v>
          </cell>
          <cell r="H99" t="str">
            <v>0000</v>
          </cell>
          <cell r="I99" t="str">
            <v>0000</v>
          </cell>
          <cell r="J99" t="str">
            <v>08/10/2017</v>
          </cell>
          <cell r="K99" t="str">
            <v>00/00/0000</v>
          </cell>
        </row>
        <row r="100">
          <cell r="A100" t="str">
            <v>0983</v>
          </cell>
          <cell r="B100" t="str">
            <v>CA URBN WTRFRNT AREA RES FIN</v>
          </cell>
          <cell r="C100" t="str">
            <v>0808</v>
          </cell>
          <cell r="D100" t="str">
            <v>GENERAL GOVERNMENT</v>
          </cell>
          <cell r="E100" t="str">
            <v/>
          </cell>
          <cell r="F100" t="str">
            <v>0000</v>
          </cell>
          <cell r="G100" t="str">
            <v>0000</v>
          </cell>
          <cell r="H100" t="str">
            <v>0000</v>
          </cell>
          <cell r="I100" t="str">
            <v>0000</v>
          </cell>
          <cell r="J100" t="str">
            <v>07/11/2006</v>
          </cell>
          <cell r="K100" t="str">
            <v>00/00/0000</v>
          </cell>
        </row>
        <row r="101">
          <cell r="A101" t="str">
            <v>0984</v>
          </cell>
          <cell r="B101" t="str">
            <v>SECURE CHOICE RETIRE SAVINGS I</v>
          </cell>
          <cell r="C101" t="str">
            <v>0808</v>
          </cell>
          <cell r="D101" t="str">
            <v>GENERAL GOVERNMENT</v>
          </cell>
          <cell r="E101" t="str">
            <v/>
          </cell>
          <cell r="F101" t="str">
            <v>0000</v>
          </cell>
          <cell r="G101" t="str">
            <v>0000</v>
          </cell>
          <cell r="H101" t="str">
            <v>0000</v>
          </cell>
          <cell r="I101" t="str">
            <v>0000</v>
          </cell>
          <cell r="J101" t="str">
            <v>09/29/2014</v>
          </cell>
          <cell r="K101" t="str">
            <v>00/00/0000</v>
          </cell>
        </row>
        <row r="102">
          <cell r="A102" t="str">
            <v>0985</v>
          </cell>
          <cell r="B102" t="str">
            <v>CA SCHOOL FINANCE AUTHORITY</v>
          </cell>
          <cell r="C102" t="str">
            <v>0808</v>
          </cell>
          <cell r="D102" t="str">
            <v>GENERAL GOVERNMENT</v>
          </cell>
          <cell r="E102" t="str">
            <v/>
          </cell>
          <cell r="F102" t="str">
            <v>0000</v>
          </cell>
          <cell r="G102" t="str">
            <v>0000</v>
          </cell>
          <cell r="H102" t="str">
            <v>0000</v>
          </cell>
          <cell r="I102" t="str">
            <v>0000</v>
          </cell>
          <cell r="J102" t="str">
            <v>08/19/2016</v>
          </cell>
          <cell r="K102" t="str">
            <v>00/00/0000</v>
          </cell>
        </row>
        <row r="103">
          <cell r="A103" t="str">
            <v>0986</v>
          </cell>
          <cell r="B103" t="str">
            <v>CAL STUDENT LOAN AUTHORITY</v>
          </cell>
          <cell r="C103" t="str">
            <v>0808</v>
          </cell>
          <cell r="D103" t="str">
            <v>GENERAL GOVERNMENT</v>
          </cell>
          <cell r="E103" t="str">
            <v/>
          </cell>
          <cell r="F103" t="str">
            <v>0000</v>
          </cell>
          <cell r="G103" t="str">
            <v>0000</v>
          </cell>
          <cell r="H103" t="str">
            <v>0000</v>
          </cell>
          <cell r="I103" t="str">
            <v>0000</v>
          </cell>
          <cell r="J103" t="str">
            <v>07/11/2006</v>
          </cell>
          <cell r="K103" t="str">
            <v>00/00/0000</v>
          </cell>
        </row>
        <row r="104">
          <cell r="A104" t="str">
            <v>0989</v>
          </cell>
          <cell r="B104" t="str">
            <v>CAL EDUC FACILITIES AUTHORITY</v>
          </cell>
          <cell r="C104" t="str">
            <v>0808</v>
          </cell>
          <cell r="D104" t="str">
            <v>GENERAL GOVERNMENT</v>
          </cell>
          <cell r="E104" t="str">
            <v/>
          </cell>
          <cell r="F104" t="str">
            <v>0000</v>
          </cell>
          <cell r="G104" t="str">
            <v>0000</v>
          </cell>
          <cell r="H104" t="str">
            <v>0000</v>
          </cell>
          <cell r="I104" t="str">
            <v>0000</v>
          </cell>
          <cell r="J104" t="str">
            <v>07/11/2006</v>
          </cell>
          <cell r="K104" t="str">
            <v>00/00/0000</v>
          </cell>
        </row>
        <row r="105">
          <cell r="A105" t="str">
            <v>0992</v>
          </cell>
          <cell r="B105" t="str">
            <v>HAZARD SUB CLEANUP FIN AUTH</v>
          </cell>
          <cell r="C105" t="str">
            <v>0808</v>
          </cell>
          <cell r="D105" t="str">
            <v>GENERAL GOVERNMENT</v>
          </cell>
          <cell r="E105" t="str">
            <v/>
          </cell>
          <cell r="F105" t="str">
            <v>0000</v>
          </cell>
          <cell r="G105" t="str">
            <v>0000</v>
          </cell>
          <cell r="H105" t="str">
            <v>0000</v>
          </cell>
          <cell r="I105" t="str">
            <v>0000</v>
          </cell>
          <cell r="J105" t="str">
            <v>99/99/9999</v>
          </cell>
          <cell r="K105" t="str">
            <v>00/00/0000</v>
          </cell>
        </row>
        <row r="106">
          <cell r="A106" t="str">
            <v>0994</v>
          </cell>
          <cell r="B106" t="str">
            <v>CA.COMM.TO PROMOTE SELF-ESTEEM</v>
          </cell>
          <cell r="C106" t="str">
            <v>0808</v>
          </cell>
          <cell r="D106" t="str">
            <v>GENERAL GOVERNMENT</v>
          </cell>
          <cell r="E106" t="str">
            <v/>
          </cell>
          <cell r="F106" t="str">
            <v>0000</v>
          </cell>
          <cell r="G106" t="str">
            <v>0000</v>
          </cell>
          <cell r="H106" t="str">
            <v>0000</v>
          </cell>
          <cell r="I106" t="str">
            <v>0000</v>
          </cell>
          <cell r="J106" t="str">
            <v>07/11/2006</v>
          </cell>
          <cell r="K106" t="str">
            <v>00/00/1999</v>
          </cell>
        </row>
        <row r="107">
          <cell r="A107" t="str">
            <v>1000</v>
          </cell>
          <cell r="B107" t="str">
            <v>STATE AND CONSUMER SERVICES</v>
          </cell>
          <cell r="C107" t="str">
            <v>0825</v>
          </cell>
          <cell r="D107" t="str">
            <v>BUS, CONSUMER SERV, HOUSING</v>
          </cell>
          <cell r="E107" t="str">
            <v/>
          </cell>
          <cell r="F107" t="str">
            <v>0000</v>
          </cell>
          <cell r="G107" t="str">
            <v>0000</v>
          </cell>
          <cell r="H107" t="str">
            <v>0000</v>
          </cell>
          <cell r="I107" t="str">
            <v>0000</v>
          </cell>
          <cell r="J107" t="str">
            <v>07/08/2016</v>
          </cell>
          <cell r="K107" t="str">
            <v>00/00/0000</v>
          </cell>
        </row>
        <row r="108">
          <cell r="A108" t="str">
            <v>1045</v>
          </cell>
          <cell r="B108" t="str">
            <v>CANNABIS CONTROL APPEALS PANEL</v>
          </cell>
          <cell r="C108" t="str">
            <v>0825</v>
          </cell>
          <cell r="D108" t="str">
            <v>BUS, CONSUMER SERV, HOUSING</v>
          </cell>
          <cell r="E108" t="str">
            <v/>
          </cell>
          <cell r="F108" t="str">
            <v>0000</v>
          </cell>
          <cell r="G108" t="str">
            <v>0000</v>
          </cell>
          <cell r="H108" t="str">
            <v>0000</v>
          </cell>
          <cell r="I108" t="str">
            <v>0000</v>
          </cell>
          <cell r="J108" t="str">
            <v>08/06/2018</v>
          </cell>
          <cell r="K108" t="str">
            <v>00/00/0000</v>
          </cell>
        </row>
        <row r="109">
          <cell r="A109" t="str">
            <v>1108</v>
          </cell>
          <cell r="B109" t="str">
            <v>CALIFORNIA AEROSPACE COMM.</v>
          </cell>
          <cell r="C109" t="str">
            <v>0825</v>
          </cell>
          <cell r="D109" t="str">
            <v>BUS, CONSUMER SERV, HOUSING</v>
          </cell>
          <cell r="E109" t="str">
            <v/>
          </cell>
          <cell r="F109" t="str">
            <v>0000</v>
          </cell>
          <cell r="G109" t="str">
            <v>0000</v>
          </cell>
          <cell r="H109" t="str">
            <v>0000</v>
          </cell>
          <cell r="I109" t="str">
            <v>0000</v>
          </cell>
          <cell r="J109" t="str">
            <v>07/08/2016</v>
          </cell>
          <cell r="K109" t="str">
            <v>00/00/0000</v>
          </cell>
        </row>
        <row r="110">
          <cell r="A110" t="str">
            <v>1110</v>
          </cell>
          <cell r="B110" t="str">
            <v>DEPT OF CONSUMER AFFAIRS</v>
          </cell>
          <cell r="C110" t="str">
            <v>0825</v>
          </cell>
          <cell r="D110" t="str">
            <v>BUS, CONSUMER SERV, HOUSING</v>
          </cell>
          <cell r="E110" t="str">
            <v/>
          </cell>
          <cell r="F110" t="str">
            <v>0000</v>
          </cell>
          <cell r="G110" t="str">
            <v>0000</v>
          </cell>
          <cell r="H110" t="str">
            <v>0000</v>
          </cell>
          <cell r="I110" t="str">
            <v>0000</v>
          </cell>
          <cell r="J110" t="str">
            <v>07/08/2016</v>
          </cell>
          <cell r="K110" t="str">
            <v>00/00/0000</v>
          </cell>
        </row>
        <row r="111">
          <cell r="A111" t="str">
            <v>1111</v>
          </cell>
          <cell r="B111" t="str">
            <v>DEPT OF CONSUMER AFFAIRS</v>
          </cell>
          <cell r="C111" t="str">
            <v>0825</v>
          </cell>
          <cell r="D111" t="str">
            <v>BUS, CONSUMER SERV, HOUSING</v>
          </cell>
          <cell r="E111" t="str">
            <v/>
          </cell>
          <cell r="F111" t="str">
            <v>0000</v>
          </cell>
          <cell r="G111" t="str">
            <v>0000</v>
          </cell>
          <cell r="H111" t="str">
            <v>0000</v>
          </cell>
          <cell r="I111" t="str">
            <v>0000</v>
          </cell>
          <cell r="J111" t="str">
            <v>07/08/2016</v>
          </cell>
          <cell r="K111" t="str">
            <v>00/00/0000</v>
          </cell>
        </row>
        <row r="112">
          <cell r="A112" t="str">
            <v>1115</v>
          </cell>
          <cell r="B112" t="str">
            <v>DEPARTMENT OF CANNABIS CONTROL</v>
          </cell>
          <cell r="C112" t="str">
            <v>0825</v>
          </cell>
          <cell r="D112" t="str">
            <v>BUS, CONSUMER SERV, HOUSING</v>
          </cell>
          <cell r="E112" t="str">
            <v/>
          </cell>
          <cell r="F112" t="str">
            <v>0000</v>
          </cell>
          <cell r="G112" t="str">
            <v>0000</v>
          </cell>
          <cell r="H112" t="str">
            <v>0000</v>
          </cell>
          <cell r="I112" t="str">
            <v>0000</v>
          </cell>
          <cell r="J112" t="str">
            <v>07/14/2023</v>
          </cell>
          <cell r="K112" t="str">
            <v>00/00/0000</v>
          </cell>
        </row>
        <row r="113">
          <cell r="A113" t="str">
            <v>1120</v>
          </cell>
          <cell r="B113" t="str">
            <v>BOARD OF ACCOUNTANCY</v>
          </cell>
          <cell r="C113" t="str">
            <v>0825</v>
          </cell>
          <cell r="D113" t="str">
            <v>BUS, CONSUMER SERV, HOUSING</v>
          </cell>
          <cell r="E113" t="str">
            <v/>
          </cell>
          <cell r="F113" t="str">
            <v>0000</v>
          </cell>
          <cell r="G113" t="str">
            <v>0000</v>
          </cell>
          <cell r="H113" t="str">
            <v>0000</v>
          </cell>
          <cell r="I113" t="str">
            <v>0000</v>
          </cell>
          <cell r="J113" t="str">
            <v>07/08/2016</v>
          </cell>
          <cell r="K113" t="str">
            <v>00/00/1999</v>
          </cell>
        </row>
        <row r="114">
          <cell r="A114" t="str">
            <v>1130</v>
          </cell>
          <cell r="B114" t="str">
            <v>BD OF ARCHITECTURAL EXAMINERS</v>
          </cell>
          <cell r="C114" t="str">
            <v>0825</v>
          </cell>
          <cell r="D114" t="str">
            <v>BUS, CONSUMER SERV, HOUSING</v>
          </cell>
          <cell r="E114" t="str">
            <v/>
          </cell>
          <cell r="F114" t="str">
            <v>0000</v>
          </cell>
          <cell r="G114" t="str">
            <v>0000</v>
          </cell>
          <cell r="H114" t="str">
            <v>0000</v>
          </cell>
          <cell r="I114" t="str">
            <v>0000</v>
          </cell>
          <cell r="J114" t="str">
            <v>07/08/2016</v>
          </cell>
          <cell r="K114" t="str">
            <v>00/00/1999</v>
          </cell>
        </row>
        <row r="115">
          <cell r="A115" t="str">
            <v>1140</v>
          </cell>
          <cell r="B115" t="str">
            <v>STATE ATHLETIC COMMISSION</v>
          </cell>
          <cell r="C115" t="str">
            <v>0825</v>
          </cell>
          <cell r="D115" t="str">
            <v>BUS, CONSUMER SERV, HOUSING</v>
          </cell>
          <cell r="E115" t="str">
            <v/>
          </cell>
          <cell r="F115" t="str">
            <v>0000</v>
          </cell>
          <cell r="G115" t="str">
            <v>0000</v>
          </cell>
          <cell r="H115" t="str">
            <v>0000</v>
          </cell>
          <cell r="I115" t="str">
            <v>0000</v>
          </cell>
          <cell r="J115" t="str">
            <v>07/08/2016</v>
          </cell>
          <cell r="K115" t="str">
            <v>00/00/1999</v>
          </cell>
        </row>
        <row r="116">
          <cell r="A116" t="str">
            <v>1150</v>
          </cell>
          <cell r="B116" t="str">
            <v>BUREAU OF AUTOMOTIVE REPAIR</v>
          </cell>
          <cell r="C116" t="str">
            <v>0825</v>
          </cell>
          <cell r="D116" t="str">
            <v>BUS, CONSUMER SERV, HOUSING</v>
          </cell>
          <cell r="E116" t="str">
            <v/>
          </cell>
          <cell r="F116" t="str">
            <v>0000</v>
          </cell>
          <cell r="G116" t="str">
            <v>0000</v>
          </cell>
          <cell r="H116" t="str">
            <v>0000</v>
          </cell>
          <cell r="I116" t="str">
            <v>0000</v>
          </cell>
          <cell r="J116" t="str">
            <v>07/08/2016</v>
          </cell>
          <cell r="K116" t="str">
            <v>00/00/1999</v>
          </cell>
        </row>
        <row r="117">
          <cell r="A117" t="str">
            <v>1160</v>
          </cell>
          <cell r="B117" t="str">
            <v>BOARD OF BARBER EXAMINERS</v>
          </cell>
          <cell r="C117" t="str">
            <v>0825</v>
          </cell>
          <cell r="D117" t="str">
            <v>BUS, CONSUMER SERV, HOUSING</v>
          </cell>
          <cell r="E117" t="str">
            <v/>
          </cell>
          <cell r="F117" t="str">
            <v>0000</v>
          </cell>
          <cell r="G117" t="str">
            <v>0000</v>
          </cell>
          <cell r="H117" t="str">
            <v>0000</v>
          </cell>
          <cell r="I117" t="str">
            <v>0000</v>
          </cell>
          <cell r="J117" t="str">
            <v>07/08/2016</v>
          </cell>
          <cell r="K117" t="str">
            <v>00/00/1999</v>
          </cell>
        </row>
        <row r="118">
          <cell r="A118" t="str">
            <v>1165</v>
          </cell>
          <cell r="B118" t="str">
            <v>BD OF BARBERING &amp; COSMETOLOGY</v>
          </cell>
          <cell r="C118" t="str">
            <v>0825</v>
          </cell>
          <cell r="D118" t="str">
            <v>BUS, CONSUMER SERV, HOUSING</v>
          </cell>
          <cell r="E118" t="str">
            <v/>
          </cell>
          <cell r="F118" t="str">
            <v>0000</v>
          </cell>
          <cell r="G118" t="str">
            <v>0000</v>
          </cell>
          <cell r="H118" t="str">
            <v>0000</v>
          </cell>
          <cell r="I118" t="str">
            <v>0000</v>
          </cell>
          <cell r="J118" t="str">
            <v>07/08/2016</v>
          </cell>
          <cell r="K118" t="str">
            <v>00/00/0000</v>
          </cell>
        </row>
        <row r="119">
          <cell r="A119" t="str">
            <v>1170</v>
          </cell>
          <cell r="B119" t="str">
            <v>BD OF BEHAVIORAL SCIENCE EXAM</v>
          </cell>
          <cell r="C119" t="str">
            <v>0825</v>
          </cell>
          <cell r="D119" t="str">
            <v>BUS, CONSUMER SERV, HOUSING</v>
          </cell>
          <cell r="E119" t="str">
            <v/>
          </cell>
          <cell r="F119" t="str">
            <v>0000</v>
          </cell>
          <cell r="G119" t="str">
            <v>0000</v>
          </cell>
          <cell r="H119" t="str">
            <v>0000</v>
          </cell>
          <cell r="I119" t="str">
            <v>0000</v>
          </cell>
          <cell r="J119" t="str">
            <v>07/08/2016</v>
          </cell>
          <cell r="K119" t="str">
            <v>00/00/1999</v>
          </cell>
        </row>
        <row r="120">
          <cell r="A120" t="str">
            <v>1180</v>
          </cell>
          <cell r="B120" t="str">
            <v>CEMETERY BOARD</v>
          </cell>
          <cell r="C120" t="str">
            <v>0825</v>
          </cell>
          <cell r="D120" t="str">
            <v>BUS, CONSUMER SERV, HOUSING</v>
          </cell>
          <cell r="E120" t="str">
            <v/>
          </cell>
          <cell r="F120" t="str">
            <v>0000</v>
          </cell>
          <cell r="G120" t="str">
            <v>0000</v>
          </cell>
          <cell r="H120" t="str">
            <v>0000</v>
          </cell>
          <cell r="I120" t="str">
            <v>0000</v>
          </cell>
          <cell r="J120" t="str">
            <v>07/08/2016</v>
          </cell>
          <cell r="K120" t="str">
            <v>00/00/1999</v>
          </cell>
        </row>
        <row r="121">
          <cell r="A121" t="str">
            <v>1190</v>
          </cell>
          <cell r="B121" t="str">
            <v>BUR COLLECTION/INVEST SERVICE</v>
          </cell>
          <cell r="C121" t="str">
            <v>0825</v>
          </cell>
          <cell r="D121" t="str">
            <v>BUS, CONSUMER SERV, HOUSING</v>
          </cell>
          <cell r="E121" t="str">
            <v/>
          </cell>
          <cell r="F121" t="str">
            <v>0000</v>
          </cell>
          <cell r="G121" t="str">
            <v>0000</v>
          </cell>
          <cell r="H121" t="str">
            <v>0000</v>
          </cell>
          <cell r="I121" t="str">
            <v>0000</v>
          </cell>
          <cell r="J121" t="str">
            <v>07/08/2016</v>
          </cell>
          <cell r="K121" t="str">
            <v>00/00/0000</v>
          </cell>
        </row>
        <row r="122">
          <cell r="A122" t="str">
            <v>1200</v>
          </cell>
          <cell r="B122" t="str">
            <v>BUREAU OF COLLECTION AGENCIES</v>
          </cell>
          <cell r="C122" t="str">
            <v>0825</v>
          </cell>
          <cell r="D122" t="str">
            <v>BUS, CONSUMER SERV, HOUSING</v>
          </cell>
          <cell r="E122" t="str">
            <v/>
          </cell>
          <cell r="F122" t="str">
            <v>0000</v>
          </cell>
          <cell r="G122" t="str">
            <v>0000</v>
          </cell>
          <cell r="H122" t="str">
            <v>0000</v>
          </cell>
          <cell r="I122" t="str">
            <v>0000</v>
          </cell>
          <cell r="J122" t="str">
            <v>07/08/2016</v>
          </cell>
          <cell r="K122" t="str">
            <v>00/00/1999</v>
          </cell>
        </row>
        <row r="123">
          <cell r="A123" t="str">
            <v>1210</v>
          </cell>
          <cell r="B123" t="str">
            <v>BUREAU OF PRIVATE INVEST &amp; ADJ</v>
          </cell>
          <cell r="C123" t="str">
            <v>0825</v>
          </cell>
          <cell r="D123" t="str">
            <v>BUS, CONSUMER SERV, HOUSING</v>
          </cell>
          <cell r="E123" t="str">
            <v/>
          </cell>
          <cell r="F123" t="str">
            <v>0000</v>
          </cell>
          <cell r="G123" t="str">
            <v>0000</v>
          </cell>
          <cell r="H123" t="str">
            <v>0000</v>
          </cell>
          <cell r="I123" t="str">
            <v>0000</v>
          </cell>
          <cell r="J123" t="str">
            <v>07/08/2016</v>
          </cell>
          <cell r="K123" t="str">
            <v>00/00/1999</v>
          </cell>
        </row>
        <row r="124">
          <cell r="A124" t="str">
            <v>1220</v>
          </cell>
          <cell r="B124" t="str">
            <v>ST BD OF REGIS CONSTR INSP</v>
          </cell>
          <cell r="C124" t="str">
            <v>0825</v>
          </cell>
          <cell r="D124" t="str">
            <v>BUS, CONSUMER SERV, HOUSING</v>
          </cell>
          <cell r="E124" t="str">
            <v/>
          </cell>
          <cell r="F124" t="str">
            <v>0000</v>
          </cell>
          <cell r="G124" t="str">
            <v>0000</v>
          </cell>
          <cell r="H124" t="str">
            <v>0000</v>
          </cell>
          <cell r="I124" t="str">
            <v>0000</v>
          </cell>
          <cell r="J124" t="str">
            <v>07/08/2016</v>
          </cell>
          <cell r="K124" t="str">
            <v>00/00/0000</v>
          </cell>
        </row>
        <row r="125">
          <cell r="A125" t="str">
            <v>1230</v>
          </cell>
          <cell r="B125" t="str">
            <v>CONTRACTORS LICENSE BOARD</v>
          </cell>
          <cell r="C125" t="str">
            <v>0825</v>
          </cell>
          <cell r="D125" t="str">
            <v>BUS, CONSUMER SERV, HOUSING</v>
          </cell>
          <cell r="E125" t="str">
            <v/>
          </cell>
          <cell r="F125" t="str">
            <v>0000</v>
          </cell>
          <cell r="G125" t="str">
            <v>0000</v>
          </cell>
          <cell r="H125" t="str">
            <v>0000</v>
          </cell>
          <cell r="I125" t="str">
            <v>0000</v>
          </cell>
          <cell r="J125" t="str">
            <v>07/08/2016</v>
          </cell>
          <cell r="K125" t="str">
            <v>00/00/1999</v>
          </cell>
        </row>
        <row r="126">
          <cell r="A126" t="str">
            <v>1240</v>
          </cell>
          <cell r="B126" t="str">
            <v>BOARD OF COSMETOLOGY</v>
          </cell>
          <cell r="C126" t="str">
            <v>0825</v>
          </cell>
          <cell r="D126" t="str">
            <v>BUS, CONSUMER SERV, HOUSING</v>
          </cell>
          <cell r="E126" t="str">
            <v/>
          </cell>
          <cell r="F126" t="str">
            <v>0000</v>
          </cell>
          <cell r="G126" t="str">
            <v>0000</v>
          </cell>
          <cell r="H126" t="str">
            <v>0000</v>
          </cell>
          <cell r="I126" t="str">
            <v>0000</v>
          </cell>
          <cell r="J126" t="str">
            <v>07/08/2016</v>
          </cell>
          <cell r="K126" t="str">
            <v>00/00/1999</v>
          </cell>
        </row>
        <row r="127">
          <cell r="A127" t="str">
            <v>1250</v>
          </cell>
          <cell r="B127" t="str">
            <v>BOARD OF DENTAL EXAMINERS</v>
          </cell>
          <cell r="C127" t="str">
            <v>0825</v>
          </cell>
          <cell r="D127" t="str">
            <v>BUS, CONSUMER SERV, HOUSING</v>
          </cell>
          <cell r="E127" t="str">
            <v/>
          </cell>
          <cell r="F127" t="str">
            <v>0000</v>
          </cell>
          <cell r="G127" t="str">
            <v>0000</v>
          </cell>
          <cell r="H127" t="str">
            <v>0000</v>
          </cell>
          <cell r="I127" t="str">
            <v>0000</v>
          </cell>
          <cell r="J127" t="str">
            <v>10/28/2016</v>
          </cell>
          <cell r="K127" t="str">
            <v>00/00/0000</v>
          </cell>
        </row>
        <row r="128">
          <cell r="A128" t="str">
            <v>1260</v>
          </cell>
          <cell r="B128" t="str">
            <v>BOARD OF DENTISTRY</v>
          </cell>
          <cell r="C128" t="str">
            <v>0825</v>
          </cell>
          <cell r="D128" t="str">
            <v>BUS, CONSUMER SERV, HOUSING</v>
          </cell>
          <cell r="E128" t="str">
            <v/>
          </cell>
          <cell r="F128" t="str">
            <v>0000</v>
          </cell>
          <cell r="G128" t="str">
            <v>0000</v>
          </cell>
          <cell r="H128" t="str">
            <v>0000</v>
          </cell>
          <cell r="I128" t="str">
            <v>0000</v>
          </cell>
          <cell r="J128" t="str">
            <v>10/28/2016</v>
          </cell>
          <cell r="K128" t="str">
            <v>00/00/1999</v>
          </cell>
        </row>
        <row r="129">
          <cell r="A129" t="str">
            <v>1270</v>
          </cell>
          <cell r="B129" t="str">
            <v>BOARD OF DENTAL AUXILIARIES</v>
          </cell>
          <cell r="C129" t="str">
            <v>0825</v>
          </cell>
          <cell r="D129" t="str">
            <v>BUS, CONSUMER SERV, HOUSING</v>
          </cell>
          <cell r="E129" t="str">
            <v/>
          </cell>
          <cell r="F129" t="str">
            <v>0000</v>
          </cell>
          <cell r="G129" t="str">
            <v>0000</v>
          </cell>
          <cell r="H129" t="str">
            <v>0000</v>
          </cell>
          <cell r="I129" t="str">
            <v>0000</v>
          </cell>
          <cell r="J129" t="str">
            <v>10/28/2016</v>
          </cell>
          <cell r="K129" t="str">
            <v>00/00/1999</v>
          </cell>
        </row>
        <row r="130">
          <cell r="A130" t="str">
            <v>1280</v>
          </cell>
          <cell r="B130" t="str">
            <v>BU OF ELECTRON &amp; APPL REPAIR</v>
          </cell>
          <cell r="C130" t="str">
            <v>0825</v>
          </cell>
          <cell r="D130" t="str">
            <v>BUS, CONSUMER SERV, HOUSING</v>
          </cell>
          <cell r="E130" t="str">
            <v/>
          </cell>
          <cell r="F130" t="str">
            <v>0000</v>
          </cell>
          <cell r="G130" t="str">
            <v>0000</v>
          </cell>
          <cell r="H130" t="str">
            <v>0000</v>
          </cell>
          <cell r="I130" t="str">
            <v>0000</v>
          </cell>
          <cell r="J130" t="str">
            <v>07/08/2016</v>
          </cell>
          <cell r="K130" t="str">
            <v>00/00/1999</v>
          </cell>
        </row>
        <row r="131">
          <cell r="A131" t="str">
            <v>1300</v>
          </cell>
          <cell r="B131" t="str">
            <v>BUREAU OF PERSONNEL SERVICES</v>
          </cell>
          <cell r="C131" t="str">
            <v>0825</v>
          </cell>
          <cell r="D131" t="str">
            <v>BUS, CONSUMER SERV, HOUSING</v>
          </cell>
          <cell r="E131" t="str">
            <v/>
          </cell>
          <cell r="F131" t="str">
            <v>0000</v>
          </cell>
          <cell r="G131" t="str">
            <v>0000</v>
          </cell>
          <cell r="H131" t="str">
            <v>0000</v>
          </cell>
          <cell r="I131" t="str">
            <v>0000</v>
          </cell>
          <cell r="J131" t="str">
            <v>07/08/2016</v>
          </cell>
          <cell r="K131" t="str">
            <v>00/00/1999</v>
          </cell>
        </row>
        <row r="132">
          <cell r="A132" t="str">
            <v>1310</v>
          </cell>
          <cell r="B132" t="str">
            <v>NURSES REGISTRY</v>
          </cell>
          <cell r="C132" t="str">
            <v>0825</v>
          </cell>
          <cell r="D132" t="str">
            <v>BUS, CONSUMER SERV, HOUSING</v>
          </cell>
          <cell r="E132" t="str">
            <v/>
          </cell>
          <cell r="F132" t="str">
            <v>0000</v>
          </cell>
          <cell r="G132" t="str">
            <v>0000</v>
          </cell>
          <cell r="H132" t="str">
            <v>0000</v>
          </cell>
          <cell r="I132" t="str">
            <v>0000</v>
          </cell>
          <cell r="J132" t="str">
            <v>07/08/2016</v>
          </cell>
          <cell r="K132" t="str">
            <v>00/00/0000</v>
          </cell>
        </row>
        <row r="133">
          <cell r="A133" t="str">
            <v>1330</v>
          </cell>
          <cell r="B133" t="str">
            <v>BD OF FUNERAL DIR &amp; EMBALMERS</v>
          </cell>
          <cell r="C133" t="str">
            <v>0825</v>
          </cell>
          <cell r="D133" t="str">
            <v>BUS, CONSUMER SERV, HOUSING</v>
          </cell>
          <cell r="E133" t="str">
            <v/>
          </cell>
          <cell r="F133" t="str">
            <v>0000</v>
          </cell>
          <cell r="G133" t="str">
            <v>0000</v>
          </cell>
          <cell r="H133" t="str">
            <v>0000</v>
          </cell>
          <cell r="I133" t="str">
            <v>0000</v>
          </cell>
          <cell r="J133" t="str">
            <v>07/08/2016</v>
          </cell>
          <cell r="K133" t="str">
            <v>00/00/1999</v>
          </cell>
        </row>
        <row r="134">
          <cell r="A134" t="str">
            <v>1340</v>
          </cell>
          <cell r="B134" t="str">
            <v>BD OF REGIS FOR GEOLOGISTS</v>
          </cell>
          <cell r="C134" t="str">
            <v>0825</v>
          </cell>
          <cell r="D134" t="str">
            <v>BUS, CONSUMER SERV, HOUSING</v>
          </cell>
          <cell r="E134" t="str">
            <v/>
          </cell>
          <cell r="F134" t="str">
            <v>0000</v>
          </cell>
          <cell r="G134" t="str">
            <v>0000</v>
          </cell>
          <cell r="H134" t="str">
            <v>0000</v>
          </cell>
          <cell r="I134" t="str">
            <v>0000</v>
          </cell>
          <cell r="J134" t="str">
            <v>07/08/2016</v>
          </cell>
          <cell r="K134" t="str">
            <v>00/00/1999</v>
          </cell>
        </row>
        <row r="135">
          <cell r="A135" t="str">
            <v>1350</v>
          </cell>
          <cell r="B135" t="str">
            <v>BD OF GUIDE DOGS FOR THE BLIND</v>
          </cell>
          <cell r="C135" t="str">
            <v>0825</v>
          </cell>
          <cell r="D135" t="str">
            <v>BUS, CONSUMER SERV, HOUSING</v>
          </cell>
          <cell r="E135" t="str">
            <v/>
          </cell>
          <cell r="F135" t="str">
            <v>0000</v>
          </cell>
          <cell r="G135" t="str">
            <v>0000</v>
          </cell>
          <cell r="H135" t="str">
            <v>0000</v>
          </cell>
          <cell r="I135" t="str">
            <v>0000</v>
          </cell>
          <cell r="J135" t="str">
            <v>07/08/2016</v>
          </cell>
          <cell r="K135" t="str">
            <v>00/00/1999</v>
          </cell>
        </row>
        <row r="136">
          <cell r="A136" t="str">
            <v>1360</v>
          </cell>
          <cell r="B136" t="str">
            <v>BUREAU OF HOME FURNISHING</v>
          </cell>
          <cell r="C136" t="str">
            <v>0825</v>
          </cell>
          <cell r="D136" t="str">
            <v>BUS, CONSUMER SERV, HOUSING</v>
          </cell>
          <cell r="E136" t="str">
            <v/>
          </cell>
          <cell r="F136" t="str">
            <v>0000</v>
          </cell>
          <cell r="G136" t="str">
            <v>0000</v>
          </cell>
          <cell r="H136" t="str">
            <v>0000</v>
          </cell>
          <cell r="I136" t="str">
            <v>0000</v>
          </cell>
          <cell r="J136" t="str">
            <v>07/08/2016</v>
          </cell>
          <cell r="K136" t="str">
            <v>00/00/1999</v>
          </cell>
        </row>
        <row r="137">
          <cell r="A137" t="str">
            <v>1370</v>
          </cell>
          <cell r="B137" t="str">
            <v>BD OF LANDSCAPE ARCHITECTS</v>
          </cell>
          <cell r="C137" t="str">
            <v>0825</v>
          </cell>
          <cell r="D137" t="str">
            <v>BUS, CONSUMER SERV, HOUSING</v>
          </cell>
          <cell r="E137" t="str">
            <v/>
          </cell>
          <cell r="F137" t="str">
            <v>0000</v>
          </cell>
          <cell r="G137" t="str">
            <v>0000</v>
          </cell>
          <cell r="H137" t="str">
            <v>0000</v>
          </cell>
          <cell r="I137" t="str">
            <v>0000</v>
          </cell>
          <cell r="J137" t="str">
            <v>07/08/2016</v>
          </cell>
          <cell r="K137" t="str">
            <v>00/00/1999</v>
          </cell>
        </row>
        <row r="138">
          <cell r="A138" t="str">
            <v>1380</v>
          </cell>
          <cell r="B138" t="str">
            <v>MEDICAL QUALITY ASSURANCE</v>
          </cell>
          <cell r="C138" t="str">
            <v>0825</v>
          </cell>
          <cell r="D138" t="str">
            <v>BUS, CONSUMER SERV, HOUSING</v>
          </cell>
          <cell r="E138" t="str">
            <v/>
          </cell>
          <cell r="F138" t="str">
            <v>0000</v>
          </cell>
          <cell r="G138" t="str">
            <v>0000</v>
          </cell>
          <cell r="H138" t="str">
            <v>0000</v>
          </cell>
          <cell r="I138" t="str">
            <v>0000</v>
          </cell>
          <cell r="J138" t="str">
            <v>11/03/2016</v>
          </cell>
          <cell r="K138" t="str">
            <v>00/00/0000</v>
          </cell>
        </row>
        <row r="139">
          <cell r="A139" t="str">
            <v>1390</v>
          </cell>
          <cell r="B139" t="str">
            <v>BD OF MED QUALITY ASSURANCE</v>
          </cell>
          <cell r="C139" t="str">
            <v>0825</v>
          </cell>
          <cell r="D139" t="str">
            <v>BUS, CONSUMER SERV, HOUSING</v>
          </cell>
          <cell r="E139" t="str">
            <v/>
          </cell>
          <cell r="F139" t="str">
            <v>0000</v>
          </cell>
          <cell r="G139" t="str">
            <v>0000</v>
          </cell>
          <cell r="H139" t="str">
            <v>0000</v>
          </cell>
          <cell r="I139" t="str">
            <v>0000</v>
          </cell>
          <cell r="J139" t="str">
            <v>10/28/2016</v>
          </cell>
          <cell r="K139" t="str">
            <v>00/00/1999</v>
          </cell>
        </row>
        <row r="140">
          <cell r="A140" t="str">
            <v>1400</v>
          </cell>
          <cell r="B140" t="str">
            <v>ACUPUNCTURE ADVIS COMMITTEE</v>
          </cell>
          <cell r="C140" t="str">
            <v>0825</v>
          </cell>
          <cell r="D140" t="str">
            <v>BUS, CONSUMER SERV, HOUSING</v>
          </cell>
          <cell r="E140" t="str">
            <v/>
          </cell>
          <cell r="F140" t="str">
            <v>0000</v>
          </cell>
          <cell r="G140" t="str">
            <v>0000</v>
          </cell>
          <cell r="H140" t="str">
            <v>0000</v>
          </cell>
          <cell r="I140" t="str">
            <v>0000</v>
          </cell>
          <cell r="J140" t="str">
            <v>10/28/2016</v>
          </cell>
          <cell r="K140" t="str">
            <v>00/00/1999</v>
          </cell>
        </row>
        <row r="141">
          <cell r="A141" t="str">
            <v>1410</v>
          </cell>
          <cell r="B141" t="str">
            <v>BD-MED EXAM-HEARING AID DISP</v>
          </cell>
          <cell r="C141" t="str">
            <v>0825</v>
          </cell>
          <cell r="D141" t="str">
            <v>BUS, CONSUMER SERV, HOUSING</v>
          </cell>
          <cell r="E141" t="str">
            <v/>
          </cell>
          <cell r="F141" t="str">
            <v>0000</v>
          </cell>
          <cell r="G141" t="str">
            <v>0000</v>
          </cell>
          <cell r="H141" t="str">
            <v>0000</v>
          </cell>
          <cell r="I141" t="str">
            <v>0000</v>
          </cell>
          <cell r="J141" t="str">
            <v>10/28/2016</v>
          </cell>
          <cell r="K141" t="str">
            <v>00/00/1999</v>
          </cell>
        </row>
        <row r="142">
          <cell r="A142" t="str">
            <v>1420</v>
          </cell>
          <cell r="B142" t="str">
            <v>PHYSICAL THERAPY EXAM COMM</v>
          </cell>
          <cell r="C142" t="str">
            <v>0825</v>
          </cell>
          <cell r="D142" t="str">
            <v>BUS, CONSUMER SERV, HOUSING</v>
          </cell>
          <cell r="E142" t="str">
            <v/>
          </cell>
          <cell r="F142" t="str">
            <v>0000</v>
          </cell>
          <cell r="G142" t="str">
            <v>0000</v>
          </cell>
          <cell r="H142" t="str">
            <v>0000</v>
          </cell>
          <cell r="I142" t="str">
            <v>0000</v>
          </cell>
          <cell r="J142" t="str">
            <v>10/28/2016</v>
          </cell>
          <cell r="K142" t="str">
            <v>00/00/1999</v>
          </cell>
        </row>
        <row r="143">
          <cell r="A143" t="str">
            <v>1430</v>
          </cell>
          <cell r="B143" t="str">
            <v>BD OF REGIS PHYS ASST EX COMM</v>
          </cell>
          <cell r="C143" t="str">
            <v>0825</v>
          </cell>
          <cell r="D143" t="str">
            <v>BUS, CONSUMER SERV, HOUSING</v>
          </cell>
          <cell r="E143" t="str">
            <v/>
          </cell>
          <cell r="F143" t="str">
            <v>0000</v>
          </cell>
          <cell r="G143" t="str">
            <v>0000</v>
          </cell>
          <cell r="H143" t="str">
            <v>0000</v>
          </cell>
          <cell r="I143" t="str">
            <v>0000</v>
          </cell>
          <cell r="J143" t="str">
            <v>10/28/2016</v>
          </cell>
          <cell r="K143" t="str">
            <v>00/00/1999</v>
          </cell>
        </row>
        <row r="144">
          <cell r="A144" t="str">
            <v>1440</v>
          </cell>
          <cell r="B144" t="str">
            <v>PODIATRY EXAMINING COMMITTEE</v>
          </cell>
          <cell r="C144" t="str">
            <v>0825</v>
          </cell>
          <cell r="D144" t="str">
            <v>BUS, CONSUMER SERV, HOUSING</v>
          </cell>
          <cell r="E144" t="str">
            <v/>
          </cell>
          <cell r="F144" t="str">
            <v>0000</v>
          </cell>
          <cell r="G144" t="str">
            <v>0000</v>
          </cell>
          <cell r="H144" t="str">
            <v>0000</v>
          </cell>
          <cell r="I144" t="str">
            <v>0000</v>
          </cell>
          <cell r="J144" t="str">
            <v>10/28/2016</v>
          </cell>
          <cell r="K144" t="str">
            <v>00/00/1999</v>
          </cell>
        </row>
        <row r="145">
          <cell r="A145" t="str">
            <v>1450</v>
          </cell>
          <cell r="B145" t="str">
            <v>PSYCHOLOGY EXAMINING COMMITTEE</v>
          </cell>
          <cell r="C145" t="str">
            <v>0825</v>
          </cell>
          <cell r="D145" t="str">
            <v>BUS, CONSUMER SERV, HOUSING</v>
          </cell>
          <cell r="E145" t="str">
            <v/>
          </cell>
          <cell r="F145" t="str">
            <v>0000</v>
          </cell>
          <cell r="G145" t="str">
            <v>0000</v>
          </cell>
          <cell r="H145" t="str">
            <v>0000</v>
          </cell>
          <cell r="I145" t="str">
            <v>0000</v>
          </cell>
          <cell r="J145" t="str">
            <v>10/28/2016</v>
          </cell>
          <cell r="K145" t="str">
            <v>00/00/1999</v>
          </cell>
        </row>
        <row r="146">
          <cell r="A146" t="str">
            <v>1455</v>
          </cell>
          <cell r="B146" t="str">
            <v>RESPIRATORY CARE EXAM COMITE</v>
          </cell>
          <cell r="C146" t="str">
            <v>0825</v>
          </cell>
          <cell r="D146" t="str">
            <v>BUS, CONSUMER SERV, HOUSING</v>
          </cell>
          <cell r="E146" t="str">
            <v/>
          </cell>
          <cell r="F146" t="str">
            <v>0000</v>
          </cell>
          <cell r="G146" t="str">
            <v>0000</v>
          </cell>
          <cell r="H146" t="str">
            <v>0000</v>
          </cell>
          <cell r="I146" t="str">
            <v>0000</v>
          </cell>
          <cell r="J146" t="str">
            <v>10/28/2016</v>
          </cell>
          <cell r="K146" t="str">
            <v>00/00/1999</v>
          </cell>
        </row>
        <row r="147">
          <cell r="A147" t="str">
            <v>1460</v>
          </cell>
          <cell r="B147" t="str">
            <v>BD OF M Q ASSURSP PATH AUDIO</v>
          </cell>
          <cell r="C147" t="str">
            <v>0825</v>
          </cell>
          <cell r="D147" t="str">
            <v>BUS, CONSUMER SERV, HOUSING</v>
          </cell>
          <cell r="E147" t="str">
            <v/>
          </cell>
          <cell r="F147" t="str">
            <v>0000</v>
          </cell>
          <cell r="G147" t="str">
            <v>0000</v>
          </cell>
          <cell r="H147" t="str">
            <v>0000</v>
          </cell>
          <cell r="I147" t="str">
            <v>0000</v>
          </cell>
          <cell r="J147" t="str">
            <v>10/28/2016</v>
          </cell>
          <cell r="K147" t="str">
            <v>00/00/1999</v>
          </cell>
        </row>
        <row r="148">
          <cell r="A148" t="str">
            <v>1470</v>
          </cell>
          <cell r="B148" t="str">
            <v>BD OF NURSING HOME ADMIN</v>
          </cell>
          <cell r="C148" t="str">
            <v>0825</v>
          </cell>
          <cell r="D148" t="str">
            <v>BUS, CONSUMER SERV, HOUSING</v>
          </cell>
          <cell r="E148" t="str">
            <v/>
          </cell>
          <cell r="F148" t="str">
            <v>0000</v>
          </cell>
          <cell r="G148" t="str">
            <v>0000</v>
          </cell>
          <cell r="H148" t="str">
            <v>0000</v>
          </cell>
          <cell r="I148" t="str">
            <v>0000</v>
          </cell>
          <cell r="J148" t="str">
            <v>10/28/2016</v>
          </cell>
          <cell r="K148" t="str">
            <v>00/00/1999</v>
          </cell>
        </row>
        <row r="149">
          <cell r="A149" t="str">
            <v>1475</v>
          </cell>
          <cell r="B149" t="str">
            <v>BD OF OCCUPATIONAL THERAPY</v>
          </cell>
          <cell r="C149" t="str">
            <v>0825</v>
          </cell>
          <cell r="D149" t="str">
            <v>BUS, CONSUMER SERV, HOUSING</v>
          </cell>
          <cell r="E149" t="str">
            <v/>
          </cell>
          <cell r="F149" t="str">
            <v>0000</v>
          </cell>
          <cell r="G149" t="str">
            <v>0000</v>
          </cell>
          <cell r="H149" t="str">
            <v>0000</v>
          </cell>
          <cell r="I149" t="str">
            <v>0000</v>
          </cell>
          <cell r="J149" t="str">
            <v>10/28/2016</v>
          </cell>
          <cell r="K149" t="str">
            <v>00/00/0000</v>
          </cell>
        </row>
        <row r="150">
          <cell r="A150" t="str">
            <v>1480</v>
          </cell>
          <cell r="B150" t="str">
            <v>BOARD OF OPTOMETRY</v>
          </cell>
          <cell r="C150" t="str">
            <v>0825</v>
          </cell>
          <cell r="D150" t="str">
            <v>BUS, CONSUMER SERV, HOUSING</v>
          </cell>
          <cell r="E150" t="str">
            <v/>
          </cell>
          <cell r="F150" t="str">
            <v>0000</v>
          </cell>
          <cell r="G150" t="str">
            <v>0000</v>
          </cell>
          <cell r="H150" t="str">
            <v>0000</v>
          </cell>
          <cell r="I150" t="str">
            <v>0000</v>
          </cell>
          <cell r="J150" t="str">
            <v>07/08/2016</v>
          </cell>
          <cell r="K150" t="str">
            <v>00/00/1999</v>
          </cell>
        </row>
        <row r="151">
          <cell r="A151" t="str">
            <v>1485</v>
          </cell>
          <cell r="B151" t="str">
            <v>OSTEOPATHIC-MEDICAL-OF CA</v>
          </cell>
          <cell r="C151" t="str">
            <v>0825</v>
          </cell>
          <cell r="D151" t="str">
            <v>BUS, CONSUMER SERV, HOUSING</v>
          </cell>
          <cell r="E151" t="str">
            <v/>
          </cell>
          <cell r="F151" t="str">
            <v>0000</v>
          </cell>
          <cell r="G151" t="str">
            <v>0000</v>
          </cell>
          <cell r="H151" t="str">
            <v>0000</v>
          </cell>
          <cell r="I151" t="str">
            <v>0000</v>
          </cell>
          <cell r="J151" t="str">
            <v>07/08/2016</v>
          </cell>
          <cell r="K151" t="str">
            <v>00/00/0000</v>
          </cell>
        </row>
        <row r="152">
          <cell r="A152" t="str">
            <v>1490</v>
          </cell>
          <cell r="B152" t="str">
            <v>BOARD OF PHARMACY</v>
          </cell>
          <cell r="C152" t="str">
            <v>0825</v>
          </cell>
          <cell r="D152" t="str">
            <v>BUS, CONSUMER SERV, HOUSING</v>
          </cell>
          <cell r="E152" t="str">
            <v/>
          </cell>
          <cell r="F152" t="str">
            <v>0000</v>
          </cell>
          <cell r="G152" t="str">
            <v>0000</v>
          </cell>
          <cell r="H152" t="str">
            <v>0000</v>
          </cell>
          <cell r="I152" t="str">
            <v>0000</v>
          </cell>
          <cell r="J152" t="str">
            <v>07/08/2016</v>
          </cell>
          <cell r="K152" t="str">
            <v>00/00/1999</v>
          </cell>
        </row>
        <row r="153">
          <cell r="A153" t="str">
            <v>1500</v>
          </cell>
          <cell r="B153" t="str">
            <v>BD OF REG-PROFFESSIONAL ENGRS</v>
          </cell>
          <cell r="C153" t="str">
            <v>0825</v>
          </cell>
          <cell r="D153" t="str">
            <v>BUS, CONSUMER SERV, HOUSING</v>
          </cell>
          <cell r="E153" t="str">
            <v/>
          </cell>
          <cell r="F153" t="str">
            <v>0000</v>
          </cell>
          <cell r="G153" t="str">
            <v>0000</v>
          </cell>
          <cell r="H153" t="str">
            <v>0000</v>
          </cell>
          <cell r="I153" t="str">
            <v>0000</v>
          </cell>
          <cell r="J153" t="str">
            <v>10/28/2016</v>
          </cell>
          <cell r="K153" t="str">
            <v>00/00/1999</v>
          </cell>
        </row>
        <row r="154">
          <cell r="A154" t="str">
            <v>1510</v>
          </cell>
          <cell r="B154" t="str">
            <v>BD OF REGISTERED NURSING</v>
          </cell>
          <cell r="C154" t="str">
            <v>0825</v>
          </cell>
          <cell r="D154" t="str">
            <v>BUS, CONSUMER SERV, HOUSING</v>
          </cell>
          <cell r="E154" t="str">
            <v/>
          </cell>
          <cell r="F154" t="str">
            <v>0000</v>
          </cell>
          <cell r="G154" t="str">
            <v>0000</v>
          </cell>
          <cell r="H154" t="str">
            <v>0000</v>
          </cell>
          <cell r="I154" t="str">
            <v>0000</v>
          </cell>
          <cell r="J154" t="str">
            <v>07/08/2016</v>
          </cell>
          <cell r="K154" t="str">
            <v>00/00/1999</v>
          </cell>
        </row>
        <row r="155">
          <cell r="A155" t="str">
            <v>1520</v>
          </cell>
          <cell r="B155" t="str">
            <v>CERT SHORTHAND REPORTERS BD</v>
          </cell>
          <cell r="C155" t="str">
            <v>0825</v>
          </cell>
          <cell r="D155" t="str">
            <v>BUS, CONSUMER SERV, HOUSING</v>
          </cell>
          <cell r="E155" t="str">
            <v/>
          </cell>
          <cell r="F155" t="str">
            <v>0000</v>
          </cell>
          <cell r="G155" t="str">
            <v>0000</v>
          </cell>
          <cell r="H155" t="str">
            <v>0000</v>
          </cell>
          <cell r="I155" t="str">
            <v>0000</v>
          </cell>
          <cell r="J155" t="str">
            <v>10/28/2016</v>
          </cell>
          <cell r="K155" t="str">
            <v>00/00/1999</v>
          </cell>
        </row>
        <row r="156">
          <cell r="A156" t="str">
            <v>1530</v>
          </cell>
          <cell r="B156" t="str">
            <v>STRUCTURAL PEST CONTROL BOARD</v>
          </cell>
          <cell r="C156" t="str">
            <v>0825</v>
          </cell>
          <cell r="D156" t="str">
            <v>BUS, CONSUMER SERV, HOUSING</v>
          </cell>
          <cell r="E156" t="str">
            <v/>
          </cell>
          <cell r="F156" t="str">
            <v>0000</v>
          </cell>
          <cell r="G156" t="str">
            <v>0000</v>
          </cell>
          <cell r="H156" t="str">
            <v>0000</v>
          </cell>
          <cell r="I156" t="str">
            <v>0000</v>
          </cell>
          <cell r="J156" t="str">
            <v>07/08/2016</v>
          </cell>
          <cell r="K156" t="str">
            <v>00/00/1999</v>
          </cell>
        </row>
        <row r="157">
          <cell r="A157" t="str">
            <v>1540</v>
          </cell>
          <cell r="B157" t="str">
            <v>TAX PREPARERS' PROGRAM</v>
          </cell>
          <cell r="C157" t="str">
            <v>0825</v>
          </cell>
          <cell r="D157" t="str">
            <v>BUS, CONSUMER SERV, HOUSING</v>
          </cell>
          <cell r="E157" t="str">
            <v/>
          </cell>
          <cell r="F157" t="str">
            <v>0000</v>
          </cell>
          <cell r="G157" t="str">
            <v>0000</v>
          </cell>
          <cell r="H157" t="str">
            <v>0000</v>
          </cell>
          <cell r="I157" t="str">
            <v>0000</v>
          </cell>
          <cell r="J157" t="str">
            <v>07/08/2016</v>
          </cell>
          <cell r="K157" t="str">
            <v>00/00/1999</v>
          </cell>
        </row>
        <row r="158">
          <cell r="A158" t="str">
            <v>1550</v>
          </cell>
          <cell r="B158" t="str">
            <v>VETERINARY MEDICINE</v>
          </cell>
          <cell r="C158" t="str">
            <v>0825</v>
          </cell>
          <cell r="D158" t="str">
            <v>BUS, CONSUMER SERV, HOUSING</v>
          </cell>
          <cell r="E158" t="str">
            <v/>
          </cell>
          <cell r="F158" t="str">
            <v>0000</v>
          </cell>
          <cell r="G158" t="str">
            <v>0000</v>
          </cell>
          <cell r="H158" t="str">
            <v>0000</v>
          </cell>
          <cell r="I158" t="str">
            <v>0000</v>
          </cell>
          <cell r="J158" t="str">
            <v>07/08/2016</v>
          </cell>
          <cell r="K158" t="str">
            <v>00/00/0000</v>
          </cell>
        </row>
        <row r="159">
          <cell r="A159" t="str">
            <v>1560</v>
          </cell>
          <cell r="B159" t="str">
            <v>VETERINARY MEDICINE EXAM BOARD</v>
          </cell>
          <cell r="C159" t="str">
            <v>0825</v>
          </cell>
          <cell r="D159" t="str">
            <v>BUS, CONSUMER SERV, HOUSING</v>
          </cell>
          <cell r="E159" t="str">
            <v/>
          </cell>
          <cell r="F159" t="str">
            <v>0000</v>
          </cell>
          <cell r="G159" t="str">
            <v>0000</v>
          </cell>
          <cell r="H159" t="str">
            <v>0000</v>
          </cell>
          <cell r="I159" t="str">
            <v>0000</v>
          </cell>
          <cell r="J159" t="str">
            <v>07/08/2016</v>
          </cell>
          <cell r="K159" t="str">
            <v>00/00/1999</v>
          </cell>
        </row>
        <row r="160">
          <cell r="A160" t="str">
            <v>1570</v>
          </cell>
          <cell r="B160" t="str">
            <v>ANIMAL HEALTH TECH EXAM COMM</v>
          </cell>
          <cell r="C160" t="str">
            <v>0825</v>
          </cell>
          <cell r="D160" t="str">
            <v>BUS, CONSUMER SERV, HOUSING</v>
          </cell>
          <cell r="E160" t="str">
            <v/>
          </cell>
          <cell r="F160" t="str">
            <v>0000</v>
          </cell>
          <cell r="G160" t="str">
            <v>0000</v>
          </cell>
          <cell r="H160" t="str">
            <v>0000</v>
          </cell>
          <cell r="I160" t="str">
            <v>0000</v>
          </cell>
          <cell r="J160" t="str">
            <v>10/28/2016</v>
          </cell>
          <cell r="K160" t="str">
            <v>00/00/1999</v>
          </cell>
        </row>
        <row r="161">
          <cell r="A161" t="str">
            <v>1580</v>
          </cell>
          <cell r="B161" t="str">
            <v>BD OF VOC NURS AND PSYCH TECH</v>
          </cell>
          <cell r="C161" t="str">
            <v>0825</v>
          </cell>
          <cell r="D161" t="str">
            <v>BUS, CONSUMER SERV, HOUSING</v>
          </cell>
          <cell r="E161" t="str">
            <v/>
          </cell>
          <cell r="F161" t="str">
            <v>0000</v>
          </cell>
          <cell r="G161" t="str">
            <v>0000</v>
          </cell>
          <cell r="H161" t="str">
            <v>0000</v>
          </cell>
          <cell r="I161" t="str">
            <v>0000</v>
          </cell>
          <cell r="J161" t="str">
            <v>07/08/2016</v>
          </cell>
          <cell r="K161" t="str">
            <v>00/00/0000</v>
          </cell>
        </row>
        <row r="162">
          <cell r="A162" t="str">
            <v>1590</v>
          </cell>
          <cell r="B162" t="str">
            <v>VOCATIONAL NURSE EXAM BOARD</v>
          </cell>
          <cell r="C162" t="str">
            <v>0825</v>
          </cell>
          <cell r="D162" t="str">
            <v>BUS, CONSUMER SERV, HOUSING</v>
          </cell>
          <cell r="E162" t="str">
            <v/>
          </cell>
          <cell r="F162" t="str">
            <v>0000</v>
          </cell>
          <cell r="G162" t="str">
            <v>0000</v>
          </cell>
          <cell r="H162" t="str">
            <v>0000</v>
          </cell>
          <cell r="I162" t="str">
            <v>0000</v>
          </cell>
          <cell r="J162" t="str">
            <v>07/08/2016</v>
          </cell>
          <cell r="K162" t="str">
            <v>00/00/1999</v>
          </cell>
        </row>
        <row r="163">
          <cell r="A163" t="str">
            <v>1600</v>
          </cell>
          <cell r="B163" t="str">
            <v>PSYCH TECH EXAMINING COMMITTEE</v>
          </cell>
          <cell r="C163" t="str">
            <v>0825</v>
          </cell>
          <cell r="D163" t="str">
            <v>BUS, CONSUMER SERV, HOUSING</v>
          </cell>
          <cell r="E163" t="str">
            <v/>
          </cell>
          <cell r="F163" t="str">
            <v>0000</v>
          </cell>
          <cell r="G163" t="str">
            <v>0000</v>
          </cell>
          <cell r="H163" t="str">
            <v>0000</v>
          </cell>
          <cell r="I163" t="str">
            <v>0000</v>
          </cell>
          <cell r="J163" t="str">
            <v>07/08/2016</v>
          </cell>
          <cell r="K163" t="str">
            <v>00/00/1999</v>
          </cell>
        </row>
        <row r="164">
          <cell r="A164" t="str">
            <v>1654</v>
          </cell>
          <cell r="B164" t="str">
            <v>DEPT OF CONSUMER AFFAIRS</v>
          </cell>
          <cell r="C164" t="str">
            <v>0825</v>
          </cell>
          <cell r="D164" t="str">
            <v>BUS, CONSUMER SERV, HOUSING</v>
          </cell>
          <cell r="E164" t="str">
            <v/>
          </cell>
          <cell r="F164" t="str">
            <v>0000</v>
          </cell>
          <cell r="G164" t="str">
            <v>0000</v>
          </cell>
          <cell r="H164" t="str">
            <v>0000</v>
          </cell>
          <cell r="I164" t="str">
            <v>0000</v>
          </cell>
          <cell r="J164" t="str">
            <v>07/08/2016</v>
          </cell>
          <cell r="K164" t="str">
            <v>00/00/0000</v>
          </cell>
        </row>
        <row r="165">
          <cell r="A165" t="str">
            <v>1655</v>
          </cell>
          <cell r="B165" t="str">
            <v>DEPT OF CONSUMER AFF -ADM SEV</v>
          </cell>
          <cell r="C165" t="str">
            <v>0825</v>
          </cell>
          <cell r="D165" t="str">
            <v>BUS, CONSUMER SERV, HOUSING</v>
          </cell>
          <cell r="E165" t="str">
            <v/>
          </cell>
          <cell r="F165" t="str">
            <v>0000</v>
          </cell>
          <cell r="G165" t="str">
            <v>0000</v>
          </cell>
          <cell r="H165" t="str">
            <v>0000</v>
          </cell>
          <cell r="I165" t="str">
            <v>0000</v>
          </cell>
          <cell r="J165" t="str">
            <v>07/08/2016</v>
          </cell>
          <cell r="K165" t="str">
            <v>00/00/1999</v>
          </cell>
        </row>
        <row r="166">
          <cell r="A166" t="str">
            <v>1660</v>
          </cell>
          <cell r="B166" t="str">
            <v>DEPT CONSUMER AFF-INVESTIGATE</v>
          </cell>
          <cell r="C166" t="str">
            <v>0825</v>
          </cell>
          <cell r="D166" t="str">
            <v>BUS, CONSUMER SERV, HOUSING</v>
          </cell>
          <cell r="E166" t="str">
            <v/>
          </cell>
          <cell r="F166" t="str">
            <v>0000</v>
          </cell>
          <cell r="G166" t="str">
            <v>0000</v>
          </cell>
          <cell r="H166" t="str">
            <v>0000</v>
          </cell>
          <cell r="I166" t="str">
            <v>0000</v>
          </cell>
          <cell r="J166" t="str">
            <v>07/08/2016</v>
          </cell>
          <cell r="K166" t="str">
            <v>00/00/0000</v>
          </cell>
        </row>
        <row r="167">
          <cell r="A167" t="str">
            <v>1670</v>
          </cell>
          <cell r="B167" t="str">
            <v>DEPT CONSUMER AFF-ADMINISTN</v>
          </cell>
          <cell r="C167" t="str">
            <v>0825</v>
          </cell>
          <cell r="D167" t="str">
            <v>BUS, CONSUMER SERV, HOUSING</v>
          </cell>
          <cell r="E167" t="str">
            <v/>
          </cell>
          <cell r="F167" t="str">
            <v>0000</v>
          </cell>
          <cell r="G167" t="str">
            <v>0000</v>
          </cell>
          <cell r="H167" t="str">
            <v>0000</v>
          </cell>
          <cell r="I167" t="str">
            <v>0000</v>
          </cell>
          <cell r="J167" t="str">
            <v>10/28/2016</v>
          </cell>
          <cell r="K167" t="str">
            <v>00/00/0000</v>
          </cell>
        </row>
        <row r="168">
          <cell r="A168" t="str">
            <v>1680</v>
          </cell>
          <cell r="B168" t="str">
            <v>CONSUMER AFF-BLDG MAINT &amp; OP</v>
          </cell>
          <cell r="C168" t="str">
            <v>0825</v>
          </cell>
          <cell r="D168" t="str">
            <v>BUS, CONSUMER SERV, HOUSING</v>
          </cell>
          <cell r="E168" t="str">
            <v/>
          </cell>
          <cell r="F168" t="str">
            <v>0000</v>
          </cell>
          <cell r="G168" t="str">
            <v>0000</v>
          </cell>
          <cell r="H168" t="str">
            <v>0000</v>
          </cell>
          <cell r="I168" t="str">
            <v>0000</v>
          </cell>
          <cell r="J168" t="str">
            <v>10/28/2016</v>
          </cell>
          <cell r="K168" t="str">
            <v>00/00/0000</v>
          </cell>
        </row>
        <row r="169">
          <cell r="A169" t="str">
            <v>1690</v>
          </cell>
          <cell r="B169" t="str">
            <v>SIESMIC SAFETY COMMISSION</v>
          </cell>
          <cell r="C169" t="str">
            <v>0825</v>
          </cell>
          <cell r="D169" t="str">
            <v>BUS, CONSUMER SERV, HOUSING</v>
          </cell>
          <cell r="E169" t="str">
            <v/>
          </cell>
          <cell r="F169" t="str">
            <v>0000</v>
          </cell>
          <cell r="G169" t="str">
            <v>0000</v>
          </cell>
          <cell r="H169" t="str">
            <v>0000</v>
          </cell>
          <cell r="I169" t="str">
            <v>0000</v>
          </cell>
          <cell r="J169" t="str">
            <v>08/19/2016</v>
          </cell>
          <cell r="K169" t="str">
            <v>00/00/0000</v>
          </cell>
        </row>
        <row r="170">
          <cell r="A170" t="str">
            <v>1700</v>
          </cell>
          <cell r="B170" t="str">
            <v>DEPT FAIR EMPLOYMENT &amp; HOUSING</v>
          </cell>
          <cell r="C170" t="str">
            <v>0825</v>
          </cell>
          <cell r="D170" t="str">
            <v>BUS, CONSUMER SERV, HOUSING</v>
          </cell>
          <cell r="E170" t="str">
            <v/>
          </cell>
          <cell r="F170" t="str">
            <v>0000</v>
          </cell>
          <cell r="G170" t="str">
            <v>0000</v>
          </cell>
          <cell r="H170" t="str">
            <v>0000</v>
          </cell>
          <cell r="I170" t="str">
            <v>0000</v>
          </cell>
          <cell r="J170" t="str">
            <v>07/08/2016</v>
          </cell>
          <cell r="K170" t="str">
            <v>00/00/0000</v>
          </cell>
        </row>
        <row r="171">
          <cell r="A171" t="str">
            <v>1701</v>
          </cell>
          <cell r="B171" t="str">
            <v>BUSINESS OVERSIGHT</v>
          </cell>
          <cell r="C171" t="str">
            <v>0825</v>
          </cell>
          <cell r="D171" t="str">
            <v>BUS, CONSUMER SERV, HOUSING</v>
          </cell>
          <cell r="E171" t="str">
            <v/>
          </cell>
          <cell r="F171" t="str">
            <v>0000</v>
          </cell>
          <cell r="G171" t="str">
            <v>0000</v>
          </cell>
          <cell r="H171" t="str">
            <v>0000</v>
          </cell>
          <cell r="I171" t="str">
            <v>0000</v>
          </cell>
          <cell r="J171" t="str">
            <v>07/08/2016</v>
          </cell>
          <cell r="K171" t="str">
            <v>00/00/0000</v>
          </cell>
        </row>
        <row r="172">
          <cell r="A172" t="str">
            <v>1703</v>
          </cell>
          <cell r="B172" t="str">
            <v>CA PRIVACY PROTECTION AGENCY</v>
          </cell>
          <cell r="C172" t="str">
            <v>0825</v>
          </cell>
          <cell r="D172" t="str">
            <v>BUS CONSUMER SER HOUSING</v>
          </cell>
          <cell r="E172" t="str">
            <v/>
          </cell>
          <cell r="F172" t="str">
            <v>0000</v>
          </cell>
          <cell r="G172" t="str">
            <v>0000</v>
          </cell>
          <cell r="H172" t="str">
            <v>0000</v>
          </cell>
          <cell r="I172" t="str">
            <v>0000</v>
          </cell>
          <cell r="J172" t="str">
            <v>05/09/2022</v>
          </cell>
          <cell r="K172" t="str">
            <v>00/00/0000</v>
          </cell>
        </row>
        <row r="173">
          <cell r="A173" t="str">
            <v>1705</v>
          </cell>
          <cell r="B173" t="str">
            <v>FAIR EMPLOY AND HOUSING COMM</v>
          </cell>
          <cell r="C173" t="str">
            <v>0825</v>
          </cell>
          <cell r="D173" t="str">
            <v>BUS, CONSUMER SERV, HOUSING</v>
          </cell>
          <cell r="E173" t="str">
            <v/>
          </cell>
          <cell r="F173" t="str">
            <v>0000</v>
          </cell>
          <cell r="G173" t="str">
            <v>0000</v>
          </cell>
          <cell r="H173" t="str">
            <v>0000</v>
          </cell>
          <cell r="I173" t="str">
            <v>0000</v>
          </cell>
          <cell r="J173" t="str">
            <v>07/08/2016</v>
          </cell>
          <cell r="K173" t="str">
            <v>00/00/0000</v>
          </cell>
        </row>
        <row r="174">
          <cell r="A174" t="str">
            <v>1750</v>
          </cell>
          <cell r="B174" t="str">
            <v>HORSE RACING BOARD</v>
          </cell>
          <cell r="C174" t="str">
            <v>0825</v>
          </cell>
          <cell r="D174" t="str">
            <v>BUS, CONSUMER SERV, HOUSING</v>
          </cell>
          <cell r="E174" t="str">
            <v/>
          </cell>
          <cell r="F174" t="str">
            <v>0000</v>
          </cell>
          <cell r="G174" t="str">
            <v>0000</v>
          </cell>
          <cell r="H174" t="str">
            <v>0000</v>
          </cell>
          <cell r="I174" t="str">
            <v>0000</v>
          </cell>
          <cell r="J174" t="str">
            <v>07/08/2016</v>
          </cell>
          <cell r="K174" t="str">
            <v>00/00/0000</v>
          </cell>
        </row>
        <row r="175">
          <cell r="A175" t="str">
            <v>1790</v>
          </cell>
          <cell r="B175" t="str">
            <v>OFFICE OF STATE ARCHITECT</v>
          </cell>
          <cell r="C175" t="str">
            <v>0808</v>
          </cell>
          <cell r="D175" t="str">
            <v>GENERAL GOVERNMENT</v>
          </cell>
          <cell r="E175" t="str">
            <v/>
          </cell>
          <cell r="F175" t="str">
            <v>0000</v>
          </cell>
          <cell r="G175" t="str">
            <v>0000</v>
          </cell>
          <cell r="H175" t="str">
            <v>0000</v>
          </cell>
          <cell r="I175" t="str">
            <v>0000</v>
          </cell>
          <cell r="J175" t="str">
            <v>08/19/2016</v>
          </cell>
          <cell r="K175" t="str">
            <v>00/00/0000</v>
          </cell>
        </row>
        <row r="176">
          <cell r="A176" t="str">
            <v>1800</v>
          </cell>
          <cell r="B176" t="str">
            <v>OFFICE OF STATE PRINTING</v>
          </cell>
          <cell r="C176" t="str">
            <v>0808</v>
          </cell>
          <cell r="D176" t="str">
            <v>GENERAL GOVERNMENT</v>
          </cell>
          <cell r="E176" t="str">
            <v/>
          </cell>
          <cell r="F176" t="str">
            <v>0000</v>
          </cell>
          <cell r="G176" t="str">
            <v>0000</v>
          </cell>
          <cell r="H176" t="str">
            <v>0000</v>
          </cell>
          <cell r="I176" t="str">
            <v>0000</v>
          </cell>
          <cell r="J176" t="str">
            <v>08/19/2016</v>
          </cell>
          <cell r="K176" t="str">
            <v>00/00/0000</v>
          </cell>
        </row>
        <row r="177">
          <cell r="A177" t="str">
            <v>1820</v>
          </cell>
          <cell r="B177" t="str">
            <v>OFFICE OF PUBLIC SCHOOL CONSTR</v>
          </cell>
          <cell r="C177" t="str">
            <v>0808</v>
          </cell>
          <cell r="D177" t="str">
            <v>GENERAL GOVERNMENT</v>
          </cell>
          <cell r="E177" t="str">
            <v/>
          </cell>
          <cell r="F177" t="str">
            <v>0000</v>
          </cell>
          <cell r="G177" t="str">
            <v>0000</v>
          </cell>
          <cell r="H177" t="str">
            <v>0000</v>
          </cell>
          <cell r="I177" t="str">
            <v>0000</v>
          </cell>
          <cell r="J177" t="str">
            <v>08/19/2016</v>
          </cell>
          <cell r="K177" t="str">
            <v>00/00/0000</v>
          </cell>
        </row>
        <row r="178">
          <cell r="A178" t="str">
            <v>1830</v>
          </cell>
          <cell r="B178" t="str">
            <v>STATE ALLOCATION BOARD</v>
          </cell>
          <cell r="C178" t="str">
            <v>0825</v>
          </cell>
          <cell r="D178" t="str">
            <v>BUS, CONSUMER SERV, HOUSING</v>
          </cell>
          <cell r="E178" t="str">
            <v/>
          </cell>
          <cell r="F178" t="str">
            <v>0000</v>
          </cell>
          <cell r="G178" t="str">
            <v>0000</v>
          </cell>
          <cell r="H178" t="str">
            <v>0000</v>
          </cell>
          <cell r="I178" t="str">
            <v>0000</v>
          </cell>
          <cell r="J178" t="str">
            <v>08/19/2016</v>
          </cell>
          <cell r="K178" t="str">
            <v>00/00/0000</v>
          </cell>
        </row>
        <row r="179">
          <cell r="A179" t="str">
            <v>1860</v>
          </cell>
          <cell r="B179" t="str">
            <v>INTERGOVT PERS ACT ADVIS COUNC</v>
          </cell>
          <cell r="C179" t="str">
            <v>0825</v>
          </cell>
          <cell r="D179" t="str">
            <v>BUS, CONSUMER SERV, HOUSING</v>
          </cell>
          <cell r="E179" t="str">
            <v/>
          </cell>
          <cell r="F179" t="str">
            <v>0000</v>
          </cell>
          <cell r="G179" t="str">
            <v>0000</v>
          </cell>
          <cell r="H179" t="str">
            <v>0000</v>
          </cell>
          <cell r="I179" t="str">
            <v>0000</v>
          </cell>
          <cell r="J179" t="str">
            <v>07/08/2016</v>
          </cell>
          <cell r="K179" t="str">
            <v>00/00/0000</v>
          </cell>
        </row>
        <row r="180">
          <cell r="A180" t="str">
            <v>1880</v>
          </cell>
          <cell r="B180" t="str">
            <v>STATE PERSONNEL BOARD</v>
          </cell>
          <cell r="C180" t="str">
            <v>0825</v>
          </cell>
          <cell r="D180" t="str">
            <v>BUS, CONSUMER SERV, HOUSING</v>
          </cell>
          <cell r="E180" t="str">
            <v/>
          </cell>
          <cell r="F180" t="str">
            <v>0000</v>
          </cell>
          <cell r="G180" t="str">
            <v>0000</v>
          </cell>
          <cell r="H180" t="str">
            <v>0000</v>
          </cell>
          <cell r="I180" t="str">
            <v>0000</v>
          </cell>
          <cell r="J180" t="str">
            <v>07/08/2016</v>
          </cell>
          <cell r="K180" t="str">
            <v>00/00/1999</v>
          </cell>
        </row>
        <row r="181">
          <cell r="A181" t="str">
            <v>2000</v>
          </cell>
          <cell r="B181" t="str">
            <v>BUSINESS, TRANSP AND HOUSING</v>
          </cell>
          <cell r="C181" t="str">
            <v>0825</v>
          </cell>
          <cell r="D181" t="str">
            <v>BUS, CONSUMER SERV, HOUSING</v>
          </cell>
          <cell r="E181" t="str">
            <v/>
          </cell>
          <cell r="F181" t="str">
            <v>0000</v>
          </cell>
          <cell r="G181" t="str">
            <v>0000</v>
          </cell>
          <cell r="H181" t="str">
            <v>0000</v>
          </cell>
          <cell r="I181" t="str">
            <v>0000</v>
          </cell>
          <cell r="J181" t="str">
            <v>12/21/2016</v>
          </cell>
          <cell r="K181" t="str">
            <v>00/00/0000</v>
          </cell>
        </row>
        <row r="182">
          <cell r="A182" t="str">
            <v>2010</v>
          </cell>
          <cell r="B182" t="str">
            <v>BUSINESS AND HOUSING</v>
          </cell>
          <cell r="C182" t="str">
            <v>0825</v>
          </cell>
          <cell r="D182" t="str">
            <v>BUS, CONSUMER SERV, HOUSING</v>
          </cell>
          <cell r="E182" t="str">
            <v/>
          </cell>
          <cell r="F182" t="str">
            <v>0000</v>
          </cell>
          <cell r="G182" t="str">
            <v>0000</v>
          </cell>
          <cell r="H182" t="str">
            <v>0000</v>
          </cell>
          <cell r="I182" t="str">
            <v>0000</v>
          </cell>
          <cell r="J182" t="str">
            <v>12/21/2016</v>
          </cell>
          <cell r="K182" t="str">
            <v>00/00/0000</v>
          </cell>
        </row>
        <row r="183">
          <cell r="A183" t="str">
            <v>2020</v>
          </cell>
          <cell r="B183" t="str">
            <v>TRANSPORTATION</v>
          </cell>
          <cell r="C183" t="str">
            <v>0830</v>
          </cell>
          <cell r="D183" t="str">
            <v>TRANSPORTATION</v>
          </cell>
          <cell r="E183" t="str">
            <v/>
          </cell>
          <cell r="F183" t="str">
            <v>0000</v>
          </cell>
          <cell r="G183" t="str">
            <v>0000</v>
          </cell>
          <cell r="H183" t="str">
            <v>0000</v>
          </cell>
          <cell r="I183" t="str">
            <v>0000</v>
          </cell>
          <cell r="J183" t="str">
            <v>10/28/2016</v>
          </cell>
          <cell r="K183" t="str">
            <v>00/00/0000</v>
          </cell>
        </row>
        <row r="184">
          <cell r="A184" t="str">
            <v>2050</v>
          </cell>
          <cell r="B184" t="str">
            <v>BUS, TRANSP AND HSNG AGCY PROG</v>
          </cell>
          <cell r="C184" t="str">
            <v>0825</v>
          </cell>
          <cell r="D184" t="str">
            <v>BUS, CONSUMER SERV, HOUSING</v>
          </cell>
          <cell r="E184" t="str">
            <v/>
          </cell>
          <cell r="F184" t="str">
            <v>0000</v>
          </cell>
          <cell r="G184" t="str">
            <v>0000</v>
          </cell>
          <cell r="H184" t="str">
            <v>0000</v>
          </cell>
          <cell r="I184" t="str">
            <v>0000</v>
          </cell>
          <cell r="J184" t="str">
            <v>12/21/2016</v>
          </cell>
          <cell r="K184" t="str">
            <v>00/00/0000</v>
          </cell>
        </row>
        <row r="185">
          <cell r="A185" t="str">
            <v>2060</v>
          </cell>
          <cell r="B185" t="str">
            <v>SOLAR CAL OFFICE</v>
          </cell>
          <cell r="C185" t="str">
            <v>0825</v>
          </cell>
          <cell r="D185" t="str">
            <v>BUS, CONSUMER SERV, HOUSING</v>
          </cell>
          <cell r="E185" t="str">
            <v/>
          </cell>
          <cell r="F185" t="str">
            <v>0000</v>
          </cell>
          <cell r="G185" t="str">
            <v>0000</v>
          </cell>
          <cell r="H185" t="str">
            <v>0000</v>
          </cell>
          <cell r="I185" t="str">
            <v>0000</v>
          </cell>
          <cell r="J185" t="str">
            <v>12/21/2016</v>
          </cell>
          <cell r="K185" t="str">
            <v>00/00/0000</v>
          </cell>
        </row>
        <row r="186">
          <cell r="A186" t="str">
            <v>2070</v>
          </cell>
          <cell r="B186" t="str">
            <v>SOLAR BUSINESS OFFICE</v>
          </cell>
          <cell r="C186" t="str">
            <v>0825</v>
          </cell>
          <cell r="D186" t="str">
            <v>BUS, CONSUMER SERV, HOUSING</v>
          </cell>
          <cell r="E186" t="str">
            <v/>
          </cell>
          <cell r="F186" t="str">
            <v>0000</v>
          </cell>
          <cell r="G186" t="str">
            <v>0000</v>
          </cell>
          <cell r="H186" t="str">
            <v>0000</v>
          </cell>
          <cell r="I186" t="str">
            <v>0000</v>
          </cell>
          <cell r="J186" t="str">
            <v>12/21/2016</v>
          </cell>
          <cell r="K186" t="str">
            <v>00/00/0000</v>
          </cell>
        </row>
        <row r="187">
          <cell r="A187" t="str">
            <v>2080</v>
          </cell>
          <cell r="B187" t="str">
            <v>SOLAR AND ENERGY CONS MTG CORP</v>
          </cell>
          <cell r="C187" t="str">
            <v>0825</v>
          </cell>
          <cell r="D187" t="str">
            <v>BUS, CONSUMER SERV, HOUSING</v>
          </cell>
          <cell r="E187" t="str">
            <v/>
          </cell>
          <cell r="F187" t="str">
            <v>0000</v>
          </cell>
          <cell r="G187" t="str">
            <v>0000</v>
          </cell>
          <cell r="H187" t="str">
            <v>0000</v>
          </cell>
          <cell r="I187" t="str">
            <v>0000</v>
          </cell>
          <cell r="J187" t="str">
            <v>12/21/2016</v>
          </cell>
          <cell r="K187" t="str">
            <v>00/00/0000</v>
          </cell>
        </row>
        <row r="188">
          <cell r="A188" t="str">
            <v>2100</v>
          </cell>
          <cell r="B188" t="str">
            <v>DEPT OF ALCOHOLIC BEV CONTROL</v>
          </cell>
          <cell r="C188" t="str">
            <v>0825</v>
          </cell>
          <cell r="D188" t="str">
            <v>BUS, CONSUMER SERV, HOUSING</v>
          </cell>
          <cell r="E188" t="str">
            <v/>
          </cell>
          <cell r="F188" t="str">
            <v>0000</v>
          </cell>
          <cell r="G188" t="str">
            <v>0000</v>
          </cell>
          <cell r="H188" t="str">
            <v>0000</v>
          </cell>
          <cell r="I188" t="str">
            <v>0000</v>
          </cell>
          <cell r="J188" t="str">
            <v>12/12/2016</v>
          </cell>
          <cell r="K188" t="str">
            <v>00/00/1999</v>
          </cell>
        </row>
        <row r="189">
          <cell r="A189" t="str">
            <v>2120</v>
          </cell>
          <cell r="B189" t="str">
            <v>ALCOHOLIC BEV CTRL APPEALS BD</v>
          </cell>
          <cell r="C189" t="str">
            <v>0825</v>
          </cell>
          <cell r="D189" t="str">
            <v>BUS, CONSUMER SERV, HOUSING</v>
          </cell>
          <cell r="E189" t="str">
            <v/>
          </cell>
          <cell r="F189" t="str">
            <v>0000</v>
          </cell>
          <cell r="G189" t="str">
            <v>0000</v>
          </cell>
          <cell r="H189" t="str">
            <v>0000</v>
          </cell>
          <cell r="I189" t="str">
            <v>0000</v>
          </cell>
          <cell r="J189" t="str">
            <v>12/12/2016</v>
          </cell>
          <cell r="K189" t="str">
            <v>00/00/1999</v>
          </cell>
        </row>
        <row r="190">
          <cell r="A190" t="str">
            <v>2140</v>
          </cell>
          <cell r="B190" t="str">
            <v>STATE BANKING DEPARTMENT</v>
          </cell>
          <cell r="C190" t="str">
            <v>0825</v>
          </cell>
          <cell r="D190" t="str">
            <v>BUS, CONSUMER SERV, HOUSING</v>
          </cell>
          <cell r="E190" t="str">
            <v/>
          </cell>
          <cell r="F190" t="str">
            <v>0000</v>
          </cell>
          <cell r="G190" t="str">
            <v>0000</v>
          </cell>
          <cell r="H190" t="str">
            <v>0000</v>
          </cell>
          <cell r="I190" t="str">
            <v>0000</v>
          </cell>
          <cell r="J190" t="str">
            <v>12/21/2016</v>
          </cell>
          <cell r="K190" t="str">
            <v>00/00/0000</v>
          </cell>
        </row>
        <row r="191">
          <cell r="A191" t="str">
            <v>2150</v>
          </cell>
          <cell r="B191" t="str">
            <v>FINANCIAL INSTITUTIONS</v>
          </cell>
          <cell r="C191" t="str">
            <v>0825</v>
          </cell>
          <cell r="D191" t="str">
            <v>ADD BACK TO POST PY REVERSAL</v>
          </cell>
          <cell r="E191" t="str">
            <v>DELETE 16/17</v>
          </cell>
          <cell r="F191" t="str">
            <v>0000</v>
          </cell>
          <cell r="G191" t="str">
            <v>0000</v>
          </cell>
          <cell r="H191" t="str">
            <v>0000</v>
          </cell>
          <cell r="I191" t="str">
            <v>0000</v>
          </cell>
          <cell r="J191" t="str">
            <v>08/18/2016</v>
          </cell>
          <cell r="K191" t="str">
            <v>00/00/0000</v>
          </cell>
        </row>
        <row r="192">
          <cell r="A192" t="str">
            <v>2180</v>
          </cell>
          <cell r="B192" t="str">
            <v>DEPART OF CORPORATIONS</v>
          </cell>
          <cell r="C192" t="str">
            <v>0825</v>
          </cell>
          <cell r="D192" t="str">
            <v>ADD BACK TO POST PY REVERSAL</v>
          </cell>
          <cell r="E192" t="str">
            <v>DELETE 16/17</v>
          </cell>
          <cell r="F192" t="str">
            <v>0000</v>
          </cell>
          <cell r="G192" t="str">
            <v>0000</v>
          </cell>
          <cell r="H192" t="str">
            <v>0000</v>
          </cell>
          <cell r="I192" t="str">
            <v>0000</v>
          </cell>
          <cell r="J192" t="str">
            <v>08/24/2016</v>
          </cell>
          <cell r="K192" t="str">
            <v>00/00/0000</v>
          </cell>
        </row>
        <row r="193">
          <cell r="A193" t="str">
            <v>2190</v>
          </cell>
          <cell r="B193" t="str">
            <v>MAJOR MEDICAL INSURANCE BOARD</v>
          </cell>
          <cell r="C193" t="str">
            <v>0825</v>
          </cell>
          <cell r="D193" t="str">
            <v>BUS, CONSUMER SERV, HOUSING</v>
          </cell>
          <cell r="E193" t="str">
            <v/>
          </cell>
          <cell r="F193" t="str">
            <v>0000</v>
          </cell>
          <cell r="G193" t="str">
            <v>0000</v>
          </cell>
          <cell r="H193" t="str">
            <v>0000</v>
          </cell>
          <cell r="I193" t="str">
            <v>0000</v>
          </cell>
          <cell r="J193" t="str">
            <v>12/21/2016</v>
          </cell>
          <cell r="K193" t="str">
            <v>00/00/0000</v>
          </cell>
        </row>
        <row r="194">
          <cell r="A194" t="str">
            <v>2200</v>
          </cell>
          <cell r="B194" t="str">
            <v>DEPARTMENT OF COMMERCE</v>
          </cell>
          <cell r="C194" t="str">
            <v>0825</v>
          </cell>
          <cell r="D194" t="str">
            <v>BUS, CONSUMER SERV, HOUSING</v>
          </cell>
          <cell r="E194" t="str">
            <v/>
          </cell>
          <cell r="F194" t="str">
            <v>0000</v>
          </cell>
          <cell r="G194" t="str">
            <v>0000</v>
          </cell>
          <cell r="H194" t="str">
            <v>0000</v>
          </cell>
          <cell r="I194" t="str">
            <v>0000</v>
          </cell>
          <cell r="J194" t="str">
            <v>12/21/2016</v>
          </cell>
          <cell r="K194" t="str">
            <v>00/00/0000</v>
          </cell>
        </row>
        <row r="195">
          <cell r="A195" t="str">
            <v>2220</v>
          </cell>
          <cell r="B195" t="str">
            <v>OFFICE OF SMALL BUSINESS DEVEL</v>
          </cell>
          <cell r="C195" t="str">
            <v>0825</v>
          </cell>
          <cell r="D195" t="str">
            <v>BUS, CONSUMER SERV, HOUSING</v>
          </cell>
          <cell r="E195" t="str">
            <v/>
          </cell>
          <cell r="F195" t="str">
            <v>0000</v>
          </cell>
          <cell r="G195" t="str">
            <v>0000</v>
          </cell>
          <cell r="H195" t="str">
            <v>0000</v>
          </cell>
          <cell r="I195" t="str">
            <v>0000</v>
          </cell>
          <cell r="J195" t="str">
            <v>12/21/2016</v>
          </cell>
          <cell r="K195" t="str">
            <v>00/00/0000</v>
          </cell>
        </row>
        <row r="196">
          <cell r="A196" t="str">
            <v>2222</v>
          </cell>
          <cell r="B196" t="str">
            <v>ST ASST FD FOR ENTERPRISE</v>
          </cell>
          <cell r="C196" t="str">
            <v>0825</v>
          </cell>
          <cell r="D196" t="str">
            <v>BUS, CONSUMER SERV, HOUSING</v>
          </cell>
          <cell r="E196" t="str">
            <v/>
          </cell>
          <cell r="F196" t="str">
            <v>0000</v>
          </cell>
          <cell r="G196" t="str">
            <v>0000</v>
          </cell>
          <cell r="H196" t="str">
            <v>0000</v>
          </cell>
          <cell r="I196" t="str">
            <v>0000</v>
          </cell>
          <cell r="J196" t="str">
            <v>12/21/2016</v>
          </cell>
          <cell r="K196" t="str">
            <v>00/00/0000</v>
          </cell>
        </row>
        <row r="197">
          <cell r="A197" t="str">
            <v>2225</v>
          </cell>
          <cell r="B197" t="str">
            <v>UNITARY FUND PROGRAMS</v>
          </cell>
          <cell r="C197" t="str">
            <v>0825</v>
          </cell>
          <cell r="D197" t="str">
            <v>BUS, CONSUMER SERV, HOUSING</v>
          </cell>
          <cell r="E197" t="str">
            <v/>
          </cell>
          <cell r="F197" t="str">
            <v>0000</v>
          </cell>
          <cell r="G197" t="str">
            <v>0000</v>
          </cell>
          <cell r="H197" t="str">
            <v>0000</v>
          </cell>
          <cell r="I197" t="str">
            <v>0000</v>
          </cell>
          <cell r="J197" t="str">
            <v>12/21/2016</v>
          </cell>
          <cell r="K197" t="str">
            <v>00/00/0000</v>
          </cell>
        </row>
        <row r="198">
          <cell r="A198" t="str">
            <v>2230</v>
          </cell>
          <cell r="B198" t="str">
            <v>CA INDTRL DEV FINCL ADVRY COMM</v>
          </cell>
          <cell r="C198" t="str">
            <v>0825</v>
          </cell>
          <cell r="D198" t="str">
            <v>BUS, CONSUMER SERV, HOUSING</v>
          </cell>
          <cell r="E198" t="str">
            <v/>
          </cell>
          <cell r="F198" t="str">
            <v>0000</v>
          </cell>
          <cell r="G198" t="str">
            <v>0000</v>
          </cell>
          <cell r="H198" t="str">
            <v>0000</v>
          </cell>
          <cell r="I198" t="str">
            <v>0000</v>
          </cell>
          <cell r="J198" t="str">
            <v>12/21/2016</v>
          </cell>
          <cell r="K198" t="str">
            <v>07/01/1985</v>
          </cell>
        </row>
        <row r="199">
          <cell r="A199" t="str">
            <v>2235</v>
          </cell>
          <cell r="B199" t="str">
            <v>CA HOME LOAN MORTGAGE ASSN</v>
          </cell>
          <cell r="C199" t="str">
            <v>0825</v>
          </cell>
          <cell r="D199" t="str">
            <v>BUS, CONSUMER SERV, HOUSING</v>
          </cell>
          <cell r="E199" t="str">
            <v/>
          </cell>
          <cell r="F199" t="str">
            <v>0000</v>
          </cell>
          <cell r="G199" t="str">
            <v>0000</v>
          </cell>
          <cell r="H199" t="str">
            <v>0000</v>
          </cell>
          <cell r="I199" t="str">
            <v>0000</v>
          </cell>
          <cell r="J199" t="str">
            <v>12/21/2016</v>
          </cell>
          <cell r="K199" t="str">
            <v>00/00/0000</v>
          </cell>
        </row>
        <row r="200">
          <cell r="A200" t="str">
            <v>2240</v>
          </cell>
          <cell r="B200" t="str">
            <v>DEPT-HOUSING/COMMUNITY DEVEL</v>
          </cell>
          <cell r="C200" t="str">
            <v>0825</v>
          </cell>
          <cell r="D200" t="str">
            <v>BUS, CONSUMER SERV, HOUSING</v>
          </cell>
          <cell r="E200" t="str">
            <v/>
          </cell>
          <cell r="F200" t="str">
            <v>0000</v>
          </cell>
          <cell r="G200" t="str">
            <v>0000</v>
          </cell>
          <cell r="H200" t="str">
            <v>0000</v>
          </cell>
          <cell r="I200" t="str">
            <v>0000</v>
          </cell>
          <cell r="J200" t="str">
            <v>12/12/2016</v>
          </cell>
          <cell r="K200" t="str">
            <v>00/00/1999</v>
          </cell>
        </row>
        <row r="201">
          <cell r="A201" t="str">
            <v>2245</v>
          </cell>
          <cell r="B201" t="str">
            <v>CALIFORNIA HOUSING FINANCE AGY</v>
          </cell>
          <cell r="C201" t="str">
            <v>0825</v>
          </cell>
          <cell r="D201" t="str">
            <v>BUS, CONSUMER SERV, HOUSING</v>
          </cell>
          <cell r="E201" t="str">
            <v/>
          </cell>
          <cell r="F201" t="str">
            <v>0000</v>
          </cell>
          <cell r="G201" t="str">
            <v>0000</v>
          </cell>
          <cell r="H201" t="str">
            <v>0000</v>
          </cell>
          <cell r="I201" t="str">
            <v>0000</v>
          </cell>
          <cell r="J201" t="str">
            <v>08/19/2016</v>
          </cell>
          <cell r="K201" t="str">
            <v>00/00/0000</v>
          </cell>
        </row>
        <row r="202">
          <cell r="A202" t="str">
            <v>2265</v>
          </cell>
          <cell r="B202" t="str">
            <v>CALIFORNIA HOUSING INSURANCE</v>
          </cell>
          <cell r="C202" t="str">
            <v>0825</v>
          </cell>
          <cell r="D202" t="str">
            <v>BUS, CONSUMER SERV, HOUSING</v>
          </cell>
          <cell r="E202" t="str">
            <v/>
          </cell>
          <cell r="F202" t="str">
            <v>0000</v>
          </cell>
          <cell r="G202" t="str">
            <v>0000</v>
          </cell>
          <cell r="H202" t="str">
            <v>0000</v>
          </cell>
          <cell r="I202" t="str">
            <v>0000</v>
          </cell>
          <cell r="J202" t="str">
            <v>12/21/2016</v>
          </cell>
          <cell r="K202" t="str">
            <v>00/00/0000</v>
          </cell>
        </row>
        <row r="203">
          <cell r="A203" t="str">
            <v>2270</v>
          </cell>
          <cell r="B203" t="str">
            <v>MORTGAGE BOND ALLOC COMMITTEE</v>
          </cell>
          <cell r="C203" t="str">
            <v>0825</v>
          </cell>
          <cell r="D203" t="str">
            <v>BUS, CONSUMER SERV, HOUSING</v>
          </cell>
          <cell r="E203" t="str">
            <v/>
          </cell>
          <cell r="F203" t="str">
            <v>0000</v>
          </cell>
          <cell r="G203" t="str">
            <v>0000</v>
          </cell>
          <cell r="H203" t="str">
            <v>0000</v>
          </cell>
          <cell r="I203" t="str">
            <v>0000</v>
          </cell>
          <cell r="J203" t="str">
            <v>12/21/2016</v>
          </cell>
          <cell r="K203" t="str">
            <v>07/01/1985</v>
          </cell>
        </row>
        <row r="204">
          <cell r="A204" t="str">
            <v>2290</v>
          </cell>
          <cell r="B204" t="str">
            <v>DEPARTMENT OF INSURANCE</v>
          </cell>
          <cell r="C204" t="str">
            <v>0825</v>
          </cell>
          <cell r="D204" t="str">
            <v>BUS, CONSUMER SERV, HOUSING</v>
          </cell>
          <cell r="E204" t="str">
            <v/>
          </cell>
          <cell r="F204" t="str">
            <v>0000</v>
          </cell>
          <cell r="G204" t="str">
            <v>0000</v>
          </cell>
          <cell r="H204" t="str">
            <v>0000</v>
          </cell>
          <cell r="I204" t="str">
            <v>0000</v>
          </cell>
          <cell r="J204" t="str">
            <v>12/21/2016</v>
          </cell>
          <cell r="K204" t="str">
            <v>00/00/1999</v>
          </cell>
        </row>
        <row r="205">
          <cell r="A205" t="str">
            <v>2295</v>
          </cell>
          <cell r="B205" t="str">
            <v>INSURANCE ADVISORY OFFICE</v>
          </cell>
          <cell r="C205" t="str">
            <v>0825</v>
          </cell>
          <cell r="D205" t="str">
            <v>BUS, CONSUMER SERV, HOUSING</v>
          </cell>
          <cell r="E205" t="str">
            <v/>
          </cell>
          <cell r="F205" t="str">
            <v>0000</v>
          </cell>
          <cell r="G205" t="str">
            <v>0000</v>
          </cell>
          <cell r="H205" t="str">
            <v>0000</v>
          </cell>
          <cell r="I205" t="str">
            <v>0000</v>
          </cell>
          <cell r="J205" t="str">
            <v>12/21/2016</v>
          </cell>
          <cell r="K205" t="str">
            <v>00/00/0000</v>
          </cell>
        </row>
        <row r="206">
          <cell r="A206" t="str">
            <v>2320</v>
          </cell>
          <cell r="B206" t="str">
            <v>DEPARTMENT OF REAL ESTATE</v>
          </cell>
          <cell r="C206" t="str">
            <v>0825</v>
          </cell>
          <cell r="D206" t="str">
            <v>BUS, CONSUMER SERV, HOUSING</v>
          </cell>
          <cell r="E206" t="str">
            <v/>
          </cell>
          <cell r="F206" t="str">
            <v>0000</v>
          </cell>
          <cell r="G206" t="str">
            <v>0000</v>
          </cell>
          <cell r="H206" t="str">
            <v>0000</v>
          </cell>
          <cell r="I206" t="str">
            <v>0000</v>
          </cell>
          <cell r="J206" t="str">
            <v>12/20/2018</v>
          </cell>
          <cell r="K206" t="str">
            <v>00/00/0000</v>
          </cell>
        </row>
        <row r="207">
          <cell r="A207" t="str">
            <v>2340</v>
          </cell>
          <cell r="B207" t="str">
            <v>DEPARTMENT OF SAVINGS AND LOAN</v>
          </cell>
          <cell r="C207" t="str">
            <v>0825</v>
          </cell>
          <cell r="D207" t="str">
            <v>BUS, CONSUMER SERV, HOUSING</v>
          </cell>
          <cell r="E207" t="str">
            <v/>
          </cell>
          <cell r="F207" t="str">
            <v>0000</v>
          </cell>
          <cell r="G207" t="str">
            <v>0000</v>
          </cell>
          <cell r="H207" t="str">
            <v>0000</v>
          </cell>
          <cell r="I207" t="str">
            <v>0000</v>
          </cell>
          <cell r="J207" t="str">
            <v>12/21/2016</v>
          </cell>
          <cell r="K207" t="str">
            <v>00/00/0000</v>
          </cell>
        </row>
        <row r="208">
          <cell r="A208" t="str">
            <v>2400</v>
          </cell>
          <cell r="B208" t="str">
            <v>DEPT. OF MANAGED HEALTH CARE</v>
          </cell>
          <cell r="C208" t="str">
            <v>0825</v>
          </cell>
          <cell r="D208" t="str">
            <v>BUS, CONSUMER SERV, HOUSING</v>
          </cell>
          <cell r="E208" t="str">
            <v/>
          </cell>
          <cell r="F208" t="str">
            <v>0000</v>
          </cell>
          <cell r="G208" t="str">
            <v>0000</v>
          </cell>
          <cell r="H208" t="str">
            <v>0000</v>
          </cell>
          <cell r="I208" t="str">
            <v>0000</v>
          </cell>
          <cell r="J208" t="str">
            <v>12/21/2016</v>
          </cell>
          <cell r="K208" t="str">
            <v>00/00/0000</v>
          </cell>
        </row>
        <row r="209">
          <cell r="A209" t="str">
            <v>2500</v>
          </cell>
          <cell r="B209" t="str">
            <v>TRANSPORTATION</v>
          </cell>
          <cell r="C209" t="str">
            <v>0830</v>
          </cell>
          <cell r="D209" t="str">
            <v>TRANSPORTATION</v>
          </cell>
          <cell r="E209" t="str">
            <v/>
          </cell>
          <cell r="F209" t="str">
            <v>0000</v>
          </cell>
          <cell r="G209" t="str">
            <v>0000</v>
          </cell>
          <cell r="H209" t="str">
            <v>0000</v>
          </cell>
          <cell r="I209" t="str">
            <v>0000</v>
          </cell>
          <cell r="J209" t="str">
            <v>08/18/2017</v>
          </cell>
          <cell r="K209" t="str">
            <v>00/00/0000</v>
          </cell>
        </row>
        <row r="210">
          <cell r="A210" t="str">
            <v>2600</v>
          </cell>
          <cell r="B210" t="str">
            <v>CA TRANSPORTATION COMM</v>
          </cell>
          <cell r="C210" t="str">
            <v>0830</v>
          </cell>
          <cell r="D210" t="str">
            <v>TRANSPORTATION</v>
          </cell>
          <cell r="E210" t="str">
            <v/>
          </cell>
          <cell r="F210" t="str">
            <v>0000</v>
          </cell>
          <cell r="G210" t="str">
            <v>0000</v>
          </cell>
          <cell r="H210" t="str">
            <v>0000</v>
          </cell>
          <cell r="I210" t="str">
            <v>0000</v>
          </cell>
          <cell r="J210" t="str">
            <v>11/04/2016</v>
          </cell>
          <cell r="K210" t="str">
            <v>00/00/1999</v>
          </cell>
        </row>
        <row r="211">
          <cell r="A211" t="str">
            <v>2640</v>
          </cell>
          <cell r="B211" t="str">
            <v>STATE TRANSIT ASSISTANCE</v>
          </cell>
          <cell r="C211" t="str">
            <v>0830</v>
          </cell>
          <cell r="D211" t="str">
            <v>TRANSPORTATION</v>
          </cell>
          <cell r="E211" t="str">
            <v/>
          </cell>
          <cell r="F211" t="str">
            <v>0000</v>
          </cell>
          <cell r="G211" t="str">
            <v>0000</v>
          </cell>
          <cell r="H211" t="str">
            <v>0000</v>
          </cell>
          <cell r="I211" t="str">
            <v>0000</v>
          </cell>
          <cell r="J211" t="str">
            <v>08/19/2016</v>
          </cell>
          <cell r="K211" t="str">
            <v>00/00/1999</v>
          </cell>
        </row>
        <row r="212">
          <cell r="A212" t="str">
            <v>2660</v>
          </cell>
          <cell r="B212" t="str">
            <v>DEPT OF TRANSPORTATION</v>
          </cell>
          <cell r="C212" t="str">
            <v>0830</v>
          </cell>
          <cell r="D212" t="str">
            <v>TRANSPORTATION</v>
          </cell>
          <cell r="E212" t="str">
            <v/>
          </cell>
          <cell r="F212" t="str">
            <v>0000</v>
          </cell>
          <cell r="G212" t="str">
            <v>0000</v>
          </cell>
          <cell r="H212" t="str">
            <v>0000</v>
          </cell>
          <cell r="I212" t="str">
            <v>0000</v>
          </cell>
          <cell r="J212" t="str">
            <v>10/28/2016</v>
          </cell>
          <cell r="K212" t="str">
            <v>00/00/0000</v>
          </cell>
        </row>
        <row r="213">
          <cell r="A213" t="str">
            <v>2665</v>
          </cell>
          <cell r="B213" t="str">
            <v>HIGH SPEED RAIL AUTHORITY</v>
          </cell>
          <cell r="C213" t="str">
            <v>0830</v>
          </cell>
          <cell r="D213" t="str">
            <v>TRANSPORTATION</v>
          </cell>
          <cell r="E213" t="str">
            <v/>
          </cell>
          <cell r="F213" t="str">
            <v>0000</v>
          </cell>
          <cell r="G213" t="str">
            <v>0000</v>
          </cell>
          <cell r="H213" t="str">
            <v>0000</v>
          </cell>
          <cell r="I213" t="str">
            <v>0000</v>
          </cell>
          <cell r="J213" t="str">
            <v>10/28/2016</v>
          </cell>
          <cell r="K213" t="str">
            <v>00/00/0000</v>
          </cell>
        </row>
        <row r="214">
          <cell r="A214" t="str">
            <v>2670</v>
          </cell>
          <cell r="B214" t="str">
            <v>BD OF PILOT COMMISSIONERS-SF</v>
          </cell>
          <cell r="C214" t="str">
            <v>0830</v>
          </cell>
          <cell r="D214" t="str">
            <v>TRANSPORTATION</v>
          </cell>
          <cell r="E214" t="str">
            <v/>
          </cell>
          <cell r="F214" t="str">
            <v>0000</v>
          </cell>
          <cell r="G214" t="str">
            <v>0000</v>
          </cell>
          <cell r="H214" t="str">
            <v>0000</v>
          </cell>
          <cell r="I214" t="str">
            <v>0000</v>
          </cell>
          <cell r="J214" t="str">
            <v>08/03/2017</v>
          </cell>
          <cell r="K214" t="str">
            <v>00/00/0000</v>
          </cell>
        </row>
        <row r="215">
          <cell r="A215" t="str">
            <v>2700</v>
          </cell>
          <cell r="B215" t="str">
            <v>OFFICE OF TRAFFIC SAFETY</v>
          </cell>
          <cell r="C215" t="str">
            <v>0830</v>
          </cell>
          <cell r="D215" t="str">
            <v>TRANSPORTATION</v>
          </cell>
          <cell r="E215" t="str">
            <v>MERGED W/0521-ADD 4 PY ACCR RV</v>
          </cell>
          <cell r="F215" t="str">
            <v>0000</v>
          </cell>
          <cell r="G215" t="str">
            <v>0000</v>
          </cell>
          <cell r="H215" t="str">
            <v>0000</v>
          </cell>
          <cell r="I215" t="str">
            <v>0000</v>
          </cell>
          <cell r="J215" t="str">
            <v>09/28/2016</v>
          </cell>
          <cell r="K215" t="str">
            <v>00/00/0000</v>
          </cell>
        </row>
        <row r="216">
          <cell r="A216" t="str">
            <v>2720</v>
          </cell>
          <cell r="B216" t="str">
            <v>DEPT OF CAL HIGHWAY PATROL</v>
          </cell>
          <cell r="C216" t="str">
            <v>0830</v>
          </cell>
          <cell r="D216" t="str">
            <v>TRANSPORTATION</v>
          </cell>
          <cell r="E216" t="str">
            <v/>
          </cell>
          <cell r="F216" t="str">
            <v>0000</v>
          </cell>
          <cell r="G216" t="str">
            <v>0000</v>
          </cell>
          <cell r="H216" t="str">
            <v>0000</v>
          </cell>
          <cell r="I216" t="str">
            <v>0000</v>
          </cell>
          <cell r="J216" t="str">
            <v>10/28/2016</v>
          </cell>
          <cell r="K216" t="str">
            <v>00/00/1999</v>
          </cell>
        </row>
        <row r="217">
          <cell r="A217" t="str">
            <v>2740</v>
          </cell>
          <cell r="B217" t="str">
            <v>DEPARTMENT OF MOTOR VEHICLES</v>
          </cell>
          <cell r="C217" t="str">
            <v>0830</v>
          </cell>
          <cell r="D217" t="str">
            <v>TRANSPORTATION</v>
          </cell>
          <cell r="E217" t="str">
            <v/>
          </cell>
          <cell r="F217" t="str">
            <v>0000</v>
          </cell>
          <cell r="G217" t="str">
            <v>0000</v>
          </cell>
          <cell r="H217" t="str">
            <v>0000</v>
          </cell>
          <cell r="I217" t="str">
            <v>0000</v>
          </cell>
          <cell r="J217" t="str">
            <v>10/28/2016</v>
          </cell>
          <cell r="K217" t="str">
            <v>00/00/0000</v>
          </cell>
        </row>
        <row r="218">
          <cell r="A218" t="str">
            <v>2780</v>
          </cell>
          <cell r="B218" t="str">
            <v>STEPHEN P TEALE DATA CENTER</v>
          </cell>
          <cell r="C218" t="str">
            <v>0825</v>
          </cell>
          <cell r="D218" t="str">
            <v>BUS, CONSUMER SERV, HOUSING</v>
          </cell>
          <cell r="E218" t="str">
            <v/>
          </cell>
          <cell r="F218" t="str">
            <v>0000</v>
          </cell>
          <cell r="G218" t="str">
            <v>0000</v>
          </cell>
          <cell r="H218" t="str">
            <v>0000</v>
          </cell>
          <cell r="I218" t="str">
            <v>0000</v>
          </cell>
          <cell r="J218" t="str">
            <v>12/21/2016</v>
          </cell>
          <cell r="K218" t="str">
            <v>00/00/0000</v>
          </cell>
        </row>
        <row r="219">
          <cell r="A219" t="str">
            <v>2900</v>
          </cell>
          <cell r="B219" t="str">
            <v>TRADE AND COMMERCE</v>
          </cell>
          <cell r="C219" t="str">
            <v>0825</v>
          </cell>
          <cell r="D219" t="str">
            <v>BUS, CONSUMER SERV, HOUSING</v>
          </cell>
          <cell r="E219" t="str">
            <v/>
          </cell>
          <cell r="F219" t="str">
            <v>0000</v>
          </cell>
          <cell r="G219" t="str">
            <v>0000</v>
          </cell>
          <cell r="H219" t="str">
            <v>0000</v>
          </cell>
          <cell r="I219" t="str">
            <v>0000</v>
          </cell>
          <cell r="J219" t="str">
            <v>12/21/2016</v>
          </cell>
          <cell r="K219" t="str">
            <v>00/00/0000</v>
          </cell>
        </row>
        <row r="220">
          <cell r="A220" t="str">
            <v>2920</v>
          </cell>
          <cell r="B220" t="str">
            <v>TECHNOLOGY TRADE &amp; COMMERCE AG</v>
          </cell>
          <cell r="C220" t="str">
            <v>0825</v>
          </cell>
          <cell r="D220" t="str">
            <v>BUS, CONSUMER SERV, HOUSING</v>
          </cell>
          <cell r="E220" t="str">
            <v/>
          </cell>
          <cell r="F220" t="str">
            <v>0000</v>
          </cell>
          <cell r="G220" t="str">
            <v>0000</v>
          </cell>
          <cell r="H220" t="str">
            <v>0000</v>
          </cell>
          <cell r="I220" t="str">
            <v>0000</v>
          </cell>
          <cell r="J220" t="str">
            <v>12/21/2016</v>
          </cell>
          <cell r="K220" t="str">
            <v>00/00/0000</v>
          </cell>
        </row>
        <row r="221">
          <cell r="A221" t="str">
            <v>3000</v>
          </cell>
          <cell r="B221" t="str">
            <v>NATURAL RESOURCES</v>
          </cell>
          <cell r="C221" t="str">
            <v>0820</v>
          </cell>
          <cell r="D221" t="str">
            <v>RESOURCES</v>
          </cell>
          <cell r="E221" t="str">
            <v/>
          </cell>
          <cell r="F221" t="str">
            <v>0000</v>
          </cell>
          <cell r="G221" t="str">
            <v>0000</v>
          </cell>
          <cell r="H221" t="str">
            <v>0000</v>
          </cell>
          <cell r="I221" t="str">
            <v>0000</v>
          </cell>
          <cell r="J221" t="str">
            <v>08/25/2010</v>
          </cell>
          <cell r="K221" t="str">
            <v>00/00/0000</v>
          </cell>
        </row>
        <row r="222">
          <cell r="A222" t="str">
            <v>3100</v>
          </cell>
          <cell r="B222" t="str">
            <v>EXPOSITION PARK</v>
          </cell>
          <cell r="C222" t="str">
            <v>0820</v>
          </cell>
          <cell r="D222" t="str">
            <v>RESOURCES</v>
          </cell>
          <cell r="E222" t="str">
            <v/>
          </cell>
          <cell r="F222" t="str">
            <v>0000</v>
          </cell>
          <cell r="G222" t="str">
            <v>0000</v>
          </cell>
          <cell r="H222" t="str">
            <v>0000</v>
          </cell>
          <cell r="I222" t="str">
            <v>0000</v>
          </cell>
          <cell r="J222" t="str">
            <v>10/17/2018</v>
          </cell>
          <cell r="K222" t="str">
            <v>00/00/0000</v>
          </cell>
        </row>
        <row r="223">
          <cell r="A223" t="str">
            <v>3105</v>
          </cell>
          <cell r="B223" t="str">
            <v>CALIFORNIA AFRO-AMERICAN MUSEU</v>
          </cell>
          <cell r="C223" t="str">
            <v>0820</v>
          </cell>
          <cell r="D223" t="str">
            <v>RESOURCES</v>
          </cell>
          <cell r="E223" t="str">
            <v/>
          </cell>
          <cell r="F223" t="str">
            <v>0000</v>
          </cell>
          <cell r="G223" t="str">
            <v>0000</v>
          </cell>
          <cell r="H223" t="str">
            <v>0000</v>
          </cell>
          <cell r="I223" t="str">
            <v>0000</v>
          </cell>
          <cell r="J223" t="str">
            <v>09/05/2014</v>
          </cell>
          <cell r="K223" t="str">
            <v>00/00/0000</v>
          </cell>
        </row>
        <row r="224">
          <cell r="A224" t="str">
            <v>3110</v>
          </cell>
          <cell r="B224" t="str">
            <v>SPECIAL RESOURCES PROGRAMS</v>
          </cell>
          <cell r="C224" t="str">
            <v>0820</v>
          </cell>
          <cell r="D224" t="str">
            <v>RESOURCES</v>
          </cell>
          <cell r="E224" t="str">
            <v/>
          </cell>
          <cell r="F224" t="str">
            <v>0000</v>
          </cell>
          <cell r="G224" t="str">
            <v>0000</v>
          </cell>
          <cell r="H224" t="str">
            <v>0000</v>
          </cell>
          <cell r="I224" t="str">
            <v>0000</v>
          </cell>
          <cell r="J224" t="str">
            <v>07/11/2006</v>
          </cell>
          <cell r="K224" t="str">
            <v>00/00/1999</v>
          </cell>
        </row>
        <row r="225">
          <cell r="A225" t="str">
            <v>3125</v>
          </cell>
          <cell r="B225" t="str">
            <v>CALIF TAHOE CONSERVANCY</v>
          </cell>
          <cell r="C225" t="str">
            <v>0820</v>
          </cell>
          <cell r="D225" t="str">
            <v>RESOURCES</v>
          </cell>
          <cell r="E225" t="str">
            <v/>
          </cell>
          <cell r="F225" t="str">
            <v>0000</v>
          </cell>
          <cell r="G225" t="str">
            <v>0000</v>
          </cell>
          <cell r="H225" t="str">
            <v>0000</v>
          </cell>
          <cell r="I225" t="str">
            <v>0000</v>
          </cell>
          <cell r="J225" t="str">
            <v>04/18/1988</v>
          </cell>
          <cell r="K225" t="str">
            <v>00/00/1999</v>
          </cell>
        </row>
        <row r="226">
          <cell r="A226" t="str">
            <v>3130</v>
          </cell>
          <cell r="B226" t="str">
            <v>WATERWAYS MANAGEMENT PLANNING</v>
          </cell>
          <cell r="C226" t="str">
            <v>0820</v>
          </cell>
          <cell r="D226" t="str">
            <v>RESOURCES</v>
          </cell>
          <cell r="E226" t="str">
            <v/>
          </cell>
          <cell r="F226" t="str">
            <v>0000</v>
          </cell>
          <cell r="G226" t="str">
            <v>0000</v>
          </cell>
          <cell r="H226" t="str">
            <v>0000</v>
          </cell>
          <cell r="I226" t="str">
            <v>0000</v>
          </cell>
          <cell r="J226" t="str">
            <v>99/99/9999</v>
          </cell>
          <cell r="K226" t="str">
            <v>00/00/0000</v>
          </cell>
        </row>
        <row r="227">
          <cell r="A227" t="str">
            <v>3140</v>
          </cell>
          <cell r="B227" t="str">
            <v>SEA GRANT PROGRAM</v>
          </cell>
          <cell r="C227" t="str">
            <v>0820</v>
          </cell>
          <cell r="D227" t="str">
            <v>RESOURCES</v>
          </cell>
          <cell r="E227" t="str">
            <v/>
          </cell>
          <cell r="F227" t="str">
            <v>0000</v>
          </cell>
          <cell r="G227" t="str">
            <v>0000</v>
          </cell>
          <cell r="H227" t="str">
            <v>0000</v>
          </cell>
          <cell r="I227" t="str">
            <v>0000</v>
          </cell>
          <cell r="J227" t="str">
            <v>99/99/9999</v>
          </cell>
          <cell r="K227" t="str">
            <v>00/00/0000</v>
          </cell>
        </row>
        <row r="228">
          <cell r="A228" t="str">
            <v>3150</v>
          </cell>
          <cell r="B228" t="str">
            <v>CALIF TAHOE REGIONAL PLANNING</v>
          </cell>
          <cell r="C228" t="str">
            <v>0820</v>
          </cell>
          <cell r="D228" t="str">
            <v>RESOURCES</v>
          </cell>
          <cell r="E228" t="str">
            <v/>
          </cell>
          <cell r="F228" t="str">
            <v>0000</v>
          </cell>
          <cell r="G228" t="str">
            <v>0000</v>
          </cell>
          <cell r="H228" t="str">
            <v>0000</v>
          </cell>
          <cell r="I228" t="str">
            <v>0000</v>
          </cell>
          <cell r="J228" t="str">
            <v>07/11/2006</v>
          </cell>
          <cell r="K228" t="str">
            <v>00/00/0000</v>
          </cell>
        </row>
        <row r="229">
          <cell r="A229" t="str">
            <v>3180</v>
          </cell>
          <cell r="B229" t="str">
            <v>GEOTHERMAL RESOURCES DEV PRGMS</v>
          </cell>
          <cell r="C229" t="str">
            <v>0820</v>
          </cell>
          <cell r="D229" t="str">
            <v>RESOURCES</v>
          </cell>
          <cell r="E229" t="str">
            <v/>
          </cell>
          <cell r="F229" t="str">
            <v>0000</v>
          </cell>
          <cell r="G229" t="str">
            <v>0000</v>
          </cell>
          <cell r="H229" t="str">
            <v>0000</v>
          </cell>
          <cell r="I229" t="str">
            <v>0000</v>
          </cell>
          <cell r="J229" t="str">
            <v>08/03/2017</v>
          </cell>
          <cell r="K229" t="str">
            <v>00/00/0000</v>
          </cell>
        </row>
        <row r="230">
          <cell r="A230" t="str">
            <v>3210</v>
          </cell>
          <cell r="B230" t="str">
            <v>ENVIRONMENTAL PROTECTION PGM</v>
          </cell>
          <cell r="C230" t="str">
            <v>0820</v>
          </cell>
          <cell r="D230" t="str">
            <v>RESOURCES</v>
          </cell>
          <cell r="E230" t="str">
            <v/>
          </cell>
          <cell r="F230" t="str">
            <v>0000</v>
          </cell>
          <cell r="G230" t="str">
            <v>0000</v>
          </cell>
          <cell r="H230" t="str">
            <v>0000</v>
          </cell>
          <cell r="I230" t="str">
            <v>0000</v>
          </cell>
          <cell r="J230" t="str">
            <v>03/08/2001</v>
          </cell>
          <cell r="K230" t="str">
            <v>00/00/0000</v>
          </cell>
        </row>
        <row r="231">
          <cell r="A231" t="str">
            <v>3300</v>
          </cell>
          <cell r="B231" t="str">
            <v>ST ASSIT FD-ENGY CA BUS/INDUS</v>
          </cell>
          <cell r="C231" t="str">
            <v>0820</v>
          </cell>
          <cell r="D231" t="str">
            <v>RESOURCES</v>
          </cell>
          <cell r="E231" t="str">
            <v/>
          </cell>
          <cell r="F231" t="str">
            <v>0000</v>
          </cell>
          <cell r="G231" t="str">
            <v>0000</v>
          </cell>
          <cell r="H231" t="str">
            <v>0000</v>
          </cell>
          <cell r="I231" t="str">
            <v>0000</v>
          </cell>
          <cell r="J231" t="str">
            <v>07/11/2006</v>
          </cell>
          <cell r="K231" t="str">
            <v>00/00/0000</v>
          </cell>
        </row>
        <row r="232">
          <cell r="A232" t="str">
            <v>3310</v>
          </cell>
          <cell r="B232" t="str">
            <v>CA ALT ENERGY SOURCE FIN AUTH</v>
          </cell>
          <cell r="C232" t="str">
            <v>0820</v>
          </cell>
          <cell r="D232" t="str">
            <v>RESOURCES</v>
          </cell>
          <cell r="E232" t="str">
            <v/>
          </cell>
          <cell r="F232" t="str">
            <v>0000</v>
          </cell>
          <cell r="G232" t="str">
            <v>0000</v>
          </cell>
          <cell r="H232" t="str">
            <v>0000</v>
          </cell>
          <cell r="I232" t="str">
            <v>0000</v>
          </cell>
          <cell r="J232" t="str">
            <v>99/99/9999</v>
          </cell>
          <cell r="K232" t="str">
            <v>07/01/1985</v>
          </cell>
        </row>
        <row r="233">
          <cell r="A233" t="str">
            <v>3320</v>
          </cell>
          <cell r="B233" t="str">
            <v>POLLUTN CONTL FINANCING AUTH</v>
          </cell>
          <cell r="C233" t="str">
            <v>0820</v>
          </cell>
          <cell r="D233" t="str">
            <v>RESOURCES</v>
          </cell>
          <cell r="E233" t="str">
            <v/>
          </cell>
          <cell r="F233" t="str">
            <v>0000</v>
          </cell>
          <cell r="G233" t="str">
            <v>0000</v>
          </cell>
          <cell r="H233" t="str">
            <v>0000</v>
          </cell>
          <cell r="I233" t="str">
            <v>0000</v>
          </cell>
          <cell r="J233" t="str">
            <v>99/99/9999</v>
          </cell>
          <cell r="K233" t="str">
            <v>07/01/1985</v>
          </cell>
        </row>
        <row r="234">
          <cell r="A234" t="str">
            <v>3340</v>
          </cell>
          <cell r="B234" t="str">
            <v>CALIFORNIA CONSERVATION CORPS</v>
          </cell>
          <cell r="C234" t="str">
            <v>0820</v>
          </cell>
          <cell r="D234" t="str">
            <v>RESOURCES</v>
          </cell>
          <cell r="E234" t="str">
            <v/>
          </cell>
          <cell r="F234" t="str">
            <v>0000</v>
          </cell>
          <cell r="G234" t="str">
            <v>0000</v>
          </cell>
          <cell r="H234" t="str">
            <v>0000</v>
          </cell>
          <cell r="I234" t="str">
            <v>0000</v>
          </cell>
          <cell r="J234" t="str">
            <v>04/18/1988</v>
          </cell>
          <cell r="K234" t="str">
            <v>00/00/1999</v>
          </cell>
        </row>
        <row r="235">
          <cell r="A235" t="str">
            <v>3355</v>
          </cell>
          <cell r="B235" t="str">
            <v>OFFICE OF ENERGY INFRA SAFETY</v>
          </cell>
          <cell r="C235" t="str">
            <v>0820</v>
          </cell>
          <cell r="D235" t="str">
            <v>RESOURCES</v>
          </cell>
          <cell r="E235" t="str">
            <v/>
          </cell>
          <cell r="F235" t="str">
            <v>0000</v>
          </cell>
          <cell r="G235" t="str">
            <v>0000</v>
          </cell>
          <cell r="H235" t="str">
            <v>0000</v>
          </cell>
          <cell r="I235" t="str">
            <v>0000</v>
          </cell>
          <cell r="J235" t="str">
            <v>07/14/2023</v>
          </cell>
          <cell r="K235" t="str">
            <v>00/00/0000</v>
          </cell>
        </row>
        <row r="236">
          <cell r="A236" t="str">
            <v>3360</v>
          </cell>
          <cell r="B236" t="str">
            <v>ENERGY RES CONS AND DEV COMM</v>
          </cell>
          <cell r="C236" t="str">
            <v>0820</v>
          </cell>
          <cell r="D236" t="str">
            <v>RESOURCES</v>
          </cell>
          <cell r="E236" t="str">
            <v/>
          </cell>
          <cell r="F236" t="str">
            <v>0000</v>
          </cell>
          <cell r="G236" t="str">
            <v>0000</v>
          </cell>
          <cell r="H236" t="str">
            <v>0000</v>
          </cell>
          <cell r="I236" t="str">
            <v>0000</v>
          </cell>
          <cell r="J236" t="str">
            <v>07/11/2006</v>
          </cell>
          <cell r="K236" t="str">
            <v>00/00/0000</v>
          </cell>
        </row>
        <row r="237">
          <cell r="A237" t="str">
            <v>3410</v>
          </cell>
          <cell r="B237" t="str">
            <v>HUMBOLDT BAY FUND</v>
          </cell>
          <cell r="C237" t="str">
            <v>0820</v>
          </cell>
          <cell r="D237" t="str">
            <v>RESOURCES</v>
          </cell>
          <cell r="E237" t="str">
            <v/>
          </cell>
          <cell r="F237" t="str">
            <v>0000</v>
          </cell>
          <cell r="G237" t="str">
            <v>0000</v>
          </cell>
          <cell r="H237" t="str">
            <v>0000</v>
          </cell>
          <cell r="I237" t="str">
            <v>0000</v>
          </cell>
          <cell r="J237" t="str">
            <v>07/21/1986</v>
          </cell>
          <cell r="K237" t="str">
            <v>00/00/0000</v>
          </cell>
        </row>
        <row r="238">
          <cell r="A238" t="str">
            <v>3460</v>
          </cell>
          <cell r="B238" t="str">
            <v>COLORADO RIVER BOARD OF CALIF</v>
          </cell>
          <cell r="C238" t="str">
            <v>0820</v>
          </cell>
          <cell r="D238" t="str">
            <v>RESOURCES</v>
          </cell>
          <cell r="E238" t="str">
            <v/>
          </cell>
          <cell r="F238" t="str">
            <v>0000</v>
          </cell>
          <cell r="G238" t="str">
            <v>0000</v>
          </cell>
          <cell r="H238" t="str">
            <v>0000</v>
          </cell>
          <cell r="I238" t="str">
            <v>0000</v>
          </cell>
          <cell r="J238" t="str">
            <v>07/11/2006</v>
          </cell>
          <cell r="K238" t="str">
            <v>00/00/0000</v>
          </cell>
        </row>
        <row r="239">
          <cell r="A239" t="str">
            <v>3480</v>
          </cell>
          <cell r="B239" t="str">
            <v>DEPARTMENT OF CONSERVATION</v>
          </cell>
          <cell r="C239" t="str">
            <v>0820</v>
          </cell>
          <cell r="D239" t="str">
            <v>RESOURCES</v>
          </cell>
          <cell r="E239" t="str">
            <v/>
          </cell>
          <cell r="F239" t="str">
            <v>0000</v>
          </cell>
          <cell r="G239" t="str">
            <v>0000</v>
          </cell>
          <cell r="H239" t="str">
            <v>0000</v>
          </cell>
          <cell r="I239" t="str">
            <v>0000</v>
          </cell>
          <cell r="J239" t="str">
            <v>04/18/1988</v>
          </cell>
          <cell r="K239" t="str">
            <v>00/00/1999</v>
          </cell>
        </row>
        <row r="240">
          <cell r="A240" t="str">
            <v>3540</v>
          </cell>
          <cell r="B240" t="str">
            <v>DEPARTMENT OF FORESTRY</v>
          </cell>
          <cell r="C240" t="str">
            <v>0820</v>
          </cell>
          <cell r="D240" t="str">
            <v>RESOURCES</v>
          </cell>
          <cell r="E240" t="str">
            <v/>
          </cell>
          <cell r="F240" t="str">
            <v>0000</v>
          </cell>
          <cell r="G240" t="str">
            <v>0000</v>
          </cell>
          <cell r="H240" t="str">
            <v>0000</v>
          </cell>
          <cell r="I240" t="str">
            <v>0000</v>
          </cell>
          <cell r="J240" t="str">
            <v>07/11/2006</v>
          </cell>
          <cell r="K240" t="str">
            <v>00/00/1999</v>
          </cell>
        </row>
        <row r="241">
          <cell r="A241" t="str">
            <v>3560</v>
          </cell>
          <cell r="B241" t="str">
            <v>STATE LANDS COMMISSION</v>
          </cell>
          <cell r="C241" t="str">
            <v>0820</v>
          </cell>
          <cell r="D241" t="str">
            <v>RESOURCES</v>
          </cell>
          <cell r="E241" t="str">
            <v/>
          </cell>
          <cell r="F241" t="str">
            <v>0000</v>
          </cell>
          <cell r="G241" t="str">
            <v>0000</v>
          </cell>
          <cell r="H241" t="str">
            <v>0000</v>
          </cell>
          <cell r="I241" t="str">
            <v>0000</v>
          </cell>
          <cell r="J241" t="str">
            <v>04/18/1988</v>
          </cell>
          <cell r="K241" t="str">
            <v>00/00/1999</v>
          </cell>
        </row>
        <row r="242">
          <cell r="A242" t="str">
            <v>3580</v>
          </cell>
          <cell r="B242" t="str">
            <v>SEISMIC SAFETY COMMISSION</v>
          </cell>
          <cell r="C242" t="str">
            <v>0820</v>
          </cell>
          <cell r="D242" t="str">
            <v>RESOURCES</v>
          </cell>
          <cell r="E242" t="str">
            <v/>
          </cell>
          <cell r="F242" t="str">
            <v>0000</v>
          </cell>
          <cell r="G242" t="str">
            <v>0000</v>
          </cell>
          <cell r="H242" t="str">
            <v>0000</v>
          </cell>
          <cell r="I242" t="str">
            <v>0000</v>
          </cell>
          <cell r="J242" t="str">
            <v>99/99/9999</v>
          </cell>
          <cell r="K242" t="str">
            <v>00/00/1999</v>
          </cell>
        </row>
        <row r="243">
          <cell r="A243" t="str">
            <v>3600</v>
          </cell>
          <cell r="B243" t="str">
            <v>DEPT OF FISH AND GAME</v>
          </cell>
          <cell r="C243" t="str">
            <v>0820</v>
          </cell>
          <cell r="D243" t="str">
            <v>RESOURCES</v>
          </cell>
          <cell r="E243" t="str">
            <v/>
          </cell>
          <cell r="F243" t="str">
            <v>0000</v>
          </cell>
          <cell r="G243" t="str">
            <v>0000</v>
          </cell>
          <cell r="H243" t="str">
            <v>0000</v>
          </cell>
          <cell r="I243" t="str">
            <v>0000</v>
          </cell>
          <cell r="J243" t="str">
            <v>04/04/1984</v>
          </cell>
          <cell r="K243" t="str">
            <v>00/00/0000</v>
          </cell>
        </row>
        <row r="244">
          <cell r="A244" t="str">
            <v>3640</v>
          </cell>
          <cell r="B244" t="str">
            <v>WILDLIFE CONSERVATION BOARD</v>
          </cell>
          <cell r="C244" t="str">
            <v>0820</v>
          </cell>
          <cell r="D244" t="str">
            <v>RESOURCES</v>
          </cell>
          <cell r="E244" t="str">
            <v/>
          </cell>
          <cell r="F244" t="str">
            <v>0000</v>
          </cell>
          <cell r="G244" t="str">
            <v>0000</v>
          </cell>
          <cell r="H244" t="str">
            <v>0000</v>
          </cell>
          <cell r="I244" t="str">
            <v>0000</v>
          </cell>
          <cell r="J244" t="str">
            <v>04/04/1984</v>
          </cell>
          <cell r="K244" t="str">
            <v>00/00/0000</v>
          </cell>
        </row>
        <row r="245">
          <cell r="A245" t="str">
            <v>3720</v>
          </cell>
          <cell r="B245" t="str">
            <v>CALIFORNIA COASTAL COMMISSION</v>
          </cell>
          <cell r="C245" t="str">
            <v>0820</v>
          </cell>
          <cell r="D245" t="str">
            <v>RESOURCES</v>
          </cell>
          <cell r="E245" t="str">
            <v/>
          </cell>
          <cell r="F245" t="str">
            <v>0000</v>
          </cell>
          <cell r="G245" t="str">
            <v>0000</v>
          </cell>
          <cell r="H245" t="str">
            <v>0000</v>
          </cell>
          <cell r="I245" t="str">
            <v>0000</v>
          </cell>
          <cell r="J245" t="str">
            <v>04/18/1988</v>
          </cell>
          <cell r="K245" t="str">
            <v>00/00/1999</v>
          </cell>
        </row>
        <row r="246">
          <cell r="A246" t="str">
            <v>3760</v>
          </cell>
          <cell r="B246" t="str">
            <v>STATE COASTAL CONSERVANCY</v>
          </cell>
          <cell r="C246" t="str">
            <v>0820</v>
          </cell>
          <cell r="D246" t="str">
            <v>RESOURCES</v>
          </cell>
          <cell r="E246" t="str">
            <v/>
          </cell>
          <cell r="F246" t="str">
            <v>0000</v>
          </cell>
          <cell r="G246" t="str">
            <v>0000</v>
          </cell>
          <cell r="H246" t="str">
            <v>0000</v>
          </cell>
          <cell r="I246" t="str">
            <v>0000</v>
          </cell>
          <cell r="J246" t="str">
            <v>08/05/2016</v>
          </cell>
          <cell r="K246" t="str">
            <v>00/00/0000</v>
          </cell>
        </row>
        <row r="247">
          <cell r="A247" t="str">
            <v>3780</v>
          </cell>
          <cell r="B247" t="str">
            <v>NATIVE AMERICAN HERITAGE COMM</v>
          </cell>
          <cell r="C247" t="str">
            <v>0820</v>
          </cell>
          <cell r="D247" t="str">
            <v>RESOURCES</v>
          </cell>
          <cell r="E247" t="str">
            <v/>
          </cell>
          <cell r="F247" t="str">
            <v>0000</v>
          </cell>
          <cell r="G247" t="str">
            <v>0000</v>
          </cell>
          <cell r="H247" t="str">
            <v>0000</v>
          </cell>
          <cell r="I247" t="str">
            <v>0000</v>
          </cell>
          <cell r="J247" t="str">
            <v>08/18/2000</v>
          </cell>
          <cell r="K247" t="str">
            <v>00/00/0000</v>
          </cell>
        </row>
        <row r="248">
          <cell r="A248" t="str">
            <v>3790</v>
          </cell>
          <cell r="B248" t="str">
            <v>DEPT OF PARKS AND RECREATION</v>
          </cell>
          <cell r="C248" t="str">
            <v>0820</v>
          </cell>
          <cell r="D248" t="str">
            <v>RESOURCES</v>
          </cell>
          <cell r="E248" t="str">
            <v/>
          </cell>
          <cell r="F248" t="str">
            <v>0000</v>
          </cell>
          <cell r="G248" t="str">
            <v>0000</v>
          </cell>
          <cell r="H248" t="str">
            <v>0000</v>
          </cell>
          <cell r="I248" t="str">
            <v>0000</v>
          </cell>
          <cell r="J248" t="str">
            <v>07/11/2006</v>
          </cell>
          <cell r="K248" t="str">
            <v>00/00/0000</v>
          </cell>
        </row>
        <row r="249">
          <cell r="A249" t="str">
            <v>3810</v>
          </cell>
          <cell r="B249" t="str">
            <v>SANTA MONICA MOUNTAINS CONSERV</v>
          </cell>
          <cell r="C249" t="str">
            <v>0820</v>
          </cell>
          <cell r="D249" t="str">
            <v>RESOURCES</v>
          </cell>
          <cell r="E249" t="str">
            <v/>
          </cell>
          <cell r="F249" t="str">
            <v>0000</v>
          </cell>
          <cell r="G249" t="str">
            <v>0000</v>
          </cell>
          <cell r="H249" t="str">
            <v>0000</v>
          </cell>
          <cell r="I249" t="str">
            <v>0000</v>
          </cell>
          <cell r="J249" t="str">
            <v>07/11/2006</v>
          </cell>
          <cell r="K249" t="str">
            <v>00/00/0000</v>
          </cell>
        </row>
        <row r="250">
          <cell r="A250" t="str">
            <v>3820</v>
          </cell>
          <cell r="B250" t="str">
            <v>SF BAY CONSERVATION/DEVEL COMM</v>
          </cell>
          <cell r="C250" t="str">
            <v>0820</v>
          </cell>
          <cell r="D250" t="str">
            <v>RESOURCES</v>
          </cell>
          <cell r="E250" t="str">
            <v/>
          </cell>
          <cell r="F250" t="str">
            <v>0000</v>
          </cell>
          <cell r="G250" t="str">
            <v>0000</v>
          </cell>
          <cell r="H250" t="str">
            <v>0000</v>
          </cell>
          <cell r="I250" t="str">
            <v>0000</v>
          </cell>
          <cell r="J250" t="str">
            <v>07/11/2006</v>
          </cell>
          <cell r="K250" t="str">
            <v>00/00/1999</v>
          </cell>
        </row>
        <row r="251">
          <cell r="A251" t="str">
            <v>3825</v>
          </cell>
          <cell r="B251" t="str">
            <v>SAN GABRIEL/LOWER LA RIVERS</v>
          </cell>
          <cell r="C251" t="str">
            <v>0820</v>
          </cell>
          <cell r="D251" t="str">
            <v>RESOURCES</v>
          </cell>
          <cell r="E251" t="str">
            <v/>
          </cell>
          <cell r="F251" t="str">
            <v>0000</v>
          </cell>
          <cell r="G251" t="str">
            <v>0000</v>
          </cell>
          <cell r="H251" t="str">
            <v>0000</v>
          </cell>
          <cell r="I251" t="str">
            <v>0000</v>
          </cell>
          <cell r="J251" t="str">
            <v>08/29/2001</v>
          </cell>
          <cell r="K251" t="str">
            <v>00/00/0000</v>
          </cell>
        </row>
        <row r="252">
          <cell r="A252" t="str">
            <v>3830</v>
          </cell>
          <cell r="B252" t="str">
            <v>SAN JOAQUIN RIVER CONSUCY</v>
          </cell>
          <cell r="C252" t="str">
            <v>0820</v>
          </cell>
          <cell r="D252" t="str">
            <v>RESOURCES</v>
          </cell>
          <cell r="E252" t="str">
            <v/>
          </cell>
          <cell r="F252" t="str">
            <v>0000</v>
          </cell>
          <cell r="G252" t="str">
            <v>0000</v>
          </cell>
          <cell r="H252" t="str">
            <v>0000</v>
          </cell>
          <cell r="I252" t="str">
            <v>0000</v>
          </cell>
          <cell r="J252" t="str">
            <v>10/24/1995</v>
          </cell>
          <cell r="K252" t="str">
            <v>00/00/0000</v>
          </cell>
        </row>
        <row r="253">
          <cell r="A253" t="str">
            <v>3835</v>
          </cell>
          <cell r="B253" t="str">
            <v>BALDWIN HILLS CONSERVANCY</v>
          </cell>
          <cell r="C253" t="str">
            <v>0820</v>
          </cell>
          <cell r="D253" t="str">
            <v>RESOURCES</v>
          </cell>
          <cell r="E253" t="str">
            <v/>
          </cell>
          <cell r="F253" t="str">
            <v>0000</v>
          </cell>
          <cell r="G253" t="str">
            <v>0000</v>
          </cell>
          <cell r="H253" t="str">
            <v>0000</v>
          </cell>
          <cell r="I253" t="str">
            <v>0000</v>
          </cell>
          <cell r="J253" t="str">
            <v>10/15/2002</v>
          </cell>
          <cell r="K253" t="str">
            <v>00/00/0000</v>
          </cell>
        </row>
        <row r="254">
          <cell r="A254" t="str">
            <v>3840</v>
          </cell>
          <cell r="B254" t="str">
            <v>DELTA PROTECTION COMMISSION</v>
          </cell>
          <cell r="C254" t="str">
            <v>0820</v>
          </cell>
          <cell r="D254" t="str">
            <v>RESOURCES</v>
          </cell>
          <cell r="E254" t="str">
            <v/>
          </cell>
          <cell r="F254" t="str">
            <v>0000</v>
          </cell>
          <cell r="G254" t="str">
            <v>0000</v>
          </cell>
          <cell r="H254" t="str">
            <v>0000</v>
          </cell>
          <cell r="I254" t="str">
            <v>0000</v>
          </cell>
          <cell r="J254" t="str">
            <v>04/04/1994</v>
          </cell>
          <cell r="K254" t="str">
            <v>00/00/0000</v>
          </cell>
        </row>
        <row r="255">
          <cell r="A255" t="str">
            <v>3845</v>
          </cell>
          <cell r="B255" t="str">
            <v>SAN DIEGO RIVE CONSERVANCY</v>
          </cell>
          <cell r="C255" t="str">
            <v>0820</v>
          </cell>
          <cell r="D255" t="str">
            <v>RESOURCES</v>
          </cell>
          <cell r="E255" t="str">
            <v/>
          </cell>
          <cell r="F255" t="str">
            <v>0000</v>
          </cell>
          <cell r="G255" t="str">
            <v>0000</v>
          </cell>
          <cell r="H255" t="str">
            <v>0000</v>
          </cell>
          <cell r="I255" t="str">
            <v>0000</v>
          </cell>
          <cell r="J255" t="str">
            <v>08/18/2004</v>
          </cell>
          <cell r="K255" t="str">
            <v>00/00/0000</v>
          </cell>
        </row>
        <row r="256">
          <cell r="A256" t="str">
            <v>3850</v>
          </cell>
          <cell r="B256" t="str">
            <v>COACHELLA VALLEY MTS CONSV</v>
          </cell>
          <cell r="C256" t="str">
            <v>0820</v>
          </cell>
          <cell r="D256" t="str">
            <v>RESOURCES</v>
          </cell>
          <cell r="E256" t="str">
            <v/>
          </cell>
          <cell r="F256" t="str">
            <v>0000</v>
          </cell>
          <cell r="G256" t="str">
            <v>0000</v>
          </cell>
          <cell r="H256" t="str">
            <v>0000</v>
          </cell>
          <cell r="I256" t="str">
            <v>0000</v>
          </cell>
          <cell r="J256" t="str">
            <v>07/30/1997</v>
          </cell>
          <cell r="K256" t="str">
            <v>00/00/0000</v>
          </cell>
        </row>
        <row r="257">
          <cell r="A257" t="str">
            <v>3855</v>
          </cell>
          <cell r="B257" t="str">
            <v>SIERRA NEVADA CONSERVANCY</v>
          </cell>
          <cell r="C257" t="str">
            <v>0820</v>
          </cell>
          <cell r="D257" t="str">
            <v>RESOURCES</v>
          </cell>
          <cell r="E257" t="str">
            <v/>
          </cell>
          <cell r="F257" t="str">
            <v>0000</v>
          </cell>
          <cell r="G257" t="str">
            <v>0000</v>
          </cell>
          <cell r="H257" t="str">
            <v>0000</v>
          </cell>
          <cell r="I257" t="str">
            <v>0000</v>
          </cell>
          <cell r="J257" t="str">
            <v>07/11/2006</v>
          </cell>
          <cell r="K257" t="str">
            <v>00/00/0000</v>
          </cell>
        </row>
        <row r="258">
          <cell r="A258" t="str">
            <v>3860</v>
          </cell>
          <cell r="B258" t="str">
            <v>DEPARTMENT OF WATER RESOURCES</v>
          </cell>
          <cell r="C258" t="str">
            <v>0820</v>
          </cell>
          <cell r="D258" t="str">
            <v>RESOURCES</v>
          </cell>
          <cell r="E258" t="str">
            <v/>
          </cell>
          <cell r="F258" t="str">
            <v>0000</v>
          </cell>
          <cell r="G258" t="str">
            <v>0000</v>
          </cell>
          <cell r="H258" t="str">
            <v>0000</v>
          </cell>
          <cell r="I258" t="str">
            <v>0000</v>
          </cell>
          <cell r="J258" t="str">
            <v>04/04/1984</v>
          </cell>
          <cell r="K258" t="str">
            <v>00/00/0000</v>
          </cell>
        </row>
        <row r="259">
          <cell r="A259" t="str">
            <v>3870</v>
          </cell>
          <cell r="B259" t="str">
            <v>CA BAY DELTA</v>
          </cell>
          <cell r="C259" t="str">
            <v>0820</v>
          </cell>
          <cell r="D259" t="str">
            <v>RESOURCES</v>
          </cell>
          <cell r="E259" t="str">
            <v/>
          </cell>
          <cell r="F259" t="str">
            <v>0000</v>
          </cell>
          <cell r="G259" t="str">
            <v>0000</v>
          </cell>
          <cell r="H259" t="str">
            <v>0000</v>
          </cell>
          <cell r="I259" t="str">
            <v>0000</v>
          </cell>
          <cell r="J259" t="str">
            <v>08/18/2004</v>
          </cell>
          <cell r="K259" t="str">
            <v>00/00/0000</v>
          </cell>
        </row>
        <row r="260">
          <cell r="A260" t="str">
            <v>3875</v>
          </cell>
          <cell r="B260" t="str">
            <v>SAC-SAN JOAQUIN DELTA CONSERV</v>
          </cell>
          <cell r="C260" t="str">
            <v>0820</v>
          </cell>
          <cell r="D260" t="str">
            <v>RESOURCES</v>
          </cell>
          <cell r="E260" t="str">
            <v/>
          </cell>
          <cell r="F260" t="str">
            <v>0000</v>
          </cell>
          <cell r="G260" t="str">
            <v>0000</v>
          </cell>
          <cell r="H260" t="str">
            <v>0000</v>
          </cell>
          <cell r="I260" t="str">
            <v>0000</v>
          </cell>
          <cell r="J260" t="str">
            <v>08/25/2010</v>
          </cell>
          <cell r="K260" t="str">
            <v>00/00/0000</v>
          </cell>
        </row>
        <row r="261">
          <cell r="A261" t="str">
            <v>3885</v>
          </cell>
          <cell r="B261" t="str">
            <v>DELTA STEWARDSHIP COUNCIL</v>
          </cell>
          <cell r="C261" t="str">
            <v>0820</v>
          </cell>
          <cell r="D261" t="str">
            <v>RESOURCES</v>
          </cell>
          <cell r="E261" t="str">
            <v/>
          </cell>
          <cell r="F261" t="str">
            <v>0000</v>
          </cell>
          <cell r="G261" t="str">
            <v>0000</v>
          </cell>
          <cell r="H261" t="str">
            <v>0000</v>
          </cell>
          <cell r="I261" t="str">
            <v>0000</v>
          </cell>
          <cell r="J261" t="str">
            <v>08/25/2010</v>
          </cell>
          <cell r="K261" t="str">
            <v>00/00/0000</v>
          </cell>
        </row>
        <row r="262">
          <cell r="A262" t="str">
            <v>3900</v>
          </cell>
          <cell r="B262" t="str">
            <v>AIR RESOURCES BOARD</v>
          </cell>
          <cell r="C262" t="str">
            <v>0820</v>
          </cell>
          <cell r="D262" t="str">
            <v>RESOURCES</v>
          </cell>
          <cell r="E262" t="str">
            <v/>
          </cell>
          <cell r="F262" t="str">
            <v>0000</v>
          </cell>
          <cell r="G262" t="str">
            <v>0000</v>
          </cell>
          <cell r="H262" t="str">
            <v>0000</v>
          </cell>
          <cell r="I262" t="str">
            <v>0000</v>
          </cell>
          <cell r="J262" t="str">
            <v>06/23/1992</v>
          </cell>
          <cell r="K262" t="str">
            <v>00/00/0000</v>
          </cell>
        </row>
        <row r="263">
          <cell r="A263" t="str">
            <v>3910</v>
          </cell>
          <cell r="B263" t="str">
            <v>CA INTEGRATED WASTE MANAGE. BD</v>
          </cell>
          <cell r="C263" t="str">
            <v>0820</v>
          </cell>
          <cell r="D263" t="str">
            <v>RESOURCES</v>
          </cell>
          <cell r="E263" t="str">
            <v/>
          </cell>
          <cell r="F263" t="str">
            <v>0000</v>
          </cell>
          <cell r="G263" t="str">
            <v>0000</v>
          </cell>
          <cell r="H263" t="str">
            <v>0000</v>
          </cell>
          <cell r="I263" t="str">
            <v>0000</v>
          </cell>
          <cell r="J263" t="str">
            <v>07/11/2006</v>
          </cell>
          <cell r="K263" t="str">
            <v>00/00/0000</v>
          </cell>
        </row>
        <row r="264">
          <cell r="A264" t="str">
            <v>3930</v>
          </cell>
          <cell r="B264" t="str">
            <v>DEPT OF PESTICIDE REGULATION</v>
          </cell>
          <cell r="C264" t="str">
            <v>0820</v>
          </cell>
          <cell r="D264" t="str">
            <v>RESOURCES</v>
          </cell>
          <cell r="E264" t="str">
            <v/>
          </cell>
          <cell r="F264" t="str">
            <v>0000</v>
          </cell>
          <cell r="G264" t="str">
            <v>0000</v>
          </cell>
          <cell r="H264" t="str">
            <v>0000</v>
          </cell>
          <cell r="I264" t="str">
            <v>0000</v>
          </cell>
          <cell r="J264" t="str">
            <v>08/05/2016</v>
          </cell>
          <cell r="K264" t="str">
            <v>00/00/0000</v>
          </cell>
        </row>
        <row r="265">
          <cell r="A265" t="str">
            <v>3940</v>
          </cell>
          <cell r="B265" t="str">
            <v>ST WATER RESOURCES CONTROL BD</v>
          </cell>
          <cell r="C265" t="str">
            <v>0820</v>
          </cell>
          <cell r="D265" t="str">
            <v>RESOURCES</v>
          </cell>
          <cell r="E265" t="str">
            <v/>
          </cell>
          <cell r="F265" t="str">
            <v>0000</v>
          </cell>
          <cell r="G265" t="str">
            <v>0000</v>
          </cell>
          <cell r="H265" t="str">
            <v>0000</v>
          </cell>
          <cell r="I265" t="str">
            <v>0000</v>
          </cell>
          <cell r="J265" t="str">
            <v>07/11/2006</v>
          </cell>
          <cell r="K265" t="str">
            <v>00/00/1999</v>
          </cell>
        </row>
        <row r="266">
          <cell r="A266" t="str">
            <v>3945</v>
          </cell>
          <cell r="B266" t="str">
            <v>PYMT OF INTEREST ON PMIA LOANS</v>
          </cell>
          <cell r="C266" t="str">
            <v>0820</v>
          </cell>
          <cell r="D266" t="str">
            <v>RESOURCES</v>
          </cell>
          <cell r="E266" t="str">
            <v/>
          </cell>
          <cell r="F266" t="str">
            <v>0000</v>
          </cell>
          <cell r="G266" t="str">
            <v>0000</v>
          </cell>
          <cell r="H266" t="str">
            <v>0000</v>
          </cell>
          <cell r="I266" t="str">
            <v>0000</v>
          </cell>
          <cell r="J266" t="str">
            <v>10/23/1990</v>
          </cell>
          <cell r="K266" t="str">
            <v>00/00/0000</v>
          </cell>
        </row>
        <row r="267">
          <cell r="A267" t="str">
            <v>3946</v>
          </cell>
          <cell r="B267" t="str">
            <v>GENERAL OBLIGATION BONDS</v>
          </cell>
          <cell r="C267" t="str">
            <v>0820</v>
          </cell>
          <cell r="D267" t="str">
            <v>RESOURCES</v>
          </cell>
          <cell r="E267" t="str">
            <v/>
          </cell>
          <cell r="F267" t="str">
            <v>0000</v>
          </cell>
          <cell r="G267" t="str">
            <v>0000</v>
          </cell>
          <cell r="H267" t="str">
            <v>0000</v>
          </cell>
          <cell r="I267" t="str">
            <v>0000</v>
          </cell>
          <cell r="J267" t="str">
            <v>99/99/9999</v>
          </cell>
          <cell r="K267" t="str">
            <v>00/00/0000</v>
          </cell>
        </row>
        <row r="268">
          <cell r="A268" t="str">
            <v>3948</v>
          </cell>
          <cell r="B268" t="str">
            <v>STATE MANDATED LOCAL COSTS</v>
          </cell>
          <cell r="C268" t="str">
            <v>0820</v>
          </cell>
          <cell r="D268" t="str">
            <v>RESOURCES</v>
          </cell>
          <cell r="E268" t="str">
            <v/>
          </cell>
          <cell r="F268" t="str">
            <v>0000</v>
          </cell>
          <cell r="G268" t="str">
            <v>0000</v>
          </cell>
          <cell r="H268" t="str">
            <v>0000</v>
          </cell>
          <cell r="I268" t="str">
            <v>0000</v>
          </cell>
          <cell r="J268" t="str">
            <v>10/23/1990</v>
          </cell>
          <cell r="K268" t="str">
            <v>00/00/0000</v>
          </cell>
        </row>
        <row r="269">
          <cell r="A269" t="str">
            <v>3949</v>
          </cell>
          <cell r="B269" t="str">
            <v>MISC ADJUSTMENTS</v>
          </cell>
          <cell r="C269" t="str">
            <v>0820</v>
          </cell>
          <cell r="D269" t="str">
            <v>RESOURCES</v>
          </cell>
          <cell r="E269" t="str">
            <v/>
          </cell>
          <cell r="F269" t="str">
            <v>0000</v>
          </cell>
          <cell r="G269" t="str">
            <v>0000</v>
          </cell>
          <cell r="H269" t="str">
            <v>0000</v>
          </cell>
          <cell r="I269" t="str">
            <v>0000</v>
          </cell>
          <cell r="J269" t="str">
            <v>99/99/9999</v>
          </cell>
          <cell r="K269" t="str">
            <v>00/00/0000</v>
          </cell>
        </row>
        <row r="270">
          <cell r="A270" t="str">
            <v>3960</v>
          </cell>
          <cell r="B270" t="str">
            <v>DEPT OF TOXIC SUBSTANCES CTL</v>
          </cell>
          <cell r="C270" t="str">
            <v>0820</v>
          </cell>
          <cell r="D270" t="str">
            <v>RESOURCES</v>
          </cell>
          <cell r="E270" t="str">
            <v/>
          </cell>
          <cell r="F270" t="str">
            <v>0000</v>
          </cell>
          <cell r="G270" t="str">
            <v>0000</v>
          </cell>
          <cell r="H270" t="str">
            <v>0000</v>
          </cell>
          <cell r="I270" t="str">
            <v>0000</v>
          </cell>
          <cell r="J270" t="str">
            <v>07/11/2006</v>
          </cell>
          <cell r="K270" t="str">
            <v>00/00/0000</v>
          </cell>
        </row>
        <row r="271">
          <cell r="A271" t="str">
            <v>3970</v>
          </cell>
          <cell r="B271" t="str">
            <v>RESOURCES RECYCLING RECOVERY</v>
          </cell>
          <cell r="C271" t="str">
            <v>0820</v>
          </cell>
          <cell r="D271" t="str">
            <v>RESOURCES</v>
          </cell>
          <cell r="E271" t="str">
            <v/>
          </cell>
          <cell r="F271" t="str">
            <v>0000</v>
          </cell>
          <cell r="G271" t="str">
            <v>0000</v>
          </cell>
          <cell r="H271" t="str">
            <v>0000</v>
          </cell>
          <cell r="I271" t="str">
            <v>0000</v>
          </cell>
          <cell r="J271" t="str">
            <v>08/26/2014</v>
          </cell>
          <cell r="K271" t="str">
            <v>00/00/0000</v>
          </cell>
        </row>
        <row r="272">
          <cell r="A272" t="str">
            <v>3980</v>
          </cell>
          <cell r="B272" t="str">
            <v>OFFICE OF ENVIR HLTH HAZ ASS</v>
          </cell>
          <cell r="C272" t="str">
            <v>0820</v>
          </cell>
          <cell r="D272" t="str">
            <v>RESOURCES</v>
          </cell>
          <cell r="E272" t="str">
            <v/>
          </cell>
          <cell r="F272" t="str">
            <v>0000</v>
          </cell>
          <cell r="G272" t="str">
            <v>0000</v>
          </cell>
          <cell r="H272" t="str">
            <v>0000</v>
          </cell>
          <cell r="I272" t="str">
            <v>0000</v>
          </cell>
          <cell r="J272" t="str">
            <v>07/11/2006</v>
          </cell>
          <cell r="K272" t="str">
            <v>00/00/0000</v>
          </cell>
        </row>
        <row r="273">
          <cell r="A273" t="str">
            <v>4000</v>
          </cell>
          <cell r="B273" t="str">
            <v>HEALTH AND WELFARE</v>
          </cell>
          <cell r="C273" t="str">
            <v>0815</v>
          </cell>
          <cell r="D273" t="str">
            <v>HEALTH AND HUMAN SERVICES</v>
          </cell>
          <cell r="E273" t="str">
            <v/>
          </cell>
          <cell r="F273" t="str">
            <v>0000</v>
          </cell>
          <cell r="G273" t="str">
            <v>0000</v>
          </cell>
          <cell r="H273" t="str">
            <v>0000</v>
          </cell>
          <cell r="I273" t="str">
            <v>0000</v>
          </cell>
          <cell r="J273" t="str">
            <v>10/28/2016</v>
          </cell>
          <cell r="K273" t="str">
            <v>00/00/0000</v>
          </cell>
        </row>
        <row r="274">
          <cell r="A274" t="str">
            <v>4100</v>
          </cell>
          <cell r="B274" t="str">
            <v>STATE COUNCIL-DEV DISABILITY</v>
          </cell>
          <cell r="C274" t="str">
            <v>0815</v>
          </cell>
          <cell r="D274" t="str">
            <v>HEALTH AND HUMAN SERVICES</v>
          </cell>
          <cell r="E274" t="str">
            <v/>
          </cell>
          <cell r="F274" t="str">
            <v>0000</v>
          </cell>
          <cell r="G274" t="str">
            <v>0000</v>
          </cell>
          <cell r="H274" t="str">
            <v>0000</v>
          </cell>
          <cell r="I274" t="str">
            <v>0000</v>
          </cell>
          <cell r="J274" t="str">
            <v>10/28/2016</v>
          </cell>
          <cell r="K274" t="str">
            <v>00/00/1999</v>
          </cell>
        </row>
        <row r="275">
          <cell r="A275" t="str">
            <v>4110</v>
          </cell>
          <cell r="B275" t="str">
            <v>AREA BOARD-DEV DISABILITY</v>
          </cell>
          <cell r="C275" t="str">
            <v>0815</v>
          </cell>
          <cell r="D275" t="str">
            <v>HEALTH AND HUMAN SERVICES</v>
          </cell>
          <cell r="E275" t="str">
            <v/>
          </cell>
          <cell r="F275" t="str">
            <v>0000</v>
          </cell>
          <cell r="G275" t="str">
            <v>0000</v>
          </cell>
          <cell r="H275" t="str">
            <v>0000</v>
          </cell>
          <cell r="I275" t="str">
            <v>0000</v>
          </cell>
          <cell r="J275" t="str">
            <v>10/28/2016</v>
          </cell>
          <cell r="K275" t="str">
            <v>00/00/1999</v>
          </cell>
        </row>
        <row r="276">
          <cell r="A276" t="str">
            <v>4120</v>
          </cell>
          <cell r="B276" t="str">
            <v>EMERGENCY MEDICAL SERVICE AUTH</v>
          </cell>
          <cell r="C276" t="str">
            <v>0815</v>
          </cell>
          <cell r="D276" t="str">
            <v>HEALTH AND HUMAN SERVICES</v>
          </cell>
          <cell r="E276" t="str">
            <v/>
          </cell>
          <cell r="F276" t="str">
            <v>0000</v>
          </cell>
          <cell r="G276" t="str">
            <v>0000</v>
          </cell>
          <cell r="H276" t="str">
            <v>0000</v>
          </cell>
          <cell r="I276" t="str">
            <v>0000</v>
          </cell>
          <cell r="J276" t="str">
            <v>10/28/2016</v>
          </cell>
          <cell r="K276" t="str">
            <v>00/00/0000</v>
          </cell>
        </row>
        <row r="277">
          <cell r="A277" t="str">
            <v>4130</v>
          </cell>
          <cell r="B277" t="str">
            <v>HLTH AND HUMAN SVCS AGY CTR</v>
          </cell>
          <cell r="C277" t="str">
            <v>0815</v>
          </cell>
          <cell r="D277" t="str">
            <v>HEALTH AND HUMAN SERVICES</v>
          </cell>
          <cell r="E277" t="str">
            <v/>
          </cell>
          <cell r="F277" t="str">
            <v>0000</v>
          </cell>
          <cell r="G277" t="str">
            <v>0000</v>
          </cell>
          <cell r="H277" t="str">
            <v>0000</v>
          </cell>
          <cell r="I277" t="str">
            <v>0000</v>
          </cell>
          <cell r="J277" t="str">
            <v>10/28/2016</v>
          </cell>
          <cell r="K277" t="str">
            <v>00/00/0000</v>
          </cell>
        </row>
        <row r="278">
          <cell r="A278" t="str">
            <v>4140</v>
          </cell>
          <cell r="B278" t="str">
            <v>OFFICE OF HEALTH PLAN &amp; DEV</v>
          </cell>
          <cell r="C278" t="str">
            <v>0815</v>
          </cell>
          <cell r="D278" t="str">
            <v>HEALTH AND HUMAN SERVICES</v>
          </cell>
          <cell r="E278" t="str">
            <v/>
          </cell>
          <cell r="F278" t="str">
            <v>0000</v>
          </cell>
          <cell r="G278" t="str">
            <v>0000</v>
          </cell>
          <cell r="H278" t="str">
            <v>0000</v>
          </cell>
          <cell r="I278" t="str">
            <v>0000</v>
          </cell>
          <cell r="J278" t="str">
            <v>10/28/2016</v>
          </cell>
          <cell r="K278" t="str">
            <v>00/00/0000</v>
          </cell>
        </row>
        <row r="279">
          <cell r="A279" t="str">
            <v>4150</v>
          </cell>
          <cell r="B279" t="str">
            <v>DEPT OF MANAGED HEALTH CARE</v>
          </cell>
          <cell r="C279" t="str">
            <v>0815</v>
          </cell>
          <cell r="D279" t="str">
            <v>HEALTH AND HUMAN SERVICES</v>
          </cell>
          <cell r="E279" t="str">
            <v>RENUMBERED FROM 2400</v>
          </cell>
          <cell r="F279" t="str">
            <v>0000</v>
          </cell>
          <cell r="G279" t="str">
            <v>0000</v>
          </cell>
          <cell r="H279" t="str">
            <v>0000</v>
          </cell>
          <cell r="I279" t="str">
            <v>0000</v>
          </cell>
          <cell r="J279" t="str">
            <v>10/28/2016</v>
          </cell>
          <cell r="K279" t="str">
            <v>00/00/0000</v>
          </cell>
        </row>
        <row r="280">
          <cell r="A280" t="str">
            <v>4170</v>
          </cell>
          <cell r="B280" t="str">
            <v>DEPARTMENT OF AGING</v>
          </cell>
          <cell r="C280" t="str">
            <v>0815</v>
          </cell>
          <cell r="D280" t="str">
            <v>HEALTH AND HUMAN SERVICES</v>
          </cell>
          <cell r="E280" t="str">
            <v/>
          </cell>
          <cell r="F280" t="str">
            <v>0000</v>
          </cell>
          <cell r="G280" t="str">
            <v>0000</v>
          </cell>
          <cell r="H280" t="str">
            <v>0000</v>
          </cell>
          <cell r="I280" t="str">
            <v>0000</v>
          </cell>
          <cell r="J280" t="str">
            <v>10/28/2016</v>
          </cell>
          <cell r="K280" t="str">
            <v>00/00/1999</v>
          </cell>
        </row>
        <row r="281">
          <cell r="A281" t="str">
            <v>4180</v>
          </cell>
          <cell r="B281" t="str">
            <v>COMMISSION ON AGING</v>
          </cell>
          <cell r="C281" t="str">
            <v>0815</v>
          </cell>
          <cell r="D281" t="str">
            <v>HEALTH AND HUMAN SERVICES</v>
          </cell>
          <cell r="E281" t="str">
            <v/>
          </cell>
          <cell r="F281" t="str">
            <v>0000</v>
          </cell>
          <cell r="G281" t="str">
            <v>0000</v>
          </cell>
          <cell r="H281" t="str">
            <v>0000</v>
          </cell>
          <cell r="I281" t="str">
            <v>0000</v>
          </cell>
          <cell r="J281" t="str">
            <v>10/28/2016</v>
          </cell>
          <cell r="K281" t="str">
            <v>00/00/1999</v>
          </cell>
        </row>
        <row r="282">
          <cell r="A282" t="str">
            <v>4185</v>
          </cell>
          <cell r="B282" t="str">
            <v>CALIFORNIA SENIOR LEGISLATURE</v>
          </cell>
          <cell r="C282" t="str">
            <v>0815</v>
          </cell>
          <cell r="D282" t="str">
            <v>HEALTH AND HUMAN SERVICES</v>
          </cell>
          <cell r="E282" t="str">
            <v/>
          </cell>
          <cell r="F282" t="str">
            <v>0000</v>
          </cell>
          <cell r="G282" t="str">
            <v>0000</v>
          </cell>
          <cell r="H282" t="str">
            <v>0000</v>
          </cell>
          <cell r="I282" t="str">
            <v>0000</v>
          </cell>
          <cell r="J282" t="str">
            <v>10/28/2016</v>
          </cell>
          <cell r="K282" t="str">
            <v>00/00/0000</v>
          </cell>
        </row>
        <row r="283">
          <cell r="A283" t="str">
            <v>4210</v>
          </cell>
          <cell r="B283" t="str">
            <v>GOV COUNCIL DRUG/ALCOHOL ABUSE</v>
          </cell>
          <cell r="C283" t="str">
            <v>0815</v>
          </cell>
          <cell r="D283" t="str">
            <v>HEALTH AND HUMAN SERVICES</v>
          </cell>
          <cell r="E283" t="str">
            <v/>
          </cell>
          <cell r="F283" t="str">
            <v>0000</v>
          </cell>
          <cell r="G283" t="str">
            <v>0000</v>
          </cell>
          <cell r="H283" t="str">
            <v>0000</v>
          </cell>
          <cell r="I283" t="str">
            <v>0000</v>
          </cell>
          <cell r="J283" t="str">
            <v>10/28/2016</v>
          </cell>
          <cell r="K283" t="str">
            <v>00/00/0000</v>
          </cell>
        </row>
        <row r="284">
          <cell r="A284" t="str">
            <v>4220</v>
          </cell>
          <cell r="B284" t="str">
            <v>GOV ADV COM CHILD DEVEL PROG</v>
          </cell>
          <cell r="C284" t="str">
            <v>0815</v>
          </cell>
          <cell r="D284" t="str">
            <v>HEALTH AND HUMAN SERVICES</v>
          </cell>
          <cell r="E284" t="str">
            <v/>
          </cell>
          <cell r="F284" t="str">
            <v>0000</v>
          </cell>
          <cell r="G284" t="str">
            <v>0000</v>
          </cell>
          <cell r="H284" t="str">
            <v>0000</v>
          </cell>
          <cell r="I284" t="str">
            <v>0000</v>
          </cell>
          <cell r="J284" t="str">
            <v>10/28/2016</v>
          </cell>
          <cell r="K284" t="str">
            <v>00/00/0000</v>
          </cell>
        </row>
        <row r="285">
          <cell r="A285" t="str">
            <v>4250</v>
          </cell>
          <cell r="B285" t="str">
            <v>CA. CHILDREN AND FAMILIES COMM</v>
          </cell>
          <cell r="C285" t="str">
            <v>0815</v>
          </cell>
          <cell r="D285" t="str">
            <v>HEALTH AND HUMAN SERVICES</v>
          </cell>
          <cell r="E285" t="str">
            <v/>
          </cell>
          <cell r="F285" t="str">
            <v>0000</v>
          </cell>
          <cell r="G285" t="str">
            <v>0000</v>
          </cell>
          <cell r="H285" t="str">
            <v>0000</v>
          </cell>
          <cell r="I285" t="str">
            <v>0000</v>
          </cell>
          <cell r="J285" t="str">
            <v>10/28/2016</v>
          </cell>
          <cell r="K285" t="str">
            <v>00/00/0000</v>
          </cell>
        </row>
        <row r="286">
          <cell r="A286" t="str">
            <v>4260</v>
          </cell>
          <cell r="B286" t="str">
            <v>DEPARTMENT OF HEALTH CARE SVCS</v>
          </cell>
          <cell r="C286" t="str">
            <v>0815</v>
          </cell>
          <cell r="D286" t="str">
            <v>HEALTH AND HUMAN SERVICES</v>
          </cell>
          <cell r="E286" t="str">
            <v/>
          </cell>
          <cell r="F286" t="str">
            <v>0000</v>
          </cell>
          <cell r="G286" t="str">
            <v>0000</v>
          </cell>
          <cell r="H286" t="str">
            <v>0000</v>
          </cell>
          <cell r="I286" t="str">
            <v>0000</v>
          </cell>
          <cell r="J286" t="str">
            <v>10/28/2016</v>
          </cell>
          <cell r="K286" t="str">
            <v>00/00/0000</v>
          </cell>
        </row>
        <row r="287">
          <cell r="A287" t="str">
            <v>4265</v>
          </cell>
          <cell r="B287" t="str">
            <v>DEPARTMENT OF PUBLIC HEALTH</v>
          </cell>
          <cell r="C287" t="str">
            <v>0815</v>
          </cell>
          <cell r="D287" t="str">
            <v>HEALTH AND HUMAN SERVICES</v>
          </cell>
          <cell r="E287" t="str">
            <v/>
          </cell>
          <cell r="F287" t="str">
            <v>0000</v>
          </cell>
          <cell r="G287" t="str">
            <v>0000</v>
          </cell>
          <cell r="H287" t="str">
            <v>0000</v>
          </cell>
          <cell r="I287" t="str">
            <v>0000</v>
          </cell>
          <cell r="J287" t="str">
            <v>10/28/2016</v>
          </cell>
          <cell r="K287" t="str">
            <v>00/00/0000</v>
          </cell>
        </row>
        <row r="288">
          <cell r="A288" t="str">
            <v>4270</v>
          </cell>
          <cell r="B288" t="str">
            <v>CAL MED ASSISTANCE COMMISSION</v>
          </cell>
          <cell r="C288" t="str">
            <v>0815</v>
          </cell>
          <cell r="D288" t="str">
            <v>HEALTH AND HUMAN SERVICES</v>
          </cell>
          <cell r="E288" t="str">
            <v/>
          </cell>
          <cell r="F288" t="str">
            <v>0000</v>
          </cell>
          <cell r="G288" t="str">
            <v>0000</v>
          </cell>
          <cell r="H288" t="str">
            <v>0000</v>
          </cell>
          <cell r="I288" t="str">
            <v>0000</v>
          </cell>
          <cell r="J288" t="str">
            <v>10/28/2016</v>
          </cell>
          <cell r="K288" t="str">
            <v>00/00/1999</v>
          </cell>
        </row>
        <row r="289">
          <cell r="A289" t="str">
            <v>4280</v>
          </cell>
          <cell r="B289" t="str">
            <v>MANAGED RISK MED INSUR BD.</v>
          </cell>
          <cell r="C289" t="str">
            <v>0815</v>
          </cell>
          <cell r="D289" t="str">
            <v>HEALTH AND HUMAN SERVICES</v>
          </cell>
          <cell r="E289" t="str">
            <v/>
          </cell>
          <cell r="F289" t="str">
            <v>0000</v>
          </cell>
          <cell r="G289" t="str">
            <v>0000</v>
          </cell>
          <cell r="H289" t="str">
            <v>0000</v>
          </cell>
          <cell r="I289" t="str">
            <v>0000</v>
          </cell>
          <cell r="J289" t="str">
            <v>10/28/2016</v>
          </cell>
          <cell r="K289" t="str">
            <v>00/00/0000</v>
          </cell>
        </row>
        <row r="290">
          <cell r="A290" t="str">
            <v>4300</v>
          </cell>
          <cell r="B290" t="str">
            <v>DEPT. DEVELOPMENTAL SVCS</v>
          </cell>
          <cell r="C290" t="str">
            <v>0815</v>
          </cell>
          <cell r="D290" t="str">
            <v>HEALTH AND HUMAN SERVICES</v>
          </cell>
          <cell r="E290" t="str">
            <v/>
          </cell>
          <cell r="F290" t="str">
            <v>0000</v>
          </cell>
          <cell r="G290" t="str">
            <v>0000</v>
          </cell>
          <cell r="H290" t="str">
            <v>0000</v>
          </cell>
          <cell r="I290" t="str">
            <v>0000</v>
          </cell>
          <cell r="J290" t="str">
            <v>10/28/2016</v>
          </cell>
          <cell r="K290" t="str">
            <v>00/00/0000</v>
          </cell>
        </row>
        <row r="291">
          <cell r="A291" t="str">
            <v>4310</v>
          </cell>
          <cell r="B291" t="str">
            <v>DO NOT USE AGENCY MERGED WITH</v>
          </cell>
          <cell r="C291" t="str">
            <v>0815</v>
          </cell>
          <cell r="D291" t="str">
            <v/>
          </cell>
          <cell r="E291" t="str">
            <v/>
          </cell>
          <cell r="F291" t="str">
            <v>0000</v>
          </cell>
          <cell r="G291" t="str">
            <v>0000</v>
          </cell>
          <cell r="H291" t="str">
            <v>0000</v>
          </cell>
          <cell r="I291" t="str">
            <v>0000</v>
          </cell>
          <cell r="J291" t="str">
            <v>09/07/2018</v>
          </cell>
          <cell r="K291" t="str">
            <v>00/00/0000</v>
          </cell>
        </row>
        <row r="292">
          <cell r="A292" t="str">
            <v>4320</v>
          </cell>
          <cell r="B292" t="str">
            <v>STATE HOSPITALS</v>
          </cell>
          <cell r="C292" t="str">
            <v>0815</v>
          </cell>
          <cell r="D292" t="str">
            <v>HEALTH AND HUMAN SERVICES</v>
          </cell>
          <cell r="E292" t="str">
            <v/>
          </cell>
          <cell r="F292" t="str">
            <v>0000</v>
          </cell>
          <cell r="G292" t="str">
            <v>0000</v>
          </cell>
          <cell r="H292" t="str">
            <v>0000</v>
          </cell>
          <cell r="I292" t="str">
            <v>0000</v>
          </cell>
          <cell r="J292" t="str">
            <v>10/28/2016</v>
          </cell>
          <cell r="K292" t="str">
            <v>00/00/0000</v>
          </cell>
        </row>
        <row r="293">
          <cell r="A293" t="str">
            <v>4350</v>
          </cell>
          <cell r="B293" t="str">
            <v>DO NOT USE AGENCY MERGED WITH</v>
          </cell>
          <cell r="C293" t="str">
            <v>0815</v>
          </cell>
          <cell r="D293" t="str">
            <v/>
          </cell>
          <cell r="E293" t="str">
            <v/>
          </cell>
          <cell r="F293" t="str">
            <v>0000</v>
          </cell>
          <cell r="G293" t="str">
            <v>0000</v>
          </cell>
          <cell r="H293" t="str">
            <v>0000</v>
          </cell>
          <cell r="I293" t="str">
            <v>0000</v>
          </cell>
          <cell r="J293" t="str">
            <v>09/07/2018</v>
          </cell>
          <cell r="K293" t="str">
            <v>00/00/0000</v>
          </cell>
        </row>
        <row r="294">
          <cell r="A294" t="str">
            <v>4370</v>
          </cell>
          <cell r="B294" t="str">
            <v>DO NOT USE AGENCY MERGED WITH</v>
          </cell>
          <cell r="C294" t="str">
            <v>0815</v>
          </cell>
          <cell r="D294" t="str">
            <v/>
          </cell>
          <cell r="E294" t="str">
            <v/>
          </cell>
          <cell r="F294" t="str">
            <v>0000</v>
          </cell>
          <cell r="G294" t="str">
            <v>0000</v>
          </cell>
          <cell r="H294" t="str">
            <v>0000</v>
          </cell>
          <cell r="I294" t="str">
            <v>0000</v>
          </cell>
          <cell r="J294" t="str">
            <v>09/07/2018</v>
          </cell>
          <cell r="K294" t="str">
            <v>00/00/0000</v>
          </cell>
        </row>
        <row r="295">
          <cell r="A295" t="str">
            <v>4390</v>
          </cell>
          <cell r="B295" t="str">
            <v>DO NOT USE AGENCY MERGED WITH</v>
          </cell>
          <cell r="C295" t="str">
            <v>0815</v>
          </cell>
          <cell r="D295" t="str">
            <v/>
          </cell>
          <cell r="E295" t="str">
            <v/>
          </cell>
          <cell r="F295" t="str">
            <v>0000</v>
          </cell>
          <cell r="G295" t="str">
            <v>0000</v>
          </cell>
          <cell r="H295" t="str">
            <v>0000</v>
          </cell>
          <cell r="I295" t="str">
            <v>0000</v>
          </cell>
          <cell r="J295" t="str">
            <v>09/07/2018</v>
          </cell>
          <cell r="K295" t="str">
            <v>00/00/0000</v>
          </cell>
        </row>
        <row r="296">
          <cell r="A296" t="str">
            <v>4400</v>
          </cell>
          <cell r="B296" t="str">
            <v>DO NOT USE AGENCY MERGED WITH</v>
          </cell>
          <cell r="C296" t="str">
            <v>0815</v>
          </cell>
          <cell r="D296" t="str">
            <v/>
          </cell>
          <cell r="E296" t="str">
            <v/>
          </cell>
          <cell r="F296" t="str">
            <v>0000</v>
          </cell>
          <cell r="G296" t="str">
            <v>0000</v>
          </cell>
          <cell r="H296" t="str">
            <v>0000</v>
          </cell>
          <cell r="I296" t="str">
            <v>0000</v>
          </cell>
          <cell r="J296" t="str">
            <v>09/07/2018</v>
          </cell>
          <cell r="K296" t="str">
            <v>00/00/0000</v>
          </cell>
        </row>
        <row r="297">
          <cell r="A297" t="str">
            <v>4430</v>
          </cell>
          <cell r="B297" t="str">
            <v>DO NOT USE AGENCY MERGED WITH</v>
          </cell>
          <cell r="C297" t="str">
            <v>0815</v>
          </cell>
          <cell r="D297" t="str">
            <v/>
          </cell>
          <cell r="E297" t="str">
            <v/>
          </cell>
          <cell r="F297" t="str">
            <v>0000</v>
          </cell>
          <cell r="G297" t="str">
            <v>0000</v>
          </cell>
          <cell r="H297" t="str">
            <v>0000</v>
          </cell>
          <cell r="I297" t="str">
            <v>0000</v>
          </cell>
          <cell r="J297" t="str">
            <v>09/07/2018</v>
          </cell>
          <cell r="K297" t="str">
            <v>00/00/0000</v>
          </cell>
        </row>
        <row r="298">
          <cell r="A298" t="str">
            <v>4440</v>
          </cell>
          <cell r="B298" t="str">
            <v>DEPT. OF STATE HOSPITAL</v>
          </cell>
          <cell r="C298" t="str">
            <v>0815</v>
          </cell>
          <cell r="D298" t="str">
            <v>HEALTH AND HUMAN SERVICES</v>
          </cell>
          <cell r="E298" t="str">
            <v/>
          </cell>
          <cell r="F298" t="str">
            <v>0000</v>
          </cell>
          <cell r="G298" t="str">
            <v>0000</v>
          </cell>
          <cell r="H298" t="str">
            <v>0000</v>
          </cell>
          <cell r="I298" t="str">
            <v>0000</v>
          </cell>
          <cell r="J298" t="str">
            <v>10/28/2016</v>
          </cell>
          <cell r="K298" t="str">
            <v>00/00/0000</v>
          </cell>
        </row>
        <row r="299">
          <cell r="A299" t="str">
            <v>4450</v>
          </cell>
          <cell r="B299" t="str">
            <v>SACRAMENTO STATE HOSPITAL</v>
          </cell>
          <cell r="C299" t="str">
            <v>0815</v>
          </cell>
          <cell r="D299" t="str">
            <v>HEALTH AND HUMAN SERVICES</v>
          </cell>
          <cell r="E299" t="str">
            <v/>
          </cell>
          <cell r="F299" t="str">
            <v>0000</v>
          </cell>
          <cell r="G299" t="str">
            <v>0000</v>
          </cell>
          <cell r="H299" t="str">
            <v>0000</v>
          </cell>
          <cell r="I299" t="str">
            <v>0000</v>
          </cell>
          <cell r="J299" t="str">
            <v>10/28/2016</v>
          </cell>
          <cell r="K299" t="str">
            <v>00/00/1999</v>
          </cell>
        </row>
        <row r="300">
          <cell r="A300" t="str">
            <v>4460</v>
          </cell>
          <cell r="B300" t="str">
            <v>STATE HOSPITALS</v>
          </cell>
          <cell r="C300" t="str">
            <v>0815</v>
          </cell>
          <cell r="D300" t="str">
            <v>HEALTH AND HUMAN SERVICES</v>
          </cell>
          <cell r="E300" t="str">
            <v/>
          </cell>
          <cell r="F300" t="str">
            <v>0000</v>
          </cell>
          <cell r="G300" t="str">
            <v>0000</v>
          </cell>
          <cell r="H300" t="str">
            <v>0000</v>
          </cell>
          <cell r="I300" t="str">
            <v>0000</v>
          </cell>
          <cell r="J300" t="str">
            <v>10/28/2016</v>
          </cell>
          <cell r="K300" t="str">
            <v>00/00/0000</v>
          </cell>
        </row>
        <row r="301">
          <cell r="A301" t="str">
            <v>4470</v>
          </cell>
          <cell r="B301" t="str">
            <v>ATASCADERO STATE HOSPITAL</v>
          </cell>
          <cell r="C301" t="str">
            <v>0815</v>
          </cell>
          <cell r="D301" t="str">
            <v>HEALTH AND HUMAN SERVICES</v>
          </cell>
          <cell r="E301" t="str">
            <v/>
          </cell>
          <cell r="F301" t="str">
            <v>0000</v>
          </cell>
          <cell r="G301" t="str">
            <v>0000</v>
          </cell>
          <cell r="H301" t="str">
            <v>0000</v>
          </cell>
          <cell r="I301" t="str">
            <v>0000</v>
          </cell>
          <cell r="J301" t="str">
            <v>10/28/2016</v>
          </cell>
          <cell r="K301" t="str">
            <v>00/00/1999</v>
          </cell>
        </row>
        <row r="302">
          <cell r="A302" t="str">
            <v>4490</v>
          </cell>
          <cell r="B302" t="str">
            <v>METROPOLITAN STATE HOSPITAL</v>
          </cell>
          <cell r="C302" t="str">
            <v>0815</v>
          </cell>
          <cell r="D302" t="str">
            <v>HEALTH AND HUMAN SERVICES</v>
          </cell>
          <cell r="E302" t="str">
            <v/>
          </cell>
          <cell r="F302" t="str">
            <v>0000</v>
          </cell>
          <cell r="G302" t="str">
            <v>0000</v>
          </cell>
          <cell r="H302" t="str">
            <v>0000</v>
          </cell>
          <cell r="I302" t="str">
            <v>0000</v>
          </cell>
          <cell r="J302" t="str">
            <v>10/28/2016</v>
          </cell>
          <cell r="K302" t="str">
            <v>00/00/1999</v>
          </cell>
        </row>
        <row r="303">
          <cell r="A303" t="str">
            <v>4500</v>
          </cell>
          <cell r="B303" t="str">
            <v>NAPA STATE HOSPITAL</v>
          </cell>
          <cell r="C303" t="str">
            <v>0815</v>
          </cell>
          <cell r="D303" t="str">
            <v>HEALTH AND HUMAN SERVICES</v>
          </cell>
          <cell r="E303" t="str">
            <v/>
          </cell>
          <cell r="F303" t="str">
            <v>0000</v>
          </cell>
          <cell r="G303" t="str">
            <v>0000</v>
          </cell>
          <cell r="H303" t="str">
            <v>0000</v>
          </cell>
          <cell r="I303" t="str">
            <v>0000</v>
          </cell>
          <cell r="J303" t="str">
            <v>10/28/2016</v>
          </cell>
          <cell r="K303" t="str">
            <v>00/00/1999</v>
          </cell>
        </row>
        <row r="304">
          <cell r="A304" t="str">
            <v>4510</v>
          </cell>
          <cell r="B304" t="str">
            <v>PATTON STATE HOSPITAL</v>
          </cell>
          <cell r="C304" t="str">
            <v>0815</v>
          </cell>
          <cell r="D304" t="str">
            <v>HEALTH AND HUMAN SERVICES</v>
          </cell>
          <cell r="E304" t="str">
            <v/>
          </cell>
          <cell r="F304" t="str">
            <v>0000</v>
          </cell>
          <cell r="G304" t="str">
            <v>0000</v>
          </cell>
          <cell r="H304" t="str">
            <v>0000</v>
          </cell>
          <cell r="I304" t="str">
            <v>0000</v>
          </cell>
          <cell r="J304" t="str">
            <v>10/28/2016</v>
          </cell>
          <cell r="K304" t="str">
            <v>00/00/1999</v>
          </cell>
        </row>
        <row r="305">
          <cell r="A305" t="str">
            <v>4520</v>
          </cell>
          <cell r="B305" t="str">
            <v>STOCKTON STATE HOSPITAL-DMH</v>
          </cell>
          <cell r="C305" t="str">
            <v>0815</v>
          </cell>
          <cell r="D305" t="str">
            <v>HEALTH AND HUMAN SERVICES</v>
          </cell>
          <cell r="E305" t="str">
            <v/>
          </cell>
          <cell r="F305" t="str">
            <v>0000</v>
          </cell>
          <cell r="G305" t="str">
            <v>0000</v>
          </cell>
          <cell r="H305" t="str">
            <v>0000</v>
          </cell>
          <cell r="I305" t="str">
            <v>0000</v>
          </cell>
          <cell r="J305" t="str">
            <v>10/28/2016</v>
          </cell>
          <cell r="K305" t="str">
            <v>00/00/1999</v>
          </cell>
        </row>
        <row r="306">
          <cell r="A306" t="str">
            <v>4530</v>
          </cell>
          <cell r="B306" t="str">
            <v>VACAVILLE STATE HOSPITAL</v>
          </cell>
          <cell r="C306" t="str">
            <v>0815</v>
          </cell>
          <cell r="D306" t="str">
            <v>HEALTH AND HUMAN SERVICES</v>
          </cell>
          <cell r="E306" t="str">
            <v/>
          </cell>
          <cell r="F306" t="str">
            <v>0000</v>
          </cell>
          <cell r="G306" t="str">
            <v>0000</v>
          </cell>
          <cell r="H306" t="str">
            <v>0000</v>
          </cell>
          <cell r="I306" t="str">
            <v>0000</v>
          </cell>
          <cell r="J306" t="str">
            <v>10/28/2016</v>
          </cell>
          <cell r="K306" t="str">
            <v>00/00/0000</v>
          </cell>
        </row>
        <row r="307">
          <cell r="A307" t="str">
            <v>4540</v>
          </cell>
          <cell r="B307" t="str">
            <v>COALINGA STATE HOSPITAL</v>
          </cell>
          <cell r="C307" t="str">
            <v>0815</v>
          </cell>
          <cell r="D307" t="str">
            <v>HEALTH AND HUMAN SERVICES</v>
          </cell>
          <cell r="E307" t="str">
            <v/>
          </cell>
          <cell r="F307" t="str">
            <v>0000</v>
          </cell>
          <cell r="G307" t="str">
            <v>0000</v>
          </cell>
          <cell r="H307" t="str">
            <v>0000</v>
          </cell>
          <cell r="I307" t="str">
            <v>0000</v>
          </cell>
          <cell r="J307" t="str">
            <v>10/28/2016</v>
          </cell>
          <cell r="K307" t="str">
            <v>00/00/0000</v>
          </cell>
        </row>
        <row r="308">
          <cell r="A308" t="str">
            <v>4550</v>
          </cell>
          <cell r="B308" t="str">
            <v>SALINAS STATE HOSPITAL</v>
          </cell>
          <cell r="C308" t="str">
            <v>0815</v>
          </cell>
          <cell r="D308" t="str">
            <v>HEALTH AND HUMAN SERVICES</v>
          </cell>
          <cell r="E308" t="str">
            <v/>
          </cell>
          <cell r="F308" t="str">
            <v>0000</v>
          </cell>
          <cell r="G308" t="str">
            <v>0000</v>
          </cell>
          <cell r="H308" t="str">
            <v>0000</v>
          </cell>
          <cell r="I308" t="str">
            <v>0000</v>
          </cell>
          <cell r="J308" t="str">
            <v>10/28/2016</v>
          </cell>
          <cell r="K308" t="str">
            <v>00/00/0000</v>
          </cell>
        </row>
        <row r="309">
          <cell r="A309" t="str">
            <v>4560</v>
          </cell>
          <cell r="B309" t="str">
            <v>MENTAL HEALTH SVCS OVERSIGHT</v>
          </cell>
          <cell r="C309" t="str">
            <v>0815</v>
          </cell>
          <cell r="D309" t="str">
            <v>HEALTH AND HUMAN SERVICES</v>
          </cell>
          <cell r="E309" t="str">
            <v/>
          </cell>
          <cell r="F309" t="str">
            <v>0000</v>
          </cell>
          <cell r="G309" t="str">
            <v>0000</v>
          </cell>
          <cell r="H309" t="str">
            <v>0000</v>
          </cell>
          <cell r="I309" t="str">
            <v>0000</v>
          </cell>
          <cell r="J309" t="str">
            <v>10/28/2016</v>
          </cell>
          <cell r="K309" t="str">
            <v>00/00/0000</v>
          </cell>
        </row>
        <row r="310">
          <cell r="A310" t="str">
            <v>4700</v>
          </cell>
          <cell r="B310" t="str">
            <v>DEPT. COMMUNTY SVCS AND DEV</v>
          </cell>
          <cell r="C310" t="str">
            <v>0815</v>
          </cell>
          <cell r="D310" t="str">
            <v>HEALTH AND HUMAN SERVICES</v>
          </cell>
          <cell r="E310" t="str">
            <v/>
          </cell>
          <cell r="F310" t="str">
            <v>0000</v>
          </cell>
          <cell r="G310" t="str">
            <v>0000</v>
          </cell>
          <cell r="H310" t="str">
            <v>0000</v>
          </cell>
          <cell r="I310" t="str">
            <v>0000</v>
          </cell>
          <cell r="J310" t="str">
            <v>10/28/2016</v>
          </cell>
          <cell r="K310" t="str">
            <v>00/00/0000</v>
          </cell>
        </row>
        <row r="311">
          <cell r="A311" t="str">
            <v>4800</v>
          </cell>
          <cell r="B311" t="str">
            <v>CA. HLTH AND BENEFIT EXCHANGE</v>
          </cell>
          <cell r="C311" t="str">
            <v>0815</v>
          </cell>
          <cell r="D311" t="str">
            <v>HEALTH AND HUMAN SERVICES</v>
          </cell>
          <cell r="E311" t="str">
            <v/>
          </cell>
          <cell r="F311" t="str">
            <v>0000</v>
          </cell>
          <cell r="G311" t="str">
            <v>0000</v>
          </cell>
          <cell r="H311" t="str">
            <v>0000</v>
          </cell>
          <cell r="I311" t="str">
            <v>0000</v>
          </cell>
          <cell r="J311" t="str">
            <v>10/28/2016</v>
          </cell>
          <cell r="K311" t="str">
            <v>00/00/0000</v>
          </cell>
        </row>
        <row r="312">
          <cell r="A312" t="str">
            <v>5160</v>
          </cell>
          <cell r="B312" t="str">
            <v>DEPARTMENT OF REHABILITATION</v>
          </cell>
          <cell r="C312" t="str">
            <v>0815</v>
          </cell>
          <cell r="D312" t="str">
            <v>HEALTH AND HUMAN SERVICES</v>
          </cell>
          <cell r="E312" t="str">
            <v/>
          </cell>
          <cell r="F312" t="str">
            <v>0000</v>
          </cell>
          <cell r="G312" t="str">
            <v>0000</v>
          </cell>
          <cell r="H312" t="str">
            <v>0000</v>
          </cell>
          <cell r="I312" t="str">
            <v>0000</v>
          </cell>
          <cell r="J312" t="str">
            <v>10/28/2016</v>
          </cell>
          <cell r="K312" t="str">
            <v>00/00/0000</v>
          </cell>
        </row>
        <row r="313">
          <cell r="A313" t="str">
            <v>5165</v>
          </cell>
          <cell r="B313" t="str">
            <v>YOUTH AND COMMUNITY RESTORATIO</v>
          </cell>
          <cell r="C313" t="str">
            <v>0815</v>
          </cell>
          <cell r="D313" t="str">
            <v>HEALTH AND HUMAN SERVICES</v>
          </cell>
          <cell r="E313" t="str">
            <v/>
          </cell>
          <cell r="F313" t="str">
            <v>0000</v>
          </cell>
          <cell r="G313" t="str">
            <v>0000</v>
          </cell>
          <cell r="H313" t="str">
            <v>0000</v>
          </cell>
          <cell r="I313" t="str">
            <v>0000</v>
          </cell>
          <cell r="J313" t="str">
            <v>09/09/2019</v>
          </cell>
          <cell r="K313" t="str">
            <v>00/00/0000</v>
          </cell>
        </row>
        <row r="314">
          <cell r="A314" t="str">
            <v>5170</v>
          </cell>
          <cell r="B314" t="str">
            <v>ST INDPT LIVING COUNCIL</v>
          </cell>
          <cell r="C314" t="str">
            <v>0815</v>
          </cell>
          <cell r="D314" t="str">
            <v>HEALTH AND HUMAN SERVICES</v>
          </cell>
          <cell r="E314" t="str">
            <v/>
          </cell>
          <cell r="F314" t="str">
            <v>0000</v>
          </cell>
          <cell r="G314" t="str">
            <v>0000</v>
          </cell>
          <cell r="H314" t="str">
            <v>0000</v>
          </cell>
          <cell r="I314" t="str">
            <v>0000</v>
          </cell>
          <cell r="J314" t="str">
            <v>10/28/2016</v>
          </cell>
          <cell r="K314" t="str">
            <v>00/00/0000</v>
          </cell>
        </row>
        <row r="315">
          <cell r="A315" t="str">
            <v>5175</v>
          </cell>
          <cell r="B315" t="str">
            <v>DEPT OF CHILD SUPPORT SERVICE</v>
          </cell>
          <cell r="C315" t="str">
            <v>0815</v>
          </cell>
          <cell r="D315" t="str">
            <v>HEALTH AND HUMAN SERVICES</v>
          </cell>
          <cell r="E315" t="str">
            <v/>
          </cell>
          <cell r="F315" t="str">
            <v>0000</v>
          </cell>
          <cell r="G315" t="str">
            <v>0000</v>
          </cell>
          <cell r="H315" t="str">
            <v>0000</v>
          </cell>
          <cell r="I315" t="str">
            <v>0000</v>
          </cell>
          <cell r="J315" t="str">
            <v>10/28/2016</v>
          </cell>
          <cell r="K315" t="str">
            <v>00/00/0000</v>
          </cell>
        </row>
        <row r="316">
          <cell r="A316" t="str">
            <v>5180</v>
          </cell>
          <cell r="B316" t="str">
            <v>DEPT OF SOCIAL SERVICES</v>
          </cell>
          <cell r="C316" t="str">
            <v>0815</v>
          </cell>
          <cell r="D316" t="str">
            <v>HEALTH AND HUMAN SERVICES</v>
          </cell>
          <cell r="E316" t="str">
            <v/>
          </cell>
          <cell r="F316" t="str">
            <v>0000</v>
          </cell>
          <cell r="G316" t="str">
            <v>0000</v>
          </cell>
          <cell r="H316" t="str">
            <v>0000</v>
          </cell>
          <cell r="I316" t="str">
            <v>0000</v>
          </cell>
          <cell r="J316" t="str">
            <v>10/28/2016</v>
          </cell>
          <cell r="K316" t="str">
            <v>00/00/0000</v>
          </cell>
        </row>
        <row r="317">
          <cell r="A317" t="str">
            <v>5190</v>
          </cell>
          <cell r="B317" t="str">
            <v>CALIF HEALTH FACILITIES COMM</v>
          </cell>
          <cell r="C317" t="str">
            <v>0815</v>
          </cell>
          <cell r="D317" t="str">
            <v>HEALTH AND HUMAN SERVICES</v>
          </cell>
          <cell r="E317" t="str">
            <v/>
          </cell>
          <cell r="F317" t="str">
            <v>0000</v>
          </cell>
          <cell r="G317" t="str">
            <v>0000</v>
          </cell>
          <cell r="H317" t="str">
            <v>0000</v>
          </cell>
          <cell r="I317" t="str">
            <v>0000</v>
          </cell>
          <cell r="J317" t="str">
            <v>10/28/2016</v>
          </cell>
          <cell r="K317" t="str">
            <v>00/00/0000</v>
          </cell>
        </row>
        <row r="318">
          <cell r="A318" t="str">
            <v>5195</v>
          </cell>
          <cell r="B318" t="str">
            <v>STATE-LOCAL REALIGNMENT</v>
          </cell>
          <cell r="C318" t="str">
            <v>0815</v>
          </cell>
          <cell r="D318" t="str">
            <v>HEALTH AND HUMAN SERVICES</v>
          </cell>
          <cell r="E318" t="str">
            <v/>
          </cell>
          <cell r="F318" t="str">
            <v>0000</v>
          </cell>
          <cell r="G318" t="str">
            <v>0000</v>
          </cell>
          <cell r="H318" t="str">
            <v>0000</v>
          </cell>
          <cell r="I318" t="str">
            <v>0000</v>
          </cell>
          <cell r="J318" t="str">
            <v>10/28/2016</v>
          </cell>
          <cell r="K318" t="str">
            <v>00/00/0000</v>
          </cell>
        </row>
        <row r="319">
          <cell r="A319" t="str">
            <v>5196</v>
          </cell>
          <cell r="B319" t="str">
            <v>STATE-LOCAL REALIGNMENT,2011</v>
          </cell>
          <cell r="C319" t="str">
            <v>0815</v>
          </cell>
          <cell r="D319" t="str">
            <v>HEALTH AND HUMAN SERVICES</v>
          </cell>
          <cell r="E319" t="str">
            <v/>
          </cell>
          <cell r="F319" t="str">
            <v>0000</v>
          </cell>
          <cell r="G319" t="str">
            <v>0000</v>
          </cell>
          <cell r="H319" t="str">
            <v>0000</v>
          </cell>
          <cell r="I319" t="str">
            <v>0000</v>
          </cell>
          <cell r="J319" t="str">
            <v>10/28/2016</v>
          </cell>
          <cell r="K319" t="str">
            <v>00/00/0000</v>
          </cell>
        </row>
        <row r="320">
          <cell r="A320" t="str">
            <v>5210</v>
          </cell>
          <cell r="B320" t="str">
            <v>CORRECTIONS AND REHABILITATION</v>
          </cell>
          <cell r="C320" t="str">
            <v>0835</v>
          </cell>
          <cell r="D320" t="str">
            <v>CORRECTIONS AND REHABILITATION</v>
          </cell>
          <cell r="E320" t="str">
            <v/>
          </cell>
          <cell r="F320" t="str">
            <v>0000</v>
          </cell>
          <cell r="G320" t="str">
            <v>0000</v>
          </cell>
          <cell r="H320" t="str">
            <v>0000</v>
          </cell>
          <cell r="I320" t="str">
            <v>0000</v>
          </cell>
          <cell r="J320" t="str">
            <v>07/08/2016</v>
          </cell>
          <cell r="K320" t="str">
            <v>00/00/0000</v>
          </cell>
        </row>
        <row r="321">
          <cell r="A321" t="str">
            <v>5225</v>
          </cell>
          <cell r="B321" t="str">
            <v>DEPT OF CORRECTIONS &amp; REHAB</v>
          </cell>
          <cell r="C321" t="str">
            <v>0835</v>
          </cell>
          <cell r="D321" t="str">
            <v>CORRECTIONS AND REHABILITATION</v>
          </cell>
          <cell r="E321" t="str">
            <v/>
          </cell>
          <cell r="F321" t="str">
            <v>0000</v>
          </cell>
          <cell r="G321" t="str">
            <v>0000</v>
          </cell>
          <cell r="H321" t="str">
            <v>0000</v>
          </cell>
          <cell r="I321" t="str">
            <v>0000</v>
          </cell>
          <cell r="J321" t="str">
            <v>07/08/2016</v>
          </cell>
          <cell r="K321" t="str">
            <v>00/00/0000</v>
          </cell>
        </row>
        <row r="322">
          <cell r="A322" t="str">
            <v>5226</v>
          </cell>
          <cell r="B322" t="str">
            <v>CORRECTIONS &amp; REHAB HDQTRS</v>
          </cell>
          <cell r="C322" t="str">
            <v>0835</v>
          </cell>
          <cell r="D322" t="str">
            <v>CORRECTIONS AND REHABILITATION</v>
          </cell>
          <cell r="E322" t="str">
            <v/>
          </cell>
          <cell r="F322" t="str">
            <v>0000</v>
          </cell>
          <cell r="G322" t="str">
            <v>0000</v>
          </cell>
          <cell r="H322" t="str">
            <v>0000</v>
          </cell>
          <cell r="I322" t="str">
            <v>0000</v>
          </cell>
          <cell r="J322" t="str">
            <v>07/08/2016</v>
          </cell>
          <cell r="K322" t="str">
            <v>00/00/0000</v>
          </cell>
        </row>
        <row r="323">
          <cell r="A323" t="str">
            <v>5227</v>
          </cell>
          <cell r="B323" t="str">
            <v>STATE/COMMUNITY CORRECTIONS</v>
          </cell>
          <cell r="C323" t="str">
            <v>0835</v>
          </cell>
          <cell r="D323" t="str">
            <v>CORRECTIONS AND REHABILITATION</v>
          </cell>
          <cell r="E323" t="str">
            <v/>
          </cell>
          <cell r="F323" t="str">
            <v>0000</v>
          </cell>
          <cell r="G323" t="str">
            <v>0000</v>
          </cell>
          <cell r="H323" t="str">
            <v>0000</v>
          </cell>
          <cell r="I323" t="str">
            <v>0000</v>
          </cell>
          <cell r="J323" t="str">
            <v>07/08/2016</v>
          </cell>
          <cell r="K323" t="str">
            <v>00/00/0000</v>
          </cell>
        </row>
        <row r="324">
          <cell r="A324" t="str">
            <v>5228</v>
          </cell>
          <cell r="B324" t="str">
            <v>SAFE NGHBORHOODS &amp; SCHOOLS ACT</v>
          </cell>
          <cell r="C324" t="str">
            <v>0835</v>
          </cell>
          <cell r="D324" t="str">
            <v>CORRECTIONS AND REHABILITATION</v>
          </cell>
          <cell r="E324" t="str">
            <v/>
          </cell>
          <cell r="F324" t="str">
            <v>0000</v>
          </cell>
          <cell r="G324" t="str">
            <v>0000</v>
          </cell>
          <cell r="H324" t="str">
            <v>0000</v>
          </cell>
          <cell r="I324" t="str">
            <v>0000</v>
          </cell>
          <cell r="J324" t="str">
            <v>08/06/2018</v>
          </cell>
          <cell r="K324" t="str">
            <v>00/00/0000</v>
          </cell>
        </row>
        <row r="325">
          <cell r="A325" t="str">
            <v>5231</v>
          </cell>
          <cell r="B325" t="str">
            <v>CORRECTIONS &amp; REHAB CORCORAN</v>
          </cell>
          <cell r="C325" t="str">
            <v>0835</v>
          </cell>
          <cell r="D325" t="str">
            <v>CORRECTIONS AND REHABILITATION</v>
          </cell>
          <cell r="E325" t="str">
            <v/>
          </cell>
          <cell r="F325" t="str">
            <v>0000</v>
          </cell>
          <cell r="G325" t="str">
            <v>0000</v>
          </cell>
          <cell r="H325" t="str">
            <v>0000</v>
          </cell>
          <cell r="I325" t="str">
            <v>0000</v>
          </cell>
          <cell r="J325" t="str">
            <v>07/08/2016</v>
          </cell>
          <cell r="K325" t="str">
            <v>00/00/0000</v>
          </cell>
        </row>
        <row r="326">
          <cell r="A326" t="str">
            <v>5232</v>
          </cell>
          <cell r="B326" t="str">
            <v>CORRECTIONS &amp; REHAB EL CENTRO</v>
          </cell>
          <cell r="C326" t="str">
            <v>0835</v>
          </cell>
          <cell r="D326" t="str">
            <v>CORRECTIONS AND REHABILITATION</v>
          </cell>
          <cell r="E326" t="str">
            <v/>
          </cell>
          <cell r="F326" t="str">
            <v>0000</v>
          </cell>
          <cell r="G326" t="str">
            <v>0000</v>
          </cell>
          <cell r="H326" t="str">
            <v>0000</v>
          </cell>
          <cell r="I326" t="str">
            <v>0000</v>
          </cell>
          <cell r="J326" t="str">
            <v>07/08/2016</v>
          </cell>
          <cell r="K326" t="str">
            <v>00/00/0000</v>
          </cell>
        </row>
        <row r="327">
          <cell r="A327" t="str">
            <v>5233</v>
          </cell>
          <cell r="B327" t="str">
            <v>CORRECTIONS &amp; REHAB BAKERSFLD</v>
          </cell>
          <cell r="C327" t="str">
            <v>0835</v>
          </cell>
          <cell r="D327" t="str">
            <v>CORRECTIONS AND REHABILITATION</v>
          </cell>
          <cell r="E327" t="str">
            <v/>
          </cell>
          <cell r="F327" t="str">
            <v>0000</v>
          </cell>
          <cell r="G327" t="str">
            <v>0000</v>
          </cell>
          <cell r="H327" t="str">
            <v>0000</v>
          </cell>
          <cell r="I327" t="str">
            <v>0000</v>
          </cell>
          <cell r="J327" t="str">
            <v>07/08/2016</v>
          </cell>
          <cell r="K327" t="str">
            <v>00/00/0000</v>
          </cell>
        </row>
        <row r="328">
          <cell r="A328" t="str">
            <v>5234</v>
          </cell>
          <cell r="B328" t="str">
            <v>CORRECTIONS &amp; REHAB SACTO</v>
          </cell>
          <cell r="C328" t="str">
            <v>0835</v>
          </cell>
          <cell r="D328" t="str">
            <v>CORRECTIONS AND REHABILITATION</v>
          </cell>
          <cell r="E328" t="str">
            <v/>
          </cell>
          <cell r="F328" t="str">
            <v>0000</v>
          </cell>
          <cell r="G328" t="str">
            <v>0000</v>
          </cell>
          <cell r="H328" t="str">
            <v>0000</v>
          </cell>
          <cell r="I328" t="str">
            <v>0000</v>
          </cell>
          <cell r="J328" t="str">
            <v>07/08/2016</v>
          </cell>
          <cell r="K328" t="str">
            <v>00/00/0000</v>
          </cell>
        </row>
        <row r="329">
          <cell r="A329" t="str">
            <v>5236</v>
          </cell>
          <cell r="B329" t="str">
            <v>CORRECTIONS &amp; REHAB NO COAST</v>
          </cell>
          <cell r="C329" t="str">
            <v>0835</v>
          </cell>
          <cell r="D329" t="str">
            <v>CORRECTIONS AND REHABILITATION</v>
          </cell>
          <cell r="E329" t="str">
            <v/>
          </cell>
          <cell r="F329" t="str">
            <v>0000</v>
          </cell>
          <cell r="G329" t="str">
            <v>0000</v>
          </cell>
          <cell r="H329" t="str">
            <v>0000</v>
          </cell>
          <cell r="I329" t="str">
            <v>0000</v>
          </cell>
          <cell r="J329" t="str">
            <v>07/08/2016</v>
          </cell>
          <cell r="K329" t="str">
            <v>00/00/0000</v>
          </cell>
        </row>
        <row r="330">
          <cell r="A330" t="str">
            <v>5237</v>
          </cell>
          <cell r="B330" t="str">
            <v>CORRECTIONS &amp; REHAB CNTR COAS</v>
          </cell>
          <cell r="C330" t="str">
            <v>0835</v>
          </cell>
          <cell r="D330" t="str">
            <v>CORRECTIONS AND REHABILITATION</v>
          </cell>
          <cell r="E330" t="str">
            <v/>
          </cell>
          <cell r="F330" t="str">
            <v>0000</v>
          </cell>
          <cell r="G330" t="str">
            <v>0000</v>
          </cell>
          <cell r="H330" t="str">
            <v>0000</v>
          </cell>
          <cell r="I330" t="str">
            <v>0000</v>
          </cell>
          <cell r="J330" t="str">
            <v>07/08/2016</v>
          </cell>
          <cell r="K330" t="str">
            <v>00/00/0000</v>
          </cell>
        </row>
        <row r="331">
          <cell r="A331" t="str">
            <v>5238</v>
          </cell>
          <cell r="B331" t="str">
            <v>CORRECTIONS &amp; REHAB SO CAL</v>
          </cell>
          <cell r="C331" t="str">
            <v>0835</v>
          </cell>
          <cell r="D331" t="str">
            <v>CORRECTIONS AND REHABILITATION</v>
          </cell>
          <cell r="E331" t="str">
            <v/>
          </cell>
          <cell r="F331" t="str">
            <v>0000</v>
          </cell>
          <cell r="G331" t="str">
            <v>0000</v>
          </cell>
          <cell r="H331" t="str">
            <v>0000</v>
          </cell>
          <cell r="I331" t="str">
            <v>0000</v>
          </cell>
          <cell r="J331" t="str">
            <v>07/08/2016</v>
          </cell>
          <cell r="K331" t="str">
            <v>00/00/0000</v>
          </cell>
        </row>
        <row r="332">
          <cell r="A332" t="str">
            <v>5239</v>
          </cell>
          <cell r="B332" t="str">
            <v>DEPARTMENT OF CORRECTIONS</v>
          </cell>
          <cell r="C332" t="str">
            <v>0835</v>
          </cell>
          <cell r="D332" t="str">
            <v>CORRECTIONS AND REHABILITATION</v>
          </cell>
          <cell r="E332" t="str">
            <v/>
          </cell>
          <cell r="F332" t="str">
            <v>0000</v>
          </cell>
          <cell r="G332" t="str">
            <v>0000</v>
          </cell>
          <cell r="H332" t="str">
            <v>0000</v>
          </cell>
          <cell r="I332" t="str">
            <v>0000</v>
          </cell>
          <cell r="J332" t="str">
            <v>07/08/2016</v>
          </cell>
          <cell r="K332" t="str">
            <v>00/00/0000</v>
          </cell>
        </row>
        <row r="333">
          <cell r="A333" t="str">
            <v>5240</v>
          </cell>
          <cell r="B333" t="str">
            <v>DEPT OF CORRECTIONS-UNALLOC</v>
          </cell>
          <cell r="C333" t="str">
            <v>0835</v>
          </cell>
          <cell r="D333" t="str">
            <v>CORRECTIONS AND REHABILITATION</v>
          </cell>
          <cell r="E333" t="str">
            <v/>
          </cell>
          <cell r="F333" t="str">
            <v>0000</v>
          </cell>
          <cell r="G333" t="str">
            <v>0000</v>
          </cell>
          <cell r="H333" t="str">
            <v>0000</v>
          </cell>
          <cell r="I333" t="str">
            <v>0000</v>
          </cell>
          <cell r="J333" t="str">
            <v>07/08/2016</v>
          </cell>
          <cell r="K333" t="str">
            <v>00/00/0000</v>
          </cell>
        </row>
        <row r="334">
          <cell r="A334" t="str">
            <v>5241</v>
          </cell>
          <cell r="B334" t="str">
            <v>CORRECTIONS &amp; REHAB NO YOUTH</v>
          </cell>
          <cell r="C334" t="str">
            <v>0835</v>
          </cell>
          <cell r="D334" t="str">
            <v>CORRECTIONS AND REHABILITATION</v>
          </cell>
          <cell r="E334" t="str">
            <v/>
          </cell>
          <cell r="F334" t="str">
            <v>0000</v>
          </cell>
          <cell r="G334" t="str">
            <v>0000</v>
          </cell>
          <cell r="H334" t="str">
            <v>0000</v>
          </cell>
          <cell r="I334" t="str">
            <v>0000</v>
          </cell>
          <cell r="J334" t="str">
            <v>07/08/2016</v>
          </cell>
          <cell r="K334" t="str">
            <v>00/00/0000</v>
          </cell>
        </row>
        <row r="335">
          <cell r="A335" t="str">
            <v>5242</v>
          </cell>
          <cell r="B335" t="str">
            <v>CORRECTIONS &amp; REHAB SO YOUTH</v>
          </cell>
          <cell r="C335" t="str">
            <v>0835</v>
          </cell>
          <cell r="D335" t="str">
            <v>CORRECTIONS AND REHABILITATION</v>
          </cell>
          <cell r="E335" t="str">
            <v/>
          </cell>
          <cell r="F335" t="str">
            <v>0000</v>
          </cell>
          <cell r="G335" t="str">
            <v>0000</v>
          </cell>
          <cell r="H335" t="str">
            <v>0000</v>
          </cell>
          <cell r="I335" t="str">
            <v>0000</v>
          </cell>
          <cell r="J335" t="str">
            <v>07/08/2016</v>
          </cell>
          <cell r="K335" t="str">
            <v>00/00/0000</v>
          </cell>
        </row>
        <row r="336">
          <cell r="A336" t="str">
            <v>5250</v>
          </cell>
          <cell r="B336" t="str">
            <v>DEPARTMENT OF CORRECTIONS</v>
          </cell>
          <cell r="C336" t="str">
            <v>0835</v>
          </cell>
          <cell r="D336" t="str">
            <v>CORRECTIONS AND REHABILITATION</v>
          </cell>
          <cell r="E336" t="str">
            <v/>
          </cell>
          <cell r="F336" t="str">
            <v>0000</v>
          </cell>
          <cell r="G336" t="str">
            <v>0000</v>
          </cell>
          <cell r="H336" t="str">
            <v>0000</v>
          </cell>
          <cell r="I336" t="str">
            <v>0000</v>
          </cell>
          <cell r="J336" t="str">
            <v>07/08/2016</v>
          </cell>
          <cell r="K336" t="str">
            <v>00/00/1999</v>
          </cell>
        </row>
        <row r="337">
          <cell r="A337" t="str">
            <v>5260</v>
          </cell>
          <cell r="B337" t="str">
            <v>PAROLE &amp; COMMUNITY SVC DIV</v>
          </cell>
          <cell r="C337" t="str">
            <v>0835</v>
          </cell>
          <cell r="D337" t="str">
            <v>CORRECTIONS AND REHABILITATION</v>
          </cell>
          <cell r="E337" t="str">
            <v/>
          </cell>
          <cell r="F337" t="str">
            <v>0000</v>
          </cell>
          <cell r="G337" t="str">
            <v>0000</v>
          </cell>
          <cell r="H337" t="str">
            <v>0000</v>
          </cell>
          <cell r="I337" t="str">
            <v>0000</v>
          </cell>
          <cell r="J337" t="str">
            <v>07/08/2016</v>
          </cell>
          <cell r="K337" t="str">
            <v>00/00/1999</v>
          </cell>
        </row>
        <row r="338">
          <cell r="A338" t="str">
            <v>5280</v>
          </cell>
          <cell r="B338" t="str">
            <v>CORRECTIONAL INSTITUTIONS</v>
          </cell>
          <cell r="C338" t="str">
            <v>0835</v>
          </cell>
          <cell r="D338" t="str">
            <v>CORRECTIONS AND REHABILITATION</v>
          </cell>
          <cell r="E338" t="str">
            <v/>
          </cell>
          <cell r="F338" t="str">
            <v>0000</v>
          </cell>
          <cell r="G338" t="str">
            <v>0000</v>
          </cell>
          <cell r="H338" t="str">
            <v>0000</v>
          </cell>
          <cell r="I338" t="str">
            <v>0000</v>
          </cell>
          <cell r="J338" t="str">
            <v>07/08/2016</v>
          </cell>
          <cell r="K338" t="str">
            <v>00/00/0000</v>
          </cell>
        </row>
        <row r="339">
          <cell r="A339" t="str">
            <v>5281</v>
          </cell>
          <cell r="B339" t="str">
            <v>CORCORAN REGION</v>
          </cell>
          <cell r="C339" t="str">
            <v>0835</v>
          </cell>
          <cell r="D339" t="str">
            <v>CORRECTIONS AND REHABILITATION</v>
          </cell>
          <cell r="E339" t="str">
            <v/>
          </cell>
          <cell r="F339" t="str">
            <v>0000</v>
          </cell>
          <cell r="G339" t="str">
            <v>0000</v>
          </cell>
          <cell r="H339" t="str">
            <v>0000</v>
          </cell>
          <cell r="I339" t="str">
            <v>0000</v>
          </cell>
          <cell r="J339" t="str">
            <v>07/08/2016</v>
          </cell>
          <cell r="K339" t="str">
            <v>00/00/0000</v>
          </cell>
        </row>
        <row r="340">
          <cell r="A340" t="str">
            <v>5282</v>
          </cell>
          <cell r="B340" t="str">
            <v>EL CENTRO REGION</v>
          </cell>
          <cell r="C340" t="str">
            <v>0835</v>
          </cell>
          <cell r="D340" t="str">
            <v>CORRECTIONS AND REHABILITATION</v>
          </cell>
          <cell r="E340" t="str">
            <v/>
          </cell>
          <cell r="F340" t="str">
            <v>0000</v>
          </cell>
          <cell r="G340" t="str">
            <v>0000</v>
          </cell>
          <cell r="H340" t="str">
            <v>0000</v>
          </cell>
          <cell r="I340" t="str">
            <v>0000</v>
          </cell>
          <cell r="J340" t="str">
            <v>07/08/2016</v>
          </cell>
          <cell r="K340" t="str">
            <v>00/00/0000</v>
          </cell>
        </row>
        <row r="341">
          <cell r="A341" t="str">
            <v>5283</v>
          </cell>
          <cell r="B341" t="str">
            <v>BAKERSFIELD REGION</v>
          </cell>
          <cell r="C341" t="str">
            <v>0835</v>
          </cell>
          <cell r="D341" t="str">
            <v>CORRECTIONS AND REHABILITATION</v>
          </cell>
          <cell r="E341" t="str">
            <v/>
          </cell>
          <cell r="F341" t="str">
            <v>0000</v>
          </cell>
          <cell r="G341" t="str">
            <v>0000</v>
          </cell>
          <cell r="H341" t="str">
            <v>0000</v>
          </cell>
          <cell r="I341" t="str">
            <v>0000</v>
          </cell>
          <cell r="J341" t="str">
            <v>07/08/2016</v>
          </cell>
          <cell r="K341" t="str">
            <v>00/00/0000</v>
          </cell>
        </row>
        <row r="342">
          <cell r="A342" t="str">
            <v>5284</v>
          </cell>
          <cell r="B342" t="str">
            <v>SACRAMENTO REGION</v>
          </cell>
          <cell r="C342" t="str">
            <v>0835</v>
          </cell>
          <cell r="D342" t="str">
            <v>CORRECTIONS AND REHABILITATION</v>
          </cell>
          <cell r="E342" t="str">
            <v/>
          </cell>
          <cell r="F342" t="str">
            <v>0000</v>
          </cell>
          <cell r="G342" t="str">
            <v>0000</v>
          </cell>
          <cell r="H342" t="str">
            <v>0000</v>
          </cell>
          <cell r="I342" t="str">
            <v>0000</v>
          </cell>
          <cell r="J342" t="str">
            <v>07/08/2016</v>
          </cell>
          <cell r="K342" t="str">
            <v>00/00/0000</v>
          </cell>
        </row>
        <row r="343">
          <cell r="A343" t="str">
            <v>5285</v>
          </cell>
          <cell r="B343" t="str">
            <v>NORTH COAST REGION</v>
          </cell>
          <cell r="C343" t="str">
            <v>0835</v>
          </cell>
          <cell r="D343" t="str">
            <v>CORRECTIONS AND REHABILITATION</v>
          </cell>
          <cell r="E343" t="str">
            <v/>
          </cell>
          <cell r="F343" t="str">
            <v>0000</v>
          </cell>
          <cell r="G343" t="str">
            <v>0000</v>
          </cell>
          <cell r="H343" t="str">
            <v>0000</v>
          </cell>
          <cell r="I343" t="str">
            <v>0000</v>
          </cell>
          <cell r="J343" t="str">
            <v>07/08/2016</v>
          </cell>
          <cell r="K343" t="str">
            <v>00/00/0000</v>
          </cell>
        </row>
        <row r="344">
          <cell r="A344" t="str">
            <v>5286</v>
          </cell>
          <cell r="B344" t="str">
            <v>CENTRAL COAST REGION</v>
          </cell>
          <cell r="C344" t="str">
            <v>0835</v>
          </cell>
          <cell r="D344" t="str">
            <v>CORRECTIONS AND REHABILITATION</v>
          </cell>
          <cell r="E344" t="str">
            <v/>
          </cell>
          <cell r="F344" t="str">
            <v>0000</v>
          </cell>
          <cell r="G344" t="str">
            <v>0000</v>
          </cell>
          <cell r="H344" t="str">
            <v>0000</v>
          </cell>
          <cell r="I344" t="str">
            <v>0000</v>
          </cell>
          <cell r="J344" t="str">
            <v>07/08/2016</v>
          </cell>
          <cell r="K344" t="str">
            <v>00/00/0000</v>
          </cell>
        </row>
        <row r="345">
          <cell r="A345" t="str">
            <v>5287</v>
          </cell>
          <cell r="B345" t="str">
            <v>SOUTHERN CALIFORNIA REGION</v>
          </cell>
          <cell r="C345" t="str">
            <v>0835</v>
          </cell>
          <cell r="D345" t="str">
            <v>CORRECTIONS AND REHABILITATION</v>
          </cell>
          <cell r="E345" t="str">
            <v/>
          </cell>
          <cell r="F345" t="str">
            <v>0000</v>
          </cell>
          <cell r="G345" t="str">
            <v>0000</v>
          </cell>
          <cell r="H345" t="str">
            <v>0000</v>
          </cell>
          <cell r="I345" t="str">
            <v>0000</v>
          </cell>
          <cell r="J345" t="str">
            <v>07/08/2016</v>
          </cell>
          <cell r="K345" t="str">
            <v>00/00/0000</v>
          </cell>
        </row>
        <row r="346">
          <cell r="A346" t="str">
            <v>5288</v>
          </cell>
          <cell r="B346" t="str">
            <v>CENTRAL VALLEY REGION</v>
          </cell>
          <cell r="C346" t="str">
            <v>0835</v>
          </cell>
          <cell r="D346" t="str">
            <v>CORRECTIONS AND REHABILITATION</v>
          </cell>
          <cell r="E346" t="str">
            <v/>
          </cell>
          <cell r="F346" t="str">
            <v>0000</v>
          </cell>
          <cell r="G346" t="str">
            <v>0000</v>
          </cell>
          <cell r="H346" t="str">
            <v>0000</v>
          </cell>
          <cell r="I346" t="str">
            <v>0000</v>
          </cell>
          <cell r="J346" t="str">
            <v>07/08/2016</v>
          </cell>
          <cell r="K346" t="str">
            <v>00/00/0000</v>
          </cell>
        </row>
        <row r="347">
          <cell r="A347" t="str">
            <v>5290</v>
          </cell>
          <cell r="B347" t="str">
            <v>CALIF CORR CENTER SUSANVILLE</v>
          </cell>
          <cell r="C347" t="str">
            <v>0835</v>
          </cell>
          <cell r="D347" t="str">
            <v>CORRECTIONS AND REHABILITATION</v>
          </cell>
          <cell r="E347" t="str">
            <v/>
          </cell>
          <cell r="F347" t="str">
            <v>0000</v>
          </cell>
          <cell r="G347" t="str">
            <v>0000</v>
          </cell>
          <cell r="H347" t="str">
            <v>0000</v>
          </cell>
          <cell r="I347" t="str">
            <v>0000</v>
          </cell>
          <cell r="J347" t="str">
            <v>07/08/2016</v>
          </cell>
          <cell r="K347" t="str">
            <v>00/00/1999</v>
          </cell>
        </row>
        <row r="348">
          <cell r="A348" t="str">
            <v>5291</v>
          </cell>
          <cell r="B348" t="str">
            <v>CA ST PRISON-MADERA CO II</v>
          </cell>
          <cell r="C348" t="str">
            <v>0835</v>
          </cell>
          <cell r="D348" t="str">
            <v>CORRECTIONS AND REHABILITATION</v>
          </cell>
          <cell r="E348" t="str">
            <v/>
          </cell>
          <cell r="F348" t="str">
            <v>0000</v>
          </cell>
          <cell r="G348" t="str">
            <v>0000</v>
          </cell>
          <cell r="H348" t="str">
            <v>0000</v>
          </cell>
          <cell r="I348" t="str">
            <v>0000</v>
          </cell>
          <cell r="J348" t="str">
            <v>07/08/2016</v>
          </cell>
          <cell r="K348" t="str">
            <v>00/00/0000</v>
          </cell>
        </row>
        <row r="349">
          <cell r="A349" t="str">
            <v>5292</v>
          </cell>
          <cell r="B349" t="str">
            <v>CA ST PRISON-MONTEREY CO SOLII</v>
          </cell>
          <cell r="C349" t="str">
            <v>0835</v>
          </cell>
          <cell r="D349" t="str">
            <v>CORRECTIONS AND REHABILITATION</v>
          </cell>
          <cell r="E349" t="str">
            <v/>
          </cell>
          <cell r="F349" t="str">
            <v>0000</v>
          </cell>
          <cell r="G349" t="str">
            <v>0000</v>
          </cell>
          <cell r="H349" t="str">
            <v>0000</v>
          </cell>
          <cell r="I349" t="str">
            <v>0000</v>
          </cell>
          <cell r="J349" t="str">
            <v>07/08/2016</v>
          </cell>
          <cell r="K349" t="str">
            <v>00/00/0000</v>
          </cell>
        </row>
        <row r="350">
          <cell r="A350" t="str">
            <v>5295</v>
          </cell>
          <cell r="B350" t="str">
            <v>CA ST PRISON-LASSEN CO SUSANII</v>
          </cell>
          <cell r="C350" t="str">
            <v>0835</v>
          </cell>
          <cell r="D350" t="str">
            <v>CORRECTIONS AND REHABILITATION</v>
          </cell>
          <cell r="E350" t="str">
            <v/>
          </cell>
          <cell r="F350" t="str">
            <v>0000</v>
          </cell>
          <cell r="G350" t="str">
            <v>0000</v>
          </cell>
          <cell r="H350" t="str">
            <v>0000</v>
          </cell>
          <cell r="I350" t="str">
            <v>0000</v>
          </cell>
          <cell r="J350" t="str">
            <v>07/08/2016</v>
          </cell>
          <cell r="K350" t="str">
            <v>00/00/0000</v>
          </cell>
        </row>
        <row r="351">
          <cell r="A351" t="str">
            <v>5300</v>
          </cell>
          <cell r="B351" t="str">
            <v>CA CORRECTIONAL INSTITUTION</v>
          </cell>
          <cell r="C351" t="str">
            <v>0835</v>
          </cell>
          <cell r="D351" t="str">
            <v>CORRECTIONS AND REHABILITATION</v>
          </cell>
          <cell r="E351" t="str">
            <v/>
          </cell>
          <cell r="F351" t="str">
            <v>0000</v>
          </cell>
          <cell r="G351" t="str">
            <v>0000</v>
          </cell>
          <cell r="H351" t="str">
            <v>0000</v>
          </cell>
          <cell r="I351" t="str">
            <v>0000</v>
          </cell>
          <cell r="J351" t="str">
            <v>07/08/2016</v>
          </cell>
          <cell r="K351" t="str">
            <v>00/00/1999</v>
          </cell>
        </row>
        <row r="352">
          <cell r="A352" t="str">
            <v>5310</v>
          </cell>
          <cell r="B352" t="str">
            <v>CALIFORNIA INSTITUTION FOR MEN</v>
          </cell>
          <cell r="C352" t="str">
            <v>0835</v>
          </cell>
          <cell r="D352" t="str">
            <v>CORRECTIONS AND REHABILITATION</v>
          </cell>
          <cell r="E352" t="str">
            <v/>
          </cell>
          <cell r="F352" t="str">
            <v>0000</v>
          </cell>
          <cell r="G352" t="str">
            <v>0000</v>
          </cell>
          <cell r="H352" t="str">
            <v>0000</v>
          </cell>
          <cell r="I352" t="str">
            <v>0000</v>
          </cell>
          <cell r="J352" t="str">
            <v>07/08/2016</v>
          </cell>
          <cell r="K352" t="str">
            <v>00/00/1999</v>
          </cell>
        </row>
        <row r="353">
          <cell r="A353" t="str">
            <v>5320</v>
          </cell>
          <cell r="B353" t="str">
            <v>CALIF INSTITUTION FOR WOMEN</v>
          </cell>
          <cell r="C353" t="str">
            <v>0835</v>
          </cell>
          <cell r="D353" t="str">
            <v>CORRECTIONS AND REHABILITATION</v>
          </cell>
          <cell r="E353" t="str">
            <v/>
          </cell>
          <cell r="F353" t="str">
            <v>0000</v>
          </cell>
          <cell r="G353" t="str">
            <v>0000</v>
          </cell>
          <cell r="H353" t="str">
            <v>0000</v>
          </cell>
          <cell r="I353" t="str">
            <v>0000</v>
          </cell>
          <cell r="J353" t="str">
            <v>07/08/2016</v>
          </cell>
          <cell r="K353" t="str">
            <v>00/00/1999</v>
          </cell>
        </row>
        <row r="354">
          <cell r="A354" t="str">
            <v>5330</v>
          </cell>
          <cell r="B354" t="str">
            <v>CALIFORNIA MEDICAL FACILITY</v>
          </cell>
          <cell r="C354" t="str">
            <v>0835</v>
          </cell>
          <cell r="D354" t="str">
            <v>CORRECTIONS AND REHABILITATION</v>
          </cell>
          <cell r="E354" t="str">
            <v/>
          </cell>
          <cell r="F354" t="str">
            <v>0000</v>
          </cell>
          <cell r="G354" t="str">
            <v>0000</v>
          </cell>
          <cell r="H354" t="str">
            <v>0000</v>
          </cell>
          <cell r="I354" t="str">
            <v>0000</v>
          </cell>
          <cell r="J354" t="str">
            <v>07/08/2016</v>
          </cell>
          <cell r="K354" t="str">
            <v>00/00/1999</v>
          </cell>
        </row>
        <row r="355">
          <cell r="A355" t="str">
            <v>5335</v>
          </cell>
          <cell r="B355" t="str">
            <v>CA STATE PRISON-SOLANO COUNTY</v>
          </cell>
          <cell r="C355" t="str">
            <v>0835</v>
          </cell>
          <cell r="D355" t="str">
            <v>CORRECTIONS AND REHABILITATION</v>
          </cell>
          <cell r="E355" t="str">
            <v/>
          </cell>
          <cell r="F355" t="str">
            <v>0000</v>
          </cell>
          <cell r="G355" t="str">
            <v>0000</v>
          </cell>
          <cell r="H355" t="str">
            <v>0000</v>
          </cell>
          <cell r="I355" t="str">
            <v>0000</v>
          </cell>
          <cell r="J355" t="str">
            <v>07/08/2016</v>
          </cell>
          <cell r="K355" t="str">
            <v>00/00/0000</v>
          </cell>
        </row>
        <row r="356">
          <cell r="A356" t="str">
            <v>5340</v>
          </cell>
          <cell r="B356" t="str">
            <v>CALIFORNIA MENS COLONY</v>
          </cell>
          <cell r="C356" t="str">
            <v>0835</v>
          </cell>
          <cell r="D356" t="str">
            <v>CORRECTIONS AND REHABILITATION</v>
          </cell>
          <cell r="E356" t="str">
            <v/>
          </cell>
          <cell r="F356" t="str">
            <v>0000</v>
          </cell>
          <cell r="G356" t="str">
            <v>0000</v>
          </cell>
          <cell r="H356" t="str">
            <v>0000</v>
          </cell>
          <cell r="I356" t="str">
            <v>0000</v>
          </cell>
          <cell r="J356" t="str">
            <v>07/08/2016</v>
          </cell>
          <cell r="K356" t="str">
            <v>00/00/1999</v>
          </cell>
        </row>
        <row r="357">
          <cell r="A357" t="str">
            <v>5341</v>
          </cell>
          <cell r="B357" t="str">
            <v>CALIF ST PRISON, FRESNO CO</v>
          </cell>
          <cell r="C357" t="str">
            <v>0835</v>
          </cell>
          <cell r="D357" t="str">
            <v>CORRECTIONS AND REHABILITATION</v>
          </cell>
          <cell r="E357" t="str">
            <v/>
          </cell>
          <cell r="F357" t="str">
            <v>0000</v>
          </cell>
          <cell r="G357" t="str">
            <v>0000</v>
          </cell>
          <cell r="H357" t="str">
            <v>0000</v>
          </cell>
          <cell r="I357" t="str">
            <v>0000</v>
          </cell>
          <cell r="J357" t="str">
            <v>07/08/2016</v>
          </cell>
          <cell r="K357" t="str">
            <v>00/00/0000</v>
          </cell>
        </row>
        <row r="358">
          <cell r="A358" t="str">
            <v>5342</v>
          </cell>
          <cell r="B358" t="str">
            <v>CALIF ST PRISON, IMPERIAL CO</v>
          </cell>
          <cell r="C358" t="str">
            <v>0835</v>
          </cell>
          <cell r="D358" t="str">
            <v>CORRECTIONS AND REHABILITATION</v>
          </cell>
          <cell r="E358" t="str">
            <v/>
          </cell>
          <cell r="F358" t="str">
            <v>0000</v>
          </cell>
          <cell r="G358" t="str">
            <v>0000</v>
          </cell>
          <cell r="H358" t="str">
            <v>0000</v>
          </cell>
          <cell r="I358" t="str">
            <v>0000</v>
          </cell>
          <cell r="J358" t="str">
            <v>07/08/2016</v>
          </cell>
          <cell r="K358" t="str">
            <v>00/00/0000</v>
          </cell>
        </row>
        <row r="359">
          <cell r="A359" t="str">
            <v>5343</v>
          </cell>
          <cell r="B359" t="str">
            <v>CALIF RECEPTION CENTER, LA</v>
          </cell>
          <cell r="C359" t="str">
            <v>0835</v>
          </cell>
          <cell r="D359" t="str">
            <v>CORRECTIONS AND REHABILITATION</v>
          </cell>
          <cell r="E359" t="str">
            <v/>
          </cell>
          <cell r="F359" t="str">
            <v>0000</v>
          </cell>
          <cell r="G359" t="str">
            <v>0000</v>
          </cell>
          <cell r="H359" t="str">
            <v>0000</v>
          </cell>
          <cell r="I359" t="str">
            <v>0000</v>
          </cell>
          <cell r="J359" t="str">
            <v>07/08/2016</v>
          </cell>
          <cell r="K359" t="str">
            <v>00/00/0000</v>
          </cell>
        </row>
        <row r="360">
          <cell r="A360" t="str">
            <v>5344</v>
          </cell>
          <cell r="B360" t="str">
            <v>CA STATE PRISON, SACRAMENTO</v>
          </cell>
          <cell r="C360" t="str">
            <v>0835</v>
          </cell>
          <cell r="D360" t="str">
            <v>CORRECTIONS AND REHABILITATION</v>
          </cell>
          <cell r="E360" t="str">
            <v/>
          </cell>
          <cell r="F360" t="str">
            <v>0000</v>
          </cell>
          <cell r="G360" t="str">
            <v>0000</v>
          </cell>
          <cell r="H360" t="str">
            <v>0000</v>
          </cell>
          <cell r="I360" t="str">
            <v>0000</v>
          </cell>
          <cell r="J360" t="str">
            <v>07/08/2016</v>
          </cell>
          <cell r="K360" t="str">
            <v>00/00/0000</v>
          </cell>
        </row>
        <row r="361">
          <cell r="A361" t="str">
            <v>5349</v>
          </cell>
          <cell r="B361" t="str">
            <v>CORCORAN CENTER</v>
          </cell>
          <cell r="C361" t="str">
            <v>0835</v>
          </cell>
          <cell r="D361" t="str">
            <v>CORRECTIONS AND REHABILITATION</v>
          </cell>
          <cell r="E361" t="str">
            <v/>
          </cell>
          <cell r="F361" t="str">
            <v>0000</v>
          </cell>
          <cell r="G361" t="str">
            <v>0000</v>
          </cell>
          <cell r="H361" t="str">
            <v>0000</v>
          </cell>
          <cell r="I361" t="str">
            <v>0000</v>
          </cell>
          <cell r="J361" t="str">
            <v>07/08/2016</v>
          </cell>
          <cell r="K361" t="str">
            <v>00/00/0000</v>
          </cell>
        </row>
        <row r="362">
          <cell r="A362" t="str">
            <v>5350</v>
          </cell>
          <cell r="B362" t="str">
            <v>CALIF REHABILITATION CENTER</v>
          </cell>
          <cell r="C362" t="str">
            <v>0835</v>
          </cell>
          <cell r="D362" t="str">
            <v>CORRECTIONS AND REHABILITATION</v>
          </cell>
          <cell r="E362" t="str">
            <v/>
          </cell>
          <cell r="F362" t="str">
            <v>0000</v>
          </cell>
          <cell r="G362" t="str">
            <v>0000</v>
          </cell>
          <cell r="H362" t="str">
            <v>0000</v>
          </cell>
          <cell r="I362" t="str">
            <v>0000</v>
          </cell>
          <cell r="J362" t="str">
            <v>07/08/2016</v>
          </cell>
          <cell r="K362" t="str">
            <v>00/00/1999</v>
          </cell>
        </row>
        <row r="363">
          <cell r="A363" t="str">
            <v>5351</v>
          </cell>
          <cell r="B363" t="str">
            <v>CA STATE PRISON-AMADOR COUNTY</v>
          </cell>
          <cell r="C363" t="str">
            <v>0835</v>
          </cell>
          <cell r="D363" t="str">
            <v>CORRECTIONS AND REHABILITATION</v>
          </cell>
          <cell r="E363" t="str">
            <v/>
          </cell>
          <cell r="F363" t="str">
            <v>0000</v>
          </cell>
          <cell r="G363" t="str">
            <v>0000</v>
          </cell>
          <cell r="H363" t="str">
            <v>0000</v>
          </cell>
          <cell r="I363" t="str">
            <v>0000</v>
          </cell>
          <cell r="J363" t="str">
            <v>08/03/2017</v>
          </cell>
          <cell r="K363" t="str">
            <v>00/00/1999</v>
          </cell>
        </row>
        <row r="364">
          <cell r="A364" t="str">
            <v>5352</v>
          </cell>
          <cell r="B364" t="str">
            <v>CA STATE PRISON-KINGS COUNTY</v>
          </cell>
          <cell r="C364" t="str">
            <v>0835</v>
          </cell>
          <cell r="D364" t="str">
            <v>CORRECTIONS AND REHABILITATION</v>
          </cell>
          <cell r="E364" t="str">
            <v/>
          </cell>
          <cell r="F364" t="str">
            <v>0000</v>
          </cell>
          <cell r="G364" t="str">
            <v>0000</v>
          </cell>
          <cell r="H364" t="str">
            <v>0000</v>
          </cell>
          <cell r="I364" t="str">
            <v>0000</v>
          </cell>
          <cell r="J364" t="str">
            <v>08/03/2017</v>
          </cell>
          <cell r="K364" t="str">
            <v>00/00/1999</v>
          </cell>
        </row>
        <row r="365">
          <cell r="A365" t="str">
            <v>5353</v>
          </cell>
          <cell r="B365" t="str">
            <v>CA STATE PRISON- L.A. COUNTY</v>
          </cell>
          <cell r="C365" t="str">
            <v>0835</v>
          </cell>
          <cell r="D365" t="str">
            <v>CORRECTIONS AND REHABILITATION</v>
          </cell>
          <cell r="E365" t="str">
            <v/>
          </cell>
          <cell r="F365" t="str">
            <v>0000</v>
          </cell>
          <cell r="G365" t="str">
            <v>0000</v>
          </cell>
          <cell r="H365" t="str">
            <v>0000</v>
          </cell>
          <cell r="I365" t="str">
            <v>0000</v>
          </cell>
          <cell r="J365" t="str">
            <v>07/08/2016</v>
          </cell>
          <cell r="K365" t="str">
            <v>00/00/0000</v>
          </cell>
        </row>
        <row r="366">
          <cell r="A366" t="str">
            <v>5354</v>
          </cell>
          <cell r="B366" t="str">
            <v>CA STATE PRISON-RIVERSIDE CO.</v>
          </cell>
          <cell r="C366" t="str">
            <v>0835</v>
          </cell>
          <cell r="D366" t="str">
            <v>CORRECTIONS AND REHABILITATION</v>
          </cell>
          <cell r="E366" t="str">
            <v/>
          </cell>
          <cell r="F366" t="str">
            <v>0000</v>
          </cell>
          <cell r="G366" t="str">
            <v>0000</v>
          </cell>
          <cell r="H366" t="str">
            <v>0000</v>
          </cell>
          <cell r="I366" t="str">
            <v>0000</v>
          </cell>
          <cell r="J366" t="str">
            <v>08/03/2017</v>
          </cell>
          <cell r="K366" t="str">
            <v>00/00/1999</v>
          </cell>
        </row>
        <row r="367">
          <cell r="A367" t="str">
            <v>5355</v>
          </cell>
          <cell r="B367" t="str">
            <v>CALIF ST PRISON RIVERSIDE</v>
          </cell>
          <cell r="C367" t="str">
            <v>0835</v>
          </cell>
          <cell r="D367" t="str">
            <v>CORRECTIONS AND REHABILITATION</v>
          </cell>
          <cell r="E367" t="str">
            <v/>
          </cell>
          <cell r="F367" t="str">
            <v>0000</v>
          </cell>
          <cell r="G367" t="str">
            <v>0000</v>
          </cell>
          <cell r="H367" t="str">
            <v>0000</v>
          </cell>
          <cell r="I367" t="str">
            <v>0000</v>
          </cell>
          <cell r="J367" t="str">
            <v>08/03/2017</v>
          </cell>
          <cell r="K367" t="str">
            <v>00/00/0000</v>
          </cell>
        </row>
        <row r="368">
          <cell r="A368" t="str">
            <v>5356</v>
          </cell>
          <cell r="B368" t="str">
            <v>CA STATE PRISON-S/BERN COUNTY</v>
          </cell>
          <cell r="C368" t="str">
            <v>0835</v>
          </cell>
          <cell r="D368" t="str">
            <v>CORRECTIONS AND REHABILITATION</v>
          </cell>
          <cell r="E368" t="str">
            <v/>
          </cell>
          <cell r="F368" t="str">
            <v>0000</v>
          </cell>
          <cell r="G368" t="str">
            <v>0000</v>
          </cell>
          <cell r="H368" t="str">
            <v>0000</v>
          </cell>
          <cell r="I368" t="str">
            <v>0000</v>
          </cell>
          <cell r="J368" t="str">
            <v>07/08/2016</v>
          </cell>
          <cell r="K368" t="str">
            <v>00/00/0000</v>
          </cell>
        </row>
        <row r="369">
          <cell r="A369" t="str">
            <v>5357</v>
          </cell>
          <cell r="B369" t="str">
            <v>CA STATE PRISON-S/DIEGO CO.</v>
          </cell>
          <cell r="C369" t="str">
            <v>0835</v>
          </cell>
          <cell r="D369" t="str">
            <v>CORRECTIONS AND REHABILITATION</v>
          </cell>
          <cell r="E369" t="str">
            <v/>
          </cell>
          <cell r="F369" t="str">
            <v>0000</v>
          </cell>
          <cell r="G369" t="str">
            <v>0000</v>
          </cell>
          <cell r="H369" t="str">
            <v>0000</v>
          </cell>
          <cell r="I369" t="str">
            <v>0000</v>
          </cell>
          <cell r="J369" t="str">
            <v>08/03/2017</v>
          </cell>
          <cell r="K369" t="str">
            <v>00/00/1999</v>
          </cell>
        </row>
        <row r="370">
          <cell r="A370" t="str">
            <v>5358</v>
          </cell>
          <cell r="B370" t="str">
            <v>CA STATE PRISON - CORCORAN</v>
          </cell>
          <cell r="C370" t="str">
            <v>0835</v>
          </cell>
          <cell r="D370" t="str">
            <v>CORRECTIONS AND REHABILITATION</v>
          </cell>
          <cell r="E370" t="str">
            <v/>
          </cell>
          <cell r="F370" t="str">
            <v>0000</v>
          </cell>
          <cell r="G370" t="str">
            <v>0000</v>
          </cell>
          <cell r="H370" t="str">
            <v>0000</v>
          </cell>
          <cell r="I370" t="str">
            <v>0000</v>
          </cell>
          <cell r="J370" t="str">
            <v>07/08/2016</v>
          </cell>
          <cell r="K370" t="str">
            <v>00/00/1999</v>
          </cell>
        </row>
        <row r="371">
          <cell r="A371" t="str">
            <v>5359</v>
          </cell>
          <cell r="B371" t="str">
            <v>PRISON OF THE REDWOODS</v>
          </cell>
          <cell r="C371" t="str">
            <v>0835</v>
          </cell>
          <cell r="D371" t="str">
            <v>CORRECTIONS AND REHABILITATION</v>
          </cell>
          <cell r="E371" t="str">
            <v/>
          </cell>
          <cell r="F371" t="str">
            <v>0000</v>
          </cell>
          <cell r="G371" t="str">
            <v>0000</v>
          </cell>
          <cell r="H371" t="str">
            <v>0000</v>
          </cell>
          <cell r="I371" t="str">
            <v>0000</v>
          </cell>
          <cell r="J371" t="str">
            <v>08/03/2017</v>
          </cell>
          <cell r="K371" t="str">
            <v>00/00/1999</v>
          </cell>
        </row>
        <row r="372">
          <cell r="A372" t="str">
            <v>5361</v>
          </cell>
          <cell r="B372" t="str">
            <v>CA STATE PRISON, MADERA COUNTY</v>
          </cell>
          <cell r="C372" t="str">
            <v>0835</v>
          </cell>
          <cell r="D372" t="str">
            <v>CORRECTIONS AND REHABILITATION</v>
          </cell>
          <cell r="E372" t="str">
            <v/>
          </cell>
          <cell r="F372" t="str">
            <v>0000</v>
          </cell>
          <cell r="G372" t="str">
            <v>0000</v>
          </cell>
          <cell r="H372" t="str">
            <v>0000</v>
          </cell>
          <cell r="I372" t="str">
            <v>0000</v>
          </cell>
          <cell r="J372" t="str">
            <v>08/03/2017</v>
          </cell>
          <cell r="K372" t="str">
            <v>00/00/0000</v>
          </cell>
        </row>
        <row r="373">
          <cell r="A373" t="str">
            <v>5362</v>
          </cell>
          <cell r="B373" t="str">
            <v>CA ST PRISON, IMPERIAL COUNTY</v>
          </cell>
          <cell r="C373" t="str">
            <v>0835</v>
          </cell>
          <cell r="D373" t="str">
            <v>CORRECTIONS AND REHABILITATION</v>
          </cell>
          <cell r="E373" t="str">
            <v/>
          </cell>
          <cell r="F373" t="str">
            <v>0000</v>
          </cell>
          <cell r="G373" t="str">
            <v>0000</v>
          </cell>
          <cell r="H373" t="str">
            <v>0000</v>
          </cell>
          <cell r="I373" t="str">
            <v>0000</v>
          </cell>
          <cell r="J373" t="str">
            <v>08/03/2017</v>
          </cell>
          <cell r="K373" t="str">
            <v>00/00/0000</v>
          </cell>
        </row>
        <row r="374">
          <cell r="A374" t="str">
            <v>5363</v>
          </cell>
          <cell r="B374" t="str">
            <v>CA ST PRISON,WASCO,KERN COUNTY</v>
          </cell>
          <cell r="C374" t="str">
            <v>0835</v>
          </cell>
          <cell r="D374" t="str">
            <v>CORRECTIONS AND REHABILITATION</v>
          </cell>
          <cell r="E374" t="str">
            <v/>
          </cell>
          <cell r="F374" t="str">
            <v>0000</v>
          </cell>
          <cell r="G374" t="str">
            <v>0000</v>
          </cell>
          <cell r="H374" t="str">
            <v>0000</v>
          </cell>
          <cell r="I374" t="str">
            <v>0000</v>
          </cell>
          <cell r="J374" t="str">
            <v>08/03/2017</v>
          </cell>
          <cell r="K374" t="str">
            <v>00/00/0000</v>
          </cell>
        </row>
        <row r="375">
          <cell r="A375" t="str">
            <v>5364</v>
          </cell>
          <cell r="B375" t="str">
            <v>CA ST PRISON, DELANO, KERN CO.</v>
          </cell>
          <cell r="C375" t="str">
            <v>0835</v>
          </cell>
          <cell r="D375" t="str">
            <v>CORRECTIONS AND REHABILITATION</v>
          </cell>
          <cell r="E375" t="str">
            <v/>
          </cell>
          <cell r="F375" t="str">
            <v>0000</v>
          </cell>
          <cell r="G375" t="str">
            <v>0000</v>
          </cell>
          <cell r="H375" t="str">
            <v>0000</v>
          </cell>
          <cell r="I375" t="str">
            <v>0000</v>
          </cell>
          <cell r="J375" t="str">
            <v>08/03/2017</v>
          </cell>
          <cell r="K375" t="str">
            <v>00/00/0000</v>
          </cell>
        </row>
        <row r="376">
          <cell r="A376" t="str">
            <v>5365</v>
          </cell>
          <cell r="B376" t="str">
            <v>CA ST PRISON-KERN CO AT DELANO</v>
          </cell>
          <cell r="C376" t="str">
            <v>0835</v>
          </cell>
          <cell r="D376" t="str">
            <v>CORRECTIONS AND REHABILITATION</v>
          </cell>
          <cell r="E376" t="str">
            <v/>
          </cell>
          <cell r="F376" t="str">
            <v>0000</v>
          </cell>
          <cell r="G376" t="str">
            <v>0000</v>
          </cell>
          <cell r="H376" t="str">
            <v>0000</v>
          </cell>
          <cell r="I376" t="str">
            <v>0000</v>
          </cell>
          <cell r="J376" t="str">
            <v>08/03/2017</v>
          </cell>
          <cell r="K376" t="str">
            <v>00/00/0000</v>
          </cell>
        </row>
        <row r="377">
          <cell r="A377" t="str">
            <v>5370</v>
          </cell>
          <cell r="B377" t="str">
            <v>DEUEL VOCATIONAL INSTITUTION</v>
          </cell>
          <cell r="C377" t="str">
            <v>0835</v>
          </cell>
          <cell r="D377" t="str">
            <v>CORRECTIONS AND REHABILITATION</v>
          </cell>
          <cell r="E377" t="str">
            <v/>
          </cell>
          <cell r="F377" t="str">
            <v>0000</v>
          </cell>
          <cell r="G377" t="str">
            <v>0000</v>
          </cell>
          <cell r="H377" t="str">
            <v>0000</v>
          </cell>
          <cell r="I377" t="str">
            <v>0000</v>
          </cell>
          <cell r="J377" t="str">
            <v>07/08/2016</v>
          </cell>
          <cell r="K377" t="str">
            <v>00/00/1999</v>
          </cell>
        </row>
        <row r="378">
          <cell r="A378" t="str">
            <v>5380</v>
          </cell>
          <cell r="B378" t="str">
            <v>FOLSOM STATE PRISON</v>
          </cell>
          <cell r="C378" t="str">
            <v>0835</v>
          </cell>
          <cell r="D378" t="str">
            <v>CORRECTIONS AND REHABILITATION</v>
          </cell>
          <cell r="E378" t="str">
            <v/>
          </cell>
          <cell r="F378" t="str">
            <v>0000</v>
          </cell>
          <cell r="G378" t="str">
            <v>0000</v>
          </cell>
          <cell r="H378" t="str">
            <v>0000</v>
          </cell>
          <cell r="I378" t="str">
            <v>0000</v>
          </cell>
          <cell r="J378" t="str">
            <v>07/08/2016</v>
          </cell>
          <cell r="K378" t="str">
            <v>00/00/1999</v>
          </cell>
        </row>
        <row r="379">
          <cell r="A379" t="str">
            <v>5384</v>
          </cell>
          <cell r="B379" t="str">
            <v>NO. CA WOMEN'S FACILITY</v>
          </cell>
          <cell r="C379" t="str">
            <v>0835</v>
          </cell>
          <cell r="D379" t="str">
            <v>CORRECTIONS AND REHABILITATION</v>
          </cell>
          <cell r="E379" t="str">
            <v/>
          </cell>
          <cell r="F379" t="str">
            <v>0000</v>
          </cell>
          <cell r="G379" t="str">
            <v>0000</v>
          </cell>
          <cell r="H379" t="str">
            <v>0000</v>
          </cell>
          <cell r="I379" t="str">
            <v>0000</v>
          </cell>
          <cell r="J379" t="str">
            <v>07/08/2016</v>
          </cell>
          <cell r="K379" t="str">
            <v>00/00/1999</v>
          </cell>
        </row>
        <row r="380">
          <cell r="A380" t="str">
            <v>5388</v>
          </cell>
          <cell r="B380" t="str">
            <v>RICHARD A MCGEE TRAINING CTR</v>
          </cell>
          <cell r="C380" t="str">
            <v>0835</v>
          </cell>
          <cell r="D380" t="str">
            <v>CORRECTIONS AND REHABILITATION</v>
          </cell>
          <cell r="E380" t="str">
            <v/>
          </cell>
          <cell r="F380" t="str">
            <v>0000</v>
          </cell>
          <cell r="G380" t="str">
            <v>0000</v>
          </cell>
          <cell r="H380" t="str">
            <v>0000</v>
          </cell>
          <cell r="I380" t="str">
            <v>0000</v>
          </cell>
          <cell r="J380" t="str">
            <v>07/08/2016</v>
          </cell>
          <cell r="K380" t="str">
            <v>00/00/1999</v>
          </cell>
        </row>
        <row r="381">
          <cell r="A381" t="str">
            <v>5390</v>
          </cell>
          <cell r="B381" t="str">
            <v>SAN QUENTIN STATE PRISON</v>
          </cell>
          <cell r="C381" t="str">
            <v>0835</v>
          </cell>
          <cell r="D381" t="str">
            <v>CORRECTIONS AND REHABILITATION</v>
          </cell>
          <cell r="E381" t="str">
            <v/>
          </cell>
          <cell r="F381" t="str">
            <v>0000</v>
          </cell>
          <cell r="G381" t="str">
            <v>0000</v>
          </cell>
          <cell r="H381" t="str">
            <v>0000</v>
          </cell>
          <cell r="I381" t="str">
            <v>0000</v>
          </cell>
          <cell r="J381" t="str">
            <v>07/08/2016</v>
          </cell>
          <cell r="K381" t="str">
            <v>00/00/1999</v>
          </cell>
        </row>
        <row r="382">
          <cell r="A382" t="str">
            <v>5400</v>
          </cell>
          <cell r="B382" t="str">
            <v>SIERRA CONSERVATION CENTER</v>
          </cell>
          <cell r="C382" t="str">
            <v>0835</v>
          </cell>
          <cell r="D382" t="str">
            <v>CORRECTIONS AND REHABILITATION</v>
          </cell>
          <cell r="E382" t="str">
            <v/>
          </cell>
          <cell r="F382" t="str">
            <v>0000</v>
          </cell>
          <cell r="G382" t="str">
            <v>0000</v>
          </cell>
          <cell r="H382" t="str">
            <v>0000</v>
          </cell>
          <cell r="I382" t="str">
            <v>0000</v>
          </cell>
          <cell r="J382" t="str">
            <v>07/08/2016</v>
          </cell>
          <cell r="K382" t="str">
            <v>00/00/1999</v>
          </cell>
        </row>
        <row r="383">
          <cell r="A383" t="str">
            <v>5420</v>
          </cell>
          <cell r="B383" t="str">
            <v>PRISON INDUSTRY AUTHORITY</v>
          </cell>
          <cell r="C383" t="str">
            <v>0835</v>
          </cell>
          <cell r="D383" t="str">
            <v>CORRECTIONS AND REHABILITATION</v>
          </cell>
          <cell r="E383" t="str">
            <v/>
          </cell>
          <cell r="F383" t="str">
            <v>0000</v>
          </cell>
          <cell r="G383" t="str">
            <v>0000</v>
          </cell>
          <cell r="H383" t="str">
            <v>0000</v>
          </cell>
          <cell r="I383" t="str">
            <v>0000</v>
          </cell>
          <cell r="J383" t="str">
            <v>07/08/2016</v>
          </cell>
          <cell r="K383" t="str">
            <v>00/00/0000</v>
          </cell>
        </row>
        <row r="384">
          <cell r="A384" t="str">
            <v>5430</v>
          </cell>
          <cell r="B384" t="str">
            <v>BOARD OF CORRECTIONS</v>
          </cell>
          <cell r="C384" t="str">
            <v>0835</v>
          </cell>
          <cell r="D384" t="str">
            <v>CORRECTIONS AND REHABILITATION</v>
          </cell>
          <cell r="E384" t="str">
            <v/>
          </cell>
          <cell r="F384" t="str">
            <v>0000</v>
          </cell>
          <cell r="G384" t="str">
            <v>0000</v>
          </cell>
          <cell r="H384" t="str">
            <v>0000</v>
          </cell>
          <cell r="I384" t="str">
            <v>0000</v>
          </cell>
          <cell r="J384" t="str">
            <v>07/08/2016</v>
          </cell>
          <cell r="K384" t="str">
            <v>00/00/1999</v>
          </cell>
        </row>
        <row r="385">
          <cell r="A385" t="str">
            <v>5440</v>
          </cell>
          <cell r="B385" t="str">
            <v>BOARD OF PRISON TERMS</v>
          </cell>
          <cell r="C385" t="str">
            <v>0835</v>
          </cell>
          <cell r="D385" t="str">
            <v>CORRECTIONS AND REHABILITATION</v>
          </cell>
          <cell r="E385" t="str">
            <v/>
          </cell>
          <cell r="F385" t="str">
            <v>0000</v>
          </cell>
          <cell r="G385" t="str">
            <v>0000</v>
          </cell>
          <cell r="H385" t="str">
            <v>0000</v>
          </cell>
          <cell r="I385" t="str">
            <v>0000</v>
          </cell>
          <cell r="J385" t="str">
            <v>07/08/2016</v>
          </cell>
          <cell r="K385" t="str">
            <v>00/00/1999</v>
          </cell>
        </row>
        <row r="386">
          <cell r="A386" t="str">
            <v>5450</v>
          </cell>
          <cell r="B386" t="str">
            <v>YOUTHFUL OFFENDER PAROLE BOARD</v>
          </cell>
          <cell r="C386" t="str">
            <v>0835</v>
          </cell>
          <cell r="D386" t="str">
            <v>CORRECTIONS AND REHABILITATION</v>
          </cell>
          <cell r="E386" t="str">
            <v/>
          </cell>
          <cell r="F386" t="str">
            <v>0000</v>
          </cell>
          <cell r="G386" t="str">
            <v>0000</v>
          </cell>
          <cell r="H386" t="str">
            <v>0000</v>
          </cell>
          <cell r="I386" t="str">
            <v>0000</v>
          </cell>
          <cell r="J386" t="str">
            <v>07/08/2016</v>
          </cell>
          <cell r="K386" t="str">
            <v>00/00/1999</v>
          </cell>
        </row>
        <row r="387">
          <cell r="A387" t="str">
            <v>5459</v>
          </cell>
          <cell r="B387" t="str">
            <v>DEPT OF YOUTH AUTHORITY</v>
          </cell>
          <cell r="C387" t="str">
            <v>0835</v>
          </cell>
          <cell r="D387" t="str">
            <v>CORRECTIONS AND REHABILITATION</v>
          </cell>
          <cell r="E387" t="str">
            <v/>
          </cell>
          <cell r="F387" t="str">
            <v>0000</v>
          </cell>
          <cell r="G387" t="str">
            <v>0000</v>
          </cell>
          <cell r="H387" t="str">
            <v>0000</v>
          </cell>
          <cell r="I387" t="str">
            <v>0000</v>
          </cell>
          <cell r="J387" t="str">
            <v>07/08/2016</v>
          </cell>
          <cell r="K387" t="str">
            <v>00/00/0000</v>
          </cell>
        </row>
        <row r="388">
          <cell r="A388" t="str">
            <v>5460</v>
          </cell>
          <cell r="B388" t="str">
            <v>DEPT OF YOUTH AUTHORITY-UNALOC</v>
          </cell>
          <cell r="C388" t="str">
            <v>0835</v>
          </cell>
          <cell r="D388" t="str">
            <v>CORRECTIONS AND REHABILITATION</v>
          </cell>
          <cell r="E388" t="str">
            <v/>
          </cell>
          <cell r="F388" t="str">
            <v>0000</v>
          </cell>
          <cell r="G388" t="str">
            <v>0000</v>
          </cell>
          <cell r="H388" t="str">
            <v>0000</v>
          </cell>
          <cell r="I388" t="str">
            <v>0000</v>
          </cell>
          <cell r="J388" t="str">
            <v>07/08/2016</v>
          </cell>
          <cell r="K388" t="str">
            <v>00/00/0000</v>
          </cell>
        </row>
        <row r="389">
          <cell r="A389" t="str">
            <v>5465</v>
          </cell>
          <cell r="B389" t="str">
            <v>YOUTH AUTHTY-HEADQUARTERS REG</v>
          </cell>
          <cell r="C389" t="str">
            <v>0835</v>
          </cell>
          <cell r="D389" t="str">
            <v>CORRECTIONS AND REHABILITATION</v>
          </cell>
          <cell r="E389" t="str">
            <v/>
          </cell>
          <cell r="F389" t="str">
            <v>0000</v>
          </cell>
          <cell r="G389" t="str">
            <v>0000</v>
          </cell>
          <cell r="H389" t="str">
            <v>0000</v>
          </cell>
          <cell r="I389" t="str">
            <v>0000</v>
          </cell>
          <cell r="J389" t="str">
            <v>07/08/2016</v>
          </cell>
          <cell r="K389" t="str">
            <v>00/00/0000</v>
          </cell>
        </row>
        <row r="390">
          <cell r="A390" t="str">
            <v>5470</v>
          </cell>
          <cell r="B390" t="str">
            <v>DEPT OF THE YOUTH AUTHORITY</v>
          </cell>
          <cell r="C390" t="str">
            <v>0835</v>
          </cell>
          <cell r="D390" t="str">
            <v>CORRECTIONS AND REHABILITATION</v>
          </cell>
          <cell r="E390" t="str">
            <v/>
          </cell>
          <cell r="F390" t="str">
            <v>0000</v>
          </cell>
          <cell r="G390" t="str">
            <v>0000</v>
          </cell>
          <cell r="H390" t="str">
            <v>0000</v>
          </cell>
          <cell r="I390" t="str">
            <v>0000</v>
          </cell>
          <cell r="J390" t="str">
            <v>07/08/2016</v>
          </cell>
          <cell r="K390" t="str">
            <v>00/00/1999</v>
          </cell>
        </row>
        <row r="391">
          <cell r="A391" t="str">
            <v>5471</v>
          </cell>
          <cell r="B391" t="str">
            <v>NORTHERN SCHOOLS</v>
          </cell>
          <cell r="C391" t="str">
            <v>0835</v>
          </cell>
          <cell r="D391" t="str">
            <v>CORRECTIONS AND REHABILITATION</v>
          </cell>
          <cell r="E391" t="str">
            <v/>
          </cell>
          <cell r="F391" t="str">
            <v>0000</v>
          </cell>
          <cell r="G391" t="str">
            <v>0000</v>
          </cell>
          <cell r="H391" t="str">
            <v>0000</v>
          </cell>
          <cell r="I391" t="str">
            <v>0000</v>
          </cell>
          <cell r="J391" t="str">
            <v>07/08/2016</v>
          </cell>
          <cell r="K391" t="str">
            <v>00/00/1999</v>
          </cell>
        </row>
        <row r="392">
          <cell r="A392" t="str">
            <v>5472</v>
          </cell>
          <cell r="B392" t="str">
            <v>NORTHERN CAMPS</v>
          </cell>
          <cell r="C392" t="str">
            <v>0835</v>
          </cell>
          <cell r="D392" t="str">
            <v>CORRECTIONS AND REHABILITATION</v>
          </cell>
          <cell r="E392" t="str">
            <v/>
          </cell>
          <cell r="F392" t="str">
            <v>0000</v>
          </cell>
          <cell r="G392" t="str">
            <v>0000</v>
          </cell>
          <cell r="H392" t="str">
            <v>0000</v>
          </cell>
          <cell r="I392" t="str">
            <v>0000</v>
          </cell>
          <cell r="J392" t="str">
            <v>07/08/2016</v>
          </cell>
          <cell r="K392" t="str">
            <v>00/00/1999</v>
          </cell>
        </row>
        <row r="393">
          <cell r="A393" t="str">
            <v>5473</v>
          </cell>
          <cell r="B393" t="str">
            <v>YOUTH AUTHTY-NORTH REGION</v>
          </cell>
          <cell r="C393" t="str">
            <v>0835</v>
          </cell>
          <cell r="D393" t="str">
            <v>CORRECTIONS AND REHABILITATION</v>
          </cell>
          <cell r="E393" t="str">
            <v/>
          </cell>
          <cell r="F393" t="str">
            <v>0000</v>
          </cell>
          <cell r="G393" t="str">
            <v>0000</v>
          </cell>
          <cell r="H393" t="str">
            <v>0000</v>
          </cell>
          <cell r="I393" t="str">
            <v>0000</v>
          </cell>
          <cell r="J393" t="str">
            <v>07/08/2016</v>
          </cell>
          <cell r="K393" t="str">
            <v>00/00/0000</v>
          </cell>
        </row>
        <row r="394">
          <cell r="A394" t="str">
            <v>5474</v>
          </cell>
          <cell r="B394" t="str">
            <v>SOUTHERN YOUTH CONSERV CAMPS</v>
          </cell>
          <cell r="C394" t="str">
            <v>0835</v>
          </cell>
          <cell r="D394" t="str">
            <v>CORRECTIONS AND REHABILITATION</v>
          </cell>
          <cell r="E394" t="str">
            <v/>
          </cell>
          <cell r="F394" t="str">
            <v>0000</v>
          </cell>
          <cell r="G394" t="str">
            <v>0000</v>
          </cell>
          <cell r="H394" t="str">
            <v>0000</v>
          </cell>
          <cell r="I394" t="str">
            <v>0000</v>
          </cell>
          <cell r="J394" t="str">
            <v>07/08/2016</v>
          </cell>
          <cell r="K394" t="str">
            <v>00/00/0000</v>
          </cell>
        </row>
        <row r="395">
          <cell r="A395" t="str">
            <v>5480</v>
          </cell>
          <cell r="B395" t="str">
            <v>COMM. ON CORR PEACE OFFICERS'</v>
          </cell>
          <cell r="C395" t="str">
            <v>0835</v>
          </cell>
          <cell r="D395" t="str">
            <v>CORRECTIONS AND REHABILITATION</v>
          </cell>
          <cell r="E395" t="str">
            <v/>
          </cell>
          <cell r="F395" t="str">
            <v>0000</v>
          </cell>
          <cell r="G395" t="str">
            <v>0000</v>
          </cell>
          <cell r="H395" t="str">
            <v>0000</v>
          </cell>
          <cell r="I395" t="str">
            <v>0000</v>
          </cell>
          <cell r="J395" t="str">
            <v>07/08/2016</v>
          </cell>
          <cell r="K395" t="str">
            <v>00/00/0000</v>
          </cell>
        </row>
        <row r="396">
          <cell r="A396" t="str">
            <v>5490</v>
          </cell>
          <cell r="B396" t="str">
            <v>YOUTH AUTH CONSERVATION CAMPS</v>
          </cell>
          <cell r="C396" t="str">
            <v>0835</v>
          </cell>
          <cell r="D396" t="str">
            <v>CORRECTIONS AND REHABILITATION</v>
          </cell>
          <cell r="E396" t="str">
            <v/>
          </cell>
          <cell r="F396" t="str">
            <v>0000</v>
          </cell>
          <cell r="G396" t="str">
            <v>0000</v>
          </cell>
          <cell r="H396" t="str">
            <v>0000</v>
          </cell>
          <cell r="I396" t="str">
            <v>0000</v>
          </cell>
          <cell r="J396" t="str">
            <v>07/08/2016</v>
          </cell>
          <cell r="K396" t="str">
            <v>00/00/0000</v>
          </cell>
        </row>
        <row r="397">
          <cell r="A397" t="str">
            <v>5500</v>
          </cell>
          <cell r="B397" t="str">
            <v>NO CAL RECEPTION CENTER/CLINIC</v>
          </cell>
          <cell r="C397" t="str">
            <v>0835</v>
          </cell>
          <cell r="D397" t="str">
            <v>CORRECTIONS AND REHABILITATION</v>
          </cell>
          <cell r="E397" t="str">
            <v/>
          </cell>
          <cell r="F397" t="str">
            <v>0000</v>
          </cell>
          <cell r="G397" t="str">
            <v>0000</v>
          </cell>
          <cell r="H397" t="str">
            <v>0000</v>
          </cell>
          <cell r="I397" t="str">
            <v>0000</v>
          </cell>
          <cell r="J397" t="str">
            <v>07/08/2016</v>
          </cell>
          <cell r="K397" t="str">
            <v>00/00/1999</v>
          </cell>
        </row>
        <row r="398">
          <cell r="A398" t="str">
            <v>5510</v>
          </cell>
          <cell r="B398" t="str">
            <v>SOUTHERN RECEP CENTER/CLINIC</v>
          </cell>
          <cell r="C398" t="str">
            <v>0835</v>
          </cell>
          <cell r="D398" t="str">
            <v>CORRECTIONS AND REHABILITATION</v>
          </cell>
          <cell r="E398" t="str">
            <v/>
          </cell>
          <cell r="F398" t="str">
            <v>0000</v>
          </cell>
          <cell r="G398" t="str">
            <v>0000</v>
          </cell>
          <cell r="H398" t="str">
            <v>0000</v>
          </cell>
          <cell r="I398" t="str">
            <v>0000</v>
          </cell>
          <cell r="J398" t="str">
            <v>07/08/2016</v>
          </cell>
          <cell r="K398" t="str">
            <v>00/00/1999</v>
          </cell>
        </row>
        <row r="399">
          <cell r="A399" t="str">
            <v>5520</v>
          </cell>
          <cell r="B399" t="str">
            <v>EL PASO DE ROBLES SCHOOL</v>
          </cell>
          <cell r="C399" t="str">
            <v>0835</v>
          </cell>
          <cell r="D399" t="str">
            <v>CORRECTIONS AND REHABILITATION</v>
          </cell>
          <cell r="E399" t="str">
            <v/>
          </cell>
          <cell r="F399" t="str">
            <v>0000</v>
          </cell>
          <cell r="G399" t="str">
            <v>0000</v>
          </cell>
          <cell r="H399" t="str">
            <v>0000</v>
          </cell>
          <cell r="I399" t="str">
            <v>0000</v>
          </cell>
          <cell r="J399" t="str">
            <v>07/08/2016</v>
          </cell>
          <cell r="K399" t="str">
            <v>00/00/1999</v>
          </cell>
        </row>
        <row r="400">
          <cell r="A400" t="str">
            <v>5530</v>
          </cell>
          <cell r="B400" t="str">
            <v>FRED C NELLES SCHOOL FOR BOYS</v>
          </cell>
          <cell r="C400" t="str">
            <v>0835</v>
          </cell>
          <cell r="D400" t="str">
            <v>CORRECTIONS AND REHABILITATION</v>
          </cell>
          <cell r="E400" t="str">
            <v/>
          </cell>
          <cell r="F400" t="str">
            <v>0000</v>
          </cell>
          <cell r="G400" t="str">
            <v>0000</v>
          </cell>
          <cell r="H400" t="str">
            <v>0000</v>
          </cell>
          <cell r="I400" t="str">
            <v>0000</v>
          </cell>
          <cell r="J400" t="str">
            <v>07/08/2016</v>
          </cell>
          <cell r="K400" t="str">
            <v>00/00/1999</v>
          </cell>
        </row>
        <row r="401">
          <cell r="A401" t="str">
            <v>5580</v>
          </cell>
          <cell r="B401" t="str">
            <v>PRESTON SCHOOL OF INDUSTRY</v>
          </cell>
          <cell r="C401" t="str">
            <v>0835</v>
          </cell>
          <cell r="D401" t="str">
            <v>CORRECTIONS AND REHABILITATION</v>
          </cell>
          <cell r="E401" t="str">
            <v/>
          </cell>
          <cell r="F401" t="str">
            <v>0000</v>
          </cell>
          <cell r="G401" t="str">
            <v>0000</v>
          </cell>
          <cell r="H401" t="str">
            <v>0000</v>
          </cell>
          <cell r="I401" t="str">
            <v>0000</v>
          </cell>
          <cell r="J401" t="str">
            <v>07/08/2016</v>
          </cell>
          <cell r="K401" t="str">
            <v>00/00/1999</v>
          </cell>
        </row>
        <row r="402">
          <cell r="A402" t="str">
            <v>5590</v>
          </cell>
          <cell r="B402" t="str">
            <v>VENTURA SCHOOL</v>
          </cell>
          <cell r="C402" t="str">
            <v>0835</v>
          </cell>
          <cell r="D402" t="str">
            <v>CORRECTIONS AND REHABILITATION</v>
          </cell>
          <cell r="E402" t="str">
            <v/>
          </cell>
          <cell r="F402" t="str">
            <v>0000</v>
          </cell>
          <cell r="G402" t="str">
            <v>0000</v>
          </cell>
          <cell r="H402" t="str">
            <v>0000</v>
          </cell>
          <cell r="I402" t="str">
            <v>0000</v>
          </cell>
          <cell r="J402" t="str">
            <v>07/08/2016</v>
          </cell>
          <cell r="K402" t="str">
            <v>00/00/1999</v>
          </cell>
        </row>
        <row r="403">
          <cell r="A403" t="str">
            <v>5600</v>
          </cell>
          <cell r="B403" t="str">
            <v>YOUTH TRAINING SCHOOL</v>
          </cell>
          <cell r="C403" t="str">
            <v>0835</v>
          </cell>
          <cell r="D403" t="str">
            <v>CORRECTIONS AND REHABILITATION</v>
          </cell>
          <cell r="E403" t="str">
            <v/>
          </cell>
          <cell r="F403" t="str">
            <v>0000</v>
          </cell>
          <cell r="G403" t="str">
            <v>0000</v>
          </cell>
          <cell r="H403" t="str">
            <v>0000</v>
          </cell>
          <cell r="I403" t="str">
            <v>0000</v>
          </cell>
          <cell r="J403" t="str">
            <v>07/08/2016</v>
          </cell>
          <cell r="K403" t="str">
            <v>00/00/0000</v>
          </cell>
        </row>
        <row r="404">
          <cell r="A404" t="str">
            <v>5990</v>
          </cell>
          <cell r="B404" t="str">
            <v>FED IMMIGRATION-INCARCERATION</v>
          </cell>
          <cell r="C404" t="str">
            <v>0835</v>
          </cell>
          <cell r="D404" t="str">
            <v>CORRECTIONS AND REHABILITATION</v>
          </cell>
          <cell r="E404" t="str">
            <v/>
          </cell>
          <cell r="F404" t="str">
            <v>0000</v>
          </cell>
          <cell r="G404" t="str">
            <v>0000</v>
          </cell>
          <cell r="H404" t="str">
            <v>0000</v>
          </cell>
          <cell r="I404" t="str">
            <v>0000</v>
          </cell>
          <cell r="J404" t="str">
            <v>07/08/2016</v>
          </cell>
          <cell r="K404" t="str">
            <v>00/00/0000</v>
          </cell>
        </row>
        <row r="405">
          <cell r="A405" t="str">
            <v>5991</v>
          </cell>
          <cell r="B405" t="str">
            <v>VIOLENT OFFENDER</v>
          </cell>
          <cell r="C405" t="str">
            <v>0835</v>
          </cell>
          <cell r="D405" t="str">
            <v>CORRECTIONS AND REHABILITATION</v>
          </cell>
          <cell r="E405" t="str">
            <v/>
          </cell>
          <cell r="F405" t="str">
            <v>0000</v>
          </cell>
          <cell r="G405" t="str">
            <v>0000</v>
          </cell>
          <cell r="H405" t="str">
            <v>0000</v>
          </cell>
          <cell r="I405" t="str">
            <v>0000</v>
          </cell>
          <cell r="J405" t="str">
            <v>07/08/2016</v>
          </cell>
          <cell r="K405" t="str">
            <v>00/00/0000</v>
          </cell>
        </row>
        <row r="406">
          <cell r="A406" t="str">
            <v>6000</v>
          </cell>
          <cell r="B406" t="str">
            <v>EDUCATION</v>
          </cell>
          <cell r="C406" t="str">
            <v>0810</v>
          </cell>
          <cell r="D406" t="str">
            <v>EDUCATION</v>
          </cell>
          <cell r="E406" t="str">
            <v/>
          </cell>
          <cell r="F406" t="str">
            <v>0000</v>
          </cell>
          <cell r="G406" t="str">
            <v>0000</v>
          </cell>
          <cell r="H406" t="str">
            <v>0000</v>
          </cell>
          <cell r="I406" t="str">
            <v>0000</v>
          </cell>
          <cell r="J406" t="str">
            <v>99/99/9999</v>
          </cell>
          <cell r="K406" t="str">
            <v>00/00/0000</v>
          </cell>
        </row>
        <row r="407">
          <cell r="A407" t="str">
            <v>6010</v>
          </cell>
          <cell r="B407" t="str">
            <v>K-12 EDUCATION</v>
          </cell>
          <cell r="C407" t="str">
            <v>0810</v>
          </cell>
          <cell r="D407" t="str">
            <v>EDUCATION</v>
          </cell>
          <cell r="E407" t="str">
            <v/>
          </cell>
          <cell r="F407" t="str">
            <v>0000</v>
          </cell>
          <cell r="G407" t="str">
            <v>0000</v>
          </cell>
          <cell r="H407" t="str">
            <v>0000</v>
          </cell>
          <cell r="I407" t="str">
            <v>0000</v>
          </cell>
          <cell r="J407" t="str">
            <v>99/99/9999</v>
          </cell>
          <cell r="K407" t="str">
            <v>00/00/0000</v>
          </cell>
        </row>
        <row r="408">
          <cell r="A408" t="str">
            <v>6020</v>
          </cell>
          <cell r="B408" t="str">
            <v>HIGHER EDUCATION</v>
          </cell>
          <cell r="C408" t="str">
            <v>0810</v>
          </cell>
          <cell r="D408" t="str">
            <v>EDUCATION</v>
          </cell>
          <cell r="E408" t="str">
            <v/>
          </cell>
          <cell r="F408" t="str">
            <v>0000</v>
          </cell>
          <cell r="G408" t="str">
            <v>0000</v>
          </cell>
          <cell r="H408" t="str">
            <v>0000</v>
          </cell>
          <cell r="I408" t="str">
            <v>0000</v>
          </cell>
          <cell r="J408" t="str">
            <v>99/99/9999</v>
          </cell>
          <cell r="K408" t="str">
            <v>00/00/0000</v>
          </cell>
        </row>
        <row r="409">
          <cell r="A409" t="str">
            <v>6050</v>
          </cell>
          <cell r="B409" t="str">
            <v>DEPARTMENT OF EDUCATION</v>
          </cell>
          <cell r="C409" t="str">
            <v>0810</v>
          </cell>
          <cell r="D409" t="str">
            <v>EDUCATION</v>
          </cell>
          <cell r="E409" t="str">
            <v/>
          </cell>
          <cell r="F409" t="str">
            <v>0000</v>
          </cell>
          <cell r="G409" t="str">
            <v>0000</v>
          </cell>
          <cell r="H409" t="str">
            <v>0000</v>
          </cell>
          <cell r="I409" t="str">
            <v>0000</v>
          </cell>
          <cell r="J409" t="str">
            <v>08/19/1986</v>
          </cell>
          <cell r="K409" t="str">
            <v>00/00/0000</v>
          </cell>
        </row>
        <row r="410">
          <cell r="A410" t="str">
            <v>6100</v>
          </cell>
          <cell r="B410" t="str">
            <v>DEPARTMENT OF EDUCATION</v>
          </cell>
          <cell r="C410" t="str">
            <v>0810</v>
          </cell>
          <cell r="D410" t="str">
            <v>EDUCATION</v>
          </cell>
          <cell r="E410" t="str">
            <v/>
          </cell>
          <cell r="F410" t="str">
            <v>0000</v>
          </cell>
          <cell r="G410" t="str">
            <v>0000</v>
          </cell>
          <cell r="H410" t="str">
            <v>0000</v>
          </cell>
          <cell r="I410" t="str">
            <v>0000</v>
          </cell>
          <cell r="J410" t="str">
            <v>07/11/2006</v>
          </cell>
          <cell r="K410" t="str">
            <v>00/00/1999</v>
          </cell>
        </row>
        <row r="411">
          <cell r="A411" t="str">
            <v>6110</v>
          </cell>
          <cell r="B411" t="str">
            <v>DEPT. OF EDUCATION HD QTRS</v>
          </cell>
          <cell r="C411" t="str">
            <v>0810</v>
          </cell>
          <cell r="D411" t="str">
            <v>EDUCATION</v>
          </cell>
          <cell r="E411" t="str">
            <v/>
          </cell>
          <cell r="F411" t="str">
            <v>0000</v>
          </cell>
          <cell r="G411" t="str">
            <v>0000</v>
          </cell>
          <cell r="H411" t="str">
            <v>0000</v>
          </cell>
          <cell r="I411" t="str">
            <v>0000</v>
          </cell>
          <cell r="J411" t="str">
            <v>07/08/2016</v>
          </cell>
          <cell r="K411" t="str">
            <v>00/00/0000</v>
          </cell>
        </row>
        <row r="412">
          <cell r="A412" t="str">
            <v>6120</v>
          </cell>
          <cell r="B412" t="str">
            <v>STATE LIBRARY</v>
          </cell>
          <cell r="C412" t="str">
            <v>0810</v>
          </cell>
          <cell r="D412" t="str">
            <v>EDUCATION</v>
          </cell>
          <cell r="E412" t="str">
            <v/>
          </cell>
          <cell r="F412" t="str">
            <v>0000</v>
          </cell>
          <cell r="G412" t="str">
            <v>0000</v>
          </cell>
          <cell r="H412" t="str">
            <v>0000</v>
          </cell>
          <cell r="I412" t="str">
            <v>0000</v>
          </cell>
          <cell r="J412" t="str">
            <v>07/08/2016</v>
          </cell>
          <cell r="K412" t="str">
            <v>00/00/0000</v>
          </cell>
        </row>
        <row r="413">
          <cell r="A413" t="str">
            <v>6125</v>
          </cell>
          <cell r="B413" t="str">
            <v>ED-AUDIT-APPLS</v>
          </cell>
          <cell r="C413" t="str">
            <v>0810</v>
          </cell>
          <cell r="D413" t="str">
            <v>EDUCATION</v>
          </cell>
          <cell r="E413" t="str">
            <v/>
          </cell>
          <cell r="F413" t="str">
            <v>0000</v>
          </cell>
          <cell r="G413" t="str">
            <v>0000</v>
          </cell>
          <cell r="H413" t="str">
            <v>0000</v>
          </cell>
          <cell r="I413" t="str">
            <v>0000</v>
          </cell>
          <cell r="J413" t="str">
            <v>08/15/2003</v>
          </cell>
          <cell r="K413" t="str">
            <v>00/00/0000</v>
          </cell>
        </row>
        <row r="414">
          <cell r="A414" t="str">
            <v>6190</v>
          </cell>
          <cell r="B414" t="str">
            <v>SPECIAL SCHOOLS</v>
          </cell>
          <cell r="C414" t="str">
            <v>0810</v>
          </cell>
          <cell r="D414" t="str">
            <v>EDUCATION</v>
          </cell>
          <cell r="E414" t="str">
            <v/>
          </cell>
          <cell r="F414" t="str">
            <v>0000</v>
          </cell>
          <cell r="G414" t="str">
            <v>0000</v>
          </cell>
          <cell r="H414" t="str">
            <v>0000</v>
          </cell>
          <cell r="I414" t="str">
            <v>0000</v>
          </cell>
          <cell r="J414" t="str">
            <v>99/99/9999</v>
          </cell>
          <cell r="K414" t="str">
            <v>00/00/0000</v>
          </cell>
        </row>
        <row r="415">
          <cell r="A415" t="str">
            <v>6200</v>
          </cell>
          <cell r="B415" t="str">
            <v>CALIF SCHOOL FOR THE BLIND</v>
          </cell>
          <cell r="C415" t="str">
            <v>0810</v>
          </cell>
          <cell r="D415" t="str">
            <v>EDUCATION</v>
          </cell>
          <cell r="E415" t="str">
            <v/>
          </cell>
          <cell r="F415" t="str">
            <v>0000</v>
          </cell>
          <cell r="G415" t="str">
            <v>0000</v>
          </cell>
          <cell r="H415" t="str">
            <v>0000</v>
          </cell>
          <cell r="I415" t="str">
            <v>0000</v>
          </cell>
          <cell r="J415" t="str">
            <v>07/11/2006</v>
          </cell>
          <cell r="K415" t="str">
            <v>00/00/0000</v>
          </cell>
        </row>
        <row r="416">
          <cell r="A416" t="str">
            <v>6210</v>
          </cell>
          <cell r="B416" t="str">
            <v>DIAGN SCH-NEUR HND CHIL-NO CAL</v>
          </cell>
          <cell r="C416" t="str">
            <v>0810</v>
          </cell>
          <cell r="D416" t="str">
            <v>EDUCATION</v>
          </cell>
          <cell r="E416" t="str">
            <v/>
          </cell>
          <cell r="F416" t="str">
            <v>0000</v>
          </cell>
          <cell r="G416" t="str">
            <v>0000</v>
          </cell>
          <cell r="H416" t="str">
            <v>0000</v>
          </cell>
          <cell r="I416" t="str">
            <v>0000</v>
          </cell>
          <cell r="J416" t="str">
            <v>07/11/2006</v>
          </cell>
          <cell r="K416" t="str">
            <v>00/00/0000</v>
          </cell>
        </row>
        <row r="417">
          <cell r="A417" t="str">
            <v>6220</v>
          </cell>
          <cell r="B417" t="str">
            <v>DIAGN SCH NEUR HND CHIL CT CA</v>
          </cell>
          <cell r="C417" t="str">
            <v>0810</v>
          </cell>
          <cell r="D417" t="str">
            <v>EDUCATION</v>
          </cell>
          <cell r="E417" t="str">
            <v/>
          </cell>
          <cell r="F417" t="str">
            <v>0000</v>
          </cell>
          <cell r="G417" t="str">
            <v>0000</v>
          </cell>
          <cell r="H417" t="str">
            <v>0000</v>
          </cell>
          <cell r="I417" t="str">
            <v>0000</v>
          </cell>
          <cell r="J417" t="str">
            <v>07/11/2006</v>
          </cell>
          <cell r="K417" t="str">
            <v>00/00/0000</v>
          </cell>
        </row>
        <row r="418">
          <cell r="A418" t="str">
            <v>6230</v>
          </cell>
          <cell r="B418" t="str">
            <v>DIAGN SCH-NEUR HND CHIL-SO CAL</v>
          </cell>
          <cell r="C418" t="str">
            <v>0810</v>
          </cell>
          <cell r="D418" t="str">
            <v>EDUCATION</v>
          </cell>
          <cell r="E418" t="str">
            <v/>
          </cell>
          <cell r="F418" t="str">
            <v>0000</v>
          </cell>
          <cell r="G418" t="str">
            <v>0000</v>
          </cell>
          <cell r="H418" t="str">
            <v>0000</v>
          </cell>
          <cell r="I418" t="str">
            <v>0000</v>
          </cell>
          <cell r="J418" t="str">
            <v>07/11/2006</v>
          </cell>
          <cell r="K418" t="str">
            <v>00/00/0000</v>
          </cell>
        </row>
        <row r="419">
          <cell r="A419" t="str">
            <v>6240</v>
          </cell>
          <cell r="B419" t="str">
            <v>SCHOOL FOR THE DEAF, FREMONT</v>
          </cell>
          <cell r="C419" t="str">
            <v>0810</v>
          </cell>
          <cell r="D419" t="str">
            <v>EDUCATION</v>
          </cell>
          <cell r="E419" t="str">
            <v/>
          </cell>
          <cell r="F419" t="str">
            <v>0000</v>
          </cell>
          <cell r="G419" t="str">
            <v>0000</v>
          </cell>
          <cell r="H419" t="str">
            <v>0000</v>
          </cell>
          <cell r="I419" t="str">
            <v>0000</v>
          </cell>
          <cell r="J419" t="str">
            <v>07/11/2006</v>
          </cell>
          <cell r="K419" t="str">
            <v>00/00/1999</v>
          </cell>
        </row>
        <row r="420">
          <cell r="A420" t="str">
            <v>6250</v>
          </cell>
          <cell r="B420" t="str">
            <v>SCHOOL FOR THE DEAF,RIVERSIDE</v>
          </cell>
          <cell r="C420" t="str">
            <v>0810</v>
          </cell>
          <cell r="D420" t="str">
            <v>EDUCATION</v>
          </cell>
          <cell r="E420" t="str">
            <v/>
          </cell>
          <cell r="F420" t="str">
            <v>0000</v>
          </cell>
          <cell r="G420" t="str">
            <v>0000</v>
          </cell>
          <cell r="H420" t="str">
            <v>0000</v>
          </cell>
          <cell r="I420" t="str">
            <v>0000</v>
          </cell>
          <cell r="J420" t="str">
            <v>07/11/2006</v>
          </cell>
          <cell r="K420" t="str">
            <v>00/00/1999</v>
          </cell>
        </row>
        <row r="421">
          <cell r="A421" t="str">
            <v>6255</v>
          </cell>
          <cell r="B421" t="str">
            <v>CALIF STATE SUMMER SCHOOL FOR</v>
          </cell>
          <cell r="C421" t="str">
            <v>0810</v>
          </cell>
          <cell r="D421" t="str">
            <v>EDUCATION</v>
          </cell>
          <cell r="E421" t="str">
            <v/>
          </cell>
          <cell r="F421" t="str">
            <v>0000</v>
          </cell>
          <cell r="G421" t="str">
            <v>0000</v>
          </cell>
          <cell r="H421" t="str">
            <v>0000</v>
          </cell>
          <cell r="I421" t="str">
            <v>0000</v>
          </cell>
          <cell r="J421" t="str">
            <v>07/11/2006</v>
          </cell>
          <cell r="K421" t="str">
            <v>00/00/0000</v>
          </cell>
        </row>
        <row r="422">
          <cell r="A422" t="str">
            <v>6260</v>
          </cell>
          <cell r="B422" t="str">
            <v>DIAGNOSTIC CENTERS</v>
          </cell>
          <cell r="C422" t="str">
            <v>0810</v>
          </cell>
          <cell r="D422" t="str">
            <v>EDUCATION</v>
          </cell>
          <cell r="E422" t="str">
            <v/>
          </cell>
          <cell r="F422" t="str">
            <v>0000</v>
          </cell>
          <cell r="G422" t="str">
            <v>0000</v>
          </cell>
          <cell r="H422" t="str">
            <v>0000</v>
          </cell>
          <cell r="I422" t="str">
            <v>0000</v>
          </cell>
          <cell r="J422" t="str">
            <v>08/03/1998</v>
          </cell>
          <cell r="K422" t="str">
            <v>00/00/0000</v>
          </cell>
        </row>
        <row r="423">
          <cell r="A423" t="str">
            <v>6300</v>
          </cell>
          <cell r="B423" t="str">
            <v>CONTRIB TO ST TEARCHR RET FUND</v>
          </cell>
          <cell r="C423" t="str">
            <v>0810</v>
          </cell>
          <cell r="D423" t="str">
            <v>EDUCATION</v>
          </cell>
          <cell r="E423" t="str">
            <v/>
          </cell>
          <cell r="F423" t="str">
            <v>0000</v>
          </cell>
          <cell r="G423" t="str">
            <v>0000</v>
          </cell>
          <cell r="H423" t="str">
            <v>0000</v>
          </cell>
          <cell r="I423" t="str">
            <v>0000</v>
          </cell>
          <cell r="J423" t="str">
            <v>07/08/2016</v>
          </cell>
          <cell r="K423" t="str">
            <v>00/00/0000</v>
          </cell>
        </row>
        <row r="424">
          <cell r="A424" t="str">
            <v>6320</v>
          </cell>
          <cell r="B424" t="str">
            <v>CA ST COUNCIL ON VOCATNL EDUC</v>
          </cell>
          <cell r="C424" t="str">
            <v>0810</v>
          </cell>
          <cell r="D424" t="str">
            <v>EDUCATION</v>
          </cell>
          <cell r="E424" t="str">
            <v/>
          </cell>
          <cell r="F424" t="str">
            <v>0000</v>
          </cell>
          <cell r="G424" t="str">
            <v>0000</v>
          </cell>
          <cell r="H424" t="str">
            <v>0000</v>
          </cell>
          <cell r="I424" t="str">
            <v>0000</v>
          </cell>
          <cell r="J424" t="str">
            <v>07/11/2006</v>
          </cell>
          <cell r="K424" t="str">
            <v>00/00/1999</v>
          </cell>
        </row>
        <row r="425">
          <cell r="A425" t="str">
            <v>6330</v>
          </cell>
          <cell r="B425" t="str">
            <v>CA CAREER RESOURCE NETWORK</v>
          </cell>
          <cell r="C425" t="str">
            <v>0810</v>
          </cell>
          <cell r="D425" t="str">
            <v>EDUCATION</v>
          </cell>
          <cell r="E425" t="str">
            <v/>
          </cell>
          <cell r="F425" t="str">
            <v>0000</v>
          </cell>
          <cell r="G425" t="str">
            <v>0000</v>
          </cell>
          <cell r="H425" t="str">
            <v>0000</v>
          </cell>
          <cell r="I425" t="str">
            <v>0000</v>
          </cell>
          <cell r="J425" t="str">
            <v>07/11/2006</v>
          </cell>
          <cell r="K425" t="str">
            <v>00/00/0000</v>
          </cell>
        </row>
        <row r="426">
          <cell r="A426" t="str">
            <v>6350</v>
          </cell>
          <cell r="B426" t="str">
            <v>SCHOOL FACILITIES AID PROGRAM</v>
          </cell>
          <cell r="C426" t="str">
            <v>0810</v>
          </cell>
          <cell r="D426" t="str">
            <v>EDUCATION</v>
          </cell>
          <cell r="E426" t="str">
            <v/>
          </cell>
          <cell r="F426" t="str">
            <v>0000</v>
          </cell>
          <cell r="G426" t="str">
            <v>0000</v>
          </cell>
          <cell r="H426" t="str">
            <v>0000</v>
          </cell>
          <cell r="I426" t="str">
            <v>0000</v>
          </cell>
          <cell r="J426" t="str">
            <v>04/04/1984</v>
          </cell>
          <cell r="K426" t="str">
            <v>00/00/0000</v>
          </cell>
        </row>
        <row r="427">
          <cell r="A427" t="str">
            <v>6360</v>
          </cell>
          <cell r="B427" t="str">
            <v>COMM TEACHER CREDENTIALING</v>
          </cell>
          <cell r="C427" t="str">
            <v>0810</v>
          </cell>
          <cell r="D427" t="str">
            <v>EDUCATION</v>
          </cell>
          <cell r="E427" t="str">
            <v/>
          </cell>
          <cell r="F427" t="str">
            <v>0000</v>
          </cell>
          <cell r="G427" t="str">
            <v>0000</v>
          </cell>
          <cell r="H427" t="str">
            <v>0000</v>
          </cell>
          <cell r="I427" t="str">
            <v>0000</v>
          </cell>
          <cell r="J427" t="str">
            <v>07/11/2006</v>
          </cell>
          <cell r="K427" t="str">
            <v>00/00/1999</v>
          </cell>
        </row>
        <row r="428">
          <cell r="A428" t="str">
            <v>6380</v>
          </cell>
          <cell r="B428" t="str">
            <v>DEBT SERV ON PUB SCHL BLDG</v>
          </cell>
          <cell r="C428" t="str">
            <v>0810</v>
          </cell>
          <cell r="D428" t="str">
            <v>EDUCATION</v>
          </cell>
          <cell r="E428" t="str">
            <v/>
          </cell>
          <cell r="F428" t="str">
            <v>0000</v>
          </cell>
          <cell r="G428" t="str">
            <v>0000</v>
          </cell>
          <cell r="H428" t="str">
            <v>0000</v>
          </cell>
          <cell r="I428" t="str">
            <v>0000</v>
          </cell>
          <cell r="J428" t="str">
            <v>07/11/2006</v>
          </cell>
          <cell r="K428" t="str">
            <v>00/00/0000</v>
          </cell>
        </row>
        <row r="429">
          <cell r="A429" t="str">
            <v>6420</v>
          </cell>
          <cell r="B429" t="str">
            <v>CA POSTSECONDARY EDUC COMM</v>
          </cell>
          <cell r="C429" t="str">
            <v>0810</v>
          </cell>
          <cell r="D429" t="str">
            <v>EDUCATION</v>
          </cell>
          <cell r="E429" t="str">
            <v/>
          </cell>
          <cell r="F429" t="str">
            <v>0000</v>
          </cell>
          <cell r="G429" t="str">
            <v>0000</v>
          </cell>
          <cell r="H429" t="str">
            <v>0000</v>
          </cell>
          <cell r="I429" t="str">
            <v>0000</v>
          </cell>
          <cell r="J429" t="str">
            <v>07/11/2006</v>
          </cell>
          <cell r="K429" t="str">
            <v>00/00/0000</v>
          </cell>
        </row>
        <row r="430">
          <cell r="A430" t="str">
            <v>6425</v>
          </cell>
          <cell r="B430" t="str">
            <v>COMM REVIEW MASTR PLAN-HIGH ED</v>
          </cell>
          <cell r="C430" t="str">
            <v>0810</v>
          </cell>
          <cell r="D430" t="str">
            <v>EDUCATION</v>
          </cell>
          <cell r="E430" t="str">
            <v/>
          </cell>
          <cell r="F430" t="str">
            <v>0000</v>
          </cell>
          <cell r="G430" t="str">
            <v>0000</v>
          </cell>
          <cell r="H430" t="str">
            <v>0000</v>
          </cell>
          <cell r="I430" t="str">
            <v>0000</v>
          </cell>
          <cell r="J430" t="str">
            <v>07/11/2006</v>
          </cell>
          <cell r="K430" t="str">
            <v>00/00/0000</v>
          </cell>
        </row>
        <row r="431">
          <cell r="A431" t="str">
            <v>6440</v>
          </cell>
          <cell r="B431" t="str">
            <v>UNIVERSITY OF CALIFORNIA</v>
          </cell>
          <cell r="C431" t="str">
            <v>0810</v>
          </cell>
          <cell r="D431" t="str">
            <v>EDUCATION</v>
          </cell>
          <cell r="E431" t="str">
            <v/>
          </cell>
          <cell r="F431" t="str">
            <v>0000</v>
          </cell>
          <cell r="G431" t="str">
            <v>0000</v>
          </cell>
          <cell r="H431" t="str">
            <v>0000</v>
          </cell>
          <cell r="I431" t="str">
            <v>0000</v>
          </cell>
          <cell r="J431" t="str">
            <v>04/04/1984</v>
          </cell>
          <cell r="K431" t="str">
            <v>00/00/0000</v>
          </cell>
        </row>
        <row r="432">
          <cell r="A432" t="str">
            <v>6445</v>
          </cell>
          <cell r="B432" t="str">
            <v>CA INSTITUTE REGENERATIVE MED</v>
          </cell>
          <cell r="C432" t="str">
            <v>0810</v>
          </cell>
          <cell r="D432" t="str">
            <v>EDUCATION</v>
          </cell>
          <cell r="E432" t="str">
            <v/>
          </cell>
          <cell r="F432" t="str">
            <v>0000</v>
          </cell>
          <cell r="G432" t="str">
            <v>0000</v>
          </cell>
          <cell r="H432" t="str">
            <v>0000</v>
          </cell>
          <cell r="I432" t="str">
            <v>0000</v>
          </cell>
          <cell r="J432" t="str">
            <v>10/28/2005</v>
          </cell>
          <cell r="K432" t="str">
            <v>00/00/0000</v>
          </cell>
        </row>
        <row r="433">
          <cell r="A433" t="str">
            <v>6600</v>
          </cell>
          <cell r="B433" t="str">
            <v>HASTINGS COLLEGE OF LAW</v>
          </cell>
          <cell r="C433" t="str">
            <v>0810</v>
          </cell>
          <cell r="D433" t="str">
            <v>EDUCATION</v>
          </cell>
          <cell r="E433" t="str">
            <v/>
          </cell>
          <cell r="F433" t="str">
            <v>0000</v>
          </cell>
          <cell r="G433" t="str">
            <v>0000</v>
          </cell>
          <cell r="H433" t="str">
            <v>0000</v>
          </cell>
          <cell r="I433" t="str">
            <v>0000</v>
          </cell>
          <cell r="J433" t="str">
            <v>06/26/1985</v>
          </cell>
          <cell r="K433" t="str">
            <v>00/00/0000</v>
          </cell>
        </row>
        <row r="434">
          <cell r="A434" t="str">
            <v>6610</v>
          </cell>
          <cell r="B434" t="str">
            <v>TOTAL CALIF STATE UNIVERSITIES</v>
          </cell>
          <cell r="C434" t="str">
            <v>0810</v>
          </cell>
          <cell r="D434" t="str">
            <v>EDUCATION</v>
          </cell>
          <cell r="E434" t="str">
            <v/>
          </cell>
          <cell r="F434" t="str">
            <v>0000</v>
          </cell>
          <cell r="G434" t="str">
            <v>0000</v>
          </cell>
          <cell r="H434" t="str">
            <v>0000</v>
          </cell>
          <cell r="I434" t="str">
            <v>0000</v>
          </cell>
          <cell r="J434" t="str">
            <v>07/11/2006</v>
          </cell>
          <cell r="K434" t="str">
            <v>00/00/0000</v>
          </cell>
        </row>
        <row r="435">
          <cell r="A435" t="str">
            <v>6620</v>
          </cell>
          <cell r="B435" t="str">
            <v>CSU STATE WIDE PROGRAMS</v>
          </cell>
          <cell r="C435" t="str">
            <v>0810</v>
          </cell>
          <cell r="D435" t="str">
            <v>EDUCATION</v>
          </cell>
          <cell r="E435" t="str">
            <v/>
          </cell>
          <cell r="F435" t="str">
            <v>0000</v>
          </cell>
          <cell r="G435" t="str">
            <v>0000</v>
          </cell>
          <cell r="H435" t="str">
            <v>0000</v>
          </cell>
          <cell r="I435" t="str">
            <v>0000</v>
          </cell>
          <cell r="J435" t="str">
            <v>07/08/2016</v>
          </cell>
          <cell r="K435" t="str">
            <v>00/00/0000</v>
          </cell>
        </row>
        <row r="436">
          <cell r="A436" t="str">
            <v>6630</v>
          </cell>
          <cell r="B436" t="str">
            <v>CSU SYSTEM WIDE PROGRAMS</v>
          </cell>
          <cell r="C436" t="str">
            <v>0810</v>
          </cell>
          <cell r="D436" t="str">
            <v>EDUCATION</v>
          </cell>
          <cell r="E436" t="str">
            <v/>
          </cell>
          <cell r="F436" t="str">
            <v>0000</v>
          </cell>
          <cell r="G436" t="str">
            <v>0000</v>
          </cell>
          <cell r="H436" t="str">
            <v>0000</v>
          </cell>
          <cell r="I436" t="str">
            <v>0000</v>
          </cell>
          <cell r="J436" t="str">
            <v>07/08/2016</v>
          </cell>
          <cell r="K436" t="str">
            <v>00/00/0000</v>
          </cell>
        </row>
        <row r="437">
          <cell r="A437" t="str">
            <v>6640</v>
          </cell>
          <cell r="B437" t="str">
            <v>CSU CAMPUSES</v>
          </cell>
          <cell r="C437" t="str">
            <v>0810</v>
          </cell>
          <cell r="D437" t="str">
            <v>EDUCATION</v>
          </cell>
          <cell r="E437" t="str">
            <v/>
          </cell>
          <cell r="F437" t="str">
            <v>0000</v>
          </cell>
          <cell r="G437" t="str">
            <v>0000</v>
          </cell>
          <cell r="H437" t="str">
            <v>0000</v>
          </cell>
          <cell r="I437" t="str">
            <v>0000</v>
          </cell>
          <cell r="J437" t="str">
            <v>07/08/2016</v>
          </cell>
          <cell r="K437" t="str">
            <v>00/00/0000</v>
          </cell>
        </row>
        <row r="438">
          <cell r="A438" t="str">
            <v>6645</v>
          </cell>
          <cell r="B438" t="str">
            <v>CSU HLTH BENEFITS RETIRED ANNU</v>
          </cell>
          <cell r="C438" t="str">
            <v>0810</v>
          </cell>
          <cell r="D438" t="str">
            <v>EDUCATION</v>
          </cell>
          <cell r="E438" t="str">
            <v/>
          </cell>
          <cell r="F438" t="str">
            <v>0000</v>
          </cell>
          <cell r="G438" t="str">
            <v>0000</v>
          </cell>
          <cell r="H438" t="str">
            <v>0000</v>
          </cell>
          <cell r="I438" t="str">
            <v>0000</v>
          </cell>
          <cell r="J438" t="str">
            <v>08/06/2013</v>
          </cell>
          <cell r="K438" t="str">
            <v>00/00/0000</v>
          </cell>
        </row>
        <row r="439">
          <cell r="A439" t="str">
            <v>6650</v>
          </cell>
          <cell r="B439" t="str">
            <v>CAL ST COLLEGE BAKERSFIELD</v>
          </cell>
          <cell r="C439" t="str">
            <v>0810</v>
          </cell>
          <cell r="D439" t="str">
            <v>EDUCATION</v>
          </cell>
          <cell r="E439" t="str">
            <v/>
          </cell>
          <cell r="F439" t="str">
            <v>0000</v>
          </cell>
          <cell r="G439" t="str">
            <v>0000</v>
          </cell>
          <cell r="H439" t="str">
            <v>0000</v>
          </cell>
          <cell r="I439" t="str">
            <v>0000</v>
          </cell>
          <cell r="J439" t="str">
            <v>07/11/2006</v>
          </cell>
          <cell r="K439" t="str">
            <v>00/00/0000</v>
          </cell>
        </row>
        <row r="440">
          <cell r="A440" t="str">
            <v>6660</v>
          </cell>
          <cell r="B440" t="str">
            <v>CAL ST COLL SAN BERNARDINO</v>
          </cell>
          <cell r="C440" t="str">
            <v>0810</v>
          </cell>
          <cell r="D440" t="str">
            <v>EDUCATION</v>
          </cell>
          <cell r="E440" t="str">
            <v/>
          </cell>
          <cell r="F440" t="str">
            <v>0000</v>
          </cell>
          <cell r="G440" t="str">
            <v>0000</v>
          </cell>
          <cell r="H440" t="str">
            <v>0000</v>
          </cell>
          <cell r="I440" t="str">
            <v>0000</v>
          </cell>
          <cell r="J440" t="str">
            <v>07/11/2006</v>
          </cell>
          <cell r="K440" t="str">
            <v>00/00/0000</v>
          </cell>
        </row>
        <row r="441">
          <cell r="A441" t="str">
            <v>6670</v>
          </cell>
          <cell r="B441" t="str">
            <v>CAL ST COLL STANISLAUS</v>
          </cell>
          <cell r="C441" t="str">
            <v>0810</v>
          </cell>
          <cell r="D441" t="str">
            <v>EDUCATION</v>
          </cell>
          <cell r="E441" t="str">
            <v/>
          </cell>
          <cell r="F441" t="str">
            <v>0000</v>
          </cell>
          <cell r="G441" t="str">
            <v>0000</v>
          </cell>
          <cell r="H441" t="str">
            <v>0000</v>
          </cell>
          <cell r="I441" t="str">
            <v>0000</v>
          </cell>
          <cell r="J441" t="str">
            <v>07/11/2006</v>
          </cell>
          <cell r="K441" t="str">
            <v>00/00/0000</v>
          </cell>
        </row>
        <row r="442">
          <cell r="A442" t="str">
            <v>6680</v>
          </cell>
          <cell r="B442" t="str">
            <v>CAL ST UNIV CHICO</v>
          </cell>
          <cell r="C442" t="str">
            <v>0810</v>
          </cell>
          <cell r="D442" t="str">
            <v>EDUCATION</v>
          </cell>
          <cell r="E442" t="str">
            <v/>
          </cell>
          <cell r="F442" t="str">
            <v>0000</v>
          </cell>
          <cell r="G442" t="str">
            <v>0000</v>
          </cell>
          <cell r="H442" t="str">
            <v>0000</v>
          </cell>
          <cell r="I442" t="str">
            <v>0000</v>
          </cell>
          <cell r="J442" t="str">
            <v>07/11/2006</v>
          </cell>
          <cell r="K442" t="str">
            <v>00/00/0000</v>
          </cell>
        </row>
        <row r="443">
          <cell r="A443" t="str">
            <v>6690</v>
          </cell>
          <cell r="B443" t="str">
            <v>CAL ST UNIV DOMINGUEZ HILLS</v>
          </cell>
          <cell r="C443" t="str">
            <v>0810</v>
          </cell>
          <cell r="D443" t="str">
            <v>EDUCATION</v>
          </cell>
          <cell r="E443" t="str">
            <v/>
          </cell>
          <cell r="F443" t="str">
            <v>0000</v>
          </cell>
          <cell r="G443" t="str">
            <v>0000</v>
          </cell>
          <cell r="H443" t="str">
            <v>0000</v>
          </cell>
          <cell r="I443" t="str">
            <v>0000</v>
          </cell>
          <cell r="J443" t="str">
            <v>07/11/2006</v>
          </cell>
          <cell r="K443" t="str">
            <v>00/00/0000</v>
          </cell>
        </row>
        <row r="444">
          <cell r="A444" t="str">
            <v>6700</v>
          </cell>
          <cell r="B444" t="str">
            <v>CAL ST UNIV FRESNO</v>
          </cell>
          <cell r="C444" t="str">
            <v>0810</v>
          </cell>
          <cell r="D444" t="str">
            <v>EDUCATION</v>
          </cell>
          <cell r="E444" t="str">
            <v/>
          </cell>
          <cell r="F444" t="str">
            <v>0000</v>
          </cell>
          <cell r="G444" t="str">
            <v>0000</v>
          </cell>
          <cell r="H444" t="str">
            <v>0000</v>
          </cell>
          <cell r="I444" t="str">
            <v>0000</v>
          </cell>
          <cell r="J444" t="str">
            <v>07/11/2006</v>
          </cell>
          <cell r="K444" t="str">
            <v>00/00/0000</v>
          </cell>
        </row>
        <row r="445">
          <cell r="A445" t="str">
            <v>6710</v>
          </cell>
          <cell r="B445" t="str">
            <v>CAL ST UNIV FULLERTON</v>
          </cell>
          <cell r="C445" t="str">
            <v>0810</v>
          </cell>
          <cell r="D445" t="str">
            <v>EDUCATION</v>
          </cell>
          <cell r="E445" t="str">
            <v/>
          </cell>
          <cell r="F445" t="str">
            <v>0000</v>
          </cell>
          <cell r="G445" t="str">
            <v>0000</v>
          </cell>
          <cell r="H445" t="str">
            <v>0000</v>
          </cell>
          <cell r="I445" t="str">
            <v>0000</v>
          </cell>
          <cell r="J445" t="str">
            <v>07/11/2006</v>
          </cell>
          <cell r="K445" t="str">
            <v>00/00/0000</v>
          </cell>
        </row>
        <row r="446">
          <cell r="A446" t="str">
            <v>6720</v>
          </cell>
          <cell r="B446" t="str">
            <v>CAL ST UNIV EAST BAY</v>
          </cell>
          <cell r="C446" t="str">
            <v>0810</v>
          </cell>
          <cell r="D446" t="str">
            <v>EDUCATION</v>
          </cell>
          <cell r="E446" t="str">
            <v/>
          </cell>
          <cell r="F446" t="str">
            <v>0000</v>
          </cell>
          <cell r="G446" t="str">
            <v>0000</v>
          </cell>
          <cell r="H446" t="str">
            <v>0000</v>
          </cell>
          <cell r="I446" t="str">
            <v>0000</v>
          </cell>
          <cell r="J446" t="str">
            <v>07/08/2016</v>
          </cell>
          <cell r="K446" t="str">
            <v>00/00/0000</v>
          </cell>
        </row>
        <row r="447">
          <cell r="A447" t="str">
            <v>6730</v>
          </cell>
          <cell r="B447" t="str">
            <v>HUMBOLDT STATE UNIVERSITY</v>
          </cell>
          <cell r="C447" t="str">
            <v>0810</v>
          </cell>
          <cell r="D447" t="str">
            <v>EDUCATION</v>
          </cell>
          <cell r="E447" t="str">
            <v/>
          </cell>
          <cell r="F447" t="str">
            <v>0000</v>
          </cell>
          <cell r="G447" t="str">
            <v>0000</v>
          </cell>
          <cell r="H447" t="str">
            <v>0000</v>
          </cell>
          <cell r="I447" t="str">
            <v>0000</v>
          </cell>
          <cell r="J447" t="str">
            <v>06/26/1985</v>
          </cell>
          <cell r="K447" t="str">
            <v>00/00/0000</v>
          </cell>
        </row>
        <row r="448">
          <cell r="A448" t="str">
            <v>6740</v>
          </cell>
          <cell r="B448" t="str">
            <v>CAL ST UNIV LONG BEACH</v>
          </cell>
          <cell r="C448" t="str">
            <v>0810</v>
          </cell>
          <cell r="D448" t="str">
            <v>EDUCATION</v>
          </cell>
          <cell r="E448" t="str">
            <v/>
          </cell>
          <cell r="F448" t="str">
            <v>0000</v>
          </cell>
          <cell r="G448" t="str">
            <v>0000</v>
          </cell>
          <cell r="H448" t="str">
            <v>0000</v>
          </cell>
          <cell r="I448" t="str">
            <v>0000</v>
          </cell>
          <cell r="J448" t="str">
            <v>07/11/2006</v>
          </cell>
          <cell r="K448" t="str">
            <v>00/00/0000</v>
          </cell>
        </row>
        <row r="449">
          <cell r="A449" t="str">
            <v>6750</v>
          </cell>
          <cell r="B449" t="str">
            <v>CAL ST UNIV LOS ANGELES</v>
          </cell>
          <cell r="C449" t="str">
            <v>0810</v>
          </cell>
          <cell r="D449" t="str">
            <v>EDUCATION</v>
          </cell>
          <cell r="E449" t="str">
            <v/>
          </cell>
          <cell r="F449" t="str">
            <v>0000</v>
          </cell>
          <cell r="G449" t="str">
            <v>0000</v>
          </cell>
          <cell r="H449" t="str">
            <v>0000</v>
          </cell>
          <cell r="I449" t="str">
            <v>0000</v>
          </cell>
          <cell r="J449" t="str">
            <v>07/11/2006</v>
          </cell>
          <cell r="K449" t="str">
            <v>00/00/0000</v>
          </cell>
        </row>
        <row r="450">
          <cell r="A450" t="str">
            <v>6752</v>
          </cell>
          <cell r="B450" t="str">
            <v>CAL ST UNIV MARITIME ACADEMY</v>
          </cell>
          <cell r="C450" t="str">
            <v>0810</v>
          </cell>
          <cell r="D450" t="str">
            <v>EDUCATION</v>
          </cell>
          <cell r="E450" t="str">
            <v/>
          </cell>
          <cell r="F450" t="str">
            <v>0000</v>
          </cell>
          <cell r="G450" t="str">
            <v>0000</v>
          </cell>
          <cell r="H450" t="str">
            <v>0000</v>
          </cell>
          <cell r="I450" t="str">
            <v>0000</v>
          </cell>
          <cell r="J450" t="str">
            <v>07/11/2006</v>
          </cell>
          <cell r="K450" t="str">
            <v>00/00/0000</v>
          </cell>
        </row>
        <row r="451">
          <cell r="A451" t="str">
            <v>6756</v>
          </cell>
          <cell r="B451" t="str">
            <v>CAL ST UNIV MONTEREY BAY</v>
          </cell>
          <cell r="C451" t="str">
            <v>0810</v>
          </cell>
          <cell r="D451" t="str">
            <v>EDUCATION</v>
          </cell>
          <cell r="E451" t="str">
            <v/>
          </cell>
          <cell r="F451" t="str">
            <v>0000</v>
          </cell>
          <cell r="G451" t="str">
            <v>0000</v>
          </cell>
          <cell r="H451" t="str">
            <v>0000</v>
          </cell>
          <cell r="I451" t="str">
            <v>0000</v>
          </cell>
          <cell r="J451" t="str">
            <v>07/11/2006</v>
          </cell>
          <cell r="K451" t="str">
            <v>00/00/0000</v>
          </cell>
        </row>
        <row r="452">
          <cell r="A452" t="str">
            <v>6760</v>
          </cell>
          <cell r="B452" t="str">
            <v>CAL ST UNIV NORTHRIDGE</v>
          </cell>
          <cell r="C452" t="str">
            <v>0810</v>
          </cell>
          <cell r="D452" t="str">
            <v>EDUCATION</v>
          </cell>
          <cell r="E452" t="str">
            <v/>
          </cell>
          <cell r="F452" t="str">
            <v>0000</v>
          </cell>
          <cell r="G452" t="str">
            <v>0000</v>
          </cell>
          <cell r="H452" t="str">
            <v>0000</v>
          </cell>
          <cell r="I452" t="str">
            <v>0000</v>
          </cell>
          <cell r="J452" t="str">
            <v>07/11/2006</v>
          </cell>
          <cell r="K452" t="str">
            <v>00/00/0000</v>
          </cell>
        </row>
        <row r="453">
          <cell r="A453" t="str">
            <v>6770</v>
          </cell>
          <cell r="B453" t="str">
            <v>CAL ST POLY UNIV POMONA</v>
          </cell>
          <cell r="C453" t="str">
            <v>0810</v>
          </cell>
          <cell r="D453" t="str">
            <v>EDUCATION</v>
          </cell>
          <cell r="E453" t="str">
            <v/>
          </cell>
          <cell r="F453" t="str">
            <v>0000</v>
          </cell>
          <cell r="G453" t="str">
            <v>0000</v>
          </cell>
          <cell r="H453" t="str">
            <v>0000</v>
          </cell>
          <cell r="I453" t="str">
            <v>0000</v>
          </cell>
          <cell r="J453" t="str">
            <v>07/11/2006</v>
          </cell>
          <cell r="K453" t="str">
            <v>00/00/0000</v>
          </cell>
        </row>
        <row r="454">
          <cell r="A454" t="str">
            <v>6780</v>
          </cell>
          <cell r="B454" t="str">
            <v>CAL ST UNIV SACRAMENTO</v>
          </cell>
          <cell r="C454" t="str">
            <v>0810</v>
          </cell>
          <cell r="D454" t="str">
            <v>EDUCATION</v>
          </cell>
          <cell r="E454" t="str">
            <v/>
          </cell>
          <cell r="F454" t="str">
            <v>0000</v>
          </cell>
          <cell r="G454" t="str">
            <v>0000</v>
          </cell>
          <cell r="H454" t="str">
            <v>0000</v>
          </cell>
          <cell r="I454" t="str">
            <v>0000</v>
          </cell>
          <cell r="J454" t="str">
            <v>07/11/2006</v>
          </cell>
          <cell r="K454" t="str">
            <v>00/00/0000</v>
          </cell>
        </row>
        <row r="455">
          <cell r="A455" t="str">
            <v>6790</v>
          </cell>
          <cell r="B455" t="str">
            <v>SAN DIEGO STATE UNIVERSITY</v>
          </cell>
          <cell r="C455" t="str">
            <v>0810</v>
          </cell>
          <cell r="D455" t="str">
            <v>EDUCATION</v>
          </cell>
          <cell r="E455" t="str">
            <v/>
          </cell>
          <cell r="F455" t="str">
            <v>0000</v>
          </cell>
          <cell r="G455" t="str">
            <v>0000</v>
          </cell>
          <cell r="H455" t="str">
            <v>0000</v>
          </cell>
          <cell r="I455" t="str">
            <v>0000</v>
          </cell>
          <cell r="J455" t="str">
            <v>06/26/1985</v>
          </cell>
          <cell r="K455" t="str">
            <v>00/00/0000</v>
          </cell>
        </row>
        <row r="456">
          <cell r="A456" t="str">
            <v>6800</v>
          </cell>
          <cell r="B456" t="str">
            <v>SAN FRANCISCO STATE UNIVERSITY</v>
          </cell>
          <cell r="C456" t="str">
            <v>0810</v>
          </cell>
          <cell r="D456" t="str">
            <v>EDUCATION</v>
          </cell>
          <cell r="E456" t="str">
            <v/>
          </cell>
          <cell r="F456" t="str">
            <v>0000</v>
          </cell>
          <cell r="G456" t="str">
            <v>0000</v>
          </cell>
          <cell r="H456" t="str">
            <v>0000</v>
          </cell>
          <cell r="I456" t="str">
            <v>0000</v>
          </cell>
          <cell r="J456" t="str">
            <v>06/26/1985</v>
          </cell>
          <cell r="K456" t="str">
            <v>00/00/0000</v>
          </cell>
        </row>
        <row r="457">
          <cell r="A457" t="str">
            <v>6810</v>
          </cell>
          <cell r="B457" t="str">
            <v>SAN JOSE STATE UNIVERSITY</v>
          </cell>
          <cell r="C457" t="str">
            <v>0810</v>
          </cell>
          <cell r="D457" t="str">
            <v>EDUCATION</v>
          </cell>
          <cell r="E457" t="str">
            <v/>
          </cell>
          <cell r="F457" t="str">
            <v>0000</v>
          </cell>
          <cell r="G457" t="str">
            <v>0000</v>
          </cell>
          <cell r="H457" t="str">
            <v>0000</v>
          </cell>
          <cell r="I457" t="str">
            <v>0000</v>
          </cell>
          <cell r="J457" t="str">
            <v>06/26/1985</v>
          </cell>
          <cell r="K457" t="str">
            <v>00/00/0000</v>
          </cell>
        </row>
        <row r="458">
          <cell r="A458" t="str">
            <v>6820</v>
          </cell>
          <cell r="B458" t="str">
            <v>CAL POLY ST UNIVERSITY SLO</v>
          </cell>
          <cell r="C458" t="str">
            <v>0810</v>
          </cell>
          <cell r="D458" t="str">
            <v>EDUCATION</v>
          </cell>
          <cell r="E458" t="str">
            <v/>
          </cell>
          <cell r="F458" t="str">
            <v>0000</v>
          </cell>
          <cell r="G458" t="str">
            <v>0000</v>
          </cell>
          <cell r="H458" t="str">
            <v>0000</v>
          </cell>
          <cell r="I458" t="str">
            <v>0000</v>
          </cell>
          <cell r="J458" t="str">
            <v>07/11/2006</v>
          </cell>
          <cell r="K458" t="str">
            <v>00/00/0000</v>
          </cell>
        </row>
        <row r="459">
          <cell r="A459" t="str">
            <v>6830</v>
          </cell>
          <cell r="B459" t="str">
            <v>SONOMA STATE UNIVERSITY</v>
          </cell>
          <cell r="C459" t="str">
            <v>0810</v>
          </cell>
          <cell r="D459" t="str">
            <v>EDUCATION</v>
          </cell>
          <cell r="E459" t="str">
            <v/>
          </cell>
          <cell r="F459" t="str">
            <v>0000</v>
          </cell>
          <cell r="G459" t="str">
            <v>0000</v>
          </cell>
          <cell r="H459" t="str">
            <v>0000</v>
          </cell>
          <cell r="I459" t="str">
            <v>0000</v>
          </cell>
          <cell r="J459" t="str">
            <v>06/26/1985</v>
          </cell>
          <cell r="K459" t="str">
            <v>00/00/0000</v>
          </cell>
        </row>
        <row r="460">
          <cell r="A460" t="str">
            <v>6840</v>
          </cell>
          <cell r="B460" t="str">
            <v>CA STATE UNIV., SAN MARCOS</v>
          </cell>
          <cell r="C460" t="str">
            <v>0810</v>
          </cell>
          <cell r="D460" t="str">
            <v>EDUCATION</v>
          </cell>
          <cell r="E460" t="str">
            <v/>
          </cell>
          <cell r="F460" t="str">
            <v>0000</v>
          </cell>
          <cell r="G460" t="str">
            <v>0000</v>
          </cell>
          <cell r="H460" t="str">
            <v>0000</v>
          </cell>
          <cell r="I460" t="str">
            <v>0000</v>
          </cell>
          <cell r="J460" t="str">
            <v>07/11/2006</v>
          </cell>
          <cell r="K460" t="str">
            <v>00/00/0000</v>
          </cell>
        </row>
        <row r="461">
          <cell r="A461" t="str">
            <v>6850</v>
          </cell>
          <cell r="B461" t="str">
            <v>CAL ST UNIV CHANNEL ISLANDS</v>
          </cell>
          <cell r="C461" t="str">
            <v>0810</v>
          </cell>
          <cell r="D461" t="str">
            <v>EDUCATION</v>
          </cell>
          <cell r="E461" t="str">
            <v/>
          </cell>
          <cell r="F461" t="str">
            <v>0000</v>
          </cell>
          <cell r="G461" t="str">
            <v>0000</v>
          </cell>
          <cell r="H461" t="str">
            <v>0000</v>
          </cell>
          <cell r="I461" t="str">
            <v>0000</v>
          </cell>
          <cell r="J461" t="str">
            <v>07/08/2016</v>
          </cell>
          <cell r="K461" t="str">
            <v>00/00/0000</v>
          </cell>
        </row>
        <row r="462">
          <cell r="A462" t="str">
            <v>6860</v>
          </cell>
          <cell r="B462" t="str">
            <v>CALIFORNIA MARITIME ACADEMY</v>
          </cell>
          <cell r="C462" t="str">
            <v>0810</v>
          </cell>
          <cell r="D462" t="str">
            <v>EDUCATION</v>
          </cell>
          <cell r="E462" t="str">
            <v/>
          </cell>
          <cell r="F462" t="str">
            <v>0000</v>
          </cell>
          <cell r="G462" t="str">
            <v>0000</v>
          </cell>
          <cell r="H462" t="str">
            <v>0000</v>
          </cell>
          <cell r="I462" t="str">
            <v>0000</v>
          </cell>
          <cell r="J462" t="str">
            <v>04/18/1988</v>
          </cell>
          <cell r="K462" t="str">
            <v>00/00/1999</v>
          </cell>
        </row>
        <row r="463">
          <cell r="A463" t="str">
            <v>6870</v>
          </cell>
          <cell r="B463" t="str">
            <v>BD OF GOVS-COMMUNITY COLLEGES</v>
          </cell>
          <cell r="C463" t="str">
            <v>0810</v>
          </cell>
          <cell r="D463" t="str">
            <v>EDUCATION</v>
          </cell>
          <cell r="E463" t="str">
            <v/>
          </cell>
          <cell r="F463" t="str">
            <v>0000</v>
          </cell>
          <cell r="G463" t="str">
            <v>0000</v>
          </cell>
          <cell r="H463" t="str">
            <v>0000</v>
          </cell>
          <cell r="I463" t="str">
            <v>0000</v>
          </cell>
          <cell r="J463" t="str">
            <v>07/11/2006</v>
          </cell>
          <cell r="K463" t="str">
            <v>00/00/1999</v>
          </cell>
        </row>
        <row r="464">
          <cell r="A464" t="str">
            <v>6880</v>
          </cell>
          <cell r="B464" t="str">
            <v>COUNC.FOR PR.POSTSECOND.&amp;VO.ED</v>
          </cell>
          <cell r="C464" t="str">
            <v>0810</v>
          </cell>
          <cell r="D464" t="str">
            <v>EDUCATION</v>
          </cell>
          <cell r="E464" t="str">
            <v/>
          </cell>
          <cell r="F464" t="str">
            <v>0000</v>
          </cell>
          <cell r="G464" t="str">
            <v>0000</v>
          </cell>
          <cell r="H464" t="str">
            <v>0000</v>
          </cell>
          <cell r="I464" t="str">
            <v>0000</v>
          </cell>
          <cell r="J464" t="str">
            <v>07/11/2006</v>
          </cell>
          <cell r="K464" t="str">
            <v>00/00/0000</v>
          </cell>
        </row>
        <row r="465">
          <cell r="A465" t="str">
            <v>6910</v>
          </cell>
          <cell r="B465" t="str">
            <v>AWARDS FOR INNOVATION HIGHR ED</v>
          </cell>
          <cell r="C465" t="str">
            <v>0810</v>
          </cell>
          <cell r="D465" t="str">
            <v>EDUCATION</v>
          </cell>
          <cell r="E465" t="str">
            <v/>
          </cell>
          <cell r="F465" t="str">
            <v>0000</v>
          </cell>
          <cell r="G465" t="str">
            <v>0000</v>
          </cell>
          <cell r="H465" t="str">
            <v>0000</v>
          </cell>
          <cell r="I465" t="str">
            <v>0000</v>
          </cell>
          <cell r="J465" t="str">
            <v>07/08/2016</v>
          </cell>
          <cell r="K465" t="str">
            <v>00/00/0000</v>
          </cell>
        </row>
        <row r="466">
          <cell r="A466" t="str">
            <v>6980</v>
          </cell>
          <cell r="B466" t="str">
            <v>CA STUDENT AID COMMISSION</v>
          </cell>
          <cell r="C466" t="str">
            <v>0810</v>
          </cell>
          <cell r="D466" t="str">
            <v>EDUCATION</v>
          </cell>
          <cell r="E466" t="str">
            <v/>
          </cell>
          <cell r="F466" t="str">
            <v>0000</v>
          </cell>
          <cell r="G466" t="str">
            <v>0000</v>
          </cell>
          <cell r="H466" t="str">
            <v>0000</v>
          </cell>
          <cell r="I466" t="str">
            <v>0000</v>
          </cell>
          <cell r="J466" t="str">
            <v>07/08/2016</v>
          </cell>
          <cell r="K466" t="str">
            <v>00/00/0000</v>
          </cell>
        </row>
        <row r="467">
          <cell r="A467" t="str">
            <v>7000</v>
          </cell>
          <cell r="B467" t="str">
            <v>LABOR AND WORKFORCE DEVELOPM</v>
          </cell>
          <cell r="C467" t="str">
            <v>0815</v>
          </cell>
          <cell r="D467" t="str">
            <v>HEALTH AND HUMAN SERVICES</v>
          </cell>
          <cell r="E467" t="str">
            <v/>
          </cell>
          <cell r="F467" t="str">
            <v>0000</v>
          </cell>
          <cell r="G467" t="str">
            <v>0000</v>
          </cell>
          <cell r="H467" t="str">
            <v>0000</v>
          </cell>
          <cell r="I467" t="str">
            <v>0000</v>
          </cell>
          <cell r="J467" t="str">
            <v>10/28/2016</v>
          </cell>
          <cell r="K467" t="str">
            <v>00/00/0000</v>
          </cell>
        </row>
        <row r="468">
          <cell r="A468" t="str">
            <v>7020</v>
          </cell>
          <cell r="B468" t="str">
            <v>LABOR &amp; WORKFORCE DVLPMNT, SEC</v>
          </cell>
          <cell r="C468" t="str">
            <v>0815</v>
          </cell>
          <cell r="D468" t="str">
            <v>HEALTH AND HUMAN SERVICES</v>
          </cell>
          <cell r="E468" t="str">
            <v/>
          </cell>
          <cell r="F468" t="str">
            <v>0000</v>
          </cell>
          <cell r="G468" t="str">
            <v>0000</v>
          </cell>
          <cell r="H468" t="str">
            <v>0000</v>
          </cell>
          <cell r="I468" t="str">
            <v>0000</v>
          </cell>
          <cell r="J468" t="str">
            <v>10/28/2016</v>
          </cell>
          <cell r="K468" t="str">
            <v>00/00/0000</v>
          </cell>
        </row>
        <row r="469">
          <cell r="A469" t="str">
            <v>7100</v>
          </cell>
          <cell r="B469" t="str">
            <v>EMPLOYMENT-DEVELOPMENT-DEPT</v>
          </cell>
          <cell r="C469" t="str">
            <v>0815</v>
          </cell>
          <cell r="D469" t="str">
            <v>HEALTH AND HUMAN SERVICES</v>
          </cell>
          <cell r="E469" t="str">
            <v/>
          </cell>
          <cell r="F469" t="str">
            <v>0000</v>
          </cell>
          <cell r="G469" t="str">
            <v>0000</v>
          </cell>
          <cell r="H469" t="str">
            <v>0000</v>
          </cell>
          <cell r="I469" t="str">
            <v>0000</v>
          </cell>
          <cell r="J469" t="str">
            <v>10/28/2016</v>
          </cell>
          <cell r="K469" t="str">
            <v>00/00/0000</v>
          </cell>
        </row>
        <row r="470">
          <cell r="A470" t="str">
            <v>7120</v>
          </cell>
          <cell r="B470" t="str">
            <v>CA WORKFORCE INVESTMENT BOARD</v>
          </cell>
          <cell r="C470" t="str">
            <v>0815</v>
          </cell>
          <cell r="D470" t="str">
            <v>HEALTH AND HUMAN SERVICES</v>
          </cell>
          <cell r="E470" t="str">
            <v/>
          </cell>
          <cell r="F470" t="str">
            <v>0000</v>
          </cell>
          <cell r="G470" t="str">
            <v>0000</v>
          </cell>
          <cell r="H470" t="str">
            <v>0000</v>
          </cell>
          <cell r="I470" t="str">
            <v>0000</v>
          </cell>
          <cell r="J470" t="str">
            <v>10/28/2016</v>
          </cell>
          <cell r="K470" t="str">
            <v>00/00/0000</v>
          </cell>
        </row>
        <row r="471">
          <cell r="A471" t="str">
            <v>7300</v>
          </cell>
          <cell r="B471" t="str">
            <v>AGRICULTURL-LABOR-RELATION-BD</v>
          </cell>
          <cell r="C471" t="str">
            <v>0815</v>
          </cell>
          <cell r="D471" t="str">
            <v>HEALTH AND HUMAN SERVICES</v>
          </cell>
          <cell r="E471" t="str">
            <v/>
          </cell>
          <cell r="F471" t="str">
            <v>0000</v>
          </cell>
          <cell r="G471" t="str">
            <v>0000</v>
          </cell>
          <cell r="H471" t="str">
            <v>0000</v>
          </cell>
          <cell r="I471" t="str">
            <v>0000</v>
          </cell>
          <cell r="J471" t="str">
            <v>10/28/2016</v>
          </cell>
          <cell r="K471" t="str">
            <v>00/00/0000</v>
          </cell>
        </row>
        <row r="472">
          <cell r="A472" t="str">
            <v>7320</v>
          </cell>
          <cell r="B472" t="str">
            <v>PUB EMPLOYMENT RELATIONS</v>
          </cell>
          <cell r="C472" t="str">
            <v>0815</v>
          </cell>
          <cell r="D472" t="str">
            <v>HEALTH AND HUMAN SERVICES</v>
          </cell>
          <cell r="E472" t="str">
            <v/>
          </cell>
          <cell r="F472" t="str">
            <v>0000</v>
          </cell>
          <cell r="G472" t="str">
            <v>0000</v>
          </cell>
          <cell r="H472" t="str">
            <v>0000</v>
          </cell>
          <cell r="I472" t="str">
            <v>0000</v>
          </cell>
          <cell r="J472" t="str">
            <v>10/28/2016</v>
          </cell>
          <cell r="K472" t="str">
            <v>00/00/0000</v>
          </cell>
        </row>
        <row r="473">
          <cell r="A473" t="str">
            <v>7350</v>
          </cell>
          <cell r="B473" t="str">
            <v>DEPT-OF-INDUSTRIAL-RELATIONS</v>
          </cell>
          <cell r="C473" t="str">
            <v>0815</v>
          </cell>
          <cell r="D473" t="str">
            <v>HEALTH AND HUMAN SERVICES</v>
          </cell>
          <cell r="E473" t="str">
            <v/>
          </cell>
          <cell r="F473" t="str">
            <v>0000</v>
          </cell>
          <cell r="G473" t="str">
            <v>0000</v>
          </cell>
          <cell r="H473" t="str">
            <v>0000</v>
          </cell>
          <cell r="I473" t="str">
            <v>0000</v>
          </cell>
          <cell r="J473" t="str">
            <v>10/28/2016</v>
          </cell>
          <cell r="K473" t="str">
            <v>00/00/0000</v>
          </cell>
        </row>
        <row r="474">
          <cell r="A474" t="str">
            <v>7501</v>
          </cell>
          <cell r="B474" t="str">
            <v>DEPT OF HUMAN RESOURCES</v>
          </cell>
          <cell r="C474" t="str">
            <v>0808</v>
          </cell>
          <cell r="D474" t="str">
            <v>GENERAL GOVERNMENT</v>
          </cell>
          <cell r="E474" t="str">
            <v/>
          </cell>
          <cell r="F474" t="str">
            <v>0000</v>
          </cell>
          <cell r="G474" t="str">
            <v>0000</v>
          </cell>
          <cell r="H474" t="str">
            <v>0000</v>
          </cell>
          <cell r="I474" t="str">
            <v>0000</v>
          </cell>
          <cell r="J474" t="str">
            <v>08/26/2014</v>
          </cell>
          <cell r="K474" t="str">
            <v>00/00/0000</v>
          </cell>
        </row>
        <row r="475">
          <cell r="A475" t="str">
            <v>7502</v>
          </cell>
          <cell r="B475" t="str">
            <v>DEPARTMENT OF TECHNOLOGY</v>
          </cell>
          <cell r="C475" t="str">
            <v>0808</v>
          </cell>
          <cell r="D475" t="str">
            <v>GENERAL GOVERNMENT</v>
          </cell>
          <cell r="E475" t="str">
            <v/>
          </cell>
          <cell r="F475" t="str">
            <v>0000</v>
          </cell>
          <cell r="G475" t="str">
            <v>0000</v>
          </cell>
          <cell r="H475" t="str">
            <v>0000</v>
          </cell>
          <cell r="I475" t="str">
            <v>0000</v>
          </cell>
          <cell r="J475" t="str">
            <v>08/26/2014</v>
          </cell>
          <cell r="K475" t="str">
            <v>00/00/0000</v>
          </cell>
        </row>
        <row r="476">
          <cell r="A476" t="str">
            <v>7503</v>
          </cell>
          <cell r="B476" t="str">
            <v>STATE PERSONNEL BOARD</v>
          </cell>
          <cell r="C476" t="str">
            <v>0808</v>
          </cell>
          <cell r="D476" t="str">
            <v>GENERAL GOVERNMENT</v>
          </cell>
          <cell r="E476" t="str">
            <v/>
          </cell>
          <cell r="F476" t="str">
            <v>0000</v>
          </cell>
          <cell r="G476" t="str">
            <v>0000</v>
          </cell>
          <cell r="H476" t="str">
            <v>0000</v>
          </cell>
          <cell r="I476" t="str">
            <v>0000</v>
          </cell>
          <cell r="J476" t="str">
            <v>08/26/2014</v>
          </cell>
          <cell r="K476" t="str">
            <v>00/00/0000</v>
          </cell>
        </row>
        <row r="477">
          <cell r="A477" t="str">
            <v>7600</v>
          </cell>
          <cell r="B477" t="str">
            <v>DEPT OF TAX &amp; FEE ADMINISTRATN</v>
          </cell>
          <cell r="C477" t="str">
            <v>0808</v>
          </cell>
          <cell r="D477" t="str">
            <v>GENERAL GOVERNMENT</v>
          </cell>
          <cell r="E477" t="str">
            <v/>
          </cell>
          <cell r="F477" t="str">
            <v>0000</v>
          </cell>
          <cell r="G477" t="str">
            <v>0000</v>
          </cell>
          <cell r="H477" t="str">
            <v>0000</v>
          </cell>
          <cell r="I477" t="str">
            <v>0000</v>
          </cell>
          <cell r="J477" t="str">
            <v>08/06/2018</v>
          </cell>
          <cell r="K477" t="str">
            <v>00/00/0000</v>
          </cell>
        </row>
        <row r="478">
          <cell r="A478" t="str">
            <v>7730</v>
          </cell>
          <cell r="B478" t="str">
            <v>FRANCHISE TAX BOARD</v>
          </cell>
          <cell r="C478" t="str">
            <v>0808</v>
          </cell>
          <cell r="D478" t="str">
            <v>GENERAL GOVERNMENT</v>
          </cell>
          <cell r="E478" t="str">
            <v/>
          </cell>
          <cell r="F478" t="str">
            <v>0000</v>
          </cell>
          <cell r="G478" t="str">
            <v>0000</v>
          </cell>
          <cell r="H478" t="str">
            <v>0000</v>
          </cell>
          <cell r="I478" t="str">
            <v>0000</v>
          </cell>
          <cell r="J478" t="str">
            <v>08/26/2014</v>
          </cell>
          <cell r="K478" t="str">
            <v>00/00/0000</v>
          </cell>
        </row>
        <row r="479">
          <cell r="A479" t="str">
            <v>7760</v>
          </cell>
          <cell r="B479" t="str">
            <v>DEPARTMENT OF GENERAL SERVICES</v>
          </cell>
          <cell r="C479" t="str">
            <v>0808</v>
          </cell>
          <cell r="D479" t="str">
            <v>GENERAL GOVERNMENT</v>
          </cell>
          <cell r="E479" t="str">
            <v/>
          </cell>
          <cell r="F479" t="str">
            <v>0000</v>
          </cell>
          <cell r="G479" t="str">
            <v>0000</v>
          </cell>
          <cell r="H479" t="str">
            <v>0000</v>
          </cell>
          <cell r="I479" t="str">
            <v>0000</v>
          </cell>
          <cell r="J479" t="str">
            <v>08/26/2014</v>
          </cell>
          <cell r="K479" t="str">
            <v>00/00/0000</v>
          </cell>
        </row>
        <row r="480">
          <cell r="A480" t="str">
            <v>7870</v>
          </cell>
          <cell r="B480" t="str">
            <v>CA VICTIM COMP/GOVT CLMS BD</v>
          </cell>
          <cell r="C480" t="str">
            <v>0808</v>
          </cell>
          <cell r="D480" t="str">
            <v>GENERAL GOVERNMENT</v>
          </cell>
          <cell r="E480" t="str">
            <v/>
          </cell>
          <cell r="F480" t="str">
            <v>0000</v>
          </cell>
          <cell r="G480" t="str">
            <v>0000</v>
          </cell>
          <cell r="H480" t="str">
            <v>0000</v>
          </cell>
          <cell r="I480" t="str">
            <v>0000</v>
          </cell>
          <cell r="J480" t="str">
            <v>08/26/2014</v>
          </cell>
          <cell r="K480" t="str">
            <v>00/00/0000</v>
          </cell>
        </row>
        <row r="481">
          <cell r="A481" t="str">
            <v>7900</v>
          </cell>
          <cell r="B481" t="str">
            <v>PUBLIC EMPLOYEES RETIREMENT SY</v>
          </cell>
          <cell r="C481" t="str">
            <v>0808</v>
          </cell>
          <cell r="D481" t="str">
            <v>GENERAL GOVERNMENT</v>
          </cell>
          <cell r="E481" t="str">
            <v/>
          </cell>
          <cell r="F481" t="str">
            <v>0000</v>
          </cell>
          <cell r="G481" t="str">
            <v>0000</v>
          </cell>
          <cell r="H481" t="str">
            <v>0000</v>
          </cell>
          <cell r="I481" t="str">
            <v>0000</v>
          </cell>
          <cell r="J481" t="str">
            <v>08/26/2014</v>
          </cell>
          <cell r="K481" t="str">
            <v>00/00/0000</v>
          </cell>
        </row>
        <row r="482">
          <cell r="A482" t="str">
            <v>7910</v>
          </cell>
          <cell r="B482" t="str">
            <v>OFFICE OF ADMINISTRATIVE LAW</v>
          </cell>
          <cell r="C482" t="str">
            <v>0808</v>
          </cell>
          <cell r="D482" t="str">
            <v>GENERAL GOVERNMENT</v>
          </cell>
          <cell r="E482" t="str">
            <v/>
          </cell>
          <cell r="F482" t="str">
            <v>0000</v>
          </cell>
          <cell r="G482" t="str">
            <v>0000</v>
          </cell>
          <cell r="H482" t="str">
            <v>0000</v>
          </cell>
          <cell r="I482" t="str">
            <v>0000</v>
          </cell>
          <cell r="J482" t="str">
            <v>08/26/2014</v>
          </cell>
          <cell r="K482" t="str">
            <v>00/00/0000</v>
          </cell>
        </row>
        <row r="483">
          <cell r="A483" t="str">
            <v>7920</v>
          </cell>
          <cell r="B483" t="str">
            <v>TEACHERS RETIREMENT SYSTEM</v>
          </cell>
          <cell r="C483" t="str">
            <v>0808</v>
          </cell>
          <cell r="D483" t="str">
            <v>GENERAL GOVERNMENT</v>
          </cell>
          <cell r="E483" t="str">
            <v/>
          </cell>
          <cell r="F483" t="str">
            <v>0000</v>
          </cell>
          <cell r="G483" t="str">
            <v>0000</v>
          </cell>
          <cell r="H483" t="str">
            <v>0000</v>
          </cell>
          <cell r="I483" t="str">
            <v>0000</v>
          </cell>
          <cell r="J483" t="str">
            <v>08/26/2014</v>
          </cell>
          <cell r="K483" t="str">
            <v>00/00/0000</v>
          </cell>
        </row>
        <row r="484">
          <cell r="A484" t="str">
            <v>8000</v>
          </cell>
          <cell r="B484" t="str">
            <v>OTHER GOVERNMENTAL UNITS</v>
          </cell>
          <cell r="C484" t="str">
            <v>0808</v>
          </cell>
          <cell r="D484" t="str">
            <v>GENERAL GOVERNMENT</v>
          </cell>
          <cell r="E484" t="str">
            <v/>
          </cell>
          <cell r="F484" t="str">
            <v>0000</v>
          </cell>
          <cell r="G484" t="str">
            <v>0000</v>
          </cell>
          <cell r="H484" t="str">
            <v>0000</v>
          </cell>
          <cell r="I484" t="str">
            <v>0000</v>
          </cell>
          <cell r="J484" t="str">
            <v>99/99/9999</v>
          </cell>
          <cell r="K484" t="str">
            <v>00/00/0000</v>
          </cell>
        </row>
        <row r="485">
          <cell r="A485" t="str">
            <v>8010</v>
          </cell>
          <cell r="B485" t="str">
            <v>CIVIL/CRIMINAL JUSTICE</v>
          </cell>
          <cell r="C485" t="str">
            <v>0808</v>
          </cell>
          <cell r="D485" t="str">
            <v>GENERAL GOVERNMENT</v>
          </cell>
          <cell r="E485" t="str">
            <v/>
          </cell>
          <cell r="F485" t="str">
            <v>0000</v>
          </cell>
          <cell r="G485" t="str">
            <v>0000</v>
          </cell>
          <cell r="H485" t="str">
            <v>0000</v>
          </cell>
          <cell r="I485" t="str">
            <v>0000</v>
          </cell>
          <cell r="J485" t="str">
            <v>99/99/9999</v>
          </cell>
          <cell r="K485" t="str">
            <v>00/00/0000</v>
          </cell>
        </row>
        <row r="486">
          <cell r="A486" t="str">
            <v>8100</v>
          </cell>
          <cell r="B486" t="str">
            <v>OFFICE OF CRIMINAL JUST PLAN</v>
          </cell>
          <cell r="C486" t="str">
            <v>0808</v>
          </cell>
          <cell r="D486" t="str">
            <v>GENERAL GOVERNMENT</v>
          </cell>
          <cell r="E486" t="str">
            <v/>
          </cell>
          <cell r="F486" t="str">
            <v>0000</v>
          </cell>
          <cell r="G486" t="str">
            <v>0000</v>
          </cell>
          <cell r="H486" t="str">
            <v>0000</v>
          </cell>
          <cell r="I486" t="str">
            <v>0000</v>
          </cell>
          <cell r="J486" t="str">
            <v>07/11/2006</v>
          </cell>
          <cell r="K486" t="str">
            <v>00/00/1999</v>
          </cell>
        </row>
        <row r="487">
          <cell r="A487" t="str">
            <v>8103</v>
          </cell>
          <cell r="B487" t="str">
            <v>BD OF VICTIM'S ASSISTANCE</v>
          </cell>
          <cell r="C487" t="str">
            <v>0808</v>
          </cell>
          <cell r="D487" t="str">
            <v>GENERAL GOVERNMENT</v>
          </cell>
          <cell r="E487" t="str">
            <v/>
          </cell>
          <cell r="F487" t="str">
            <v>0000</v>
          </cell>
          <cell r="G487" t="str">
            <v>0000</v>
          </cell>
          <cell r="H487" t="str">
            <v>0000</v>
          </cell>
          <cell r="I487" t="str">
            <v>0000</v>
          </cell>
          <cell r="J487" t="str">
            <v>10/24/1995</v>
          </cell>
          <cell r="K487" t="str">
            <v>00/00/0000</v>
          </cell>
        </row>
        <row r="488">
          <cell r="A488" t="str">
            <v>8105</v>
          </cell>
          <cell r="B488" t="str">
            <v>COMM FOR REVISION OF JUVENILE</v>
          </cell>
          <cell r="C488" t="str">
            <v>0808</v>
          </cell>
          <cell r="D488" t="str">
            <v>GENERAL GOVERNMENT</v>
          </cell>
          <cell r="E488" t="str">
            <v/>
          </cell>
          <cell r="F488" t="str">
            <v>0000</v>
          </cell>
          <cell r="G488" t="str">
            <v>0000</v>
          </cell>
          <cell r="H488" t="str">
            <v>0000</v>
          </cell>
          <cell r="I488" t="str">
            <v>0000</v>
          </cell>
          <cell r="J488" t="str">
            <v>09/14/2006</v>
          </cell>
          <cell r="K488" t="str">
            <v>00/00/0000</v>
          </cell>
        </row>
        <row r="489">
          <cell r="A489" t="str">
            <v>8120</v>
          </cell>
          <cell r="B489" t="str">
            <v>COMM ON PEACE OFF STD &amp; TRNG</v>
          </cell>
          <cell r="C489" t="str">
            <v>0808</v>
          </cell>
          <cell r="D489" t="str">
            <v>GENERAL GOVERNMENT</v>
          </cell>
          <cell r="E489" t="str">
            <v/>
          </cell>
          <cell r="F489" t="str">
            <v>0000</v>
          </cell>
          <cell r="G489" t="str">
            <v>0000</v>
          </cell>
          <cell r="H489" t="str">
            <v>0000</v>
          </cell>
          <cell r="I489" t="str">
            <v>0000</v>
          </cell>
          <cell r="J489" t="str">
            <v>07/11/2006</v>
          </cell>
          <cell r="K489" t="str">
            <v>00/00/1999</v>
          </cell>
        </row>
        <row r="490">
          <cell r="A490" t="str">
            <v>8140</v>
          </cell>
          <cell r="B490" t="str">
            <v>OFFICE OF STATE PUBLIC DEF</v>
          </cell>
          <cell r="C490" t="str">
            <v>0808</v>
          </cell>
          <cell r="D490" t="str">
            <v>GENERAL GOVERNMENT</v>
          </cell>
          <cell r="E490" t="str">
            <v/>
          </cell>
          <cell r="F490" t="str">
            <v>0000</v>
          </cell>
          <cell r="G490" t="str">
            <v>0000</v>
          </cell>
          <cell r="H490" t="str">
            <v>0000</v>
          </cell>
          <cell r="I490" t="str">
            <v>0000</v>
          </cell>
          <cell r="J490" t="str">
            <v>04/18/1988</v>
          </cell>
          <cell r="K490" t="str">
            <v>00/00/1999</v>
          </cell>
        </row>
        <row r="491">
          <cell r="A491" t="str">
            <v>8160</v>
          </cell>
          <cell r="B491" t="str">
            <v>ASST TO CO FOR DEF OF INDIGENT</v>
          </cell>
          <cell r="C491" t="str">
            <v>0808</v>
          </cell>
          <cell r="D491" t="str">
            <v>GENERAL GOVERNMENT</v>
          </cell>
          <cell r="E491" t="str">
            <v/>
          </cell>
          <cell r="F491" t="str">
            <v>0000</v>
          </cell>
          <cell r="G491" t="str">
            <v>0000</v>
          </cell>
          <cell r="H491" t="str">
            <v>0000</v>
          </cell>
          <cell r="I491" t="str">
            <v>0000</v>
          </cell>
          <cell r="J491" t="str">
            <v>07/11/2006</v>
          </cell>
          <cell r="K491" t="str">
            <v>00/00/0000</v>
          </cell>
        </row>
        <row r="492">
          <cell r="A492" t="str">
            <v>8170</v>
          </cell>
          <cell r="B492" t="str">
            <v>SUBV FOR GRDSHP/CONSHP PROCEED</v>
          </cell>
          <cell r="C492" t="str">
            <v>0808</v>
          </cell>
          <cell r="D492" t="str">
            <v>GENERAL GOVERNMENT</v>
          </cell>
          <cell r="E492" t="str">
            <v/>
          </cell>
          <cell r="F492" t="str">
            <v>0000</v>
          </cell>
          <cell r="G492" t="str">
            <v>0000</v>
          </cell>
          <cell r="H492" t="str">
            <v>0000</v>
          </cell>
          <cell r="I492" t="str">
            <v>0000</v>
          </cell>
          <cell r="J492" t="str">
            <v>07/11/2006</v>
          </cell>
          <cell r="K492" t="str">
            <v>00/00/0000</v>
          </cell>
        </row>
        <row r="493">
          <cell r="A493" t="str">
            <v>8180</v>
          </cell>
          <cell r="B493" t="str">
            <v>PAY TO CO FOR COSTS OF HOM TRI</v>
          </cell>
          <cell r="C493" t="str">
            <v>0808</v>
          </cell>
          <cell r="D493" t="str">
            <v>GENERAL GOVERNMENT</v>
          </cell>
          <cell r="E493" t="str">
            <v/>
          </cell>
          <cell r="F493" t="str">
            <v>0000</v>
          </cell>
          <cell r="G493" t="str">
            <v>0000</v>
          </cell>
          <cell r="H493" t="str">
            <v>0000</v>
          </cell>
          <cell r="I493" t="str">
            <v>0000</v>
          </cell>
          <cell r="J493" t="str">
            <v>07/11/2006</v>
          </cell>
          <cell r="K493" t="str">
            <v>00/00/0000</v>
          </cell>
        </row>
        <row r="494">
          <cell r="A494" t="str">
            <v>8190</v>
          </cell>
          <cell r="B494" t="str">
            <v>ADMIN AND PAY OF TORT LIAB CLM</v>
          </cell>
          <cell r="C494" t="str">
            <v>0808</v>
          </cell>
          <cell r="D494" t="str">
            <v>GENERAL GOVERNMENT</v>
          </cell>
          <cell r="E494" t="str">
            <v/>
          </cell>
          <cell r="F494" t="str">
            <v>0000</v>
          </cell>
          <cell r="G494" t="str">
            <v>0000</v>
          </cell>
          <cell r="H494" t="str">
            <v>0000</v>
          </cell>
          <cell r="I494" t="str">
            <v>0000</v>
          </cell>
          <cell r="J494" t="str">
            <v>99/99/9999</v>
          </cell>
          <cell r="K494" t="str">
            <v>00/00/0000</v>
          </cell>
        </row>
        <row r="495">
          <cell r="A495" t="str">
            <v>8200</v>
          </cell>
          <cell r="B495" t="str">
            <v>CA COMM FOR ECONOMIC DEV</v>
          </cell>
          <cell r="C495" t="str">
            <v>0808</v>
          </cell>
          <cell r="D495" t="str">
            <v>GENERAL GOVERNMENT</v>
          </cell>
          <cell r="E495" t="str">
            <v/>
          </cell>
          <cell r="F495" t="str">
            <v>0000</v>
          </cell>
          <cell r="G495" t="str">
            <v>0000</v>
          </cell>
          <cell r="H495" t="str">
            <v>0000</v>
          </cell>
          <cell r="I495" t="str">
            <v>0000</v>
          </cell>
          <cell r="J495" t="str">
            <v>99/99/9999</v>
          </cell>
          <cell r="K495" t="str">
            <v>00/00/1999</v>
          </cell>
        </row>
        <row r="496">
          <cell r="A496" t="str">
            <v>8225</v>
          </cell>
          <cell r="B496" t="str">
            <v>CAL ENTERTAINMENT COMMISSION</v>
          </cell>
          <cell r="C496" t="str">
            <v>0808</v>
          </cell>
          <cell r="D496" t="str">
            <v>GENERAL GOVERNMENT</v>
          </cell>
          <cell r="E496" t="str">
            <v/>
          </cell>
          <cell r="F496" t="str">
            <v>0000</v>
          </cell>
          <cell r="G496" t="str">
            <v>0000</v>
          </cell>
          <cell r="H496" t="str">
            <v>0000</v>
          </cell>
          <cell r="I496" t="str">
            <v>0000</v>
          </cell>
          <cell r="J496" t="str">
            <v>07/11/2006</v>
          </cell>
          <cell r="K496" t="str">
            <v>00/00/0000</v>
          </cell>
        </row>
        <row r="497">
          <cell r="A497" t="str">
            <v>8255</v>
          </cell>
          <cell r="B497" t="str">
            <v>CAL BICENTENNIAL COMMISSION</v>
          </cell>
          <cell r="C497" t="str">
            <v>0808</v>
          </cell>
          <cell r="D497" t="str">
            <v>GENERAL GOVERNMENT</v>
          </cell>
          <cell r="E497" t="str">
            <v/>
          </cell>
          <cell r="F497" t="str">
            <v>0000</v>
          </cell>
          <cell r="G497" t="str">
            <v>0000</v>
          </cell>
          <cell r="H497" t="str">
            <v>0000</v>
          </cell>
          <cell r="I497" t="str">
            <v>0000</v>
          </cell>
          <cell r="J497" t="str">
            <v>07/11/2006</v>
          </cell>
          <cell r="K497" t="str">
            <v>00/00/1999</v>
          </cell>
        </row>
        <row r="498">
          <cell r="A498" t="str">
            <v>8260</v>
          </cell>
          <cell r="B498" t="str">
            <v>ARTS COUNCIL</v>
          </cell>
          <cell r="C498" t="str">
            <v>0808</v>
          </cell>
          <cell r="D498" t="str">
            <v>GENERAL GOVERNMENT</v>
          </cell>
          <cell r="E498" t="str">
            <v/>
          </cell>
          <cell r="F498" t="str">
            <v>0000</v>
          </cell>
          <cell r="G498" t="str">
            <v>0000</v>
          </cell>
          <cell r="H498" t="str">
            <v>0000</v>
          </cell>
          <cell r="I498" t="str">
            <v>0000</v>
          </cell>
          <cell r="J498" t="str">
            <v>04/18/1988</v>
          </cell>
          <cell r="K498" t="str">
            <v>00/00/1999</v>
          </cell>
        </row>
        <row r="499">
          <cell r="A499" t="str">
            <v>8280</v>
          </cell>
          <cell r="B499" t="str">
            <v>NATIVE AMERICAN HERITAGE COMM</v>
          </cell>
          <cell r="C499" t="str">
            <v>0808</v>
          </cell>
          <cell r="D499" t="str">
            <v>GENERAL GOVERNMENT</v>
          </cell>
          <cell r="E499" t="str">
            <v/>
          </cell>
          <cell r="F499" t="str">
            <v>0000</v>
          </cell>
          <cell r="G499" t="str">
            <v>0000</v>
          </cell>
          <cell r="H499" t="str">
            <v>0000</v>
          </cell>
          <cell r="I499" t="str">
            <v>0000</v>
          </cell>
          <cell r="J499" t="str">
            <v>99/99/9999</v>
          </cell>
          <cell r="K499" t="str">
            <v>00/00/1999</v>
          </cell>
        </row>
        <row r="500">
          <cell r="A500" t="str">
            <v>8290</v>
          </cell>
          <cell r="B500" t="str">
            <v>CALIF PUBLIC BROADCASTING COMM</v>
          </cell>
          <cell r="C500" t="str">
            <v>0808</v>
          </cell>
          <cell r="D500" t="str">
            <v>GENERAL GOVERNMENT</v>
          </cell>
          <cell r="E500" t="str">
            <v/>
          </cell>
          <cell r="F500" t="str">
            <v>0000</v>
          </cell>
          <cell r="G500" t="str">
            <v>0000</v>
          </cell>
          <cell r="H500" t="str">
            <v>0000</v>
          </cell>
          <cell r="I500" t="str">
            <v>0000</v>
          </cell>
          <cell r="J500" t="str">
            <v>07/11/2006</v>
          </cell>
          <cell r="K500" t="str">
            <v>00/00/0000</v>
          </cell>
        </row>
        <row r="501">
          <cell r="A501" t="str">
            <v>8300</v>
          </cell>
          <cell r="B501" t="str">
            <v>AGRICULTURAL LABOR RELATNS BD</v>
          </cell>
          <cell r="C501" t="str">
            <v>0808</v>
          </cell>
          <cell r="D501" t="str">
            <v>GENERAL GOVERNMENT</v>
          </cell>
          <cell r="E501" t="str">
            <v/>
          </cell>
          <cell r="F501" t="str">
            <v>0000</v>
          </cell>
          <cell r="G501" t="str">
            <v>0000</v>
          </cell>
          <cell r="H501" t="str">
            <v>0000</v>
          </cell>
          <cell r="I501" t="str">
            <v>0000</v>
          </cell>
          <cell r="J501" t="str">
            <v>99/99/9999</v>
          </cell>
          <cell r="K501" t="str">
            <v>00/00/1999</v>
          </cell>
        </row>
        <row r="502">
          <cell r="A502" t="str">
            <v>8350</v>
          </cell>
          <cell r="B502" t="str">
            <v>DEPT OF INDUSTRIAL RELATIONS</v>
          </cell>
          <cell r="C502" t="str">
            <v>0808</v>
          </cell>
          <cell r="D502" t="str">
            <v>GENERAL GOVERNMENT</v>
          </cell>
          <cell r="E502" t="str">
            <v/>
          </cell>
          <cell r="F502" t="str">
            <v>0000</v>
          </cell>
          <cell r="G502" t="str">
            <v>0000</v>
          </cell>
          <cell r="H502" t="str">
            <v>0000</v>
          </cell>
          <cell r="I502" t="str">
            <v>0000</v>
          </cell>
          <cell r="J502" t="str">
            <v>99/99/9999</v>
          </cell>
          <cell r="K502" t="str">
            <v>00/00/1999</v>
          </cell>
        </row>
        <row r="503">
          <cell r="A503" t="str">
            <v>8360</v>
          </cell>
          <cell r="B503" t="str">
            <v>INDUSTRIAL RELUNPAID WAGE FD</v>
          </cell>
          <cell r="C503" t="str">
            <v>0808</v>
          </cell>
          <cell r="D503" t="str">
            <v>GENERAL GOVERNMENT</v>
          </cell>
          <cell r="E503" t="str">
            <v/>
          </cell>
          <cell r="F503" t="str">
            <v>0000</v>
          </cell>
          <cell r="G503" t="str">
            <v>0000</v>
          </cell>
          <cell r="H503" t="str">
            <v>0000</v>
          </cell>
          <cell r="I503" t="str">
            <v>0000</v>
          </cell>
          <cell r="J503" t="str">
            <v>99/99/9999</v>
          </cell>
          <cell r="K503" t="str">
            <v>00/00/0000</v>
          </cell>
        </row>
        <row r="504">
          <cell r="A504" t="str">
            <v>8370</v>
          </cell>
          <cell r="B504" t="str">
            <v>UNINSURED EMPLOYERS FD</v>
          </cell>
          <cell r="C504" t="str">
            <v>0808</v>
          </cell>
          <cell r="D504" t="str">
            <v>GENERAL GOVERNMENT</v>
          </cell>
          <cell r="E504" t="str">
            <v/>
          </cell>
          <cell r="F504" t="str">
            <v>0000</v>
          </cell>
          <cell r="G504" t="str">
            <v>0000</v>
          </cell>
          <cell r="H504" t="str">
            <v>0000</v>
          </cell>
          <cell r="I504" t="str">
            <v>0000</v>
          </cell>
          <cell r="J504" t="str">
            <v>99/99/9999</v>
          </cell>
          <cell r="K504" t="str">
            <v>00/00/0000</v>
          </cell>
        </row>
        <row r="505">
          <cell r="A505" t="str">
            <v>8385</v>
          </cell>
          <cell r="B505" t="str">
            <v>CA CITIZEN COMPENSATION COMM</v>
          </cell>
          <cell r="C505" t="str">
            <v>0808</v>
          </cell>
          <cell r="D505" t="str">
            <v>GENERAL GOVERNMENT</v>
          </cell>
          <cell r="E505" t="str">
            <v/>
          </cell>
          <cell r="F505" t="str">
            <v>0000</v>
          </cell>
          <cell r="G505" t="str">
            <v>0000</v>
          </cell>
          <cell r="H505" t="str">
            <v>0000</v>
          </cell>
          <cell r="I505" t="str">
            <v>0000</v>
          </cell>
          <cell r="J505" t="str">
            <v>07/11/2006</v>
          </cell>
          <cell r="K505" t="str">
            <v>00/00/0000</v>
          </cell>
        </row>
        <row r="506">
          <cell r="A506" t="str">
            <v>8420</v>
          </cell>
          <cell r="B506" t="str">
            <v>WORKERS COMPENSATION BENEFITS</v>
          </cell>
          <cell r="C506" t="str">
            <v>0808</v>
          </cell>
          <cell r="D506" t="str">
            <v>GENERAL GOVERNMENT</v>
          </cell>
          <cell r="E506" t="str">
            <v/>
          </cell>
          <cell r="F506" t="str">
            <v>0000</v>
          </cell>
          <cell r="G506" t="str">
            <v>0000</v>
          </cell>
          <cell r="H506" t="str">
            <v>0000</v>
          </cell>
          <cell r="I506" t="str">
            <v>0000</v>
          </cell>
          <cell r="J506" t="str">
            <v>99/99/9999</v>
          </cell>
          <cell r="K506" t="str">
            <v>00/00/0000</v>
          </cell>
        </row>
        <row r="507">
          <cell r="A507" t="str">
            <v>8430</v>
          </cell>
          <cell r="B507" t="str">
            <v>COMPENSATION INSURANCE FUND</v>
          </cell>
          <cell r="C507" t="str">
            <v>0808</v>
          </cell>
          <cell r="D507" t="str">
            <v>GENERAL GOVERNMENT</v>
          </cell>
          <cell r="E507" t="str">
            <v/>
          </cell>
          <cell r="F507" t="str">
            <v>0000</v>
          </cell>
          <cell r="G507" t="str">
            <v>0000</v>
          </cell>
          <cell r="H507" t="str">
            <v>0000</v>
          </cell>
          <cell r="I507" t="str">
            <v>0000</v>
          </cell>
          <cell r="J507" t="str">
            <v>07/11/2006</v>
          </cell>
          <cell r="K507" t="str">
            <v>00/00/0000</v>
          </cell>
        </row>
        <row r="508">
          <cell r="A508" t="str">
            <v>8450</v>
          </cell>
          <cell r="B508" t="str">
            <v>SUBSEQUENT INJURIES</v>
          </cell>
          <cell r="C508" t="str">
            <v>0808</v>
          </cell>
          <cell r="D508" t="str">
            <v>GENERAL GOVERNMENT</v>
          </cell>
          <cell r="E508" t="str">
            <v/>
          </cell>
          <cell r="F508" t="str">
            <v>0000</v>
          </cell>
          <cell r="G508" t="str">
            <v>0000</v>
          </cell>
          <cell r="H508" t="str">
            <v>0000</v>
          </cell>
          <cell r="I508" t="str">
            <v>0000</v>
          </cell>
          <cell r="J508" t="str">
            <v>07/11/2006</v>
          </cell>
          <cell r="K508" t="str">
            <v>00/00/0000</v>
          </cell>
        </row>
        <row r="509">
          <cell r="A509" t="str">
            <v>8460</v>
          </cell>
          <cell r="B509" t="str">
            <v>DISASTER SERVICE WORKERS</v>
          </cell>
          <cell r="C509" t="str">
            <v>0808</v>
          </cell>
          <cell r="D509" t="str">
            <v>GENERAL GOVERNMENT</v>
          </cell>
          <cell r="E509" t="str">
            <v/>
          </cell>
          <cell r="F509" t="str">
            <v>0000</v>
          </cell>
          <cell r="G509" t="str">
            <v>0000</v>
          </cell>
          <cell r="H509" t="str">
            <v>0000</v>
          </cell>
          <cell r="I509" t="str">
            <v>0000</v>
          </cell>
          <cell r="J509" t="str">
            <v>04/04/1984</v>
          </cell>
          <cell r="K509" t="str">
            <v>00/00/0000</v>
          </cell>
        </row>
        <row r="510">
          <cell r="A510" t="str">
            <v>8510</v>
          </cell>
          <cell r="B510" t="str">
            <v>BOARD OF OSTEOPATHIC EXAMINERS</v>
          </cell>
          <cell r="C510" t="str">
            <v>0808</v>
          </cell>
          <cell r="D510" t="str">
            <v>GENERAL GOVERNMENT</v>
          </cell>
          <cell r="E510" t="str">
            <v/>
          </cell>
          <cell r="F510" t="str">
            <v>0000</v>
          </cell>
          <cell r="G510" t="str">
            <v>0000</v>
          </cell>
          <cell r="H510" t="str">
            <v>0000</v>
          </cell>
          <cell r="I510" t="str">
            <v>0000</v>
          </cell>
          <cell r="J510" t="str">
            <v>99/99/9999</v>
          </cell>
          <cell r="K510" t="str">
            <v>00/00/1999</v>
          </cell>
        </row>
        <row r="511">
          <cell r="A511" t="str">
            <v>8530</v>
          </cell>
          <cell r="B511" t="str">
            <v>BD OF PILOT COMMISSIONERS-SF</v>
          </cell>
          <cell r="C511" t="str">
            <v>0808</v>
          </cell>
          <cell r="D511" t="str">
            <v>GENERAL GOVERNMENT</v>
          </cell>
          <cell r="E511" t="str">
            <v/>
          </cell>
          <cell r="F511" t="str">
            <v>0000</v>
          </cell>
          <cell r="G511" t="str">
            <v>0000</v>
          </cell>
          <cell r="H511" t="str">
            <v>0000</v>
          </cell>
          <cell r="I511" t="str">
            <v>0000</v>
          </cell>
          <cell r="J511" t="str">
            <v>09/14/2006</v>
          </cell>
          <cell r="K511" t="str">
            <v>00/00/1999</v>
          </cell>
        </row>
        <row r="512">
          <cell r="A512" t="str">
            <v>8540</v>
          </cell>
          <cell r="B512" t="str">
            <v>CAL AUCTIONEER COMMISSION</v>
          </cell>
          <cell r="C512" t="str">
            <v>0808</v>
          </cell>
          <cell r="D512" t="str">
            <v>GENERAL GOVERNMENT</v>
          </cell>
          <cell r="E512" t="str">
            <v/>
          </cell>
          <cell r="F512" t="str">
            <v>0000</v>
          </cell>
          <cell r="G512" t="str">
            <v>0000</v>
          </cell>
          <cell r="H512" t="str">
            <v>0000</v>
          </cell>
          <cell r="I512" t="str">
            <v>0000</v>
          </cell>
          <cell r="J512" t="str">
            <v>07/11/2006</v>
          </cell>
          <cell r="K512" t="str">
            <v>00/00/1999</v>
          </cell>
        </row>
        <row r="513">
          <cell r="A513" t="str">
            <v>8560</v>
          </cell>
          <cell r="B513" t="str">
            <v>CALIF EXPOSITION AND FAIRS</v>
          </cell>
          <cell r="C513" t="str">
            <v>0808</v>
          </cell>
          <cell r="D513" t="str">
            <v>GENERAL GOVERNMENT</v>
          </cell>
          <cell r="E513" t="str">
            <v/>
          </cell>
          <cell r="F513" t="str">
            <v>0000</v>
          </cell>
          <cell r="G513" t="str">
            <v>0000</v>
          </cell>
          <cell r="H513" t="str">
            <v>0000</v>
          </cell>
          <cell r="I513" t="str">
            <v>0000</v>
          </cell>
          <cell r="J513" t="str">
            <v>07/11/2006</v>
          </cell>
          <cell r="K513" t="str">
            <v>00/00/0000</v>
          </cell>
        </row>
        <row r="514">
          <cell r="A514" t="str">
            <v>8570</v>
          </cell>
          <cell r="B514" t="str">
            <v>DEPT OF FOOD AND AGRICULTURE</v>
          </cell>
          <cell r="C514" t="str">
            <v>0808</v>
          </cell>
          <cell r="D514" t="str">
            <v>GENERAL GOVERNMENT</v>
          </cell>
          <cell r="E514" t="str">
            <v/>
          </cell>
          <cell r="F514" t="str">
            <v>0000</v>
          </cell>
          <cell r="G514" t="str">
            <v>0000</v>
          </cell>
          <cell r="H514" t="str">
            <v>0000</v>
          </cell>
          <cell r="I514" t="str">
            <v>0000</v>
          </cell>
          <cell r="J514" t="str">
            <v>07/11/2006</v>
          </cell>
          <cell r="K514" t="str">
            <v>00/00/0000</v>
          </cell>
        </row>
        <row r="515">
          <cell r="A515" t="str">
            <v>8590</v>
          </cell>
          <cell r="B515" t="str">
            <v>FINANCIAL ASSIST TO LOCAL FAIR</v>
          </cell>
          <cell r="C515" t="str">
            <v>0808</v>
          </cell>
          <cell r="D515" t="str">
            <v>GENERAL GOVERNMENT</v>
          </cell>
          <cell r="E515" t="str">
            <v/>
          </cell>
          <cell r="F515" t="str">
            <v>0000</v>
          </cell>
          <cell r="G515" t="str">
            <v>0000</v>
          </cell>
          <cell r="H515" t="str">
            <v>0000</v>
          </cell>
          <cell r="I515" t="str">
            <v>0000</v>
          </cell>
          <cell r="J515" t="str">
            <v>99/99/9999</v>
          </cell>
          <cell r="K515" t="str">
            <v>00/00/0000</v>
          </cell>
        </row>
        <row r="516">
          <cell r="A516" t="str">
            <v>8600</v>
          </cell>
          <cell r="B516" t="str">
            <v>COUNTY FAIRS</v>
          </cell>
          <cell r="C516" t="str">
            <v>0808</v>
          </cell>
          <cell r="D516" t="str">
            <v>GENERAL GOVERNMENT</v>
          </cell>
          <cell r="E516" t="str">
            <v/>
          </cell>
          <cell r="F516" t="str">
            <v>0000</v>
          </cell>
          <cell r="G516" t="str">
            <v>0000</v>
          </cell>
          <cell r="H516" t="str">
            <v>0000</v>
          </cell>
          <cell r="I516" t="str">
            <v>0000</v>
          </cell>
          <cell r="J516" t="str">
            <v>99/99/9999</v>
          </cell>
          <cell r="K516" t="str">
            <v>00/00/0000</v>
          </cell>
        </row>
        <row r="517">
          <cell r="A517" t="str">
            <v>8610</v>
          </cell>
          <cell r="B517" t="str">
            <v>DISTRICT AGRICULTURAL ASSNS</v>
          </cell>
          <cell r="C517" t="str">
            <v>0808</v>
          </cell>
          <cell r="D517" t="str">
            <v>GENERAL GOVERNMENT</v>
          </cell>
          <cell r="E517" t="str">
            <v/>
          </cell>
          <cell r="F517" t="str">
            <v>0000</v>
          </cell>
          <cell r="G517" t="str">
            <v>0000</v>
          </cell>
          <cell r="H517" t="str">
            <v>0000</v>
          </cell>
          <cell r="I517" t="str">
            <v>0000</v>
          </cell>
          <cell r="J517" t="str">
            <v>99/99/9999</v>
          </cell>
          <cell r="K517" t="str">
            <v>00/00/0000</v>
          </cell>
        </row>
        <row r="518">
          <cell r="A518" t="str">
            <v>8620</v>
          </cell>
          <cell r="B518" t="str">
            <v>FAIR POLITICAL PRACTICES COMM</v>
          </cell>
          <cell r="C518" t="str">
            <v>0808</v>
          </cell>
          <cell r="D518" t="str">
            <v>GENERAL GOVERNMENT</v>
          </cell>
          <cell r="E518" t="str">
            <v/>
          </cell>
          <cell r="F518" t="str">
            <v>0000</v>
          </cell>
          <cell r="G518" t="str">
            <v>0000</v>
          </cell>
          <cell r="H518" t="str">
            <v>0000</v>
          </cell>
          <cell r="I518" t="str">
            <v>0000</v>
          </cell>
          <cell r="J518" t="str">
            <v>07/11/2006</v>
          </cell>
          <cell r="K518" t="str">
            <v>00/00/1999</v>
          </cell>
        </row>
        <row r="519">
          <cell r="A519" t="str">
            <v>8640</v>
          </cell>
          <cell r="B519" t="str">
            <v>POLITICAL REFORM ACT OF 1974</v>
          </cell>
          <cell r="C519" t="str">
            <v>0808</v>
          </cell>
          <cell r="D519" t="str">
            <v>GENERAL GOVERNMENT</v>
          </cell>
          <cell r="E519" t="str">
            <v/>
          </cell>
          <cell r="F519" t="str">
            <v>0000</v>
          </cell>
          <cell r="G519" t="str">
            <v>0000</v>
          </cell>
          <cell r="H519" t="str">
            <v>0000</v>
          </cell>
          <cell r="I519" t="str">
            <v>0000</v>
          </cell>
          <cell r="J519" t="str">
            <v>04/04/1984</v>
          </cell>
          <cell r="K519" t="str">
            <v>00/00/0000</v>
          </cell>
        </row>
        <row r="520">
          <cell r="A520" t="str">
            <v>8655</v>
          </cell>
          <cell r="B520" t="str">
            <v>INDEP.CITIZENS REDIST.COMM.</v>
          </cell>
          <cell r="C520" t="str">
            <v>0808</v>
          </cell>
          <cell r="D520" t="str">
            <v>GENERAL GOVERNMENT</v>
          </cell>
          <cell r="E520" t="str">
            <v/>
          </cell>
          <cell r="F520" t="str">
            <v>0000</v>
          </cell>
          <cell r="G520" t="str">
            <v>0000</v>
          </cell>
          <cell r="H520" t="str">
            <v>0000</v>
          </cell>
          <cell r="I520" t="str">
            <v>0000</v>
          </cell>
          <cell r="J520" t="str">
            <v>04/26/1991</v>
          </cell>
          <cell r="K520" t="str">
            <v>00/00/0000</v>
          </cell>
        </row>
        <row r="521">
          <cell r="A521" t="str">
            <v>8660</v>
          </cell>
          <cell r="B521" t="str">
            <v>PUBLIC UTILITIES COMMISSION</v>
          </cell>
          <cell r="C521" t="str">
            <v>0808</v>
          </cell>
          <cell r="D521" t="str">
            <v>GENERAL GOVERNMENT</v>
          </cell>
          <cell r="E521" t="str">
            <v/>
          </cell>
          <cell r="F521" t="str">
            <v>0000</v>
          </cell>
          <cell r="G521" t="str">
            <v>0000</v>
          </cell>
          <cell r="H521" t="str">
            <v>0000</v>
          </cell>
          <cell r="I521" t="str">
            <v>0000</v>
          </cell>
          <cell r="J521" t="str">
            <v>04/04/1984</v>
          </cell>
          <cell r="K521" t="str">
            <v>00/00/0000</v>
          </cell>
        </row>
        <row r="522">
          <cell r="A522" t="str">
            <v>8665</v>
          </cell>
          <cell r="B522" t="str">
            <v>CONSUMER POWER &amp; CONSERVN</v>
          </cell>
          <cell r="C522" t="str">
            <v>0808</v>
          </cell>
          <cell r="D522" t="str">
            <v>GENERAL GOVERNMENT</v>
          </cell>
          <cell r="E522" t="str">
            <v/>
          </cell>
          <cell r="F522" t="str">
            <v>0000</v>
          </cell>
          <cell r="G522" t="str">
            <v>0000</v>
          </cell>
          <cell r="H522" t="str">
            <v>0000</v>
          </cell>
          <cell r="I522" t="str">
            <v>0000</v>
          </cell>
          <cell r="J522" t="str">
            <v>10/25/2002</v>
          </cell>
          <cell r="K522" t="str">
            <v>00/00/0000</v>
          </cell>
        </row>
        <row r="523">
          <cell r="A523" t="str">
            <v>8680</v>
          </cell>
          <cell r="B523" t="str">
            <v>STATE BAR OF CALIFORNIA</v>
          </cell>
          <cell r="C523" t="str">
            <v>0808</v>
          </cell>
          <cell r="D523" t="str">
            <v>GENERAL GOVERNMENT</v>
          </cell>
          <cell r="E523" t="str">
            <v/>
          </cell>
          <cell r="F523" t="str">
            <v>0000</v>
          </cell>
          <cell r="G523" t="str">
            <v>0000</v>
          </cell>
          <cell r="H523" t="str">
            <v>0000</v>
          </cell>
          <cell r="I523" t="str">
            <v>0000</v>
          </cell>
          <cell r="J523" t="str">
            <v>04/04/1984</v>
          </cell>
          <cell r="K523" t="str">
            <v>00/00/0000</v>
          </cell>
        </row>
        <row r="524">
          <cell r="A524" t="str">
            <v>8690</v>
          </cell>
          <cell r="B524" t="str">
            <v>SEISMIC COMMISSION</v>
          </cell>
          <cell r="C524" t="str">
            <v>0808</v>
          </cell>
          <cell r="D524" t="str">
            <v>GENERAL GOVERNMENT</v>
          </cell>
          <cell r="E524" t="str">
            <v/>
          </cell>
          <cell r="F524" t="str">
            <v>0000</v>
          </cell>
          <cell r="G524" t="str">
            <v>0000</v>
          </cell>
          <cell r="H524" t="str">
            <v>0000</v>
          </cell>
          <cell r="I524" t="str">
            <v>0000</v>
          </cell>
          <cell r="J524" t="str">
            <v>08/18/2000</v>
          </cell>
          <cell r="K524" t="str">
            <v>00/00/0000</v>
          </cell>
        </row>
        <row r="525">
          <cell r="A525" t="str">
            <v>8700</v>
          </cell>
          <cell r="B525" t="str">
            <v>BOARD OF CONTROL</v>
          </cell>
          <cell r="C525" t="str">
            <v>0808</v>
          </cell>
          <cell r="D525" t="str">
            <v>GENERAL GOVERNMENT</v>
          </cell>
          <cell r="E525" t="str">
            <v/>
          </cell>
          <cell r="F525" t="str">
            <v>0000</v>
          </cell>
          <cell r="G525" t="str">
            <v>0000</v>
          </cell>
          <cell r="H525" t="str">
            <v>0000</v>
          </cell>
          <cell r="I525" t="str">
            <v>0000</v>
          </cell>
          <cell r="J525" t="str">
            <v>99/99/9999</v>
          </cell>
          <cell r="K525" t="str">
            <v>00/00/1999</v>
          </cell>
        </row>
        <row r="526">
          <cell r="A526" t="str">
            <v>8720</v>
          </cell>
          <cell r="B526" t="str">
            <v>INDEMNIFICATN OF PVT CITIZENS</v>
          </cell>
          <cell r="C526" t="str">
            <v>0808</v>
          </cell>
          <cell r="D526" t="str">
            <v>GENERAL GOVERNMENT</v>
          </cell>
          <cell r="E526" t="str">
            <v/>
          </cell>
          <cell r="F526" t="str">
            <v>0000</v>
          </cell>
          <cell r="G526" t="str">
            <v>0000</v>
          </cell>
          <cell r="H526" t="str">
            <v>0000</v>
          </cell>
          <cell r="I526" t="str">
            <v>0000</v>
          </cell>
          <cell r="J526" t="str">
            <v>99/99/9999</v>
          </cell>
          <cell r="K526" t="str">
            <v>00/00/0000</v>
          </cell>
        </row>
        <row r="527">
          <cell r="A527" t="str">
            <v>8730</v>
          </cell>
          <cell r="B527" t="str">
            <v>COMMISSION ON STATE FINANCE</v>
          </cell>
          <cell r="C527" t="str">
            <v>0808</v>
          </cell>
          <cell r="D527" t="str">
            <v>GENERAL GOVERNMENT</v>
          </cell>
          <cell r="E527" t="str">
            <v/>
          </cell>
          <cell r="F527" t="str">
            <v>0000</v>
          </cell>
          <cell r="G527" t="str">
            <v>0000</v>
          </cell>
          <cell r="H527" t="str">
            <v>0000</v>
          </cell>
          <cell r="I527" t="str">
            <v>0000</v>
          </cell>
          <cell r="J527" t="str">
            <v>04/18/1988</v>
          </cell>
          <cell r="K527" t="str">
            <v>00/00/1999</v>
          </cell>
        </row>
        <row r="528">
          <cell r="A528" t="str">
            <v>8740</v>
          </cell>
          <cell r="B528" t="str">
            <v>CALIF INFORMATION SYS IMPL COM</v>
          </cell>
          <cell r="C528" t="str">
            <v>0808</v>
          </cell>
          <cell r="D528" t="str">
            <v>GENERAL GOVERNMENT</v>
          </cell>
          <cell r="E528" t="str">
            <v/>
          </cell>
          <cell r="F528" t="str">
            <v>0000</v>
          </cell>
          <cell r="G528" t="str">
            <v>0000</v>
          </cell>
          <cell r="H528" t="str">
            <v>0000</v>
          </cell>
          <cell r="I528" t="str">
            <v>0000</v>
          </cell>
          <cell r="J528" t="str">
            <v>07/11/2006</v>
          </cell>
          <cell r="K528" t="str">
            <v>00/00/0000</v>
          </cell>
        </row>
        <row r="529">
          <cell r="A529" t="str">
            <v>8750</v>
          </cell>
          <cell r="B529" t="str">
            <v>COMMISSION ON LOCAL GOVERANCE</v>
          </cell>
          <cell r="C529" t="str">
            <v>0808</v>
          </cell>
          <cell r="D529" t="str">
            <v>GENERAL GOVERNMENT</v>
          </cell>
          <cell r="E529" t="str">
            <v/>
          </cell>
          <cell r="F529" t="str">
            <v>0000</v>
          </cell>
          <cell r="G529" t="str">
            <v>0000</v>
          </cell>
          <cell r="H529" t="str">
            <v>0000</v>
          </cell>
          <cell r="I529" t="str">
            <v>0000</v>
          </cell>
          <cell r="J529" t="str">
            <v>08/07/1998</v>
          </cell>
          <cell r="K529" t="str">
            <v>00/00/0000</v>
          </cell>
        </row>
        <row r="530">
          <cell r="A530" t="str">
            <v>8760</v>
          </cell>
          <cell r="B530" t="str">
            <v>COMMISSION OF THE CALIFORNIAS</v>
          </cell>
          <cell r="C530" t="str">
            <v>0808</v>
          </cell>
          <cell r="D530" t="str">
            <v>GENERAL GOVERNMENT</v>
          </cell>
          <cell r="E530" t="str">
            <v/>
          </cell>
          <cell r="F530" t="str">
            <v>0000</v>
          </cell>
          <cell r="G530" t="str">
            <v>0000</v>
          </cell>
          <cell r="H530" t="str">
            <v>0000</v>
          </cell>
          <cell r="I530" t="str">
            <v>0000</v>
          </cell>
          <cell r="J530" t="str">
            <v>99/99/9999</v>
          </cell>
          <cell r="K530" t="str">
            <v>01/01/1984</v>
          </cell>
        </row>
        <row r="531">
          <cell r="A531" t="str">
            <v>8770</v>
          </cell>
          <cell r="B531" t="str">
            <v>ELECTRICITY OVERSIGH BOARD</v>
          </cell>
          <cell r="C531" t="str">
            <v>0808</v>
          </cell>
          <cell r="D531" t="str">
            <v>GENERAL GOVERNMENT</v>
          </cell>
          <cell r="E531" t="str">
            <v/>
          </cell>
          <cell r="F531" t="str">
            <v>0000</v>
          </cell>
          <cell r="G531" t="str">
            <v>0000</v>
          </cell>
          <cell r="H531" t="str">
            <v>0000</v>
          </cell>
          <cell r="I531" t="str">
            <v>0000</v>
          </cell>
          <cell r="J531" t="str">
            <v>08/03/1998</v>
          </cell>
          <cell r="K531" t="str">
            <v>00/00/0000</v>
          </cell>
        </row>
        <row r="532">
          <cell r="A532" t="str">
            <v>8780</v>
          </cell>
          <cell r="B532" t="str">
            <v>COMM ON CAL GOVT ORG &amp; ECONOMY</v>
          </cell>
          <cell r="C532" t="str">
            <v>0808</v>
          </cell>
          <cell r="D532" t="str">
            <v>GENERAL GOVERNMENT</v>
          </cell>
          <cell r="E532" t="str">
            <v/>
          </cell>
          <cell r="F532" t="str">
            <v>0000</v>
          </cell>
          <cell r="G532" t="str">
            <v>0000</v>
          </cell>
          <cell r="H532" t="str">
            <v>0000</v>
          </cell>
          <cell r="I532" t="str">
            <v>0000</v>
          </cell>
          <cell r="J532" t="str">
            <v>07/11/2006</v>
          </cell>
          <cell r="K532" t="str">
            <v>00/00/1999</v>
          </cell>
        </row>
        <row r="533">
          <cell r="A533" t="str">
            <v>8790</v>
          </cell>
          <cell r="B533" t="str">
            <v>DISABILITY ACCESS COMMISSION</v>
          </cell>
          <cell r="C533" t="str">
            <v>0808</v>
          </cell>
          <cell r="D533" t="str">
            <v>GENERAL GOVERNMENT</v>
          </cell>
          <cell r="E533" t="str">
            <v/>
          </cell>
          <cell r="F533" t="str">
            <v>0000</v>
          </cell>
          <cell r="G533" t="str">
            <v>0000</v>
          </cell>
          <cell r="H533" t="str">
            <v>0000</v>
          </cell>
          <cell r="I533" t="str">
            <v>0000</v>
          </cell>
          <cell r="J533" t="str">
            <v>08/25/2010</v>
          </cell>
          <cell r="K533" t="str">
            <v>00/00/0000</v>
          </cell>
        </row>
        <row r="534">
          <cell r="A534" t="str">
            <v>8800</v>
          </cell>
          <cell r="B534" t="str">
            <v>MEMBERSHIP/COUNCIL/STATE GOVT</v>
          </cell>
          <cell r="C534" t="str">
            <v>0808</v>
          </cell>
          <cell r="D534" t="str">
            <v>GENERAL GOVERNMENT</v>
          </cell>
          <cell r="E534" t="str">
            <v/>
          </cell>
          <cell r="F534" t="str">
            <v>0000</v>
          </cell>
          <cell r="G534" t="str">
            <v>0000</v>
          </cell>
          <cell r="H534" t="str">
            <v>0000</v>
          </cell>
          <cell r="I534" t="str">
            <v>0000</v>
          </cell>
          <cell r="J534" t="str">
            <v>07/11/2006</v>
          </cell>
          <cell r="K534" t="str">
            <v>00/00/0000</v>
          </cell>
        </row>
        <row r="535">
          <cell r="A535" t="str">
            <v>8810</v>
          </cell>
          <cell r="B535" t="str">
            <v>RETAIL CREDIT ADVISORY COMM</v>
          </cell>
          <cell r="C535" t="str">
            <v>0808</v>
          </cell>
          <cell r="D535" t="str">
            <v>GENERAL GOVERNMENT</v>
          </cell>
          <cell r="E535" t="str">
            <v/>
          </cell>
          <cell r="F535" t="str">
            <v>0000</v>
          </cell>
          <cell r="G535" t="str">
            <v>0000</v>
          </cell>
          <cell r="H535" t="str">
            <v>0000</v>
          </cell>
          <cell r="I535" t="str">
            <v>0000</v>
          </cell>
          <cell r="J535" t="str">
            <v>07/11/2006</v>
          </cell>
          <cell r="K535" t="str">
            <v>00/00/0000</v>
          </cell>
        </row>
        <row r="536">
          <cell r="A536" t="str">
            <v>8820</v>
          </cell>
          <cell r="B536" t="str">
            <v>COMMISSION ON STATUS OF WOMEN</v>
          </cell>
          <cell r="C536" t="str">
            <v>0808</v>
          </cell>
          <cell r="D536" t="str">
            <v>GENERAL GOVERNMENT</v>
          </cell>
          <cell r="E536" t="str">
            <v/>
          </cell>
          <cell r="F536" t="str">
            <v>0000</v>
          </cell>
          <cell r="G536" t="str">
            <v>0000</v>
          </cell>
          <cell r="H536" t="str">
            <v>0000</v>
          </cell>
          <cell r="I536" t="str">
            <v>0000</v>
          </cell>
          <cell r="J536" t="str">
            <v>07/11/2006</v>
          </cell>
          <cell r="K536" t="str">
            <v>00/00/1999</v>
          </cell>
        </row>
        <row r="537">
          <cell r="A537" t="str">
            <v>8825</v>
          </cell>
          <cell r="B537" t="str">
            <v>ASIAN/PACIFIC ISLANDER AMER AF</v>
          </cell>
          <cell r="C537" t="str">
            <v>0808</v>
          </cell>
          <cell r="D537" t="str">
            <v>GENERAL GOVERNMENT</v>
          </cell>
          <cell r="E537" t="str">
            <v/>
          </cell>
          <cell r="F537" t="str">
            <v>0000</v>
          </cell>
          <cell r="G537" t="str">
            <v>0000</v>
          </cell>
          <cell r="H537" t="str">
            <v>0000</v>
          </cell>
          <cell r="I537" t="str">
            <v>0000</v>
          </cell>
          <cell r="J537" t="str">
            <v>07/11/2006</v>
          </cell>
          <cell r="K537" t="str">
            <v>00/00/0000</v>
          </cell>
        </row>
        <row r="538">
          <cell r="A538" t="str">
            <v>8830</v>
          </cell>
          <cell r="B538" t="str">
            <v>CAL LAW REVISION COMMISSION</v>
          </cell>
          <cell r="C538" t="str">
            <v>0808</v>
          </cell>
          <cell r="D538" t="str">
            <v>GENERAL GOVERNMENT</v>
          </cell>
          <cell r="E538" t="str">
            <v/>
          </cell>
          <cell r="F538" t="str">
            <v>0000</v>
          </cell>
          <cell r="G538" t="str">
            <v>0000</v>
          </cell>
          <cell r="H538" t="str">
            <v>0000</v>
          </cell>
          <cell r="I538" t="str">
            <v>0000</v>
          </cell>
          <cell r="J538" t="str">
            <v>07/11/2006</v>
          </cell>
          <cell r="K538" t="str">
            <v>00/00/1999</v>
          </cell>
        </row>
        <row r="539">
          <cell r="A539" t="str">
            <v>8850</v>
          </cell>
          <cell r="B539" t="str">
            <v>PUBLIC WORKS BOARD</v>
          </cell>
          <cell r="C539" t="str">
            <v>0808</v>
          </cell>
          <cell r="D539" t="str">
            <v>GENERAL GOVERNMENT</v>
          </cell>
          <cell r="E539" t="str">
            <v/>
          </cell>
          <cell r="F539" t="str">
            <v>0000</v>
          </cell>
          <cell r="G539" t="str">
            <v>0000</v>
          </cell>
          <cell r="H539" t="str">
            <v>0000</v>
          </cell>
          <cell r="I539" t="str">
            <v>0000</v>
          </cell>
          <cell r="J539" t="str">
            <v>06/28/1990</v>
          </cell>
          <cell r="K539" t="str">
            <v>00/00/0000</v>
          </cell>
        </row>
        <row r="540">
          <cell r="A540" t="str">
            <v>8855</v>
          </cell>
          <cell r="B540" t="str">
            <v>BUREAU OF STATE AUDITS</v>
          </cell>
          <cell r="C540" t="str">
            <v>0808</v>
          </cell>
          <cell r="D540" t="str">
            <v>GENERAL GOVERNMENT</v>
          </cell>
          <cell r="E540" t="str">
            <v/>
          </cell>
          <cell r="F540" t="str">
            <v>0000</v>
          </cell>
          <cell r="G540" t="str">
            <v>0000</v>
          </cell>
          <cell r="H540" t="str">
            <v>0000</v>
          </cell>
          <cell r="I540" t="str">
            <v>0000</v>
          </cell>
          <cell r="J540" t="str">
            <v>04/04/1994</v>
          </cell>
          <cell r="K540" t="str">
            <v>00/00/0000</v>
          </cell>
        </row>
        <row r="541">
          <cell r="A541" t="str">
            <v>8860</v>
          </cell>
          <cell r="B541" t="str">
            <v>DEPT OF FINANCE</v>
          </cell>
          <cell r="C541" t="str">
            <v>0808</v>
          </cell>
          <cell r="D541" t="str">
            <v>GENERAL GOVERNMENT</v>
          </cell>
          <cell r="E541" t="str">
            <v/>
          </cell>
          <cell r="F541" t="str">
            <v>0000</v>
          </cell>
          <cell r="G541" t="str">
            <v>0000</v>
          </cell>
          <cell r="H541" t="str">
            <v>0000</v>
          </cell>
          <cell r="I541" t="str">
            <v>0000</v>
          </cell>
          <cell r="J541" t="str">
            <v>04/18/1988</v>
          </cell>
          <cell r="K541" t="str">
            <v>00/00/1999</v>
          </cell>
        </row>
        <row r="542">
          <cell r="A542" t="str">
            <v>8870</v>
          </cell>
          <cell r="B542" t="str">
            <v>DEPT OF FINANCE - OPERATIONS</v>
          </cell>
          <cell r="C542" t="str">
            <v>0808</v>
          </cell>
          <cell r="D542" t="str">
            <v>GENERAL GOVERNMENT</v>
          </cell>
          <cell r="E542" t="str">
            <v/>
          </cell>
          <cell r="F542" t="str">
            <v>0000</v>
          </cell>
          <cell r="G542" t="str">
            <v>0000</v>
          </cell>
          <cell r="H542" t="str">
            <v>0000</v>
          </cell>
          <cell r="I542" t="str">
            <v>0000</v>
          </cell>
          <cell r="J542" t="str">
            <v>99/99/9999</v>
          </cell>
          <cell r="K542" t="str">
            <v>00/00/0000</v>
          </cell>
        </row>
        <row r="543">
          <cell r="A543" t="str">
            <v>8880</v>
          </cell>
          <cell r="B543" t="str">
            <v>FINANCIAL INFO SYSTEM FOR CA</v>
          </cell>
          <cell r="C543" t="str">
            <v>0808</v>
          </cell>
          <cell r="D543" t="str">
            <v>GENERAL GOVERNMENT</v>
          </cell>
          <cell r="E543" t="str">
            <v/>
          </cell>
          <cell r="F543" t="str">
            <v>0000</v>
          </cell>
          <cell r="G543" t="str">
            <v>0000</v>
          </cell>
          <cell r="H543" t="str">
            <v>0000</v>
          </cell>
          <cell r="I543" t="str">
            <v>0000</v>
          </cell>
          <cell r="J543" t="str">
            <v>09/17/2009</v>
          </cell>
          <cell r="K543" t="str">
            <v>00/00/0000</v>
          </cell>
        </row>
        <row r="544">
          <cell r="A544" t="str">
            <v>8882</v>
          </cell>
          <cell r="B544" t="str">
            <v>CALIF CONSTITUTION REVISION CO</v>
          </cell>
          <cell r="C544" t="str">
            <v>0808</v>
          </cell>
          <cell r="D544" t="str">
            <v>GENERAL GOVERNMENT</v>
          </cell>
          <cell r="E544" t="str">
            <v/>
          </cell>
          <cell r="F544" t="str">
            <v>0000</v>
          </cell>
          <cell r="G544" t="str">
            <v>0000</v>
          </cell>
          <cell r="H544" t="str">
            <v>0000</v>
          </cell>
          <cell r="I544" t="str">
            <v>0000</v>
          </cell>
          <cell r="J544" t="str">
            <v>12/28/1994</v>
          </cell>
          <cell r="K544" t="str">
            <v>00/00/0000</v>
          </cell>
        </row>
        <row r="545">
          <cell r="A545" t="str">
            <v>8885</v>
          </cell>
          <cell r="B545" t="str">
            <v>COMM ON STATE MANDATES</v>
          </cell>
          <cell r="C545" t="str">
            <v>0808</v>
          </cell>
          <cell r="D545" t="str">
            <v>GENERAL GOVERNMENT</v>
          </cell>
          <cell r="E545" t="str">
            <v/>
          </cell>
          <cell r="F545" t="str">
            <v>0000</v>
          </cell>
          <cell r="G545" t="str">
            <v>0000</v>
          </cell>
          <cell r="H545" t="str">
            <v>0000</v>
          </cell>
          <cell r="I545" t="str">
            <v>0000</v>
          </cell>
          <cell r="J545" t="str">
            <v>04/18/1988</v>
          </cell>
          <cell r="K545" t="str">
            <v>00/00/1999</v>
          </cell>
        </row>
        <row r="546">
          <cell r="A546" t="str">
            <v>8915</v>
          </cell>
          <cell r="B546" t="str">
            <v>DEPT. OF ECONOMIC OPPORTUNITY</v>
          </cell>
          <cell r="C546" t="str">
            <v>0808</v>
          </cell>
          <cell r="D546" t="str">
            <v>GENERAL GOVERNMENT</v>
          </cell>
          <cell r="E546" t="str">
            <v/>
          </cell>
          <cell r="F546" t="str">
            <v>0000</v>
          </cell>
          <cell r="G546" t="str">
            <v>0000</v>
          </cell>
          <cell r="H546" t="str">
            <v>0000</v>
          </cell>
          <cell r="I546" t="str">
            <v>0000</v>
          </cell>
          <cell r="J546" t="str">
            <v>99/99/9999</v>
          </cell>
          <cell r="K546" t="str">
            <v>00/00/1999</v>
          </cell>
        </row>
        <row r="547">
          <cell r="A547" t="str">
            <v>8940</v>
          </cell>
          <cell r="B547" t="str">
            <v>MILITARY DEPARTMENT</v>
          </cell>
          <cell r="C547" t="str">
            <v>0808</v>
          </cell>
          <cell r="D547" t="str">
            <v>GENERAL GOVERNMENT</v>
          </cell>
          <cell r="E547" t="str">
            <v/>
          </cell>
          <cell r="F547" t="str">
            <v>0000</v>
          </cell>
          <cell r="G547" t="str">
            <v>0000</v>
          </cell>
          <cell r="H547" t="str">
            <v>0000</v>
          </cell>
          <cell r="I547" t="str">
            <v>0000</v>
          </cell>
          <cell r="J547" t="str">
            <v>04/18/1988</v>
          </cell>
          <cell r="K547" t="str">
            <v>00/00/1999</v>
          </cell>
        </row>
        <row r="548">
          <cell r="A548" t="str">
            <v>8950</v>
          </cell>
          <cell r="B548" t="str">
            <v>DEPT OF VETERANS AFFAIRS</v>
          </cell>
          <cell r="C548" t="str">
            <v>0808</v>
          </cell>
          <cell r="D548" t="str">
            <v>GENERAL GOVERNMENT</v>
          </cell>
          <cell r="E548" t="str">
            <v/>
          </cell>
          <cell r="F548" t="str">
            <v>0000</v>
          </cell>
          <cell r="G548" t="str">
            <v>0000</v>
          </cell>
          <cell r="H548" t="str">
            <v>0000</v>
          </cell>
          <cell r="I548" t="str">
            <v>0000</v>
          </cell>
          <cell r="J548" t="str">
            <v>10/24/1995</v>
          </cell>
          <cell r="K548" t="str">
            <v>00/00/0000</v>
          </cell>
        </row>
        <row r="549">
          <cell r="A549" t="str">
            <v>8955</v>
          </cell>
          <cell r="B549" t="str">
            <v>DEPT OF VETERANS AFFAIRS</v>
          </cell>
          <cell r="C549" t="str">
            <v>0808</v>
          </cell>
          <cell r="D549" t="str">
            <v>GENERAL GOVERNMENT</v>
          </cell>
          <cell r="E549" t="str">
            <v/>
          </cell>
          <cell r="F549" t="str">
            <v>0000</v>
          </cell>
          <cell r="G549" t="str">
            <v>0000</v>
          </cell>
          <cell r="H549" t="str">
            <v>0000</v>
          </cell>
          <cell r="I549" t="str">
            <v>0000</v>
          </cell>
          <cell r="J549" t="str">
            <v>10/24/1995</v>
          </cell>
          <cell r="K549" t="str">
            <v>00/00/0000</v>
          </cell>
        </row>
        <row r="550">
          <cell r="A550" t="str">
            <v>8960</v>
          </cell>
          <cell r="B550" t="str">
            <v>VETS HOME - YOUNTVILLE</v>
          </cell>
          <cell r="C550" t="str">
            <v>0808</v>
          </cell>
          <cell r="D550" t="str">
            <v>GENERAL GOVERNMENT</v>
          </cell>
          <cell r="E550" t="str">
            <v/>
          </cell>
          <cell r="F550" t="str">
            <v>0000</v>
          </cell>
          <cell r="G550" t="str">
            <v>0000</v>
          </cell>
          <cell r="H550" t="str">
            <v>0000</v>
          </cell>
          <cell r="I550" t="str">
            <v>0000</v>
          </cell>
          <cell r="J550" t="str">
            <v>10/24/1995</v>
          </cell>
          <cell r="K550" t="str">
            <v>00/00/0000</v>
          </cell>
        </row>
        <row r="551">
          <cell r="A551" t="str">
            <v>8965</v>
          </cell>
          <cell r="B551" t="str">
            <v>VETS HOME - BARSTOW</v>
          </cell>
          <cell r="C551" t="str">
            <v>0808</v>
          </cell>
          <cell r="D551" t="str">
            <v>GENERAL GOVERNMENT</v>
          </cell>
          <cell r="E551" t="str">
            <v/>
          </cell>
          <cell r="F551" t="str">
            <v>0000</v>
          </cell>
          <cell r="G551" t="str">
            <v>0000</v>
          </cell>
          <cell r="H551" t="str">
            <v>0000</v>
          </cell>
          <cell r="I551" t="str">
            <v>0000</v>
          </cell>
          <cell r="J551" t="str">
            <v>10/24/1995</v>
          </cell>
          <cell r="K551" t="str">
            <v>00/00/0000</v>
          </cell>
        </row>
        <row r="552">
          <cell r="A552" t="str">
            <v>8966</v>
          </cell>
          <cell r="B552" t="str">
            <v>VETERAN'S HOME OF CA-CHULA VIS</v>
          </cell>
          <cell r="C552" t="str">
            <v>0808</v>
          </cell>
          <cell r="D552" t="str">
            <v>GENERAL GOVERNMENT</v>
          </cell>
          <cell r="E552" t="str">
            <v/>
          </cell>
          <cell r="F552" t="str">
            <v>0000</v>
          </cell>
          <cell r="G552" t="str">
            <v>0000</v>
          </cell>
          <cell r="H552" t="str">
            <v>0000</v>
          </cell>
          <cell r="I552" t="str">
            <v>0000</v>
          </cell>
          <cell r="J552" t="str">
            <v>08/18/2000</v>
          </cell>
          <cell r="K552" t="str">
            <v>00/00/0000</v>
          </cell>
        </row>
        <row r="553">
          <cell r="A553" t="str">
            <v>8967</v>
          </cell>
          <cell r="B553" t="str">
            <v>VETERANS HOME OF CA-GLAVC</v>
          </cell>
          <cell r="C553" t="str">
            <v>0808</v>
          </cell>
          <cell r="D553" t="str">
            <v>GENERAL GOVERNMENT</v>
          </cell>
          <cell r="E553" t="str">
            <v/>
          </cell>
          <cell r="F553" t="str">
            <v>0000</v>
          </cell>
          <cell r="G553" t="str">
            <v>0000</v>
          </cell>
          <cell r="H553" t="str">
            <v>0000</v>
          </cell>
          <cell r="I553" t="str">
            <v>0000</v>
          </cell>
          <cell r="J553" t="str">
            <v>99/99/9999</v>
          </cell>
          <cell r="K553" t="str">
            <v>00/00/0000</v>
          </cell>
        </row>
        <row r="554">
          <cell r="A554" t="str">
            <v>8970</v>
          </cell>
          <cell r="B554" t="str">
            <v>VIETNAM VETS MEMORIAL COMM</v>
          </cell>
          <cell r="C554" t="str">
            <v>0808</v>
          </cell>
          <cell r="D554" t="str">
            <v>GENERAL GOVERNMENT</v>
          </cell>
          <cell r="E554" t="str">
            <v/>
          </cell>
          <cell r="F554" t="str">
            <v>0000</v>
          </cell>
          <cell r="G554" t="str">
            <v>0000</v>
          </cell>
          <cell r="H554" t="str">
            <v>0000</v>
          </cell>
          <cell r="I554" t="str">
            <v>0000</v>
          </cell>
          <cell r="J554" t="str">
            <v>10/24/1995</v>
          </cell>
          <cell r="K554" t="str">
            <v>00/00/0000</v>
          </cell>
        </row>
        <row r="555">
          <cell r="A555" t="str">
            <v>8975</v>
          </cell>
          <cell r="B555" t="str">
            <v>VETERANS MEMORIAL COMMISSION</v>
          </cell>
          <cell r="C555" t="str">
            <v>0808</v>
          </cell>
          <cell r="D555" t="str">
            <v>GENERAL GOVERNMENT</v>
          </cell>
          <cell r="E555" t="str">
            <v/>
          </cell>
          <cell r="F555" t="str">
            <v>0000</v>
          </cell>
          <cell r="G555" t="str">
            <v>0000</v>
          </cell>
          <cell r="H555" t="str">
            <v>0000</v>
          </cell>
          <cell r="I555" t="str">
            <v>0000</v>
          </cell>
          <cell r="J555" t="str">
            <v>10/24/1995</v>
          </cell>
          <cell r="K555" t="str">
            <v>00/00/0000</v>
          </cell>
        </row>
        <row r="556">
          <cell r="A556" t="str">
            <v>9010</v>
          </cell>
          <cell r="B556" t="str">
            <v>TAX RELIEF</v>
          </cell>
          <cell r="C556" t="str">
            <v>0808</v>
          </cell>
          <cell r="D556" t="str">
            <v>GENERAL GOVERNMENT</v>
          </cell>
          <cell r="E556" t="str">
            <v/>
          </cell>
          <cell r="F556" t="str">
            <v>0000</v>
          </cell>
          <cell r="G556" t="str">
            <v>0000</v>
          </cell>
          <cell r="H556" t="str">
            <v>0000</v>
          </cell>
          <cell r="I556" t="str">
            <v>0000</v>
          </cell>
          <cell r="J556" t="str">
            <v>99/99/9999</v>
          </cell>
          <cell r="K556" t="str">
            <v>00/00/0000</v>
          </cell>
        </row>
        <row r="557">
          <cell r="A557" t="str">
            <v>9020</v>
          </cell>
          <cell r="B557" t="str">
            <v>REVENUE DISTRIBUTION</v>
          </cell>
          <cell r="C557" t="str">
            <v>0808</v>
          </cell>
          <cell r="D557" t="str">
            <v>GENERAL GOVERNMENT</v>
          </cell>
          <cell r="E557" t="str">
            <v/>
          </cell>
          <cell r="F557" t="str">
            <v>0000</v>
          </cell>
          <cell r="G557" t="str">
            <v>0000</v>
          </cell>
          <cell r="H557" t="str">
            <v>0000</v>
          </cell>
          <cell r="I557" t="str">
            <v>0000</v>
          </cell>
          <cell r="J557" t="str">
            <v>99/99/9999</v>
          </cell>
          <cell r="K557" t="str">
            <v>00/00/0000</v>
          </cell>
        </row>
        <row r="558">
          <cell r="A558" t="str">
            <v>9030</v>
          </cell>
          <cell r="B558" t="str">
            <v>DEBT SERVICE</v>
          </cell>
          <cell r="C558" t="str">
            <v>0808</v>
          </cell>
          <cell r="D558" t="str">
            <v>GENERAL GOVERNMENT</v>
          </cell>
          <cell r="E558" t="str">
            <v/>
          </cell>
          <cell r="F558" t="str">
            <v>0000</v>
          </cell>
          <cell r="G558" t="str">
            <v>0000</v>
          </cell>
          <cell r="H558" t="str">
            <v>0000</v>
          </cell>
          <cell r="I558" t="str">
            <v>0000</v>
          </cell>
          <cell r="J558" t="str">
            <v>04/04/1984</v>
          </cell>
          <cell r="K558" t="str">
            <v>00/00/0000</v>
          </cell>
        </row>
        <row r="559">
          <cell r="A559" t="str">
            <v>9035</v>
          </cell>
          <cell r="B559" t="str">
            <v>STATEWIDE DISTRIBUTED COSTS</v>
          </cell>
          <cell r="C559" t="str">
            <v>0808</v>
          </cell>
          <cell r="D559" t="str">
            <v>GENERAL GOVERNMENT</v>
          </cell>
          <cell r="E559" t="str">
            <v/>
          </cell>
          <cell r="F559" t="str">
            <v>0000</v>
          </cell>
          <cell r="G559" t="str">
            <v>0000</v>
          </cell>
          <cell r="H559" t="str">
            <v>0000</v>
          </cell>
          <cell r="I559" t="str">
            <v>0000</v>
          </cell>
          <cell r="J559" t="str">
            <v>06/13/1988</v>
          </cell>
          <cell r="K559" t="str">
            <v>00/00/0000</v>
          </cell>
        </row>
        <row r="560">
          <cell r="A560" t="str">
            <v>9040</v>
          </cell>
          <cell r="B560" t="str">
            <v>UNCLASSIFIED</v>
          </cell>
          <cell r="C560" t="str">
            <v>0808</v>
          </cell>
          <cell r="D560" t="str">
            <v>GENERAL GOVERNMENT</v>
          </cell>
          <cell r="E560" t="str">
            <v/>
          </cell>
          <cell r="F560" t="str">
            <v>0000</v>
          </cell>
          <cell r="G560" t="str">
            <v>0000</v>
          </cell>
          <cell r="H560" t="str">
            <v>0000</v>
          </cell>
          <cell r="I560" t="str">
            <v>0000</v>
          </cell>
          <cell r="J560" t="str">
            <v>99/99/9999</v>
          </cell>
          <cell r="K560" t="str">
            <v>00/00/0000</v>
          </cell>
        </row>
        <row r="561">
          <cell r="A561" t="str">
            <v>9050</v>
          </cell>
          <cell r="B561" t="str">
            <v>UNALLOCATED</v>
          </cell>
          <cell r="C561" t="str">
            <v>0808</v>
          </cell>
          <cell r="D561" t="str">
            <v>GENERAL GOVERNMENT</v>
          </cell>
          <cell r="E561" t="str">
            <v/>
          </cell>
          <cell r="F561" t="str">
            <v>0000</v>
          </cell>
          <cell r="G561" t="str">
            <v>0000</v>
          </cell>
          <cell r="H561" t="str">
            <v>0000</v>
          </cell>
          <cell r="I561" t="str">
            <v>0000</v>
          </cell>
          <cell r="J561" t="str">
            <v>99/99/9999</v>
          </cell>
          <cell r="K561" t="str">
            <v>00/00/0000</v>
          </cell>
        </row>
        <row r="562">
          <cell r="A562" t="str">
            <v>9060</v>
          </cell>
          <cell r="B562" t="str">
            <v>SAVINGS</v>
          </cell>
          <cell r="C562" t="str">
            <v>0808</v>
          </cell>
          <cell r="D562" t="str">
            <v>GENERAL GOVERNMENT</v>
          </cell>
          <cell r="E562" t="str">
            <v/>
          </cell>
          <cell r="F562" t="str">
            <v>0000</v>
          </cell>
          <cell r="G562" t="str">
            <v>0000</v>
          </cell>
          <cell r="H562" t="str">
            <v>0000</v>
          </cell>
          <cell r="I562" t="str">
            <v>0000</v>
          </cell>
          <cell r="J562" t="str">
            <v>99/99/9999</v>
          </cell>
          <cell r="K562" t="str">
            <v>00/00/0000</v>
          </cell>
        </row>
        <row r="563">
          <cell r="A563" t="str">
            <v>9100</v>
          </cell>
          <cell r="B563" t="str">
            <v>GENERAL TAX RELIEF</v>
          </cell>
          <cell r="C563" t="str">
            <v>0808</v>
          </cell>
          <cell r="D563" t="str">
            <v>GENERAL GOVERNMENT</v>
          </cell>
          <cell r="E563" t="str">
            <v/>
          </cell>
          <cell r="F563" t="str">
            <v>0000</v>
          </cell>
          <cell r="G563" t="str">
            <v>0000</v>
          </cell>
          <cell r="H563" t="str">
            <v>0000</v>
          </cell>
          <cell r="I563" t="str">
            <v>0000</v>
          </cell>
          <cell r="J563" t="str">
            <v>01/22/2010</v>
          </cell>
          <cell r="K563" t="str">
            <v>00/00/0000</v>
          </cell>
        </row>
        <row r="564">
          <cell r="A564" t="str">
            <v>9110</v>
          </cell>
          <cell r="B564" t="str">
            <v>SENIOR CITIZENS PROP TAX ASSIS</v>
          </cell>
          <cell r="C564" t="str">
            <v>0808</v>
          </cell>
          <cell r="D564" t="str">
            <v>GENERAL GOVERNMENT</v>
          </cell>
          <cell r="E564" t="str">
            <v/>
          </cell>
          <cell r="F564" t="str">
            <v>0000</v>
          </cell>
          <cell r="G564" t="str">
            <v>0000</v>
          </cell>
          <cell r="H564" t="str">
            <v>0000</v>
          </cell>
          <cell r="I564" t="str">
            <v>0000</v>
          </cell>
          <cell r="J564" t="str">
            <v>01/22/2010</v>
          </cell>
          <cell r="K564" t="str">
            <v>00/00/0000</v>
          </cell>
        </row>
        <row r="565">
          <cell r="A565" t="str">
            <v>9120</v>
          </cell>
          <cell r="B565" t="str">
            <v>SENIOR CITIZENS PROP TAX DEFER</v>
          </cell>
          <cell r="C565" t="str">
            <v>0808</v>
          </cell>
          <cell r="D565" t="str">
            <v>GENERAL GOVERNMENT</v>
          </cell>
          <cell r="E565" t="str">
            <v/>
          </cell>
          <cell r="F565" t="str">
            <v>0000</v>
          </cell>
          <cell r="G565" t="str">
            <v>0000</v>
          </cell>
          <cell r="H565" t="str">
            <v>0000</v>
          </cell>
          <cell r="I565" t="str">
            <v>0000</v>
          </cell>
          <cell r="J565" t="str">
            <v>01/22/2010</v>
          </cell>
          <cell r="K565" t="str">
            <v>00/00/0000</v>
          </cell>
        </row>
        <row r="566">
          <cell r="A566" t="str">
            <v>9130</v>
          </cell>
          <cell r="B566" t="str">
            <v>SENIOR CITIZENS RENT TAX ASSIS</v>
          </cell>
          <cell r="C566" t="str">
            <v>0808</v>
          </cell>
          <cell r="D566" t="str">
            <v>GENERAL GOVERNMENT</v>
          </cell>
          <cell r="E566" t="str">
            <v/>
          </cell>
          <cell r="F566" t="str">
            <v>0000</v>
          </cell>
          <cell r="G566" t="str">
            <v>0000</v>
          </cell>
          <cell r="H566" t="str">
            <v>0000</v>
          </cell>
          <cell r="I566" t="str">
            <v>0000</v>
          </cell>
          <cell r="J566" t="str">
            <v>01/22/2010</v>
          </cell>
          <cell r="K566" t="str">
            <v>00/00/0000</v>
          </cell>
        </row>
        <row r="567">
          <cell r="A567" t="str">
            <v>9140</v>
          </cell>
          <cell r="B567" t="str">
            <v>PERSONAL PROPERTY TAX RELIEF</v>
          </cell>
          <cell r="C567" t="str">
            <v>0808</v>
          </cell>
          <cell r="D567" t="str">
            <v>GENERAL GOVERNMENT</v>
          </cell>
          <cell r="E567" t="str">
            <v/>
          </cell>
          <cell r="F567" t="str">
            <v>0000</v>
          </cell>
          <cell r="G567" t="str">
            <v>0000</v>
          </cell>
          <cell r="H567" t="str">
            <v>0000</v>
          </cell>
          <cell r="I567" t="str">
            <v>0000</v>
          </cell>
          <cell r="J567" t="str">
            <v>01/22/2010</v>
          </cell>
          <cell r="K567" t="str">
            <v>00/00/0000</v>
          </cell>
        </row>
        <row r="568">
          <cell r="A568" t="str">
            <v>9150</v>
          </cell>
          <cell r="B568" t="str">
            <v>HOMEOWNERS PROP TAX RELIEF</v>
          </cell>
          <cell r="C568" t="str">
            <v>0808</v>
          </cell>
          <cell r="D568" t="str">
            <v>GENERAL GOVERNMENT</v>
          </cell>
          <cell r="E568" t="str">
            <v/>
          </cell>
          <cell r="F568" t="str">
            <v>0000</v>
          </cell>
          <cell r="G568" t="str">
            <v>0000</v>
          </cell>
          <cell r="H568" t="str">
            <v>0000</v>
          </cell>
          <cell r="I568" t="str">
            <v>0000</v>
          </cell>
          <cell r="J568" t="str">
            <v>01/22/2010</v>
          </cell>
          <cell r="K568" t="str">
            <v>00/00/0000</v>
          </cell>
        </row>
        <row r="569">
          <cell r="A569" t="str">
            <v>9160</v>
          </cell>
          <cell r="B569" t="str">
            <v>SUBVENTIONS FOR OPEN SPACE</v>
          </cell>
          <cell r="C569" t="str">
            <v>0808</v>
          </cell>
          <cell r="D569" t="str">
            <v>GENERAL GOVERNMENT</v>
          </cell>
          <cell r="E569" t="str">
            <v/>
          </cell>
          <cell r="F569" t="str">
            <v>0000</v>
          </cell>
          <cell r="G569" t="str">
            <v>0000</v>
          </cell>
          <cell r="H569" t="str">
            <v>0000</v>
          </cell>
          <cell r="I569" t="str">
            <v>0000</v>
          </cell>
          <cell r="J569" t="str">
            <v>01/22/2010</v>
          </cell>
          <cell r="K569" t="str">
            <v>00/00/0000</v>
          </cell>
        </row>
        <row r="570">
          <cell r="A570" t="str">
            <v>9170</v>
          </cell>
          <cell r="B570" t="str">
            <v>PAY LOC GOV SA/PR TAX REV LOSS</v>
          </cell>
          <cell r="C570" t="str">
            <v>0808</v>
          </cell>
          <cell r="D570" t="str">
            <v>GENERAL GOVERNMENT</v>
          </cell>
          <cell r="E570" t="str">
            <v/>
          </cell>
          <cell r="F570" t="str">
            <v>0000</v>
          </cell>
          <cell r="G570" t="str">
            <v>0000</v>
          </cell>
          <cell r="H570" t="str">
            <v>0000</v>
          </cell>
          <cell r="I570" t="str">
            <v>0000</v>
          </cell>
          <cell r="J570" t="str">
            <v>01/22/2010</v>
          </cell>
          <cell r="K570" t="str">
            <v>00/00/0000</v>
          </cell>
        </row>
        <row r="571">
          <cell r="A571" t="str">
            <v>9180</v>
          </cell>
          <cell r="B571" t="str">
            <v>RENTERS TAX RELIEF</v>
          </cell>
          <cell r="C571" t="str">
            <v>0808</v>
          </cell>
          <cell r="D571" t="str">
            <v>GENERAL GOVERNMENT</v>
          </cell>
          <cell r="E571" t="str">
            <v/>
          </cell>
          <cell r="F571" t="str">
            <v>0000</v>
          </cell>
          <cell r="G571" t="str">
            <v>0000</v>
          </cell>
          <cell r="H571" t="str">
            <v>0000</v>
          </cell>
          <cell r="I571" t="str">
            <v>0000</v>
          </cell>
          <cell r="J571" t="str">
            <v>01/22/2010</v>
          </cell>
          <cell r="K571" t="str">
            <v>00/00/0000</v>
          </cell>
        </row>
        <row r="572">
          <cell r="A572" t="str">
            <v>9190</v>
          </cell>
          <cell r="B572" t="str">
            <v>SUBSTANDARD HOUSING</v>
          </cell>
          <cell r="C572" t="str">
            <v>0808</v>
          </cell>
          <cell r="D572" t="str">
            <v>GENERAL GOVERNMENT</v>
          </cell>
          <cell r="E572" t="str">
            <v/>
          </cell>
          <cell r="F572" t="str">
            <v>0000</v>
          </cell>
          <cell r="G572" t="str">
            <v>0000</v>
          </cell>
          <cell r="H572" t="str">
            <v>0000</v>
          </cell>
          <cell r="I572" t="str">
            <v>0000</v>
          </cell>
          <cell r="J572" t="str">
            <v>01/22/2010</v>
          </cell>
          <cell r="K572" t="str">
            <v>00/00/0000</v>
          </cell>
        </row>
        <row r="573">
          <cell r="A573" t="str">
            <v>9200</v>
          </cell>
          <cell r="B573" t="str">
            <v>ALTERN ENERGY TAX CR REFUND</v>
          </cell>
          <cell r="C573" t="str">
            <v>0808</v>
          </cell>
          <cell r="D573" t="str">
            <v>GENERAL GOVERNMENT</v>
          </cell>
          <cell r="E573" t="str">
            <v/>
          </cell>
          <cell r="F573" t="str">
            <v>0000</v>
          </cell>
          <cell r="G573" t="str">
            <v>0000</v>
          </cell>
          <cell r="H573" t="str">
            <v>0000</v>
          </cell>
          <cell r="I573" t="str">
            <v>0000</v>
          </cell>
          <cell r="J573" t="str">
            <v>01/22/2010</v>
          </cell>
          <cell r="K573" t="str">
            <v>00/00/0000</v>
          </cell>
        </row>
        <row r="574">
          <cell r="A574" t="str">
            <v>9210</v>
          </cell>
          <cell r="B574" t="str">
            <v>PROP 13 FISCAL RELIEF LOC GOVT</v>
          </cell>
          <cell r="C574" t="str">
            <v>0808</v>
          </cell>
          <cell r="D574" t="str">
            <v>GENERAL GOVERNMENT</v>
          </cell>
          <cell r="E574" t="str">
            <v/>
          </cell>
          <cell r="F574" t="str">
            <v>0000</v>
          </cell>
          <cell r="G574" t="str">
            <v>0000</v>
          </cell>
          <cell r="H574" t="str">
            <v>0000</v>
          </cell>
          <cell r="I574" t="str">
            <v>0000</v>
          </cell>
          <cell r="J574" t="str">
            <v>01/22/2010</v>
          </cell>
          <cell r="K574" t="str">
            <v>00/00/0000</v>
          </cell>
        </row>
        <row r="575">
          <cell r="A575" t="str">
            <v>9285</v>
          </cell>
          <cell r="B575" t="str">
            <v>TRIAL COURT SECURITY</v>
          </cell>
          <cell r="C575" t="str">
            <v>0808</v>
          </cell>
          <cell r="D575" t="str">
            <v>GENERAL GOVERNMENT</v>
          </cell>
          <cell r="E575" t="str">
            <v/>
          </cell>
          <cell r="F575" t="str">
            <v>0000</v>
          </cell>
          <cell r="G575" t="str">
            <v>0000</v>
          </cell>
          <cell r="H575" t="str">
            <v>0000</v>
          </cell>
          <cell r="I575" t="str">
            <v>0000</v>
          </cell>
          <cell r="J575" t="str">
            <v>08/12/2015</v>
          </cell>
          <cell r="K575" t="str">
            <v>00/00/0000</v>
          </cell>
        </row>
        <row r="576">
          <cell r="A576" t="str">
            <v>9286</v>
          </cell>
          <cell r="B576" t="str">
            <v>TRIAL COURT SECURITY-JUDGESHIP</v>
          </cell>
          <cell r="C576" t="str">
            <v>0808</v>
          </cell>
          <cell r="D576" t="str">
            <v>GENERAL GOVERNMENT</v>
          </cell>
          <cell r="E576" t="str">
            <v/>
          </cell>
          <cell r="F576" t="str">
            <v>0000</v>
          </cell>
          <cell r="G576" t="str">
            <v>0000</v>
          </cell>
          <cell r="H576" t="str">
            <v>0000</v>
          </cell>
          <cell r="I576" t="str">
            <v>0000</v>
          </cell>
          <cell r="J576" t="str">
            <v>09/07/2018</v>
          </cell>
          <cell r="K576" t="str">
            <v>00/00/0000</v>
          </cell>
        </row>
        <row r="577">
          <cell r="A577" t="str">
            <v>9300</v>
          </cell>
          <cell r="B577" t="str">
            <v>PAYMENT TO COUNTIES-HOMICIDE</v>
          </cell>
          <cell r="C577" t="str">
            <v>0808</v>
          </cell>
          <cell r="D577" t="str">
            <v>GENERAL GOVERNMENT</v>
          </cell>
          <cell r="E577" t="str">
            <v/>
          </cell>
          <cell r="F577" t="str">
            <v>0000</v>
          </cell>
          <cell r="G577" t="str">
            <v>0000</v>
          </cell>
          <cell r="H577" t="str">
            <v>0000</v>
          </cell>
          <cell r="I577" t="str">
            <v>0000</v>
          </cell>
          <cell r="J577" t="str">
            <v>08/25/2010</v>
          </cell>
          <cell r="K577" t="str">
            <v>00/00/0000</v>
          </cell>
        </row>
        <row r="578">
          <cell r="A578" t="str">
            <v>9350</v>
          </cell>
          <cell r="B578" t="str">
            <v>SHARED REVENUES</v>
          </cell>
          <cell r="C578" t="str">
            <v>0830</v>
          </cell>
          <cell r="D578" t="str">
            <v>TRANSPORTATION</v>
          </cell>
          <cell r="E578" t="str">
            <v/>
          </cell>
          <cell r="F578" t="str">
            <v>0000</v>
          </cell>
          <cell r="G578" t="str">
            <v>0000</v>
          </cell>
          <cell r="H578" t="str">
            <v>0000</v>
          </cell>
          <cell r="I578" t="str">
            <v>0000</v>
          </cell>
          <cell r="J578" t="str">
            <v>10/28/2016</v>
          </cell>
          <cell r="K578" t="str">
            <v>00/00/0000</v>
          </cell>
        </row>
        <row r="579">
          <cell r="A579" t="str">
            <v>9380</v>
          </cell>
          <cell r="B579" t="str">
            <v>APPORT OF OFF-HIGHWAY LIC FEES</v>
          </cell>
          <cell r="C579" t="str">
            <v>0820</v>
          </cell>
          <cell r="D579" t="str">
            <v>RESOURCES</v>
          </cell>
          <cell r="E579" t="str">
            <v/>
          </cell>
          <cell r="F579" t="str">
            <v>0000</v>
          </cell>
          <cell r="G579" t="str">
            <v>0000</v>
          </cell>
          <cell r="H579" t="str">
            <v>0000</v>
          </cell>
          <cell r="I579" t="str">
            <v>0000</v>
          </cell>
          <cell r="J579" t="str">
            <v>03/05/2009</v>
          </cell>
          <cell r="K579" t="str">
            <v>00/00/0000</v>
          </cell>
        </row>
        <row r="580">
          <cell r="A580" t="str">
            <v>9390</v>
          </cell>
          <cell r="B580" t="str">
            <v>APPT FED RCPT FLOOD CTL LANDS</v>
          </cell>
          <cell r="C580" t="str">
            <v>0808</v>
          </cell>
          <cell r="D580" t="str">
            <v>GENERAL GOVERNMENT</v>
          </cell>
          <cell r="E580" t="str">
            <v/>
          </cell>
          <cell r="F580" t="str">
            <v>0000</v>
          </cell>
          <cell r="G580" t="str">
            <v>0000</v>
          </cell>
          <cell r="H580" t="str">
            <v>0000</v>
          </cell>
          <cell r="I580" t="str">
            <v>0000</v>
          </cell>
          <cell r="J580" t="str">
            <v>07/11/2006</v>
          </cell>
          <cell r="K580" t="str">
            <v>00/00/0000</v>
          </cell>
        </row>
        <row r="581">
          <cell r="A581" t="str">
            <v>9400</v>
          </cell>
          <cell r="B581" t="str">
            <v>APPT FED RECPT FR FOREST RESV</v>
          </cell>
          <cell r="C581" t="str">
            <v>0808</v>
          </cell>
          <cell r="D581" t="str">
            <v>GENERAL GOVERNMENT</v>
          </cell>
          <cell r="E581" t="str">
            <v/>
          </cell>
          <cell r="F581" t="str">
            <v>0000</v>
          </cell>
          <cell r="G581" t="str">
            <v>0000</v>
          </cell>
          <cell r="H581" t="str">
            <v>0000</v>
          </cell>
          <cell r="I581" t="str">
            <v>0000</v>
          </cell>
          <cell r="J581" t="str">
            <v>07/11/2006</v>
          </cell>
          <cell r="K581" t="str">
            <v>00/00/0000</v>
          </cell>
        </row>
        <row r="582">
          <cell r="A582" t="str">
            <v>9410</v>
          </cell>
          <cell r="B582" t="str">
            <v>APPT OF FED RCPT GRAZING LAND</v>
          </cell>
          <cell r="C582" t="str">
            <v>0808</v>
          </cell>
          <cell r="D582" t="str">
            <v>GENERAL GOVERNMENT</v>
          </cell>
          <cell r="E582" t="str">
            <v/>
          </cell>
          <cell r="F582" t="str">
            <v>0000</v>
          </cell>
          <cell r="G582" t="str">
            <v>0000</v>
          </cell>
          <cell r="H582" t="str">
            <v>0000</v>
          </cell>
          <cell r="I582" t="str">
            <v>0000</v>
          </cell>
          <cell r="J582" t="str">
            <v>07/11/2006</v>
          </cell>
          <cell r="K582" t="str">
            <v>00/00/0000</v>
          </cell>
        </row>
        <row r="583">
          <cell r="A583" t="str">
            <v>9420</v>
          </cell>
          <cell r="B583" t="str">
            <v>APPT FED POTASH LEASE RENTALS</v>
          </cell>
          <cell r="C583" t="str">
            <v>0808</v>
          </cell>
          <cell r="D583" t="str">
            <v>GENERAL GOVERNMENT</v>
          </cell>
          <cell r="E583" t="str">
            <v/>
          </cell>
          <cell r="F583" t="str">
            <v>0000</v>
          </cell>
          <cell r="G583" t="str">
            <v>0000</v>
          </cell>
          <cell r="H583" t="str">
            <v>0000</v>
          </cell>
          <cell r="I583" t="str">
            <v>0000</v>
          </cell>
          <cell r="J583" t="str">
            <v>07/11/2006</v>
          </cell>
          <cell r="K583" t="str">
            <v>00/00/0000</v>
          </cell>
        </row>
        <row r="584">
          <cell r="A584" t="str">
            <v>9430</v>
          </cell>
          <cell r="B584" t="str">
            <v>APPT OF MTR VEH LICENSE FEES</v>
          </cell>
          <cell r="C584" t="str">
            <v>0808</v>
          </cell>
          <cell r="D584" t="str">
            <v>GENERAL GOVERNMENT</v>
          </cell>
          <cell r="E584" t="str">
            <v/>
          </cell>
          <cell r="F584" t="str">
            <v>0000</v>
          </cell>
          <cell r="G584" t="str">
            <v>0000</v>
          </cell>
          <cell r="H584" t="str">
            <v>0000</v>
          </cell>
          <cell r="I584" t="str">
            <v>0000</v>
          </cell>
          <cell r="J584" t="str">
            <v>07/11/2006</v>
          </cell>
          <cell r="K584" t="str">
            <v>00/00/0000</v>
          </cell>
        </row>
        <row r="585">
          <cell r="A585" t="str">
            <v>9440</v>
          </cell>
          <cell r="B585" t="str">
            <v>APPT OF CIGARETTE TAX</v>
          </cell>
          <cell r="C585" t="str">
            <v>0808</v>
          </cell>
          <cell r="D585" t="str">
            <v>GENERAL GOVERNMENT</v>
          </cell>
          <cell r="E585" t="str">
            <v/>
          </cell>
          <cell r="F585" t="str">
            <v>0000</v>
          </cell>
          <cell r="G585" t="str">
            <v>0000</v>
          </cell>
          <cell r="H585" t="str">
            <v>0000</v>
          </cell>
          <cell r="I585" t="str">
            <v>0000</v>
          </cell>
          <cell r="J585" t="str">
            <v>04/04/1984</v>
          </cell>
          <cell r="K585" t="str">
            <v>00/00/0000</v>
          </cell>
        </row>
        <row r="586">
          <cell r="A586" t="str">
            <v>9460</v>
          </cell>
          <cell r="B586" t="str">
            <v>APPT OF TIDELAND REVENUES</v>
          </cell>
          <cell r="C586" t="str">
            <v>0808</v>
          </cell>
          <cell r="D586" t="str">
            <v>GENERAL GOVERNMENT</v>
          </cell>
          <cell r="E586" t="str">
            <v/>
          </cell>
          <cell r="F586" t="str">
            <v>0000</v>
          </cell>
          <cell r="G586" t="str">
            <v>0000</v>
          </cell>
          <cell r="H586" t="str">
            <v>0000</v>
          </cell>
          <cell r="I586" t="str">
            <v>0000</v>
          </cell>
          <cell r="J586" t="str">
            <v>07/11/2006</v>
          </cell>
          <cell r="K586" t="str">
            <v>00/00/0000</v>
          </cell>
        </row>
        <row r="587">
          <cell r="A587" t="str">
            <v>9480</v>
          </cell>
          <cell r="B587" t="str">
            <v>APPT FOR COUNTY ROADS</v>
          </cell>
          <cell r="C587" t="str">
            <v>0808</v>
          </cell>
          <cell r="D587" t="str">
            <v>GENERAL GOVERNMENT</v>
          </cell>
          <cell r="E587" t="str">
            <v/>
          </cell>
          <cell r="F587" t="str">
            <v>0000</v>
          </cell>
          <cell r="G587" t="str">
            <v>0000</v>
          </cell>
          <cell r="H587" t="str">
            <v>0000</v>
          </cell>
          <cell r="I587" t="str">
            <v>0000</v>
          </cell>
          <cell r="J587" t="str">
            <v>04/04/1984</v>
          </cell>
          <cell r="K587" t="str">
            <v>00/00/0000</v>
          </cell>
        </row>
        <row r="588">
          <cell r="A588" t="str">
            <v>9490</v>
          </cell>
          <cell r="B588" t="str">
            <v>APPORT FOR CITY STREETS</v>
          </cell>
          <cell r="C588" t="str">
            <v>0808</v>
          </cell>
          <cell r="D588" t="str">
            <v>GENERAL GOVERNMENT</v>
          </cell>
          <cell r="E588" t="str">
            <v/>
          </cell>
          <cell r="F588" t="str">
            <v>0000</v>
          </cell>
          <cell r="G588" t="str">
            <v>0000</v>
          </cell>
          <cell r="H588" t="str">
            <v>0000</v>
          </cell>
          <cell r="I588" t="str">
            <v>0000</v>
          </cell>
          <cell r="J588" t="str">
            <v>04/04/1984</v>
          </cell>
          <cell r="K588" t="str">
            <v>00/00/0000</v>
          </cell>
        </row>
        <row r="589">
          <cell r="A589" t="str">
            <v>9500</v>
          </cell>
          <cell r="B589" t="str">
            <v>APPT COUNTY ROADS/CITY STREETS</v>
          </cell>
          <cell r="C589" t="str">
            <v>0830</v>
          </cell>
          <cell r="D589" t="str">
            <v>TRANSPORTATION</v>
          </cell>
          <cell r="E589" t="str">
            <v/>
          </cell>
          <cell r="F589" t="str">
            <v>0000</v>
          </cell>
          <cell r="G589" t="str">
            <v>0000</v>
          </cell>
          <cell r="H589" t="str">
            <v>0000</v>
          </cell>
          <cell r="I589" t="str">
            <v>0000</v>
          </cell>
          <cell r="J589" t="str">
            <v>10/28/2016</v>
          </cell>
          <cell r="K589" t="str">
            <v>00/00/0000</v>
          </cell>
        </row>
        <row r="590">
          <cell r="A590" t="str">
            <v>9505</v>
          </cell>
          <cell r="B590" t="str">
            <v>APPT FOR STREETS AND HIGHWAY</v>
          </cell>
          <cell r="C590" t="str">
            <v>0808</v>
          </cell>
          <cell r="D590" t="str">
            <v>GENERAL GOVERNMENT</v>
          </cell>
          <cell r="E590" t="str">
            <v/>
          </cell>
          <cell r="F590" t="str">
            <v>0000</v>
          </cell>
          <cell r="G590" t="str">
            <v>0000</v>
          </cell>
          <cell r="H590" t="str">
            <v>0000</v>
          </cell>
          <cell r="I590" t="str">
            <v>0000</v>
          </cell>
          <cell r="J590" t="str">
            <v>07/11/2006</v>
          </cell>
          <cell r="K590" t="str">
            <v>00/00/0000</v>
          </cell>
        </row>
        <row r="591">
          <cell r="A591" t="str">
            <v>9515</v>
          </cell>
          <cell r="B591" t="str">
            <v>APPT LOCAL AGENCY REIMB</v>
          </cell>
          <cell r="C591" t="str">
            <v>0808</v>
          </cell>
          <cell r="D591" t="str">
            <v>GENERAL GOVERNMENT</v>
          </cell>
          <cell r="E591" t="str">
            <v/>
          </cell>
          <cell r="F591" t="str">
            <v>0000</v>
          </cell>
          <cell r="G591" t="str">
            <v>0000</v>
          </cell>
          <cell r="H591" t="str">
            <v>0000</v>
          </cell>
          <cell r="I591" t="str">
            <v>0000</v>
          </cell>
          <cell r="J591" t="str">
            <v>07/11/2006</v>
          </cell>
          <cell r="K591" t="str">
            <v>00/00/0000</v>
          </cell>
        </row>
        <row r="592">
          <cell r="A592" t="str">
            <v>9520</v>
          </cell>
          <cell r="B592" t="str">
            <v>APPT OF GEOTHERMAL RESOURCES</v>
          </cell>
          <cell r="C592" t="str">
            <v>0808</v>
          </cell>
          <cell r="D592" t="str">
            <v>GENERAL GOVERNMENT</v>
          </cell>
          <cell r="E592" t="str">
            <v/>
          </cell>
          <cell r="F592" t="str">
            <v>0000</v>
          </cell>
          <cell r="G592" t="str">
            <v>0000</v>
          </cell>
          <cell r="H592" t="str">
            <v>0000</v>
          </cell>
          <cell r="I592" t="str">
            <v>0000</v>
          </cell>
          <cell r="J592" t="str">
            <v>07/11/2006</v>
          </cell>
          <cell r="K592" t="str">
            <v>00/00/0000</v>
          </cell>
        </row>
        <row r="593">
          <cell r="A593" t="str">
            <v>9535</v>
          </cell>
          <cell r="B593" t="str">
            <v>APPORTIONMENT OF LOCAL</v>
          </cell>
          <cell r="C593" t="str">
            <v>0830</v>
          </cell>
          <cell r="D593" t="str">
            <v>TRANSPORTATION</v>
          </cell>
          <cell r="E593" t="str">
            <v/>
          </cell>
          <cell r="F593" t="str">
            <v>0000</v>
          </cell>
          <cell r="G593" t="str">
            <v>0000</v>
          </cell>
          <cell r="H593" t="str">
            <v>0000</v>
          </cell>
          <cell r="I593" t="str">
            <v>0000</v>
          </cell>
          <cell r="J593" t="str">
            <v>10/28/2016</v>
          </cell>
          <cell r="K593" t="str">
            <v>00/00/0000</v>
          </cell>
        </row>
        <row r="594">
          <cell r="A594" t="str">
            <v>9540</v>
          </cell>
          <cell r="B594" t="str">
            <v>FEDERAL REVENUE SHARING</v>
          </cell>
          <cell r="C594" t="str">
            <v>0808</v>
          </cell>
          <cell r="D594" t="str">
            <v>GENERAL GOVERNMENT</v>
          </cell>
          <cell r="E594" t="str">
            <v/>
          </cell>
          <cell r="F594" t="str">
            <v>0000</v>
          </cell>
          <cell r="G594" t="str">
            <v>0000</v>
          </cell>
          <cell r="H594" t="str">
            <v>0000</v>
          </cell>
          <cell r="I594" t="str">
            <v>0000</v>
          </cell>
          <cell r="J594" t="str">
            <v>04/04/1984</v>
          </cell>
          <cell r="K594" t="str">
            <v>00/00/0000</v>
          </cell>
        </row>
        <row r="595">
          <cell r="A595" t="str">
            <v>9590</v>
          </cell>
          <cell r="B595" t="str">
            <v>PAYMENT OF PMIA INTEREST</v>
          </cell>
          <cell r="C595" t="str">
            <v>0850</v>
          </cell>
          <cell r="D595" t="str">
            <v>DEBT SERVICE INT &amp; FISCAL CHGS</v>
          </cell>
          <cell r="E595" t="str">
            <v/>
          </cell>
          <cell r="F595" t="str">
            <v>0000</v>
          </cell>
          <cell r="G595" t="str">
            <v>0000</v>
          </cell>
          <cell r="H595" t="str">
            <v>0000</v>
          </cell>
          <cell r="I595" t="str">
            <v>0000</v>
          </cell>
          <cell r="J595" t="str">
            <v>11/06/1993</v>
          </cell>
          <cell r="K595" t="str">
            <v>00/00/0000</v>
          </cell>
        </row>
        <row r="596">
          <cell r="A596" t="str">
            <v>9600</v>
          </cell>
          <cell r="B596" t="str">
            <v>GO BOND &amp; COMM PAP DEBT SVC</v>
          </cell>
          <cell r="C596" t="str">
            <v>0847</v>
          </cell>
          <cell r="D596" t="str">
            <v>BOND INTEREST AND REDEMPTION</v>
          </cell>
          <cell r="E596" t="str">
            <v/>
          </cell>
          <cell r="F596" t="str">
            <v>0000</v>
          </cell>
          <cell r="G596" t="str">
            <v>0000</v>
          </cell>
          <cell r="H596" t="str">
            <v>0000</v>
          </cell>
          <cell r="I596" t="str">
            <v>0000</v>
          </cell>
          <cell r="J596" t="str">
            <v>08/19/2016</v>
          </cell>
          <cell r="K596" t="str">
            <v>00/00/0000</v>
          </cell>
        </row>
        <row r="597">
          <cell r="A597" t="str">
            <v>9610</v>
          </cell>
          <cell r="B597" t="str">
            <v>LEASE-REV NOTES &amp; BONDS</v>
          </cell>
          <cell r="C597" t="str">
            <v>9000</v>
          </cell>
          <cell r="D597" t="str">
            <v>DEBT SERVICE INT &amp; FISCAL CHGS</v>
          </cell>
          <cell r="E597" t="str">
            <v/>
          </cell>
          <cell r="F597" t="str">
            <v>9030</v>
          </cell>
          <cell r="G597" t="str">
            <v>9610</v>
          </cell>
          <cell r="H597" t="str">
            <v>0000</v>
          </cell>
          <cell r="I597" t="str">
            <v>0000</v>
          </cell>
          <cell r="J597" t="str">
            <v>08/19/2016</v>
          </cell>
          <cell r="K597" t="str">
            <v>00/00/0000</v>
          </cell>
        </row>
        <row r="598">
          <cell r="A598" t="str">
            <v>9612</v>
          </cell>
          <cell r="B598" t="str">
            <v>ENHN TOBAC ASSET-BACKED BND</v>
          </cell>
          <cell r="C598" t="str">
            <v>0847</v>
          </cell>
          <cell r="D598" t="str">
            <v>BOND INTEREST AND REDEMPTION</v>
          </cell>
          <cell r="E598" t="str">
            <v>WHEN TOBACCO REVENUE IS SHORT</v>
          </cell>
          <cell r="F598" t="str">
            <v>0000</v>
          </cell>
          <cell r="G598" t="str">
            <v>0000</v>
          </cell>
          <cell r="H598" t="str">
            <v>0000</v>
          </cell>
          <cell r="I598" t="str">
            <v>0000</v>
          </cell>
          <cell r="J598" t="str">
            <v>08/19/2016</v>
          </cell>
          <cell r="K598" t="str">
            <v>00/00/0000</v>
          </cell>
        </row>
        <row r="599">
          <cell r="A599" t="str">
            <v>9613</v>
          </cell>
          <cell r="B599" t="str">
            <v>UNENHANCED TOBACCO BD PROCEEDS</v>
          </cell>
          <cell r="C599" t="str">
            <v>0808</v>
          </cell>
          <cell r="D599" t="str">
            <v>GENERAL GOVERNMENT</v>
          </cell>
          <cell r="E599" t="str">
            <v/>
          </cell>
          <cell r="F599" t="str">
            <v>0000</v>
          </cell>
          <cell r="G599" t="str">
            <v>0000</v>
          </cell>
          <cell r="H599" t="str">
            <v>0000</v>
          </cell>
          <cell r="I599" t="str">
            <v>0000</v>
          </cell>
          <cell r="J599" t="str">
            <v>02/26/2008</v>
          </cell>
          <cell r="K599" t="str">
            <v>00/00/0000</v>
          </cell>
        </row>
        <row r="600">
          <cell r="A600" t="str">
            <v>9618</v>
          </cell>
          <cell r="B600" t="str">
            <v>ECONOMIC RECOVERY FINANCE COMM</v>
          </cell>
          <cell r="C600" t="str">
            <v>0808</v>
          </cell>
          <cell r="D600" t="str">
            <v>GENERAL GOVERNMENT</v>
          </cell>
          <cell r="E600" t="str">
            <v/>
          </cell>
          <cell r="F600" t="str">
            <v>0000</v>
          </cell>
          <cell r="G600" t="str">
            <v>0000</v>
          </cell>
          <cell r="H600" t="str">
            <v>0000</v>
          </cell>
          <cell r="I600" t="str">
            <v>0000</v>
          </cell>
          <cell r="J600" t="str">
            <v>10/28/2005</v>
          </cell>
          <cell r="K600" t="str">
            <v>00/00/0000</v>
          </cell>
        </row>
        <row r="601">
          <cell r="A601" t="str">
            <v>9620</v>
          </cell>
          <cell r="B601" t="str">
            <v>CASH MGMT &amp; BUDGETARY LOANS</v>
          </cell>
          <cell r="C601" t="str">
            <v>0850</v>
          </cell>
          <cell r="D601" t="str">
            <v>DEBT SERVICE INT &amp; FISCAL CHGS</v>
          </cell>
          <cell r="E601" t="str">
            <v/>
          </cell>
          <cell r="F601" t="str">
            <v>0000</v>
          </cell>
          <cell r="G601" t="str">
            <v>0000</v>
          </cell>
          <cell r="H601" t="str">
            <v>0000</v>
          </cell>
          <cell r="I601" t="str">
            <v>0000</v>
          </cell>
          <cell r="J601" t="str">
            <v>08/19/2016</v>
          </cell>
          <cell r="K601" t="str">
            <v>00/00/0000</v>
          </cell>
        </row>
        <row r="602">
          <cell r="A602" t="str">
            <v>9625</v>
          </cell>
          <cell r="B602" t="str">
            <v>INT PYMTS TO FEDERAL GOVT</v>
          </cell>
          <cell r="C602" t="str">
            <v>0846</v>
          </cell>
          <cell r="D602" t="str">
            <v>DEBT SERVICE INT &amp; FISCAL CHGS</v>
          </cell>
          <cell r="E602" t="str">
            <v/>
          </cell>
          <cell r="F602" t="str">
            <v>0000</v>
          </cell>
          <cell r="G602" t="str">
            <v>0000</v>
          </cell>
          <cell r="H602" t="str">
            <v>0000</v>
          </cell>
          <cell r="I602" t="str">
            <v>0000</v>
          </cell>
          <cell r="J602" t="str">
            <v>08/19/2016</v>
          </cell>
          <cell r="K602" t="str">
            <v>00/00/0000</v>
          </cell>
        </row>
        <row r="603">
          <cell r="A603" t="str">
            <v>9632</v>
          </cell>
          <cell r="B603" t="str">
            <v>STATE MANDATED LOCAL COSTS</v>
          </cell>
          <cell r="C603" t="str">
            <v>0808</v>
          </cell>
          <cell r="D603" t="str">
            <v>GENERAL GOVERNMENT</v>
          </cell>
          <cell r="E603" t="str">
            <v/>
          </cell>
          <cell r="F603" t="str">
            <v>0000</v>
          </cell>
          <cell r="G603" t="str">
            <v>0000</v>
          </cell>
          <cell r="H603" t="str">
            <v>0000</v>
          </cell>
          <cell r="I603" t="str">
            <v>0000</v>
          </cell>
          <cell r="J603" t="str">
            <v>99/99/9999</v>
          </cell>
          <cell r="K603" t="str">
            <v>00/00/0000</v>
          </cell>
        </row>
        <row r="604">
          <cell r="A604" t="str">
            <v>9634</v>
          </cell>
          <cell r="B604" t="str">
            <v>GENERAL OBLIGATION BONDS</v>
          </cell>
          <cell r="C604" t="str">
            <v>9000</v>
          </cell>
          <cell r="D604" t="str">
            <v>GENERAL OBLIGATION BONDS</v>
          </cell>
          <cell r="E604" t="str">
            <v/>
          </cell>
          <cell r="F604" t="str">
            <v>9030</v>
          </cell>
          <cell r="G604" t="str">
            <v>9634</v>
          </cell>
          <cell r="H604" t="str">
            <v>0000</v>
          </cell>
          <cell r="I604" t="str">
            <v>0000</v>
          </cell>
          <cell r="J604" t="str">
            <v>06/13/1988</v>
          </cell>
          <cell r="K604" t="str">
            <v>00/00/0000</v>
          </cell>
        </row>
        <row r="605">
          <cell r="A605" t="str">
            <v>9636</v>
          </cell>
          <cell r="B605" t="str">
            <v>MISCELLANEOUS ADJUSTMENTS</v>
          </cell>
          <cell r="C605" t="str">
            <v>9000</v>
          </cell>
          <cell r="D605" t="str">
            <v>MISCELLANEOUS ADJUSTMENTS</v>
          </cell>
          <cell r="E605" t="str">
            <v/>
          </cell>
          <cell r="F605" t="str">
            <v>9030</v>
          </cell>
          <cell r="G605" t="str">
            <v>9636</v>
          </cell>
          <cell r="H605" t="str">
            <v>0000</v>
          </cell>
          <cell r="I605" t="str">
            <v>0000</v>
          </cell>
          <cell r="J605" t="str">
            <v>06/13/1988</v>
          </cell>
          <cell r="K605" t="str">
            <v>00/00/0000</v>
          </cell>
        </row>
        <row r="606">
          <cell r="A606" t="str">
            <v>9650</v>
          </cell>
          <cell r="B606" t="str">
            <v>HEALTH BENEFITS FOR ANNUITANTS</v>
          </cell>
          <cell r="C606" t="str">
            <v>0808</v>
          </cell>
          <cell r="D606" t="str">
            <v>GENERAL GOVERNMENT</v>
          </cell>
          <cell r="E606" t="str">
            <v/>
          </cell>
          <cell r="F606" t="str">
            <v>0000</v>
          </cell>
          <cell r="G606" t="str">
            <v>0000</v>
          </cell>
          <cell r="H606" t="str">
            <v>0000</v>
          </cell>
          <cell r="I606" t="str">
            <v>0000</v>
          </cell>
          <cell r="J606" t="str">
            <v>04/04/1984</v>
          </cell>
          <cell r="K606" t="str">
            <v>00/00/0000</v>
          </cell>
        </row>
        <row r="607">
          <cell r="A607" t="str">
            <v>9651</v>
          </cell>
          <cell r="B607" t="str">
            <v>PREFUND HEALTH &amp; DENTAL BEN</v>
          </cell>
          <cell r="C607" t="str">
            <v>0808</v>
          </cell>
          <cell r="D607" t="str">
            <v>GENERAL GOVERNMENT</v>
          </cell>
          <cell r="E607" t="str">
            <v/>
          </cell>
          <cell r="F607" t="str">
            <v>0000</v>
          </cell>
          <cell r="G607" t="str">
            <v>0000</v>
          </cell>
          <cell r="H607" t="str">
            <v>0000</v>
          </cell>
          <cell r="I607" t="str">
            <v>0000</v>
          </cell>
          <cell r="J607" t="str">
            <v>08/25/2010</v>
          </cell>
          <cell r="K607" t="str">
            <v>00/00/0000</v>
          </cell>
        </row>
        <row r="608">
          <cell r="A608" t="str">
            <v>9658</v>
          </cell>
          <cell r="B608" t="str">
            <v>BUDGET STABILIZATION ACCOUNT</v>
          </cell>
          <cell r="C608" t="str">
            <v>0808</v>
          </cell>
          <cell r="D608" t="str">
            <v>GENERAL GOVERNMENT</v>
          </cell>
          <cell r="E608" t="str">
            <v/>
          </cell>
          <cell r="F608" t="str">
            <v>0000</v>
          </cell>
          <cell r="G608" t="str">
            <v>0000</v>
          </cell>
          <cell r="H608" t="str">
            <v>0000</v>
          </cell>
          <cell r="I608" t="str">
            <v>0000</v>
          </cell>
          <cell r="J608" t="str">
            <v>07/11/2006</v>
          </cell>
          <cell r="K608" t="str">
            <v>00/00/0000</v>
          </cell>
        </row>
        <row r="609">
          <cell r="A609" t="str">
            <v>9670</v>
          </cell>
          <cell r="B609" t="str">
            <v>LEGISLATIVE CLAIMS</v>
          </cell>
          <cell r="C609" t="str">
            <v>0808</v>
          </cell>
          <cell r="D609" t="str">
            <v>GENERAL GOVERNMENT</v>
          </cell>
          <cell r="E609" t="str">
            <v/>
          </cell>
          <cell r="F609" t="str">
            <v>0000</v>
          </cell>
          <cell r="G609" t="str">
            <v>0000</v>
          </cell>
          <cell r="H609" t="str">
            <v>0000</v>
          </cell>
          <cell r="I609" t="str">
            <v>0000</v>
          </cell>
          <cell r="J609" t="str">
            <v>04/04/1984</v>
          </cell>
          <cell r="K609" t="str">
            <v>00/00/0000</v>
          </cell>
        </row>
        <row r="610">
          <cell r="A610" t="str">
            <v>9671</v>
          </cell>
          <cell r="B610" t="str">
            <v>EQUITY CLAIMS OF BD OF CONTROL</v>
          </cell>
          <cell r="C610" t="str">
            <v>0808</v>
          </cell>
          <cell r="D610" t="str">
            <v>GENERAL GOVERNMENT</v>
          </cell>
          <cell r="E610" t="str">
            <v/>
          </cell>
          <cell r="F610" t="str">
            <v>0000</v>
          </cell>
          <cell r="G610" t="str">
            <v>0000</v>
          </cell>
          <cell r="H610" t="str">
            <v>0000</v>
          </cell>
          <cell r="I610" t="str">
            <v>0000</v>
          </cell>
          <cell r="J610" t="str">
            <v>03/30/1994</v>
          </cell>
          <cell r="K610" t="str">
            <v>00/00/0000</v>
          </cell>
        </row>
        <row r="611">
          <cell r="A611" t="str">
            <v>9672</v>
          </cell>
          <cell r="B611" t="str">
            <v>SETTLEMENTS &amp; JUDGEMENTS DOJ</v>
          </cell>
          <cell r="C611" t="str">
            <v>0808</v>
          </cell>
          <cell r="D611" t="str">
            <v>GENERAL GOVERNMENT</v>
          </cell>
          <cell r="E611" t="str">
            <v/>
          </cell>
          <cell r="F611" t="str">
            <v>0000</v>
          </cell>
          <cell r="G611" t="str">
            <v>0000</v>
          </cell>
          <cell r="H611" t="str">
            <v>0000</v>
          </cell>
          <cell r="I611" t="str">
            <v>0000</v>
          </cell>
          <cell r="J611" t="str">
            <v>04/04/1994</v>
          </cell>
          <cell r="K611" t="str">
            <v>00/00/0000</v>
          </cell>
        </row>
        <row r="612">
          <cell r="A612" t="str">
            <v>9673</v>
          </cell>
          <cell r="B612" t="str">
            <v>S.F.-OAKLAND BAY BR.&amp;I-880</v>
          </cell>
          <cell r="C612" t="str">
            <v>0808</v>
          </cell>
          <cell r="D612" t="str">
            <v>GENERAL GOVERNMENT</v>
          </cell>
          <cell r="E612" t="str">
            <v/>
          </cell>
          <cell r="F612" t="str">
            <v>0000</v>
          </cell>
          <cell r="G612" t="str">
            <v>0000</v>
          </cell>
          <cell r="H612" t="str">
            <v>0000</v>
          </cell>
          <cell r="I612" t="str">
            <v>0000</v>
          </cell>
          <cell r="J612" t="str">
            <v>07/11/2006</v>
          </cell>
          <cell r="K612" t="str">
            <v>00/00/0000</v>
          </cell>
        </row>
        <row r="613">
          <cell r="A613" t="str">
            <v>9675</v>
          </cell>
          <cell r="B613" t="str">
            <v>CONSTRUCTN REPAIR-LOCAL ST&amp;RD</v>
          </cell>
          <cell r="C613" t="str">
            <v>0808</v>
          </cell>
          <cell r="D613" t="str">
            <v>GENERAL GOVERNMENT</v>
          </cell>
          <cell r="E613" t="str">
            <v/>
          </cell>
          <cell r="F613" t="str">
            <v>0000</v>
          </cell>
          <cell r="G613" t="str">
            <v>0000</v>
          </cell>
          <cell r="H613" t="str">
            <v>0000</v>
          </cell>
          <cell r="I613" t="str">
            <v>0000</v>
          </cell>
          <cell r="J613" t="str">
            <v>07/11/2006</v>
          </cell>
          <cell r="K613" t="str">
            <v>00/00/0000</v>
          </cell>
        </row>
        <row r="614">
          <cell r="A614" t="str">
            <v>9680</v>
          </cell>
          <cell r="B614" t="str">
            <v>STATE MANDATED LOCAL PROGRAMS</v>
          </cell>
          <cell r="C614" t="str">
            <v>0808</v>
          </cell>
          <cell r="D614" t="str">
            <v>GENERAL GOVERNMENT</v>
          </cell>
          <cell r="E614" t="str">
            <v/>
          </cell>
          <cell r="F614" t="str">
            <v>0000</v>
          </cell>
          <cell r="G614" t="str">
            <v>0000</v>
          </cell>
          <cell r="H614" t="str">
            <v>0000</v>
          </cell>
          <cell r="I614" t="str">
            <v>0000</v>
          </cell>
          <cell r="J614" t="str">
            <v>99/99/9999</v>
          </cell>
          <cell r="K614" t="str">
            <v>00/00/0000</v>
          </cell>
        </row>
        <row r="615">
          <cell r="A615" t="str">
            <v>9690</v>
          </cell>
          <cell r="B615" t="str">
            <v>REFUNDS OF TAX, LIC, OTHER FEE</v>
          </cell>
          <cell r="C615" t="str">
            <v>0808</v>
          </cell>
          <cell r="D615" t="str">
            <v>GENERAL GOVERNMENT</v>
          </cell>
          <cell r="E615" t="str">
            <v/>
          </cell>
          <cell r="F615" t="str">
            <v>0000</v>
          </cell>
          <cell r="G615" t="str">
            <v>0000</v>
          </cell>
          <cell r="H615" t="str">
            <v>0000</v>
          </cell>
          <cell r="I615" t="str">
            <v>0000</v>
          </cell>
          <cell r="J615" t="str">
            <v>07/11/2006</v>
          </cell>
          <cell r="K615" t="str">
            <v>00/00/0000</v>
          </cell>
        </row>
        <row r="616">
          <cell r="A616" t="str">
            <v>9695</v>
          </cell>
          <cell r="B616" t="str">
            <v>UNIVERSAL TELEPHONE SERVICE</v>
          </cell>
          <cell r="C616" t="str">
            <v>0808</v>
          </cell>
          <cell r="D616" t="str">
            <v>GENERAL GOVERNMENT</v>
          </cell>
          <cell r="E616" t="str">
            <v/>
          </cell>
          <cell r="F616" t="str">
            <v>0000</v>
          </cell>
          <cell r="G616" t="str">
            <v>0000</v>
          </cell>
          <cell r="H616" t="str">
            <v>0000</v>
          </cell>
          <cell r="I616" t="str">
            <v>0000</v>
          </cell>
          <cell r="J616" t="str">
            <v>06/23/1987</v>
          </cell>
          <cell r="K616" t="str">
            <v>01/01/1989</v>
          </cell>
        </row>
        <row r="617">
          <cell r="A617" t="str">
            <v>9720</v>
          </cell>
          <cell r="B617" t="str">
            <v>WORKING CAPITAL ADVANCES</v>
          </cell>
          <cell r="C617" t="str">
            <v>0808</v>
          </cell>
          <cell r="D617" t="str">
            <v>GENERAL GOVERNMENT</v>
          </cell>
          <cell r="E617" t="str">
            <v/>
          </cell>
          <cell r="F617" t="str">
            <v>0000</v>
          </cell>
          <cell r="G617" t="str">
            <v>0000</v>
          </cell>
          <cell r="H617" t="str">
            <v>0000</v>
          </cell>
          <cell r="I617" t="str">
            <v>0000</v>
          </cell>
          <cell r="J617" t="str">
            <v>99/99/9999</v>
          </cell>
          <cell r="K617" t="str">
            <v>00/00/0000</v>
          </cell>
        </row>
        <row r="618">
          <cell r="A618" t="str">
            <v>9730</v>
          </cell>
          <cell r="B618" t="str">
            <v>ST CLEAN WTR GRANTS REVLVG FD</v>
          </cell>
          <cell r="C618" t="str">
            <v>0808</v>
          </cell>
          <cell r="D618" t="str">
            <v>GENERAL GOVERNMENT</v>
          </cell>
          <cell r="E618" t="str">
            <v/>
          </cell>
          <cell r="F618" t="str">
            <v>0000</v>
          </cell>
          <cell r="G618" t="str">
            <v>0000</v>
          </cell>
          <cell r="H618" t="str">
            <v>0000</v>
          </cell>
          <cell r="I618" t="str">
            <v>0000</v>
          </cell>
          <cell r="J618" t="str">
            <v>07/11/2006</v>
          </cell>
          <cell r="K618" t="str">
            <v>00/00/0000</v>
          </cell>
        </row>
        <row r="619">
          <cell r="A619" t="str">
            <v>9740</v>
          </cell>
          <cell r="B619" t="str">
            <v>COOP PERSONNEL SERV REVLVNG FD</v>
          </cell>
          <cell r="C619" t="str">
            <v>0808</v>
          </cell>
          <cell r="D619" t="str">
            <v>GENERAL GOVERNMENT</v>
          </cell>
          <cell r="E619" t="str">
            <v/>
          </cell>
          <cell r="F619" t="str">
            <v>0000</v>
          </cell>
          <cell r="G619" t="str">
            <v>0000</v>
          </cell>
          <cell r="H619" t="str">
            <v>0000</v>
          </cell>
          <cell r="I619" t="str">
            <v>0000</v>
          </cell>
          <cell r="J619" t="str">
            <v>07/11/2006</v>
          </cell>
          <cell r="K619" t="str">
            <v>00/00/0000</v>
          </cell>
        </row>
        <row r="620">
          <cell r="A620" t="str">
            <v>9750</v>
          </cell>
          <cell r="B620" t="str">
            <v>COUNTY FORMATION REVOLVING FD</v>
          </cell>
          <cell r="C620" t="str">
            <v>0808</v>
          </cell>
          <cell r="D620" t="str">
            <v>GENERAL GOVERNMENT</v>
          </cell>
          <cell r="E620" t="str">
            <v/>
          </cell>
          <cell r="F620" t="str">
            <v>0000</v>
          </cell>
          <cell r="G620" t="str">
            <v>0000</v>
          </cell>
          <cell r="H620" t="str">
            <v>0000</v>
          </cell>
          <cell r="I620" t="str">
            <v>0000</v>
          </cell>
          <cell r="J620" t="str">
            <v>07/11/2006</v>
          </cell>
          <cell r="K620" t="str">
            <v>00/00/0000</v>
          </cell>
        </row>
        <row r="621">
          <cell r="A621" t="str">
            <v>9790</v>
          </cell>
          <cell r="B621" t="str">
            <v>AUGM MED FRUIT FLY ERAD PROG</v>
          </cell>
          <cell r="C621" t="str">
            <v>0808</v>
          </cell>
          <cell r="D621" t="str">
            <v>GENERAL GOVERNMENT</v>
          </cell>
          <cell r="E621" t="str">
            <v/>
          </cell>
          <cell r="F621" t="str">
            <v>0000</v>
          </cell>
          <cell r="G621" t="str">
            <v>0000</v>
          </cell>
          <cell r="H621" t="str">
            <v>0000</v>
          </cell>
          <cell r="I621" t="str">
            <v>0000</v>
          </cell>
          <cell r="J621" t="str">
            <v>07/11/2006</v>
          </cell>
          <cell r="K621" t="str">
            <v>00/00/0000</v>
          </cell>
        </row>
        <row r="622">
          <cell r="A622" t="str">
            <v>9800</v>
          </cell>
          <cell r="B622" t="str">
            <v>AUGMENTATION/EMP COMPENSATION</v>
          </cell>
          <cell r="C622" t="str">
            <v>0808</v>
          </cell>
          <cell r="D622" t="str">
            <v>GENERAL GOVERNMENT</v>
          </cell>
          <cell r="E622" t="str">
            <v/>
          </cell>
          <cell r="F622" t="str">
            <v>0000</v>
          </cell>
          <cell r="G622" t="str">
            <v>0000</v>
          </cell>
          <cell r="H622" t="str">
            <v>0000</v>
          </cell>
          <cell r="I622" t="str">
            <v>0000</v>
          </cell>
          <cell r="J622" t="str">
            <v>07/11/2006</v>
          </cell>
          <cell r="K622" t="str">
            <v>00/00/0000</v>
          </cell>
        </row>
        <row r="623">
          <cell r="A623" t="str">
            <v>9801</v>
          </cell>
          <cell r="B623" t="str">
            <v>REDUCTION FOR EMPLOYEE COMP</v>
          </cell>
          <cell r="C623" t="str">
            <v>0808</v>
          </cell>
          <cell r="D623" t="str">
            <v>GENERAL GOVERNMENT</v>
          </cell>
          <cell r="E623" t="str">
            <v/>
          </cell>
          <cell r="F623" t="str">
            <v>0000</v>
          </cell>
          <cell r="G623" t="str">
            <v>0000</v>
          </cell>
          <cell r="H623" t="str">
            <v>0000</v>
          </cell>
          <cell r="I623" t="str">
            <v>0000</v>
          </cell>
          <cell r="J623" t="str">
            <v>08/25/2010</v>
          </cell>
          <cell r="K623" t="str">
            <v>00/00/0000</v>
          </cell>
        </row>
        <row r="624">
          <cell r="A624" t="str">
            <v>9802</v>
          </cell>
          <cell r="B624" t="str">
            <v>JUNE TO JULY PAYROLL DEFERRAL</v>
          </cell>
          <cell r="C624" t="str">
            <v>0802</v>
          </cell>
          <cell r="D624" t="str">
            <v>DEFERRED PAYROLL ADJUST</v>
          </cell>
          <cell r="E624" t="str">
            <v/>
          </cell>
          <cell r="F624" t="str">
            <v>0000</v>
          </cell>
          <cell r="G624" t="str">
            <v>0000</v>
          </cell>
          <cell r="H624" t="str">
            <v>0000</v>
          </cell>
          <cell r="I624" t="str">
            <v>0000</v>
          </cell>
          <cell r="J624" t="str">
            <v>08/19/2016</v>
          </cell>
          <cell r="K624" t="str">
            <v>00/00/0000</v>
          </cell>
        </row>
        <row r="625">
          <cell r="A625" t="str">
            <v>9810</v>
          </cell>
          <cell r="B625" t="str">
            <v>UNALLOCATED ATTORNEY FEES</v>
          </cell>
          <cell r="C625" t="str">
            <v>0808</v>
          </cell>
          <cell r="D625" t="str">
            <v>GENERAL GOVERNMENT</v>
          </cell>
          <cell r="E625" t="str">
            <v/>
          </cell>
          <cell r="F625" t="str">
            <v>0000</v>
          </cell>
          <cell r="G625" t="str">
            <v>0000</v>
          </cell>
          <cell r="H625" t="str">
            <v>0000</v>
          </cell>
          <cell r="I625" t="str">
            <v>0000</v>
          </cell>
          <cell r="J625" t="str">
            <v>07/11/2006</v>
          </cell>
          <cell r="K625" t="str">
            <v>00/00/0000</v>
          </cell>
        </row>
        <row r="626">
          <cell r="A626" t="str">
            <v>9818</v>
          </cell>
          <cell r="B626" t="str">
            <v>FEDERAL LEVY OF STATE FUNDS</v>
          </cell>
          <cell r="C626" t="str">
            <v>0808</v>
          </cell>
          <cell r="D626" t="str">
            <v>GENERAL GOVERNMENT</v>
          </cell>
          <cell r="E626" t="str">
            <v/>
          </cell>
          <cell r="F626" t="str">
            <v>0000</v>
          </cell>
          <cell r="G626" t="str">
            <v>0000</v>
          </cell>
          <cell r="H626" t="str">
            <v>0000</v>
          </cell>
          <cell r="I626" t="str">
            <v>0000</v>
          </cell>
          <cell r="J626" t="str">
            <v>12/16/1988</v>
          </cell>
          <cell r="K626" t="str">
            <v>00/00/0000</v>
          </cell>
        </row>
        <row r="627">
          <cell r="A627" t="str">
            <v>9820</v>
          </cell>
          <cell r="B627" t="str">
            <v>AUGMENTATION PRICE INCREASES</v>
          </cell>
          <cell r="C627" t="str">
            <v>0808</v>
          </cell>
          <cell r="D627" t="str">
            <v>GENERAL GOVERNMENT</v>
          </cell>
          <cell r="E627" t="str">
            <v/>
          </cell>
          <cell r="F627" t="str">
            <v>0000</v>
          </cell>
          <cell r="G627" t="str">
            <v>0000</v>
          </cell>
          <cell r="H627" t="str">
            <v>0000</v>
          </cell>
          <cell r="I627" t="str">
            <v>0000</v>
          </cell>
          <cell r="J627" t="str">
            <v>07/11/2006</v>
          </cell>
          <cell r="K627" t="str">
            <v>00/00/0000</v>
          </cell>
        </row>
        <row r="628">
          <cell r="A628" t="str">
            <v>9840</v>
          </cell>
          <cell r="B628" t="str">
            <v>RESV FOR CONTINGENCIES/EMERG</v>
          </cell>
          <cell r="C628" t="str">
            <v>0808</v>
          </cell>
          <cell r="D628" t="str">
            <v>GENERAL GOVERNMENT</v>
          </cell>
          <cell r="E628" t="str">
            <v/>
          </cell>
          <cell r="F628" t="str">
            <v>0000</v>
          </cell>
          <cell r="G628" t="str">
            <v>0000</v>
          </cell>
          <cell r="H628" t="str">
            <v>0000</v>
          </cell>
          <cell r="I628" t="str">
            <v>0000</v>
          </cell>
          <cell r="J628" t="str">
            <v>07/11/2006</v>
          </cell>
          <cell r="K628" t="str">
            <v>00/00/0000</v>
          </cell>
        </row>
        <row r="629">
          <cell r="A629" t="str">
            <v>9850</v>
          </cell>
          <cell r="B629" t="str">
            <v>LOANS-CONTINGENCY/EMERGENCY</v>
          </cell>
          <cell r="C629" t="str">
            <v>0808</v>
          </cell>
          <cell r="D629" t="str">
            <v>GENERAL GOVERNMENT</v>
          </cell>
          <cell r="E629" t="str">
            <v/>
          </cell>
          <cell r="F629" t="str">
            <v>0000</v>
          </cell>
          <cell r="G629" t="str">
            <v>0000</v>
          </cell>
          <cell r="H629" t="str">
            <v>0000</v>
          </cell>
          <cell r="I629" t="str">
            <v>0000</v>
          </cell>
          <cell r="J629" t="str">
            <v>07/11/2006</v>
          </cell>
          <cell r="K629" t="str">
            <v>00/00/0000</v>
          </cell>
        </row>
        <row r="630">
          <cell r="A630" t="str">
            <v>9855</v>
          </cell>
          <cell r="B630" t="str">
            <v>LEGISLATIVE INITIATIVES</v>
          </cell>
          <cell r="C630" t="str">
            <v>0808</v>
          </cell>
          <cell r="D630" t="str">
            <v>GENERAL GOVERNMENT</v>
          </cell>
          <cell r="E630" t="str">
            <v/>
          </cell>
          <cell r="F630" t="str">
            <v>0000</v>
          </cell>
          <cell r="G630" t="str">
            <v>0000</v>
          </cell>
          <cell r="H630" t="str">
            <v>0000</v>
          </cell>
          <cell r="I630" t="str">
            <v>0000</v>
          </cell>
          <cell r="J630" t="str">
            <v>04/06/1984</v>
          </cell>
          <cell r="K630" t="str">
            <v>00/00/0000</v>
          </cell>
        </row>
        <row r="631">
          <cell r="A631" t="str">
            <v>9860</v>
          </cell>
          <cell r="B631" t="str">
            <v>UNALLOCATED CAPITAL OUTLAY</v>
          </cell>
          <cell r="C631" t="str">
            <v>0808</v>
          </cell>
          <cell r="D631" t="str">
            <v>GENERAL GOVERNMENT</v>
          </cell>
          <cell r="E631" t="str">
            <v/>
          </cell>
          <cell r="F631" t="str">
            <v>0000</v>
          </cell>
          <cell r="G631" t="str">
            <v>0000</v>
          </cell>
          <cell r="H631" t="str">
            <v>0000</v>
          </cell>
          <cell r="I631" t="str">
            <v>0000</v>
          </cell>
          <cell r="J631" t="str">
            <v>04/04/1984</v>
          </cell>
          <cell r="K631" t="str">
            <v>00/00/0000</v>
          </cell>
        </row>
        <row r="632">
          <cell r="A632" t="str">
            <v>9865</v>
          </cell>
          <cell r="B632" t="str">
            <v>PAYMT OF ARCH ENGINEERNG COST</v>
          </cell>
          <cell r="C632" t="str">
            <v>0808</v>
          </cell>
          <cell r="D632" t="str">
            <v>GENERAL GOVERNMENT</v>
          </cell>
          <cell r="E632" t="str">
            <v/>
          </cell>
          <cell r="F632" t="str">
            <v>0000</v>
          </cell>
          <cell r="G632" t="str">
            <v>0000</v>
          </cell>
          <cell r="H632" t="str">
            <v>0000</v>
          </cell>
          <cell r="I632" t="str">
            <v>0000</v>
          </cell>
          <cell r="J632" t="str">
            <v>07/11/2006</v>
          </cell>
          <cell r="K632" t="str">
            <v>00/00/0000</v>
          </cell>
        </row>
        <row r="633">
          <cell r="A633" t="str">
            <v>9875</v>
          </cell>
          <cell r="B633" t="str">
            <v>GEN FND DEFICIT RECOVERY PMTS</v>
          </cell>
          <cell r="C633" t="str">
            <v>0808</v>
          </cell>
          <cell r="D633" t="str">
            <v>GENERAL GOVERNMENT</v>
          </cell>
          <cell r="E633" t="str">
            <v/>
          </cell>
          <cell r="F633" t="str">
            <v>0000</v>
          </cell>
          <cell r="G633" t="str">
            <v>0000</v>
          </cell>
          <cell r="H633" t="str">
            <v>0000</v>
          </cell>
          <cell r="I633" t="str">
            <v>0000</v>
          </cell>
          <cell r="J633" t="str">
            <v>11/02/2004</v>
          </cell>
          <cell r="K633" t="str">
            <v>00/00/0000</v>
          </cell>
        </row>
        <row r="634">
          <cell r="A634" t="str">
            <v>9880</v>
          </cell>
          <cell r="B634" t="str">
            <v>AUGM OFFICE OF ADMIN LAW SERV</v>
          </cell>
          <cell r="C634" t="str">
            <v>0808</v>
          </cell>
          <cell r="D634" t="str">
            <v>GENERAL GOVERNMENT</v>
          </cell>
          <cell r="E634" t="str">
            <v/>
          </cell>
          <cell r="F634" t="str">
            <v>0000</v>
          </cell>
          <cell r="G634" t="str">
            <v>0000</v>
          </cell>
          <cell r="H634" t="str">
            <v>0000</v>
          </cell>
          <cell r="I634" t="str">
            <v>0000</v>
          </cell>
          <cell r="J634" t="str">
            <v>07/11/2006</v>
          </cell>
          <cell r="K634" t="str">
            <v>00/00/0000</v>
          </cell>
        </row>
        <row r="635">
          <cell r="A635" t="str">
            <v>9885</v>
          </cell>
          <cell r="B635" t="str">
            <v>RESERVE FOR ENCUMBRANCE</v>
          </cell>
          <cell r="C635" t="str">
            <v>0808</v>
          </cell>
          <cell r="D635" t="str">
            <v>GENERAL GOVERNMENT</v>
          </cell>
          <cell r="E635" t="str">
            <v/>
          </cell>
          <cell r="F635" t="str">
            <v>0000</v>
          </cell>
          <cell r="G635" t="str">
            <v>0000</v>
          </cell>
          <cell r="H635" t="str">
            <v>0000</v>
          </cell>
          <cell r="I635" t="str">
            <v>0000</v>
          </cell>
          <cell r="J635" t="str">
            <v>01/23/1991</v>
          </cell>
          <cell r="K635" t="str">
            <v>00/00/0000</v>
          </cell>
        </row>
        <row r="636">
          <cell r="A636" t="str">
            <v>9889</v>
          </cell>
          <cell r="B636" t="str">
            <v>PUBLIC SCHOOL SYSTEM STABILIZA</v>
          </cell>
          <cell r="C636" t="str">
            <v>0810</v>
          </cell>
          <cell r="D636" t="str">
            <v>PUBLIC SCHOOL SYSTEM</v>
          </cell>
          <cell r="E636" t="str">
            <v>STABILIZATION ACCOUNT</v>
          </cell>
          <cell r="F636" t="str">
            <v>0000</v>
          </cell>
          <cell r="G636" t="str">
            <v>0000</v>
          </cell>
          <cell r="H636" t="str">
            <v>0000</v>
          </cell>
          <cell r="I636" t="str">
            <v>0000</v>
          </cell>
          <cell r="J636" t="str">
            <v>04/01/2020</v>
          </cell>
          <cell r="K636" t="str">
            <v>00/00/0000</v>
          </cell>
        </row>
        <row r="637">
          <cell r="A637" t="str">
            <v>9890</v>
          </cell>
          <cell r="B637" t="str">
            <v>RES FOR ECONOMIC UNCERTAINTIES</v>
          </cell>
          <cell r="C637" t="str">
            <v>0808</v>
          </cell>
          <cell r="D637" t="str">
            <v>GENERAL GOVERNMENT</v>
          </cell>
          <cell r="E637" t="str">
            <v/>
          </cell>
          <cell r="F637" t="str">
            <v>0000</v>
          </cell>
          <cell r="G637" t="str">
            <v>0000</v>
          </cell>
          <cell r="H637" t="str">
            <v>0000</v>
          </cell>
          <cell r="I637" t="str">
            <v>0000</v>
          </cell>
          <cell r="J637" t="str">
            <v>07/11/2006</v>
          </cell>
          <cell r="K637" t="str">
            <v>00/00/0000</v>
          </cell>
        </row>
        <row r="638">
          <cell r="A638" t="str">
            <v>9891</v>
          </cell>
          <cell r="B638" t="str">
            <v>DEPT OF HEALTH HUMAN SERVICES</v>
          </cell>
          <cell r="C638" t="str">
            <v>0815</v>
          </cell>
          <cell r="D638" t="str">
            <v>HEALTH AND HUMAN SERVICES</v>
          </cell>
          <cell r="E638" t="str">
            <v/>
          </cell>
          <cell r="F638" t="str">
            <v>0000</v>
          </cell>
          <cell r="G638" t="str">
            <v>0000</v>
          </cell>
          <cell r="H638" t="str">
            <v>0000</v>
          </cell>
          <cell r="I638" t="str">
            <v>0000</v>
          </cell>
          <cell r="J638" t="str">
            <v>10/28/2016</v>
          </cell>
          <cell r="K638" t="str">
            <v>00/00/0000</v>
          </cell>
        </row>
        <row r="639">
          <cell r="A639" t="str">
            <v>9892</v>
          </cell>
          <cell r="B639" t="str">
            <v>SUPPLEMENTAL PENSION PAYMENTS</v>
          </cell>
          <cell r="C639" t="str">
            <v>0843</v>
          </cell>
          <cell r="D639" t="str">
            <v>INT. ON INTERFUND LOANS</v>
          </cell>
          <cell r="E639" t="str">
            <v/>
          </cell>
          <cell r="F639" t="str">
            <v>0000</v>
          </cell>
          <cell r="G639" t="str">
            <v>0000</v>
          </cell>
          <cell r="H639" t="str">
            <v>0000</v>
          </cell>
          <cell r="I639" t="str">
            <v>0000</v>
          </cell>
          <cell r="J639" t="str">
            <v>11/22/2019</v>
          </cell>
          <cell r="K639" t="str">
            <v>00/00/0000</v>
          </cell>
        </row>
        <row r="640">
          <cell r="A640" t="str">
            <v>9895</v>
          </cell>
          <cell r="B640" t="str">
            <v>PETROLEUM VIOLATION ESCROW PRO</v>
          </cell>
          <cell r="C640" t="str">
            <v>0808</v>
          </cell>
          <cell r="D640" t="str">
            <v>GENERAL GOVERNMENT</v>
          </cell>
          <cell r="E640" t="str">
            <v/>
          </cell>
          <cell r="F640" t="str">
            <v>0000</v>
          </cell>
          <cell r="G640" t="str">
            <v>0000</v>
          </cell>
          <cell r="H640" t="str">
            <v>0000</v>
          </cell>
          <cell r="I640" t="str">
            <v>0000</v>
          </cell>
          <cell r="J640" t="str">
            <v>07/11/2006</v>
          </cell>
          <cell r="K640" t="str">
            <v>00/00/0000</v>
          </cell>
        </row>
        <row r="641">
          <cell r="A641" t="str">
            <v>9896</v>
          </cell>
          <cell r="B641" t="str">
            <v>OUTER CONT SHELF LAND ACT</v>
          </cell>
          <cell r="C641" t="str">
            <v>0808</v>
          </cell>
          <cell r="D641" t="str">
            <v>GENERAL GOVERNMENT</v>
          </cell>
          <cell r="E641" t="str">
            <v/>
          </cell>
          <cell r="F641" t="str">
            <v>0000</v>
          </cell>
          <cell r="G641" t="str">
            <v>0000</v>
          </cell>
          <cell r="H641" t="str">
            <v>0000</v>
          </cell>
          <cell r="I641" t="str">
            <v>0000</v>
          </cell>
          <cell r="J641" t="str">
            <v>07/11/2006</v>
          </cell>
          <cell r="K641" t="str">
            <v>00/00/0000</v>
          </cell>
        </row>
        <row r="642">
          <cell r="A642" t="str">
            <v>9898</v>
          </cell>
          <cell r="B642" t="str">
            <v>PERS GENERAL FUND PAYMENT</v>
          </cell>
          <cell r="C642" t="str">
            <v>0808</v>
          </cell>
          <cell r="D642" t="str">
            <v>GENERAL GOVERNMENT</v>
          </cell>
          <cell r="E642" t="str">
            <v/>
          </cell>
          <cell r="F642" t="str">
            <v>0000</v>
          </cell>
          <cell r="G642" t="str">
            <v>0000</v>
          </cell>
          <cell r="H642" t="str">
            <v>0000</v>
          </cell>
          <cell r="I642" t="str">
            <v>0000</v>
          </cell>
          <cell r="J642" t="str">
            <v>11/04/1998</v>
          </cell>
          <cell r="K642" t="str">
            <v>00/00/0000</v>
          </cell>
        </row>
        <row r="643">
          <cell r="A643" t="str">
            <v>9900</v>
          </cell>
          <cell r="B643" t="str">
            <v>GEN FD CREDITS FROM SPEC FUNDS</v>
          </cell>
          <cell r="C643" t="str">
            <v>0808</v>
          </cell>
          <cell r="D643" t="str">
            <v>GENERAL GOVERNMENT</v>
          </cell>
          <cell r="E643" t="str">
            <v/>
          </cell>
          <cell r="F643" t="str">
            <v>0000</v>
          </cell>
          <cell r="G643" t="str">
            <v>0000</v>
          </cell>
          <cell r="H643" t="str">
            <v>0000</v>
          </cell>
          <cell r="I643" t="str">
            <v>0000</v>
          </cell>
          <cell r="J643" t="str">
            <v>07/11/2006</v>
          </cell>
          <cell r="K643" t="str">
            <v>00/00/0000</v>
          </cell>
        </row>
        <row r="644">
          <cell r="A644" t="str">
            <v>9901</v>
          </cell>
          <cell r="B644" t="str">
            <v>STATEWIDE GEN ADM EXP (PR)</v>
          </cell>
          <cell r="C644" t="str">
            <v>0808</v>
          </cell>
          <cell r="D644" t="str">
            <v>GENERAL GOVERNMENT</v>
          </cell>
          <cell r="E644" t="str">
            <v/>
          </cell>
          <cell r="F644" t="str">
            <v>0000</v>
          </cell>
          <cell r="G644" t="str">
            <v>0000</v>
          </cell>
          <cell r="H644" t="str">
            <v>0000</v>
          </cell>
          <cell r="I644" t="str">
            <v>0000</v>
          </cell>
          <cell r="J644" t="str">
            <v>07/11/2006</v>
          </cell>
          <cell r="K644" t="str">
            <v>00/00/0000</v>
          </cell>
        </row>
        <row r="645">
          <cell r="A645" t="str">
            <v>9909</v>
          </cell>
          <cell r="B645" t="str">
            <v>HLTH INS PORTABLTY ACCTABLTY</v>
          </cell>
          <cell r="C645" t="str">
            <v>0815</v>
          </cell>
          <cell r="D645" t="str">
            <v>HEALTH AND HUMAN SERVICES</v>
          </cell>
          <cell r="E645" t="str">
            <v/>
          </cell>
          <cell r="F645" t="str">
            <v>0000</v>
          </cell>
          <cell r="G645" t="str">
            <v>0000</v>
          </cell>
          <cell r="H645" t="str">
            <v>0000</v>
          </cell>
          <cell r="I645" t="str">
            <v>0000</v>
          </cell>
          <cell r="J645" t="str">
            <v>10/28/2016</v>
          </cell>
          <cell r="K645" t="str">
            <v>00/00/0000</v>
          </cell>
        </row>
        <row r="646">
          <cell r="A646" t="str">
            <v>9910</v>
          </cell>
          <cell r="B646" t="str">
            <v>GEN FD CREDITS FROM FED FUNDS</v>
          </cell>
          <cell r="C646" t="str">
            <v>0808</v>
          </cell>
          <cell r="D646" t="str">
            <v>GENERAL GOVERNMENT</v>
          </cell>
          <cell r="E646" t="str">
            <v/>
          </cell>
          <cell r="F646" t="str">
            <v>0000</v>
          </cell>
          <cell r="G646" t="str">
            <v>0000</v>
          </cell>
          <cell r="H646" t="str">
            <v>0000</v>
          </cell>
          <cell r="I646" t="str">
            <v>0000</v>
          </cell>
          <cell r="J646" t="str">
            <v>07/11/2006</v>
          </cell>
          <cell r="K646" t="str">
            <v>00/00/0000</v>
          </cell>
        </row>
        <row r="647">
          <cell r="A647" t="str">
            <v>9920</v>
          </cell>
          <cell r="B647" t="str">
            <v>MANDATED REDUCTIONS</v>
          </cell>
          <cell r="C647" t="str">
            <v>0808</v>
          </cell>
          <cell r="D647" t="str">
            <v>GENERAL GOVERNMENT</v>
          </cell>
          <cell r="E647" t="str">
            <v/>
          </cell>
          <cell r="F647" t="str">
            <v>0000</v>
          </cell>
          <cell r="G647" t="str">
            <v>0000</v>
          </cell>
          <cell r="H647" t="str">
            <v>0000</v>
          </cell>
          <cell r="I647" t="str">
            <v>0000</v>
          </cell>
          <cell r="J647" t="str">
            <v>04/04/1984</v>
          </cell>
          <cell r="K647" t="str">
            <v>00/00/0000</v>
          </cell>
        </row>
        <row r="648">
          <cell r="A648" t="str">
            <v>9930</v>
          </cell>
          <cell r="B648" t="str">
            <v>PERS RATE REDUCTION-SEC. 3.60</v>
          </cell>
          <cell r="C648" t="str">
            <v>0808</v>
          </cell>
          <cell r="D648" t="str">
            <v>GENERAL GOVERNMENT</v>
          </cell>
          <cell r="E648" t="str">
            <v/>
          </cell>
          <cell r="F648" t="str">
            <v>0000</v>
          </cell>
          <cell r="G648" t="str">
            <v>0000</v>
          </cell>
          <cell r="H648" t="str">
            <v>0000</v>
          </cell>
          <cell r="I648" t="str">
            <v>0000</v>
          </cell>
          <cell r="J648" t="str">
            <v>06/13/1988</v>
          </cell>
          <cell r="K648" t="str">
            <v>00/00/0000</v>
          </cell>
        </row>
        <row r="649">
          <cell r="A649" t="str">
            <v>9935</v>
          </cell>
          <cell r="B649" t="str">
            <v>VARIOUS RETIREMENT SAV PROPSL</v>
          </cell>
          <cell r="C649" t="str">
            <v>0808</v>
          </cell>
          <cell r="D649" t="str">
            <v>GENERAL GOVERNMENT</v>
          </cell>
          <cell r="E649" t="str">
            <v/>
          </cell>
          <cell r="F649" t="str">
            <v>0000</v>
          </cell>
          <cell r="G649" t="str">
            <v>0000</v>
          </cell>
          <cell r="H649" t="str">
            <v>0000</v>
          </cell>
          <cell r="I649" t="str">
            <v>0000</v>
          </cell>
          <cell r="J649" t="str">
            <v>07/11/2006</v>
          </cell>
          <cell r="K649" t="str">
            <v>00/00/0000</v>
          </cell>
        </row>
        <row r="650">
          <cell r="A650" t="str">
            <v>9936</v>
          </cell>
          <cell r="B650" t="str">
            <v>PERS-SURPLUS ASSET SAVINGS</v>
          </cell>
          <cell r="C650" t="str">
            <v>0808</v>
          </cell>
          <cell r="D650" t="str">
            <v>GENERAL GOVERNMENT</v>
          </cell>
          <cell r="E650" t="str">
            <v/>
          </cell>
          <cell r="F650" t="str">
            <v>0000</v>
          </cell>
          <cell r="G650" t="str">
            <v>0000</v>
          </cell>
          <cell r="H650" t="str">
            <v>0000</v>
          </cell>
          <cell r="I650" t="str">
            <v>0000</v>
          </cell>
          <cell r="J650" t="str">
            <v>10/24/1995</v>
          </cell>
          <cell r="K650" t="str">
            <v>00/00/0000</v>
          </cell>
        </row>
        <row r="651">
          <cell r="A651" t="str">
            <v>9942</v>
          </cell>
          <cell r="B651" t="str">
            <v>EST. BOND FUND APPROP ADJ.</v>
          </cell>
          <cell r="C651" t="str">
            <v>0808</v>
          </cell>
          <cell r="D651" t="str">
            <v>GENERAL GOVERNMENT</v>
          </cell>
          <cell r="E651" t="str">
            <v/>
          </cell>
          <cell r="F651" t="str">
            <v>0000</v>
          </cell>
          <cell r="G651" t="str">
            <v>0000</v>
          </cell>
          <cell r="H651" t="str">
            <v>0000</v>
          </cell>
          <cell r="I651" t="str">
            <v>0000</v>
          </cell>
          <cell r="J651" t="str">
            <v>10/17/1988</v>
          </cell>
          <cell r="K651" t="str">
            <v>00/00/0000</v>
          </cell>
        </row>
        <row r="652">
          <cell r="A652" t="str">
            <v>9990</v>
          </cell>
          <cell r="B652" t="str">
            <v>MISCELLANEOUS</v>
          </cell>
          <cell r="C652" t="str">
            <v>0808</v>
          </cell>
          <cell r="D652" t="str">
            <v>GENERAL GOVERNMENT</v>
          </cell>
          <cell r="E652" t="str">
            <v/>
          </cell>
          <cell r="F652" t="str">
            <v>0000</v>
          </cell>
          <cell r="G652" t="str">
            <v>0000</v>
          </cell>
          <cell r="H652" t="str">
            <v>0000</v>
          </cell>
          <cell r="I652" t="str">
            <v>0000</v>
          </cell>
          <cell r="J652" t="str">
            <v>12/16/1988</v>
          </cell>
          <cell r="K652" t="str">
            <v>00/00/0000</v>
          </cell>
        </row>
        <row r="653">
          <cell r="A653" t="str">
            <v>9998</v>
          </cell>
          <cell r="B653" t="str">
            <v>CONTROL SEC FOR BUDGET</v>
          </cell>
          <cell r="C653" t="str">
            <v>0808</v>
          </cell>
          <cell r="D653" t="str">
            <v>GENERAL GOVERNMENT</v>
          </cell>
          <cell r="E653" t="str">
            <v/>
          </cell>
          <cell r="F653" t="str">
            <v>0000</v>
          </cell>
          <cell r="G653" t="str">
            <v>0000</v>
          </cell>
          <cell r="H653" t="str">
            <v>0000</v>
          </cell>
          <cell r="I653" t="str">
            <v>0000</v>
          </cell>
          <cell r="J653" t="str">
            <v>07/11/2006</v>
          </cell>
          <cell r="K653" t="str">
            <v>00/00/0000</v>
          </cell>
        </row>
        <row r="654">
          <cell r="A654" t="str">
            <v>9999</v>
          </cell>
          <cell r="B654" t="str">
            <v>CONTROLLER'S USE-MEMO ENTRIES</v>
          </cell>
          <cell r="C654" t="str">
            <v>0808</v>
          </cell>
          <cell r="D654" t="str">
            <v>GENERAL GOVERNMENT</v>
          </cell>
          <cell r="E654" t="str">
            <v/>
          </cell>
          <cell r="F654" t="str">
            <v>0000</v>
          </cell>
          <cell r="G654" t="str">
            <v>0000</v>
          </cell>
          <cell r="H654" t="str">
            <v>0000</v>
          </cell>
          <cell r="I654" t="str">
            <v>0000</v>
          </cell>
          <cell r="J654" t="str">
            <v>09/13/2002</v>
          </cell>
          <cell r="K654" t="str">
            <v>00/00/0000</v>
          </cell>
        </row>
      </sheetData>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109375" defaultRowHeight="15" x14ac:dyDescent="0.25"/>
  <cols>
    <col min="1" max="1" width="12.88671875" style="1" bestFit="1" customWidth="1"/>
    <col min="2" max="2" width="15.109375" style="1" bestFit="1" customWidth="1"/>
    <col min="3" max="3" width="12.5546875" style="1" bestFit="1" customWidth="1"/>
    <col min="4" max="4" width="9.109375" style="1"/>
    <col min="5" max="5" width="35.33203125" style="1" bestFit="1" customWidth="1"/>
    <col min="6" max="6" width="31.88671875" style="1" bestFit="1" customWidth="1"/>
    <col min="7" max="8" width="44.5546875" style="1" bestFit="1" customWidth="1"/>
    <col min="9" max="16384" width="9.109375" style="1"/>
  </cols>
  <sheetData>
    <row r="1" spans="1:8" ht="15.6" x14ac:dyDescent="0.3">
      <c r="A1" s="1" t="s">
        <v>13</v>
      </c>
      <c r="B1" s="1" t="s">
        <v>114</v>
      </c>
      <c r="C1" s="1" t="s">
        <v>116</v>
      </c>
      <c r="D1" s="1" t="s">
        <v>119</v>
      </c>
      <c r="E1" s="1" t="s">
        <v>131</v>
      </c>
      <c r="F1" s="52" t="s">
        <v>163</v>
      </c>
      <c r="G1" s="53" t="s">
        <v>1551</v>
      </c>
    </row>
    <row r="2" spans="1:8" ht="15.6" x14ac:dyDescent="0.3">
      <c r="A2" s="1" t="s">
        <v>14</v>
      </c>
      <c r="B2" s="1" t="s">
        <v>115</v>
      </c>
      <c r="C2" s="1" t="s">
        <v>117</v>
      </c>
      <c r="D2" s="1" t="s">
        <v>118</v>
      </c>
      <c r="E2" s="1" t="s">
        <v>126</v>
      </c>
      <c r="F2" s="52" t="s">
        <v>1552</v>
      </c>
      <c r="G2" t="s">
        <v>1553</v>
      </c>
      <c r="H2" t="s">
        <v>1573</v>
      </c>
    </row>
    <row r="3" spans="1:8" ht="15.6" x14ac:dyDescent="0.3">
      <c r="A3" s="1" t="s">
        <v>15</v>
      </c>
      <c r="E3" s="1" t="s">
        <v>125</v>
      </c>
      <c r="F3" s="52" t="s">
        <v>1554</v>
      </c>
      <c r="G3" t="s">
        <v>1555</v>
      </c>
      <c r="H3" t="s">
        <v>1574</v>
      </c>
    </row>
    <row r="4" spans="1:8" ht="15.6" x14ac:dyDescent="0.3">
      <c r="A4" s="1" t="s">
        <v>16</v>
      </c>
      <c r="F4" s="52" t="s">
        <v>1556</v>
      </c>
      <c r="G4" t="s">
        <v>1557</v>
      </c>
      <c r="H4" t="s">
        <v>1575</v>
      </c>
    </row>
    <row r="5" spans="1:8" ht="15.6" x14ac:dyDescent="0.3">
      <c r="A5" s="1" t="s">
        <v>17</v>
      </c>
      <c r="F5" s="52" t="s">
        <v>1558</v>
      </c>
      <c r="G5" t="s">
        <v>1559</v>
      </c>
      <c r="H5" t="s">
        <v>1576</v>
      </c>
    </row>
    <row r="6" spans="1:8" ht="15.6" x14ac:dyDescent="0.3">
      <c r="A6" s="1" t="s">
        <v>18</v>
      </c>
      <c r="F6" s="54" t="s">
        <v>256</v>
      </c>
      <c r="G6" t="s">
        <v>1560</v>
      </c>
      <c r="H6" t="s">
        <v>1577</v>
      </c>
    </row>
    <row r="7" spans="1:8" ht="15.6" x14ac:dyDescent="0.3">
      <c r="A7" s="1" t="s">
        <v>19</v>
      </c>
      <c r="F7" s="52" t="s">
        <v>1561</v>
      </c>
      <c r="G7" t="s">
        <v>1562</v>
      </c>
      <c r="H7" t="s">
        <v>1578</v>
      </c>
    </row>
    <row r="8" spans="1:8" ht="15.6" x14ac:dyDescent="0.3">
      <c r="A8" s="1" t="s">
        <v>20</v>
      </c>
      <c r="F8" s="52" t="s">
        <v>857</v>
      </c>
      <c r="G8" t="s">
        <v>1563</v>
      </c>
      <c r="H8" t="s">
        <v>1579</v>
      </c>
    </row>
    <row r="9" spans="1:8" ht="15.6" x14ac:dyDescent="0.3">
      <c r="A9" s="1" t="s">
        <v>21</v>
      </c>
      <c r="F9" s="52" t="s">
        <v>1564</v>
      </c>
      <c r="G9" t="s">
        <v>1565</v>
      </c>
      <c r="H9" t="s">
        <v>1580</v>
      </c>
    </row>
    <row r="10" spans="1:8" ht="15.6" x14ac:dyDescent="0.3">
      <c r="A10" s="1" t="s">
        <v>22</v>
      </c>
      <c r="F10" t="s">
        <v>1566</v>
      </c>
      <c r="G10" t="s">
        <v>1567</v>
      </c>
      <c r="H10" t="s">
        <v>1581</v>
      </c>
    </row>
    <row r="11" spans="1:8" x14ac:dyDescent="0.25">
      <c r="A11" s="1" t="s">
        <v>23</v>
      </c>
    </row>
    <row r="12" spans="1:8" x14ac:dyDescent="0.25">
      <c r="A12" s="1" t="s">
        <v>24</v>
      </c>
    </row>
    <row r="13" spans="1:8" x14ac:dyDescent="0.25">
      <c r="A13" s="1" t="s">
        <v>25</v>
      </c>
    </row>
    <row r="14" spans="1:8" x14ac:dyDescent="0.25">
      <c r="A14" s="1" t="s">
        <v>26</v>
      </c>
    </row>
    <row r="15" spans="1:8" x14ac:dyDescent="0.25">
      <c r="A15" s="1" t="s">
        <v>27</v>
      </c>
    </row>
    <row r="16" spans="1:8" x14ac:dyDescent="0.25">
      <c r="A16" s="1" t="s">
        <v>28</v>
      </c>
    </row>
    <row r="17" spans="1:1" x14ac:dyDescent="0.25">
      <c r="A17" s="1" t="s">
        <v>29</v>
      </c>
    </row>
    <row r="18" spans="1:1" x14ac:dyDescent="0.25">
      <c r="A18" s="1" t="s">
        <v>30</v>
      </c>
    </row>
    <row r="19" spans="1:1" x14ac:dyDescent="0.25">
      <c r="A19" s="1" t="s">
        <v>31</v>
      </c>
    </row>
    <row r="20" spans="1:1" x14ac:dyDescent="0.25">
      <c r="A20" s="1" t="s">
        <v>32</v>
      </c>
    </row>
    <row r="21" spans="1:1" x14ac:dyDescent="0.25">
      <c r="A21" s="1" t="s">
        <v>33</v>
      </c>
    </row>
    <row r="22" spans="1:1" x14ac:dyDescent="0.25">
      <c r="A22" s="1" t="s">
        <v>34</v>
      </c>
    </row>
    <row r="23" spans="1:1" x14ac:dyDescent="0.25">
      <c r="A23" s="1" t="s">
        <v>35</v>
      </c>
    </row>
    <row r="24" spans="1:1" x14ac:dyDescent="0.25">
      <c r="A24" s="1" t="s">
        <v>36</v>
      </c>
    </row>
    <row r="25" spans="1:1" x14ac:dyDescent="0.25">
      <c r="A25" s="1" t="s">
        <v>37</v>
      </c>
    </row>
    <row r="26" spans="1:1" x14ac:dyDescent="0.25">
      <c r="A26" s="1" t="s">
        <v>38</v>
      </c>
    </row>
    <row r="27" spans="1:1" x14ac:dyDescent="0.25">
      <c r="A27" s="1" t="s">
        <v>39</v>
      </c>
    </row>
    <row r="28" spans="1:1" x14ac:dyDescent="0.25">
      <c r="A28" s="1" t="s">
        <v>40</v>
      </c>
    </row>
    <row r="29" spans="1:1" x14ac:dyDescent="0.25">
      <c r="A29" s="1" t="s">
        <v>41</v>
      </c>
    </row>
    <row r="30" spans="1:1" x14ac:dyDescent="0.25">
      <c r="A30" s="1" t="s">
        <v>42</v>
      </c>
    </row>
    <row r="31" spans="1:1" x14ac:dyDescent="0.25">
      <c r="A31" s="1" t="s">
        <v>43</v>
      </c>
    </row>
    <row r="32" spans="1:1" x14ac:dyDescent="0.25">
      <c r="A32" s="1" t="s">
        <v>44</v>
      </c>
    </row>
    <row r="33" spans="1:1" x14ac:dyDescent="0.25">
      <c r="A33" s="1" t="s">
        <v>45</v>
      </c>
    </row>
    <row r="34" spans="1:1" x14ac:dyDescent="0.25">
      <c r="A34" s="1" t="s">
        <v>46</v>
      </c>
    </row>
    <row r="35" spans="1:1" x14ac:dyDescent="0.25">
      <c r="A35" s="1" t="s">
        <v>47</v>
      </c>
    </row>
    <row r="36" spans="1:1" x14ac:dyDescent="0.25">
      <c r="A36" s="1" t="s">
        <v>48</v>
      </c>
    </row>
    <row r="37" spans="1:1" x14ac:dyDescent="0.25">
      <c r="A37" s="1" t="s">
        <v>49</v>
      </c>
    </row>
    <row r="38" spans="1:1" x14ac:dyDescent="0.25">
      <c r="A38" s="1" t="s">
        <v>50</v>
      </c>
    </row>
    <row r="39" spans="1:1" x14ac:dyDescent="0.25">
      <c r="A39" s="1" t="s">
        <v>51</v>
      </c>
    </row>
    <row r="40" spans="1:1" x14ac:dyDescent="0.25">
      <c r="A40" s="1" t="s">
        <v>52</v>
      </c>
    </row>
    <row r="41" spans="1:1" x14ac:dyDescent="0.25">
      <c r="A41" s="1" t="s">
        <v>53</v>
      </c>
    </row>
    <row r="42" spans="1:1" x14ac:dyDescent="0.25">
      <c r="A42" s="1" t="s">
        <v>54</v>
      </c>
    </row>
    <row r="43" spans="1:1" x14ac:dyDescent="0.25">
      <c r="A43" s="1" t="s">
        <v>55</v>
      </c>
    </row>
    <row r="44" spans="1:1" x14ac:dyDescent="0.25">
      <c r="A44" s="1" t="s">
        <v>56</v>
      </c>
    </row>
    <row r="45" spans="1:1" x14ac:dyDescent="0.25">
      <c r="A45" s="1" t="s">
        <v>57</v>
      </c>
    </row>
    <row r="46" spans="1:1" x14ac:dyDescent="0.25">
      <c r="A46" s="1" t="s">
        <v>58</v>
      </c>
    </row>
    <row r="47" spans="1:1" x14ac:dyDescent="0.25">
      <c r="A47" s="1" t="s">
        <v>59</v>
      </c>
    </row>
    <row r="48" spans="1:1" x14ac:dyDescent="0.25">
      <c r="A48" s="1" t="s">
        <v>60</v>
      </c>
    </row>
    <row r="49" spans="1:1" x14ac:dyDescent="0.25">
      <c r="A49" s="1" t="s">
        <v>61</v>
      </c>
    </row>
    <row r="50" spans="1:1" x14ac:dyDescent="0.25">
      <c r="A50" s="1" t="s">
        <v>62</v>
      </c>
    </row>
    <row r="51" spans="1:1" x14ac:dyDescent="0.25">
      <c r="A51" s="1" t="s">
        <v>63</v>
      </c>
    </row>
    <row r="52" spans="1:1" x14ac:dyDescent="0.25">
      <c r="A52" s="1" t="s">
        <v>64</v>
      </c>
    </row>
    <row r="53" spans="1:1" x14ac:dyDescent="0.25">
      <c r="A53" s="1" t="s">
        <v>65</v>
      </c>
    </row>
    <row r="54" spans="1:1" x14ac:dyDescent="0.25">
      <c r="A54" s="1" t="s">
        <v>66</v>
      </c>
    </row>
    <row r="55" spans="1:1" x14ac:dyDescent="0.25">
      <c r="A55" s="1" t="s">
        <v>67</v>
      </c>
    </row>
    <row r="56" spans="1:1" x14ac:dyDescent="0.25">
      <c r="A56" s="1" t="s">
        <v>68</v>
      </c>
    </row>
    <row r="57" spans="1:1" x14ac:dyDescent="0.25">
      <c r="A57" s="1" t="s">
        <v>69</v>
      </c>
    </row>
    <row r="58" spans="1:1" x14ac:dyDescent="0.25">
      <c r="A58" s="1" t="s">
        <v>70</v>
      </c>
    </row>
    <row r="59" spans="1:1" x14ac:dyDescent="0.25">
      <c r="A59" s="1" t="s">
        <v>71</v>
      </c>
    </row>
    <row r="60" spans="1:1" x14ac:dyDescent="0.25">
      <c r="A60" s="1" t="s">
        <v>72</v>
      </c>
    </row>
    <row r="61" spans="1:1" x14ac:dyDescent="0.25">
      <c r="A61" s="1" t="s">
        <v>73</v>
      </c>
    </row>
    <row r="62" spans="1:1" x14ac:dyDescent="0.25">
      <c r="A62" s="1" t="s">
        <v>74</v>
      </c>
    </row>
    <row r="63" spans="1:1" x14ac:dyDescent="0.25">
      <c r="A63" s="1" t="s">
        <v>75</v>
      </c>
    </row>
    <row r="64" spans="1:1" x14ac:dyDescent="0.25">
      <c r="A64" s="1" t="s">
        <v>76</v>
      </c>
    </row>
    <row r="65" spans="1:1" x14ac:dyDescent="0.25">
      <c r="A65" s="1" t="s">
        <v>77</v>
      </c>
    </row>
    <row r="66" spans="1:1" x14ac:dyDescent="0.25">
      <c r="A66" s="1" t="s">
        <v>78</v>
      </c>
    </row>
    <row r="67" spans="1:1" x14ac:dyDescent="0.25">
      <c r="A67" s="1" t="s">
        <v>79</v>
      </c>
    </row>
    <row r="68" spans="1:1" x14ac:dyDescent="0.25">
      <c r="A68" s="1" t="s">
        <v>80</v>
      </c>
    </row>
    <row r="69" spans="1:1" x14ac:dyDescent="0.25">
      <c r="A69" s="1" t="s">
        <v>81</v>
      </c>
    </row>
    <row r="70" spans="1:1" x14ac:dyDescent="0.25">
      <c r="A70" s="1" t="s">
        <v>82</v>
      </c>
    </row>
    <row r="71" spans="1:1" x14ac:dyDescent="0.25">
      <c r="A71" s="1" t="s">
        <v>83</v>
      </c>
    </row>
    <row r="72" spans="1:1" x14ac:dyDescent="0.25">
      <c r="A72" s="1" t="s">
        <v>84</v>
      </c>
    </row>
    <row r="73" spans="1:1" x14ac:dyDescent="0.25">
      <c r="A73" s="1" t="s">
        <v>85</v>
      </c>
    </row>
    <row r="74" spans="1:1" x14ac:dyDescent="0.25">
      <c r="A74" s="1" t="s">
        <v>86</v>
      </c>
    </row>
    <row r="75" spans="1:1" x14ac:dyDescent="0.25">
      <c r="A75" s="1" t="s">
        <v>87</v>
      </c>
    </row>
    <row r="76" spans="1:1" x14ac:dyDescent="0.25">
      <c r="A76" s="1" t="s">
        <v>88</v>
      </c>
    </row>
    <row r="77" spans="1:1" x14ac:dyDescent="0.25">
      <c r="A77" s="1" t="s">
        <v>89</v>
      </c>
    </row>
    <row r="78" spans="1:1" x14ac:dyDescent="0.25">
      <c r="A78" s="1" t="s">
        <v>90</v>
      </c>
    </row>
    <row r="79" spans="1:1" x14ac:dyDescent="0.25">
      <c r="A79" s="1" t="s">
        <v>91</v>
      </c>
    </row>
    <row r="80" spans="1:1" x14ac:dyDescent="0.25">
      <c r="A80" s="1" t="s">
        <v>92</v>
      </c>
    </row>
    <row r="81" spans="1:1" x14ac:dyDescent="0.25">
      <c r="A81" s="1" t="s">
        <v>93</v>
      </c>
    </row>
    <row r="82" spans="1:1" x14ac:dyDescent="0.25">
      <c r="A82" s="1" t="s">
        <v>94</v>
      </c>
    </row>
    <row r="83" spans="1:1" x14ac:dyDescent="0.25">
      <c r="A83" s="1" t="s">
        <v>95</v>
      </c>
    </row>
    <row r="84" spans="1:1" x14ac:dyDescent="0.25">
      <c r="A84" s="1" t="s">
        <v>96</v>
      </c>
    </row>
    <row r="85" spans="1:1" x14ac:dyDescent="0.25">
      <c r="A85" s="1" t="s">
        <v>97</v>
      </c>
    </row>
    <row r="86" spans="1:1" x14ac:dyDescent="0.25">
      <c r="A86" s="1" t="s">
        <v>98</v>
      </c>
    </row>
    <row r="87" spans="1:1" x14ac:dyDescent="0.25">
      <c r="A87" s="1" t="s">
        <v>99</v>
      </c>
    </row>
    <row r="88" spans="1:1" x14ac:dyDescent="0.25">
      <c r="A88" s="1" t="s">
        <v>100</v>
      </c>
    </row>
    <row r="89" spans="1:1" x14ac:dyDescent="0.25">
      <c r="A89" s="1" t="s">
        <v>101</v>
      </c>
    </row>
    <row r="90" spans="1:1" x14ac:dyDescent="0.25">
      <c r="A90" s="1" t="s">
        <v>102</v>
      </c>
    </row>
    <row r="91" spans="1:1" x14ac:dyDescent="0.25">
      <c r="A91" s="1" t="s">
        <v>103</v>
      </c>
    </row>
    <row r="92" spans="1:1" x14ac:dyDescent="0.25">
      <c r="A92" s="1" t="s">
        <v>104</v>
      </c>
    </row>
    <row r="93" spans="1:1" x14ac:dyDescent="0.25">
      <c r="A93" s="1" t="s">
        <v>105</v>
      </c>
    </row>
    <row r="94" spans="1:1" x14ac:dyDescent="0.25">
      <c r="A94" s="1" t="s">
        <v>106</v>
      </c>
    </row>
    <row r="95" spans="1:1" x14ac:dyDescent="0.25">
      <c r="A95" s="1" t="s">
        <v>107</v>
      </c>
    </row>
    <row r="96" spans="1:1" x14ac:dyDescent="0.25">
      <c r="A96" s="1" t="s">
        <v>108</v>
      </c>
    </row>
    <row r="97" spans="1:1" x14ac:dyDescent="0.25">
      <c r="A97" s="1" t="s">
        <v>109</v>
      </c>
    </row>
    <row r="98" spans="1:1" x14ac:dyDescent="0.25">
      <c r="A98" s="1" t="s">
        <v>110</v>
      </c>
    </row>
    <row r="99" spans="1:1" x14ac:dyDescent="0.25">
      <c r="A99" s="1" t="s">
        <v>111</v>
      </c>
    </row>
    <row r="100" spans="1:1" x14ac:dyDescent="0.25">
      <c r="A100" s="1" t="s">
        <v>112</v>
      </c>
    </row>
    <row r="101" spans="1:1" x14ac:dyDescent="0.25">
      <c r="A101" s="1" t="s">
        <v>113</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88671875" defaultRowHeight="14.4" x14ac:dyDescent="0.3"/>
  <cols>
    <col min="1" max="1" width="7.33203125" bestFit="1" customWidth="1"/>
    <col min="2" max="2" width="34.88671875" bestFit="1" customWidth="1"/>
    <col min="3" max="3" width="5.33203125" bestFit="1" customWidth="1"/>
    <col min="4" max="4" width="33.44140625" bestFit="1" customWidth="1"/>
    <col min="5" max="5" width="8.6640625" customWidth="1"/>
    <col min="6" max="9" width="5.33203125" bestFit="1" customWidth="1"/>
    <col min="10" max="10" width="12.33203125" bestFit="1" customWidth="1"/>
    <col min="11" max="11" width="10.5546875" bestFit="1" customWidth="1"/>
  </cols>
  <sheetData>
    <row r="1" spans="1:11" x14ac:dyDescent="0.3">
      <c r="A1" s="50" t="s">
        <v>149</v>
      </c>
      <c r="B1" s="50" t="s">
        <v>150</v>
      </c>
      <c r="C1" s="50" t="s">
        <v>151</v>
      </c>
      <c r="D1" s="50" t="s">
        <v>152</v>
      </c>
      <c r="E1" s="50" t="s">
        <v>153</v>
      </c>
      <c r="F1" s="50" t="s">
        <v>154</v>
      </c>
      <c r="G1" s="50" t="s">
        <v>155</v>
      </c>
      <c r="H1" s="50" t="s">
        <v>156</v>
      </c>
      <c r="I1" s="50" t="s">
        <v>157</v>
      </c>
      <c r="J1" s="50" t="s">
        <v>158</v>
      </c>
      <c r="K1" s="50" t="s">
        <v>159</v>
      </c>
    </row>
    <row r="2" spans="1:11" x14ac:dyDescent="0.3">
      <c r="A2" s="51" t="s">
        <v>160</v>
      </c>
      <c r="B2" s="51" t="s">
        <v>161</v>
      </c>
      <c r="C2" s="51" t="s">
        <v>162</v>
      </c>
      <c r="D2" s="51" t="s">
        <v>161</v>
      </c>
      <c r="E2" s="51" t="s">
        <v>163</v>
      </c>
      <c r="F2" s="51" t="s">
        <v>164</v>
      </c>
      <c r="G2" s="51" t="s">
        <v>165</v>
      </c>
      <c r="H2" s="51" t="s">
        <v>160</v>
      </c>
      <c r="I2" s="51" t="s">
        <v>160</v>
      </c>
      <c r="J2" s="51" t="s">
        <v>166</v>
      </c>
      <c r="K2" s="51" t="s">
        <v>167</v>
      </c>
    </row>
    <row r="3" spans="1:11" x14ac:dyDescent="0.3">
      <c r="A3" s="51" t="s">
        <v>168</v>
      </c>
      <c r="B3" s="51" t="s">
        <v>169</v>
      </c>
      <c r="C3" s="51" t="s">
        <v>170</v>
      </c>
      <c r="D3" s="51" t="s">
        <v>171</v>
      </c>
      <c r="E3" s="51" t="s">
        <v>163</v>
      </c>
      <c r="F3" s="51" t="s">
        <v>160</v>
      </c>
      <c r="G3" s="51" t="s">
        <v>160</v>
      </c>
      <c r="H3" s="51" t="s">
        <v>160</v>
      </c>
      <c r="I3" s="51" t="s">
        <v>160</v>
      </c>
      <c r="J3" s="51" t="s">
        <v>172</v>
      </c>
      <c r="K3" s="51" t="s">
        <v>167</v>
      </c>
    </row>
    <row r="4" spans="1:11" x14ac:dyDescent="0.3">
      <c r="A4" s="51" t="s">
        <v>173</v>
      </c>
      <c r="B4" s="51" t="s">
        <v>174</v>
      </c>
      <c r="C4" s="51" t="s">
        <v>170</v>
      </c>
      <c r="D4" s="51" t="s">
        <v>171</v>
      </c>
      <c r="E4" s="51" t="s">
        <v>163</v>
      </c>
      <c r="F4" s="51" t="s">
        <v>160</v>
      </c>
      <c r="G4" s="51" t="s">
        <v>160</v>
      </c>
      <c r="H4" s="51" t="s">
        <v>160</v>
      </c>
      <c r="I4" s="51" t="s">
        <v>160</v>
      </c>
      <c r="J4" s="51" t="s">
        <v>175</v>
      </c>
      <c r="K4" s="51" t="s">
        <v>167</v>
      </c>
    </row>
    <row r="5" spans="1:11" x14ac:dyDescent="0.3">
      <c r="A5" s="51" t="s">
        <v>176</v>
      </c>
      <c r="B5" s="51" t="s">
        <v>177</v>
      </c>
      <c r="C5" s="51" t="s">
        <v>170</v>
      </c>
      <c r="D5" s="51" t="s">
        <v>171</v>
      </c>
      <c r="E5" s="51" t="s">
        <v>163</v>
      </c>
      <c r="F5" s="51" t="s">
        <v>160</v>
      </c>
      <c r="G5" s="51" t="s">
        <v>160</v>
      </c>
      <c r="H5" s="51" t="s">
        <v>160</v>
      </c>
      <c r="I5" s="51" t="s">
        <v>160</v>
      </c>
      <c r="J5" s="51" t="s">
        <v>175</v>
      </c>
      <c r="K5" s="51" t="s">
        <v>167</v>
      </c>
    </row>
    <row r="6" spans="1:11" x14ac:dyDescent="0.3">
      <c r="A6" s="51" t="s">
        <v>178</v>
      </c>
      <c r="B6" s="51" t="s">
        <v>179</v>
      </c>
      <c r="C6" s="51" t="s">
        <v>170</v>
      </c>
      <c r="D6" s="51" t="s">
        <v>171</v>
      </c>
      <c r="E6" s="51" t="s">
        <v>163</v>
      </c>
      <c r="F6" s="51" t="s">
        <v>160</v>
      </c>
      <c r="G6" s="51" t="s">
        <v>160</v>
      </c>
      <c r="H6" s="51" t="s">
        <v>160</v>
      </c>
      <c r="I6" s="51" t="s">
        <v>160</v>
      </c>
      <c r="J6" s="51" t="s">
        <v>175</v>
      </c>
      <c r="K6" s="51" t="s">
        <v>167</v>
      </c>
    </row>
    <row r="7" spans="1:11" x14ac:dyDescent="0.3">
      <c r="A7" s="51" t="s">
        <v>180</v>
      </c>
      <c r="B7" s="51" t="s">
        <v>181</v>
      </c>
      <c r="C7" s="51" t="s">
        <v>170</v>
      </c>
      <c r="D7" s="51" t="s">
        <v>171</v>
      </c>
      <c r="E7" s="51" t="s">
        <v>163</v>
      </c>
      <c r="F7" s="51" t="s">
        <v>160</v>
      </c>
      <c r="G7" s="51" t="s">
        <v>160</v>
      </c>
      <c r="H7" s="51" t="s">
        <v>160</v>
      </c>
      <c r="I7" s="51" t="s">
        <v>160</v>
      </c>
      <c r="J7" s="51" t="s">
        <v>182</v>
      </c>
      <c r="K7" s="51" t="s">
        <v>167</v>
      </c>
    </row>
    <row r="8" spans="1:11" x14ac:dyDescent="0.3">
      <c r="A8" s="51" t="s">
        <v>183</v>
      </c>
      <c r="B8" s="51" t="s">
        <v>184</v>
      </c>
      <c r="C8" s="51" t="s">
        <v>170</v>
      </c>
      <c r="D8" s="51" t="s">
        <v>171</v>
      </c>
      <c r="E8" s="51" t="s">
        <v>163</v>
      </c>
      <c r="F8" s="51" t="s">
        <v>160</v>
      </c>
      <c r="G8" s="51" t="s">
        <v>160</v>
      </c>
      <c r="H8" s="51" t="s">
        <v>160</v>
      </c>
      <c r="I8" s="51" t="s">
        <v>160</v>
      </c>
      <c r="J8" s="51" t="s">
        <v>182</v>
      </c>
      <c r="K8" s="51" t="s">
        <v>167</v>
      </c>
    </row>
    <row r="9" spans="1:11" x14ac:dyDescent="0.3">
      <c r="A9" s="51" t="s">
        <v>185</v>
      </c>
      <c r="B9" s="51" t="s">
        <v>186</v>
      </c>
      <c r="C9" s="51" t="s">
        <v>170</v>
      </c>
      <c r="D9" s="51" t="s">
        <v>171</v>
      </c>
      <c r="E9" s="51" t="s">
        <v>163</v>
      </c>
      <c r="F9" s="51" t="s">
        <v>160</v>
      </c>
      <c r="G9" s="51" t="s">
        <v>160</v>
      </c>
      <c r="H9" s="51" t="s">
        <v>160</v>
      </c>
      <c r="I9" s="51" t="s">
        <v>160</v>
      </c>
      <c r="J9" s="51" t="s">
        <v>182</v>
      </c>
      <c r="K9" s="51" t="s">
        <v>167</v>
      </c>
    </row>
    <row r="10" spans="1:11" x14ac:dyDescent="0.3">
      <c r="A10" s="51" t="s">
        <v>187</v>
      </c>
      <c r="B10" s="51" t="s">
        <v>188</v>
      </c>
      <c r="C10" s="51" t="s">
        <v>170</v>
      </c>
      <c r="D10" s="51" t="s">
        <v>171</v>
      </c>
      <c r="E10" s="51" t="s">
        <v>163</v>
      </c>
      <c r="F10" s="51" t="s">
        <v>160</v>
      </c>
      <c r="G10" s="51" t="s">
        <v>160</v>
      </c>
      <c r="H10" s="51" t="s">
        <v>160</v>
      </c>
      <c r="I10" s="51" t="s">
        <v>160</v>
      </c>
      <c r="J10" s="51" t="s">
        <v>172</v>
      </c>
      <c r="K10" s="51" t="s">
        <v>167</v>
      </c>
    </row>
    <row r="11" spans="1:11" x14ac:dyDescent="0.3">
      <c r="A11" s="51" t="s">
        <v>189</v>
      </c>
      <c r="B11" s="51" t="s">
        <v>190</v>
      </c>
      <c r="C11" s="51" t="s">
        <v>170</v>
      </c>
      <c r="D11" s="51" t="s">
        <v>171</v>
      </c>
      <c r="E11" s="51" t="s">
        <v>163</v>
      </c>
      <c r="F11" s="51" t="s">
        <v>160</v>
      </c>
      <c r="G11" s="51" t="s">
        <v>160</v>
      </c>
      <c r="H11" s="51" t="s">
        <v>160</v>
      </c>
      <c r="I11" s="51" t="s">
        <v>160</v>
      </c>
      <c r="J11" s="51" t="s">
        <v>175</v>
      </c>
      <c r="K11" s="51" t="s">
        <v>167</v>
      </c>
    </row>
    <row r="12" spans="1:11" x14ac:dyDescent="0.3">
      <c r="A12" s="51" t="s">
        <v>191</v>
      </c>
      <c r="B12" s="51" t="s">
        <v>192</v>
      </c>
      <c r="C12" s="51" t="s">
        <v>170</v>
      </c>
      <c r="D12" s="51" t="s">
        <v>171</v>
      </c>
      <c r="E12" s="51" t="s">
        <v>163</v>
      </c>
      <c r="F12" s="51" t="s">
        <v>160</v>
      </c>
      <c r="G12" s="51" t="s">
        <v>160</v>
      </c>
      <c r="H12" s="51" t="s">
        <v>160</v>
      </c>
      <c r="I12" s="51" t="s">
        <v>160</v>
      </c>
      <c r="J12" s="51" t="s">
        <v>166</v>
      </c>
      <c r="K12" s="51" t="s">
        <v>167</v>
      </c>
    </row>
    <row r="13" spans="1:11" x14ac:dyDescent="0.3">
      <c r="A13" s="51" t="s">
        <v>193</v>
      </c>
      <c r="B13" s="51" t="s">
        <v>194</v>
      </c>
      <c r="C13" s="51" t="s">
        <v>170</v>
      </c>
      <c r="D13" s="51" t="s">
        <v>171</v>
      </c>
      <c r="E13" s="51" t="s">
        <v>163</v>
      </c>
      <c r="F13" s="51" t="s">
        <v>160</v>
      </c>
      <c r="G13" s="51" t="s">
        <v>160</v>
      </c>
      <c r="H13" s="51" t="s">
        <v>160</v>
      </c>
      <c r="I13" s="51" t="s">
        <v>160</v>
      </c>
      <c r="J13" s="51" t="s">
        <v>175</v>
      </c>
      <c r="K13" s="51" t="s">
        <v>195</v>
      </c>
    </row>
    <row r="14" spans="1:11" x14ac:dyDescent="0.3">
      <c r="A14" s="51" t="s">
        <v>196</v>
      </c>
      <c r="B14" s="51" t="s">
        <v>197</v>
      </c>
      <c r="C14" s="51" t="s">
        <v>170</v>
      </c>
      <c r="D14" s="51" t="s">
        <v>171</v>
      </c>
      <c r="E14" s="51" t="s">
        <v>163</v>
      </c>
      <c r="F14" s="51" t="s">
        <v>160</v>
      </c>
      <c r="G14" s="51" t="s">
        <v>160</v>
      </c>
      <c r="H14" s="51" t="s">
        <v>160</v>
      </c>
      <c r="I14" s="51" t="s">
        <v>160</v>
      </c>
      <c r="J14" s="51" t="s">
        <v>175</v>
      </c>
      <c r="K14" s="51" t="s">
        <v>195</v>
      </c>
    </row>
    <row r="15" spans="1:11" x14ac:dyDescent="0.3">
      <c r="A15" s="51" t="s">
        <v>198</v>
      </c>
      <c r="B15" s="51" t="s">
        <v>199</v>
      </c>
      <c r="C15" s="51" t="s">
        <v>170</v>
      </c>
      <c r="D15" s="51" t="s">
        <v>171</v>
      </c>
      <c r="E15" s="51" t="s">
        <v>163</v>
      </c>
      <c r="F15" s="51" t="s">
        <v>160</v>
      </c>
      <c r="G15" s="51" t="s">
        <v>160</v>
      </c>
      <c r="H15" s="51" t="s">
        <v>160</v>
      </c>
      <c r="I15" s="51" t="s">
        <v>160</v>
      </c>
      <c r="J15" s="51" t="s">
        <v>175</v>
      </c>
      <c r="K15" s="51" t="s">
        <v>167</v>
      </c>
    </row>
    <row r="16" spans="1:11" x14ac:dyDescent="0.3">
      <c r="A16" s="51" t="s">
        <v>200</v>
      </c>
      <c r="B16" s="51" t="s">
        <v>201</v>
      </c>
      <c r="C16" s="51" t="s">
        <v>170</v>
      </c>
      <c r="D16" s="51" t="s">
        <v>171</v>
      </c>
      <c r="E16" s="51" t="s">
        <v>163</v>
      </c>
      <c r="F16" s="51" t="s">
        <v>160</v>
      </c>
      <c r="G16" s="51" t="s">
        <v>160</v>
      </c>
      <c r="H16" s="51" t="s">
        <v>160</v>
      </c>
      <c r="I16" s="51" t="s">
        <v>160</v>
      </c>
      <c r="J16" s="51" t="s">
        <v>202</v>
      </c>
      <c r="K16" s="51" t="s">
        <v>167</v>
      </c>
    </row>
    <row r="17" spans="1:11" x14ac:dyDescent="0.3">
      <c r="A17" s="51" t="s">
        <v>203</v>
      </c>
      <c r="B17" s="51" t="s">
        <v>204</v>
      </c>
      <c r="C17" s="51" t="s">
        <v>170</v>
      </c>
      <c r="D17" s="51" t="s">
        <v>171</v>
      </c>
      <c r="E17" s="51" t="s">
        <v>163</v>
      </c>
      <c r="F17" s="51" t="s">
        <v>160</v>
      </c>
      <c r="G17" s="51" t="s">
        <v>160</v>
      </c>
      <c r="H17" s="51" t="s">
        <v>160</v>
      </c>
      <c r="I17" s="51" t="s">
        <v>160</v>
      </c>
      <c r="J17" s="51" t="s">
        <v>166</v>
      </c>
      <c r="K17" s="51" t="s">
        <v>167</v>
      </c>
    </row>
    <row r="18" spans="1:11" x14ac:dyDescent="0.3">
      <c r="A18" s="51" t="s">
        <v>205</v>
      </c>
      <c r="B18" s="51" t="s">
        <v>206</v>
      </c>
      <c r="C18" s="51" t="s">
        <v>170</v>
      </c>
      <c r="D18" s="51" t="s">
        <v>171</v>
      </c>
      <c r="E18" s="51" t="s">
        <v>163</v>
      </c>
      <c r="F18" s="51" t="s">
        <v>160</v>
      </c>
      <c r="G18" s="51" t="s">
        <v>160</v>
      </c>
      <c r="H18" s="51" t="s">
        <v>160</v>
      </c>
      <c r="I18" s="51" t="s">
        <v>160</v>
      </c>
      <c r="J18" s="51" t="s">
        <v>166</v>
      </c>
      <c r="K18" s="51" t="s">
        <v>167</v>
      </c>
    </row>
    <row r="19" spans="1:11" x14ac:dyDescent="0.3">
      <c r="A19" s="51" t="s">
        <v>207</v>
      </c>
      <c r="B19" s="51" t="s">
        <v>208</v>
      </c>
      <c r="C19" s="51" t="s">
        <v>170</v>
      </c>
      <c r="D19" s="51" t="s">
        <v>171</v>
      </c>
      <c r="E19" s="51" t="s">
        <v>163</v>
      </c>
      <c r="F19" s="51" t="s">
        <v>160</v>
      </c>
      <c r="G19" s="51" t="s">
        <v>160</v>
      </c>
      <c r="H19" s="51" t="s">
        <v>160</v>
      </c>
      <c r="I19" s="51" t="s">
        <v>160</v>
      </c>
      <c r="J19" s="51" t="s">
        <v>166</v>
      </c>
      <c r="K19" s="51" t="s">
        <v>167</v>
      </c>
    </row>
    <row r="20" spans="1:11" x14ac:dyDescent="0.3">
      <c r="A20" s="51" t="s">
        <v>209</v>
      </c>
      <c r="B20" s="51" t="s">
        <v>210</v>
      </c>
      <c r="C20" s="51" t="s">
        <v>170</v>
      </c>
      <c r="D20" s="51" t="s">
        <v>171</v>
      </c>
      <c r="E20" s="51" t="s">
        <v>163</v>
      </c>
      <c r="F20" s="51" t="s">
        <v>160</v>
      </c>
      <c r="G20" s="51" t="s">
        <v>160</v>
      </c>
      <c r="H20" s="51" t="s">
        <v>160</v>
      </c>
      <c r="I20" s="51" t="s">
        <v>160</v>
      </c>
      <c r="J20" s="51" t="s">
        <v>172</v>
      </c>
      <c r="K20" s="51" t="s">
        <v>167</v>
      </c>
    </row>
    <row r="21" spans="1:11" x14ac:dyDescent="0.3">
      <c r="A21" s="51" t="s">
        <v>211</v>
      </c>
      <c r="B21" s="51" t="s">
        <v>212</v>
      </c>
      <c r="C21" s="51" t="s">
        <v>170</v>
      </c>
      <c r="D21" s="51" t="s">
        <v>171</v>
      </c>
      <c r="E21" s="51" t="s">
        <v>163</v>
      </c>
      <c r="F21" s="51" t="s">
        <v>160</v>
      </c>
      <c r="G21" s="51" t="s">
        <v>160</v>
      </c>
      <c r="H21" s="51" t="s">
        <v>160</v>
      </c>
      <c r="I21" s="51" t="s">
        <v>160</v>
      </c>
      <c r="J21" s="51" t="s">
        <v>213</v>
      </c>
      <c r="K21" s="51" t="s">
        <v>167</v>
      </c>
    </row>
    <row r="22" spans="1:11" x14ac:dyDescent="0.3">
      <c r="A22" s="51" t="s">
        <v>214</v>
      </c>
      <c r="B22" s="51" t="s">
        <v>215</v>
      </c>
      <c r="C22" s="51" t="s">
        <v>170</v>
      </c>
      <c r="D22" s="51" t="s">
        <v>171</v>
      </c>
      <c r="E22" s="51" t="s">
        <v>163</v>
      </c>
      <c r="F22" s="51" t="s">
        <v>160</v>
      </c>
      <c r="G22" s="51" t="s">
        <v>160</v>
      </c>
      <c r="H22" s="51" t="s">
        <v>160</v>
      </c>
      <c r="I22" s="51" t="s">
        <v>160</v>
      </c>
      <c r="J22" s="51" t="s">
        <v>216</v>
      </c>
      <c r="K22" s="51" t="s">
        <v>167</v>
      </c>
    </row>
    <row r="23" spans="1:11" x14ac:dyDescent="0.3">
      <c r="A23" s="51" t="s">
        <v>217</v>
      </c>
      <c r="B23" s="51" t="s">
        <v>218</v>
      </c>
      <c r="C23" s="51" t="s">
        <v>170</v>
      </c>
      <c r="D23" s="51" t="s">
        <v>171</v>
      </c>
      <c r="E23" s="51" t="s">
        <v>163</v>
      </c>
      <c r="F23" s="51" t="s">
        <v>160</v>
      </c>
      <c r="G23" s="51" t="s">
        <v>160</v>
      </c>
      <c r="H23" s="51" t="s">
        <v>160</v>
      </c>
      <c r="I23" s="51" t="s">
        <v>160</v>
      </c>
      <c r="J23" s="51" t="s">
        <v>166</v>
      </c>
      <c r="K23" s="51" t="s">
        <v>167</v>
      </c>
    </row>
    <row r="24" spans="1:11" x14ac:dyDescent="0.3">
      <c r="A24" s="51" t="s">
        <v>219</v>
      </c>
      <c r="B24" s="51" t="s">
        <v>220</v>
      </c>
      <c r="C24" s="51" t="s">
        <v>170</v>
      </c>
      <c r="D24" s="51" t="s">
        <v>171</v>
      </c>
      <c r="E24" s="51" t="s">
        <v>163</v>
      </c>
      <c r="F24" s="51" t="s">
        <v>160</v>
      </c>
      <c r="G24" s="51" t="s">
        <v>160</v>
      </c>
      <c r="H24" s="51" t="s">
        <v>160</v>
      </c>
      <c r="I24" s="51" t="s">
        <v>160</v>
      </c>
      <c r="J24" s="51" t="s">
        <v>172</v>
      </c>
      <c r="K24" s="51" t="s">
        <v>167</v>
      </c>
    </row>
    <row r="25" spans="1:11" x14ac:dyDescent="0.3">
      <c r="A25" s="51" t="s">
        <v>221</v>
      </c>
      <c r="B25" s="51" t="s">
        <v>222</v>
      </c>
      <c r="C25" s="51" t="s">
        <v>170</v>
      </c>
      <c r="D25" s="51" t="s">
        <v>171</v>
      </c>
      <c r="E25" s="51" t="s">
        <v>163</v>
      </c>
      <c r="F25" s="51" t="s">
        <v>160</v>
      </c>
      <c r="G25" s="51" t="s">
        <v>160</v>
      </c>
      <c r="H25" s="51" t="s">
        <v>160</v>
      </c>
      <c r="I25" s="51" t="s">
        <v>160</v>
      </c>
      <c r="J25" s="51" t="s">
        <v>166</v>
      </c>
      <c r="K25" s="51" t="s">
        <v>167</v>
      </c>
    </row>
    <row r="26" spans="1:11" x14ac:dyDescent="0.3">
      <c r="A26" s="51" t="s">
        <v>223</v>
      </c>
      <c r="B26" s="51" t="s">
        <v>224</v>
      </c>
      <c r="C26" s="51" t="s">
        <v>170</v>
      </c>
      <c r="D26" s="51" t="s">
        <v>171</v>
      </c>
      <c r="E26" s="51" t="s">
        <v>163</v>
      </c>
      <c r="F26" s="51" t="s">
        <v>160</v>
      </c>
      <c r="G26" s="51" t="s">
        <v>160</v>
      </c>
      <c r="H26" s="51" t="s">
        <v>160</v>
      </c>
      <c r="I26" s="51" t="s">
        <v>160</v>
      </c>
      <c r="J26" s="51" t="s">
        <v>172</v>
      </c>
      <c r="K26" s="51" t="s">
        <v>167</v>
      </c>
    </row>
    <row r="27" spans="1:11" x14ac:dyDescent="0.3">
      <c r="A27" s="51" t="s">
        <v>225</v>
      </c>
      <c r="B27" s="51" t="s">
        <v>226</v>
      </c>
      <c r="C27" s="51" t="s">
        <v>170</v>
      </c>
      <c r="D27" s="51" t="s">
        <v>171</v>
      </c>
      <c r="E27" s="51" t="s">
        <v>163</v>
      </c>
      <c r="F27" s="51" t="s">
        <v>160</v>
      </c>
      <c r="G27" s="51" t="s">
        <v>160</v>
      </c>
      <c r="H27" s="51" t="s">
        <v>160</v>
      </c>
      <c r="I27" s="51" t="s">
        <v>160</v>
      </c>
      <c r="J27" s="51" t="s">
        <v>166</v>
      </c>
      <c r="K27" s="51" t="s">
        <v>167</v>
      </c>
    </row>
    <row r="28" spans="1:11" x14ac:dyDescent="0.3">
      <c r="A28" s="51" t="s">
        <v>227</v>
      </c>
      <c r="B28" s="51" t="s">
        <v>228</v>
      </c>
      <c r="C28" s="51" t="s">
        <v>170</v>
      </c>
      <c r="D28" s="51" t="s">
        <v>171</v>
      </c>
      <c r="E28" s="51" t="s">
        <v>163</v>
      </c>
      <c r="F28" s="51" t="s">
        <v>160</v>
      </c>
      <c r="G28" s="51" t="s">
        <v>160</v>
      </c>
      <c r="H28" s="51" t="s">
        <v>160</v>
      </c>
      <c r="I28" s="51" t="s">
        <v>160</v>
      </c>
      <c r="J28" s="51" t="s">
        <v>166</v>
      </c>
      <c r="K28" s="51" t="s">
        <v>167</v>
      </c>
    </row>
    <row r="29" spans="1:11" x14ac:dyDescent="0.3">
      <c r="A29" s="51" t="s">
        <v>229</v>
      </c>
      <c r="B29" s="51" t="s">
        <v>230</v>
      </c>
      <c r="C29" s="51" t="s">
        <v>170</v>
      </c>
      <c r="D29" s="51" t="s">
        <v>171</v>
      </c>
      <c r="E29" s="51" t="s">
        <v>163</v>
      </c>
      <c r="F29" s="51" t="s">
        <v>160</v>
      </c>
      <c r="G29" s="51" t="s">
        <v>160</v>
      </c>
      <c r="H29" s="51" t="s">
        <v>160</v>
      </c>
      <c r="I29" s="51" t="s">
        <v>160</v>
      </c>
      <c r="J29" s="51" t="s">
        <v>172</v>
      </c>
      <c r="K29" s="51" t="s">
        <v>167</v>
      </c>
    </row>
    <row r="30" spans="1:11" x14ac:dyDescent="0.3">
      <c r="A30" s="51" t="s">
        <v>231</v>
      </c>
      <c r="B30" s="51" t="s">
        <v>232</v>
      </c>
      <c r="C30" s="51" t="s">
        <v>170</v>
      </c>
      <c r="D30" s="51" t="s">
        <v>171</v>
      </c>
      <c r="E30" s="51" t="s">
        <v>163</v>
      </c>
      <c r="F30" s="51" t="s">
        <v>160</v>
      </c>
      <c r="G30" s="51" t="s">
        <v>160</v>
      </c>
      <c r="H30" s="51" t="s">
        <v>160</v>
      </c>
      <c r="I30" s="51" t="s">
        <v>160</v>
      </c>
      <c r="J30" s="51" t="s">
        <v>172</v>
      </c>
      <c r="K30" s="51" t="s">
        <v>167</v>
      </c>
    </row>
    <row r="31" spans="1:11" x14ac:dyDescent="0.3">
      <c r="A31" s="51" t="s">
        <v>233</v>
      </c>
      <c r="B31" s="51" t="s">
        <v>234</v>
      </c>
      <c r="C31" s="51" t="s">
        <v>170</v>
      </c>
      <c r="D31" s="51" t="s">
        <v>171</v>
      </c>
      <c r="E31" s="51" t="s">
        <v>163</v>
      </c>
      <c r="F31" s="51" t="s">
        <v>160</v>
      </c>
      <c r="G31" s="51" t="s">
        <v>160</v>
      </c>
      <c r="H31" s="51" t="s">
        <v>160</v>
      </c>
      <c r="I31" s="51" t="s">
        <v>160</v>
      </c>
      <c r="J31" s="51" t="s">
        <v>172</v>
      </c>
      <c r="K31" s="51" t="s">
        <v>167</v>
      </c>
    </row>
    <row r="32" spans="1:11" x14ac:dyDescent="0.3">
      <c r="A32" s="51" t="s">
        <v>235</v>
      </c>
      <c r="B32" s="51" t="s">
        <v>236</v>
      </c>
      <c r="C32" s="51" t="s">
        <v>170</v>
      </c>
      <c r="D32" s="51" t="s">
        <v>171</v>
      </c>
      <c r="E32" s="51" t="s">
        <v>163</v>
      </c>
      <c r="F32" s="51" t="s">
        <v>160</v>
      </c>
      <c r="G32" s="51" t="s">
        <v>160</v>
      </c>
      <c r="H32" s="51" t="s">
        <v>160</v>
      </c>
      <c r="I32" s="51" t="s">
        <v>160</v>
      </c>
      <c r="J32" s="51" t="s">
        <v>172</v>
      </c>
      <c r="K32" s="51" t="s">
        <v>167</v>
      </c>
    </row>
    <row r="33" spans="1:11" x14ac:dyDescent="0.3">
      <c r="A33" s="51" t="s">
        <v>237</v>
      </c>
      <c r="B33" s="51" t="s">
        <v>238</v>
      </c>
      <c r="C33" s="51" t="s">
        <v>170</v>
      </c>
      <c r="D33" s="51" t="s">
        <v>171</v>
      </c>
      <c r="E33" s="51" t="s">
        <v>163</v>
      </c>
      <c r="F33" s="51" t="s">
        <v>160</v>
      </c>
      <c r="G33" s="51" t="s">
        <v>160</v>
      </c>
      <c r="H33" s="51" t="s">
        <v>160</v>
      </c>
      <c r="I33" s="51" t="s">
        <v>160</v>
      </c>
      <c r="J33" s="51" t="s">
        <v>172</v>
      </c>
      <c r="K33" s="51" t="s">
        <v>167</v>
      </c>
    </row>
    <row r="34" spans="1:11" x14ac:dyDescent="0.3">
      <c r="A34" s="51" t="s">
        <v>239</v>
      </c>
      <c r="B34" s="51" t="s">
        <v>240</v>
      </c>
      <c r="C34" s="51" t="s">
        <v>170</v>
      </c>
      <c r="D34" s="51" t="s">
        <v>171</v>
      </c>
      <c r="E34" s="51" t="s">
        <v>163</v>
      </c>
      <c r="F34" s="51" t="s">
        <v>160</v>
      </c>
      <c r="G34" s="51" t="s">
        <v>160</v>
      </c>
      <c r="H34" s="51" t="s">
        <v>160</v>
      </c>
      <c r="I34" s="51" t="s">
        <v>160</v>
      </c>
      <c r="J34" s="51" t="s">
        <v>175</v>
      </c>
      <c r="K34" s="51" t="s">
        <v>167</v>
      </c>
    </row>
    <row r="35" spans="1:11" x14ac:dyDescent="0.3">
      <c r="A35" s="51" t="s">
        <v>241</v>
      </c>
      <c r="B35" s="51" t="s">
        <v>242</v>
      </c>
      <c r="C35" s="51" t="s">
        <v>170</v>
      </c>
      <c r="D35" s="51" t="s">
        <v>171</v>
      </c>
      <c r="E35" s="51" t="s">
        <v>163</v>
      </c>
      <c r="F35" s="51" t="s">
        <v>160</v>
      </c>
      <c r="G35" s="51" t="s">
        <v>160</v>
      </c>
      <c r="H35" s="51" t="s">
        <v>160</v>
      </c>
      <c r="I35" s="51" t="s">
        <v>160</v>
      </c>
      <c r="J35" s="51" t="s">
        <v>182</v>
      </c>
      <c r="K35" s="51" t="s">
        <v>167</v>
      </c>
    </row>
    <row r="36" spans="1:11" x14ac:dyDescent="0.3">
      <c r="A36" s="51" t="s">
        <v>243</v>
      </c>
      <c r="B36" s="51" t="s">
        <v>244</v>
      </c>
      <c r="C36" s="51" t="s">
        <v>170</v>
      </c>
      <c r="D36" s="51" t="s">
        <v>245</v>
      </c>
      <c r="E36" s="51" t="s">
        <v>163</v>
      </c>
      <c r="F36" s="51" t="s">
        <v>160</v>
      </c>
      <c r="G36" s="51" t="s">
        <v>160</v>
      </c>
      <c r="H36" s="51" t="s">
        <v>160</v>
      </c>
      <c r="I36" s="51" t="s">
        <v>160</v>
      </c>
      <c r="J36" s="51" t="s">
        <v>246</v>
      </c>
      <c r="K36" s="51" t="s">
        <v>167</v>
      </c>
    </row>
    <row r="37" spans="1:11" x14ac:dyDescent="0.3">
      <c r="A37" s="51" t="s">
        <v>247</v>
      </c>
      <c r="B37" s="51" t="s">
        <v>248</v>
      </c>
      <c r="C37" s="51" t="s">
        <v>170</v>
      </c>
      <c r="D37" s="51" t="s">
        <v>171</v>
      </c>
      <c r="E37" s="51" t="s">
        <v>163</v>
      </c>
      <c r="F37" s="51" t="s">
        <v>160</v>
      </c>
      <c r="G37" s="51" t="s">
        <v>160</v>
      </c>
      <c r="H37" s="51" t="s">
        <v>160</v>
      </c>
      <c r="I37" s="51" t="s">
        <v>160</v>
      </c>
      <c r="J37" s="51" t="s">
        <v>249</v>
      </c>
      <c r="K37" s="51" t="s">
        <v>167</v>
      </c>
    </row>
    <row r="38" spans="1:11" x14ac:dyDescent="0.3">
      <c r="A38" s="51" t="s">
        <v>250</v>
      </c>
      <c r="B38" s="51" t="s">
        <v>251</v>
      </c>
      <c r="C38" s="51" t="s">
        <v>170</v>
      </c>
      <c r="D38" s="51" t="s">
        <v>171</v>
      </c>
      <c r="E38" s="51" t="s">
        <v>163</v>
      </c>
      <c r="F38" s="51" t="s">
        <v>160</v>
      </c>
      <c r="G38" s="51" t="s">
        <v>160</v>
      </c>
      <c r="H38" s="51" t="s">
        <v>160</v>
      </c>
      <c r="I38" s="51" t="s">
        <v>160</v>
      </c>
      <c r="J38" s="51" t="s">
        <v>252</v>
      </c>
      <c r="K38" s="51" t="s">
        <v>167</v>
      </c>
    </row>
    <row r="39" spans="1:11" x14ac:dyDescent="0.3">
      <c r="A39" s="51" t="s">
        <v>253</v>
      </c>
      <c r="B39" s="51" t="s">
        <v>254</v>
      </c>
      <c r="C39" s="51" t="s">
        <v>255</v>
      </c>
      <c r="D39" s="51" t="s">
        <v>256</v>
      </c>
      <c r="E39" s="51" t="s">
        <v>163</v>
      </c>
      <c r="F39" s="51" t="s">
        <v>160</v>
      </c>
      <c r="G39" s="51" t="s">
        <v>160</v>
      </c>
      <c r="H39" s="51" t="s">
        <v>160</v>
      </c>
      <c r="I39" s="51" t="s">
        <v>160</v>
      </c>
      <c r="J39" s="51" t="s">
        <v>257</v>
      </c>
      <c r="K39" s="51" t="s">
        <v>167</v>
      </c>
    </row>
    <row r="40" spans="1:11" x14ac:dyDescent="0.3">
      <c r="A40" s="51" t="s">
        <v>258</v>
      </c>
      <c r="B40" s="51" t="s">
        <v>259</v>
      </c>
      <c r="C40" s="51" t="s">
        <v>260</v>
      </c>
      <c r="D40" s="51" t="s">
        <v>261</v>
      </c>
      <c r="E40" s="51" t="s">
        <v>163</v>
      </c>
      <c r="F40" s="51" t="s">
        <v>160</v>
      </c>
      <c r="G40" s="51" t="s">
        <v>160</v>
      </c>
      <c r="H40" s="51" t="s">
        <v>160</v>
      </c>
      <c r="I40" s="51" t="s">
        <v>160</v>
      </c>
      <c r="J40" s="51" t="s">
        <v>257</v>
      </c>
      <c r="K40" s="51" t="s">
        <v>167</v>
      </c>
    </row>
    <row r="41" spans="1:11" x14ac:dyDescent="0.3">
      <c r="A41" s="51" t="s">
        <v>262</v>
      </c>
      <c r="B41" s="51" t="s">
        <v>263</v>
      </c>
      <c r="C41" s="51" t="s">
        <v>264</v>
      </c>
      <c r="D41" s="51" t="s">
        <v>265</v>
      </c>
      <c r="E41" s="51" t="s">
        <v>163</v>
      </c>
      <c r="F41" s="51" t="s">
        <v>160</v>
      </c>
      <c r="G41" s="51" t="s">
        <v>160</v>
      </c>
      <c r="H41" s="51" t="s">
        <v>160</v>
      </c>
      <c r="I41" s="51" t="s">
        <v>160</v>
      </c>
      <c r="J41" s="51" t="s">
        <v>246</v>
      </c>
      <c r="K41" s="51" t="s">
        <v>167</v>
      </c>
    </row>
    <row r="42" spans="1:11" x14ac:dyDescent="0.3">
      <c r="A42" s="51" t="s">
        <v>266</v>
      </c>
      <c r="B42" s="51" t="s">
        <v>267</v>
      </c>
      <c r="C42" s="51" t="s">
        <v>264</v>
      </c>
      <c r="D42" s="51" t="s">
        <v>265</v>
      </c>
      <c r="E42" s="51" t="s">
        <v>163</v>
      </c>
      <c r="F42" s="51" t="s">
        <v>160</v>
      </c>
      <c r="G42" s="51" t="s">
        <v>160</v>
      </c>
      <c r="H42" s="51" t="s">
        <v>160</v>
      </c>
      <c r="I42" s="51" t="s">
        <v>160</v>
      </c>
      <c r="J42" s="51" t="s">
        <v>246</v>
      </c>
      <c r="K42" s="51" t="s">
        <v>167</v>
      </c>
    </row>
    <row r="43" spans="1:11" x14ac:dyDescent="0.3">
      <c r="A43" s="51" t="s">
        <v>268</v>
      </c>
      <c r="B43" s="51" t="s">
        <v>269</v>
      </c>
      <c r="C43" s="51" t="s">
        <v>270</v>
      </c>
      <c r="D43" s="51" t="s">
        <v>271</v>
      </c>
      <c r="E43" s="51" t="s">
        <v>163</v>
      </c>
      <c r="F43" s="51" t="s">
        <v>160</v>
      </c>
      <c r="G43" s="51" t="s">
        <v>160</v>
      </c>
      <c r="H43" s="51" t="s">
        <v>160</v>
      </c>
      <c r="I43" s="51" t="s">
        <v>160</v>
      </c>
      <c r="J43" s="51" t="s">
        <v>272</v>
      </c>
      <c r="K43" s="51" t="s">
        <v>273</v>
      </c>
    </row>
    <row r="44" spans="1:11" x14ac:dyDescent="0.3">
      <c r="A44" s="51" t="s">
        <v>274</v>
      </c>
      <c r="B44" s="51" t="s">
        <v>275</v>
      </c>
      <c r="C44" s="51" t="s">
        <v>276</v>
      </c>
      <c r="D44" s="51" t="s">
        <v>277</v>
      </c>
      <c r="E44" s="51" t="s">
        <v>163</v>
      </c>
      <c r="F44" s="51" t="s">
        <v>160</v>
      </c>
      <c r="G44" s="51" t="s">
        <v>160</v>
      </c>
      <c r="H44" s="51" t="s">
        <v>160</v>
      </c>
      <c r="I44" s="51" t="s">
        <v>160</v>
      </c>
      <c r="J44" s="51" t="s">
        <v>246</v>
      </c>
      <c r="K44" s="51" t="s">
        <v>273</v>
      </c>
    </row>
    <row r="45" spans="1:11" x14ac:dyDescent="0.3">
      <c r="A45" s="51" t="s">
        <v>278</v>
      </c>
      <c r="B45" s="51" t="s">
        <v>279</v>
      </c>
      <c r="C45" s="51" t="s">
        <v>170</v>
      </c>
      <c r="D45" s="51" t="s">
        <v>171</v>
      </c>
      <c r="E45" s="51" t="s">
        <v>163</v>
      </c>
      <c r="F45" s="51" t="s">
        <v>160</v>
      </c>
      <c r="G45" s="51" t="s">
        <v>160</v>
      </c>
      <c r="H45" s="51" t="s">
        <v>160</v>
      </c>
      <c r="I45" s="51" t="s">
        <v>160</v>
      </c>
      <c r="J45" s="51" t="s">
        <v>213</v>
      </c>
      <c r="K45" s="51" t="s">
        <v>167</v>
      </c>
    </row>
    <row r="46" spans="1:11" x14ac:dyDescent="0.3">
      <c r="A46" s="51" t="s">
        <v>280</v>
      </c>
      <c r="B46" s="51" t="s">
        <v>281</v>
      </c>
      <c r="C46" s="51" t="s">
        <v>170</v>
      </c>
      <c r="D46" s="51" t="s">
        <v>171</v>
      </c>
      <c r="E46" s="51" t="s">
        <v>163</v>
      </c>
      <c r="F46" s="51" t="s">
        <v>160</v>
      </c>
      <c r="G46" s="51" t="s">
        <v>160</v>
      </c>
      <c r="H46" s="51" t="s">
        <v>160</v>
      </c>
      <c r="I46" s="51" t="s">
        <v>160</v>
      </c>
      <c r="J46" s="51" t="s">
        <v>282</v>
      </c>
      <c r="K46" s="51" t="s">
        <v>167</v>
      </c>
    </row>
    <row r="47" spans="1:11" x14ac:dyDescent="0.3">
      <c r="A47" s="51" t="s">
        <v>283</v>
      </c>
      <c r="B47" s="51" t="s">
        <v>284</v>
      </c>
      <c r="C47" s="51" t="s">
        <v>270</v>
      </c>
      <c r="D47" s="51" t="s">
        <v>271</v>
      </c>
      <c r="E47" s="51" t="s">
        <v>163</v>
      </c>
      <c r="F47" s="51" t="s">
        <v>160</v>
      </c>
      <c r="G47" s="51" t="s">
        <v>160</v>
      </c>
      <c r="H47" s="51" t="s">
        <v>160</v>
      </c>
      <c r="I47" s="51" t="s">
        <v>160</v>
      </c>
      <c r="J47" s="51" t="s">
        <v>272</v>
      </c>
      <c r="K47" s="51" t="s">
        <v>167</v>
      </c>
    </row>
    <row r="48" spans="1:11" x14ac:dyDescent="0.3">
      <c r="A48" s="51" t="s">
        <v>285</v>
      </c>
      <c r="B48" s="51" t="s">
        <v>286</v>
      </c>
      <c r="C48" s="51" t="s">
        <v>287</v>
      </c>
      <c r="D48" s="51" t="s">
        <v>288</v>
      </c>
      <c r="E48" s="51" t="s">
        <v>163</v>
      </c>
      <c r="F48" s="51" t="s">
        <v>160</v>
      </c>
      <c r="G48" s="51" t="s">
        <v>160</v>
      </c>
      <c r="H48" s="51" t="s">
        <v>160</v>
      </c>
      <c r="I48" s="51" t="s">
        <v>160</v>
      </c>
      <c r="J48" s="51" t="s">
        <v>246</v>
      </c>
      <c r="K48" s="51" t="s">
        <v>167</v>
      </c>
    </row>
    <row r="49" spans="1:11" x14ac:dyDescent="0.3">
      <c r="A49" s="51" t="s">
        <v>289</v>
      </c>
      <c r="B49" s="51" t="s">
        <v>290</v>
      </c>
      <c r="C49" s="51" t="s">
        <v>264</v>
      </c>
      <c r="D49" s="51" t="s">
        <v>265</v>
      </c>
      <c r="E49" s="51" t="s">
        <v>163</v>
      </c>
      <c r="F49" s="51" t="s">
        <v>160</v>
      </c>
      <c r="G49" s="51" t="s">
        <v>160</v>
      </c>
      <c r="H49" s="51" t="s">
        <v>160</v>
      </c>
      <c r="I49" s="51" t="s">
        <v>160</v>
      </c>
      <c r="J49" s="51" t="s">
        <v>246</v>
      </c>
      <c r="K49" s="51" t="s">
        <v>167</v>
      </c>
    </row>
    <row r="50" spans="1:11" x14ac:dyDescent="0.3">
      <c r="A50" s="51" t="s">
        <v>291</v>
      </c>
      <c r="B50" s="51" t="s">
        <v>292</v>
      </c>
      <c r="C50" s="51" t="s">
        <v>170</v>
      </c>
      <c r="D50" s="51" t="s">
        <v>171</v>
      </c>
      <c r="E50" s="51" t="s">
        <v>163</v>
      </c>
      <c r="F50" s="51" t="s">
        <v>160</v>
      </c>
      <c r="G50" s="51" t="s">
        <v>160</v>
      </c>
      <c r="H50" s="51" t="s">
        <v>160</v>
      </c>
      <c r="I50" s="51" t="s">
        <v>160</v>
      </c>
      <c r="J50" s="51" t="s">
        <v>172</v>
      </c>
      <c r="K50" s="51" t="s">
        <v>167</v>
      </c>
    </row>
    <row r="51" spans="1:11" x14ac:dyDescent="0.3">
      <c r="A51" s="51" t="s">
        <v>293</v>
      </c>
      <c r="B51" s="51" t="s">
        <v>294</v>
      </c>
      <c r="C51" s="51" t="s">
        <v>170</v>
      </c>
      <c r="D51" s="51" t="s">
        <v>171</v>
      </c>
      <c r="E51" s="51" t="s">
        <v>163</v>
      </c>
      <c r="F51" s="51" t="s">
        <v>160</v>
      </c>
      <c r="G51" s="51" t="s">
        <v>160</v>
      </c>
      <c r="H51" s="51" t="s">
        <v>160</v>
      </c>
      <c r="I51" s="51" t="s">
        <v>160</v>
      </c>
      <c r="J51" s="51" t="s">
        <v>172</v>
      </c>
      <c r="K51" s="51" t="s">
        <v>167</v>
      </c>
    </row>
    <row r="52" spans="1:11" x14ac:dyDescent="0.3">
      <c r="A52" s="51" t="s">
        <v>295</v>
      </c>
      <c r="B52" s="51" t="s">
        <v>296</v>
      </c>
      <c r="C52" s="51" t="s">
        <v>170</v>
      </c>
      <c r="D52" s="51" t="s">
        <v>171</v>
      </c>
      <c r="E52" s="51" t="s">
        <v>163</v>
      </c>
      <c r="F52" s="51" t="s">
        <v>160</v>
      </c>
      <c r="G52" s="51" t="s">
        <v>160</v>
      </c>
      <c r="H52" s="51" t="s">
        <v>160</v>
      </c>
      <c r="I52" s="51" t="s">
        <v>160</v>
      </c>
      <c r="J52" s="51" t="s">
        <v>172</v>
      </c>
      <c r="K52" s="51" t="s">
        <v>167</v>
      </c>
    </row>
    <row r="53" spans="1:11" x14ac:dyDescent="0.3">
      <c r="A53" s="51" t="s">
        <v>297</v>
      </c>
      <c r="B53" s="51" t="s">
        <v>298</v>
      </c>
      <c r="C53" s="51" t="s">
        <v>170</v>
      </c>
      <c r="D53" s="51" t="s">
        <v>171</v>
      </c>
      <c r="E53" s="51" t="s">
        <v>163</v>
      </c>
      <c r="F53" s="51" t="s">
        <v>160</v>
      </c>
      <c r="G53" s="51" t="s">
        <v>160</v>
      </c>
      <c r="H53" s="51" t="s">
        <v>160</v>
      </c>
      <c r="I53" s="51" t="s">
        <v>160</v>
      </c>
      <c r="J53" s="51" t="s">
        <v>172</v>
      </c>
      <c r="K53" s="51" t="s">
        <v>167</v>
      </c>
    </row>
    <row r="54" spans="1:11" x14ac:dyDescent="0.3">
      <c r="A54" s="51" t="s">
        <v>299</v>
      </c>
      <c r="B54" s="51" t="s">
        <v>300</v>
      </c>
      <c r="C54" s="51" t="s">
        <v>170</v>
      </c>
      <c r="D54" s="51" t="s">
        <v>171</v>
      </c>
      <c r="E54" s="51" t="s">
        <v>163</v>
      </c>
      <c r="F54" s="51" t="s">
        <v>160</v>
      </c>
      <c r="G54" s="51" t="s">
        <v>160</v>
      </c>
      <c r="H54" s="51" t="s">
        <v>160</v>
      </c>
      <c r="I54" s="51" t="s">
        <v>160</v>
      </c>
      <c r="J54" s="51" t="s">
        <v>175</v>
      </c>
      <c r="K54" s="51" t="s">
        <v>167</v>
      </c>
    </row>
    <row r="55" spans="1:11" x14ac:dyDescent="0.3">
      <c r="A55" s="51" t="s">
        <v>301</v>
      </c>
      <c r="B55" s="51" t="s">
        <v>302</v>
      </c>
      <c r="C55" s="51" t="s">
        <v>170</v>
      </c>
      <c r="D55" s="51" t="s">
        <v>171</v>
      </c>
      <c r="E55" s="51" t="s">
        <v>163</v>
      </c>
      <c r="F55" s="51" t="s">
        <v>160</v>
      </c>
      <c r="G55" s="51" t="s">
        <v>160</v>
      </c>
      <c r="H55" s="51" t="s">
        <v>160</v>
      </c>
      <c r="I55" s="51" t="s">
        <v>160</v>
      </c>
      <c r="J55" s="51" t="s">
        <v>175</v>
      </c>
      <c r="K55" s="51" t="s">
        <v>303</v>
      </c>
    </row>
    <row r="56" spans="1:11" x14ac:dyDescent="0.3">
      <c r="A56" s="51" t="s">
        <v>304</v>
      </c>
      <c r="B56" s="51" t="s">
        <v>305</v>
      </c>
      <c r="C56" s="51" t="s">
        <v>170</v>
      </c>
      <c r="D56" s="51" t="s">
        <v>171</v>
      </c>
      <c r="E56" s="51" t="s">
        <v>163</v>
      </c>
      <c r="F56" s="51" t="s">
        <v>160</v>
      </c>
      <c r="G56" s="51" t="s">
        <v>160</v>
      </c>
      <c r="H56" s="51" t="s">
        <v>160</v>
      </c>
      <c r="I56" s="51" t="s">
        <v>160</v>
      </c>
      <c r="J56" s="51" t="s">
        <v>172</v>
      </c>
      <c r="K56" s="51" t="s">
        <v>167</v>
      </c>
    </row>
    <row r="57" spans="1:11" x14ac:dyDescent="0.3">
      <c r="A57" s="51" t="s">
        <v>306</v>
      </c>
      <c r="B57" s="51" t="s">
        <v>307</v>
      </c>
      <c r="C57" s="51" t="s">
        <v>170</v>
      </c>
      <c r="D57" s="51" t="s">
        <v>171</v>
      </c>
      <c r="E57" s="51" t="s">
        <v>163</v>
      </c>
      <c r="F57" s="51" t="s">
        <v>160</v>
      </c>
      <c r="G57" s="51" t="s">
        <v>160</v>
      </c>
      <c r="H57" s="51" t="s">
        <v>160</v>
      </c>
      <c r="I57" s="51" t="s">
        <v>160</v>
      </c>
      <c r="J57" s="51" t="s">
        <v>172</v>
      </c>
      <c r="K57" s="51" t="s">
        <v>273</v>
      </c>
    </row>
    <row r="58" spans="1:11" x14ac:dyDescent="0.3">
      <c r="A58" s="51" t="s">
        <v>308</v>
      </c>
      <c r="B58" s="51" t="s">
        <v>309</v>
      </c>
      <c r="C58" s="51" t="s">
        <v>170</v>
      </c>
      <c r="D58" s="51" t="s">
        <v>171</v>
      </c>
      <c r="E58" s="51" t="s">
        <v>163</v>
      </c>
      <c r="F58" s="51" t="s">
        <v>160</v>
      </c>
      <c r="G58" s="51" t="s">
        <v>160</v>
      </c>
      <c r="H58" s="51" t="s">
        <v>160</v>
      </c>
      <c r="I58" s="51" t="s">
        <v>160</v>
      </c>
      <c r="J58" s="51" t="s">
        <v>175</v>
      </c>
      <c r="K58" s="51" t="s">
        <v>167</v>
      </c>
    </row>
    <row r="59" spans="1:11" x14ac:dyDescent="0.3">
      <c r="A59" s="51" t="s">
        <v>310</v>
      </c>
      <c r="B59" s="51" t="s">
        <v>311</v>
      </c>
      <c r="C59" s="51" t="s">
        <v>170</v>
      </c>
      <c r="D59" s="51" t="s">
        <v>171</v>
      </c>
      <c r="E59" s="51" t="s">
        <v>163</v>
      </c>
      <c r="F59" s="51" t="s">
        <v>160</v>
      </c>
      <c r="G59" s="51" t="s">
        <v>160</v>
      </c>
      <c r="H59" s="51" t="s">
        <v>160</v>
      </c>
      <c r="I59" s="51" t="s">
        <v>160</v>
      </c>
      <c r="J59" s="51" t="s">
        <v>312</v>
      </c>
      <c r="K59" s="51" t="s">
        <v>167</v>
      </c>
    </row>
    <row r="60" spans="1:11" x14ac:dyDescent="0.3">
      <c r="A60" s="51" t="s">
        <v>313</v>
      </c>
      <c r="B60" s="51" t="s">
        <v>314</v>
      </c>
      <c r="C60" s="51" t="s">
        <v>170</v>
      </c>
      <c r="D60" s="51" t="s">
        <v>171</v>
      </c>
      <c r="E60" s="51" t="s">
        <v>163</v>
      </c>
      <c r="F60" s="51" t="s">
        <v>160</v>
      </c>
      <c r="G60" s="51" t="s">
        <v>160</v>
      </c>
      <c r="H60" s="51" t="s">
        <v>160</v>
      </c>
      <c r="I60" s="51" t="s">
        <v>160</v>
      </c>
      <c r="J60" s="51" t="s">
        <v>315</v>
      </c>
      <c r="K60" s="51" t="s">
        <v>273</v>
      </c>
    </row>
    <row r="61" spans="1:11" x14ac:dyDescent="0.3">
      <c r="A61" s="51" t="s">
        <v>316</v>
      </c>
      <c r="B61" s="51" t="s">
        <v>317</v>
      </c>
      <c r="C61" s="51" t="s">
        <v>170</v>
      </c>
      <c r="D61" s="51" t="s">
        <v>171</v>
      </c>
      <c r="E61" s="51" t="s">
        <v>163</v>
      </c>
      <c r="F61" s="51" t="s">
        <v>160</v>
      </c>
      <c r="G61" s="51" t="s">
        <v>160</v>
      </c>
      <c r="H61" s="51" t="s">
        <v>160</v>
      </c>
      <c r="I61" s="51" t="s">
        <v>160</v>
      </c>
      <c r="J61" s="51" t="s">
        <v>318</v>
      </c>
      <c r="K61" s="51" t="s">
        <v>167</v>
      </c>
    </row>
    <row r="62" spans="1:11" x14ac:dyDescent="0.3">
      <c r="A62" s="51" t="s">
        <v>319</v>
      </c>
      <c r="B62" s="51" t="s">
        <v>320</v>
      </c>
      <c r="C62" s="51" t="s">
        <v>170</v>
      </c>
      <c r="D62" s="51" t="s">
        <v>171</v>
      </c>
      <c r="E62" s="51" t="s">
        <v>163</v>
      </c>
      <c r="F62" s="51" t="s">
        <v>160</v>
      </c>
      <c r="G62" s="51" t="s">
        <v>160</v>
      </c>
      <c r="H62" s="51" t="s">
        <v>160</v>
      </c>
      <c r="I62" s="51" t="s">
        <v>160</v>
      </c>
      <c r="J62" s="51" t="s">
        <v>321</v>
      </c>
      <c r="K62" s="51" t="s">
        <v>167</v>
      </c>
    </row>
    <row r="63" spans="1:11" x14ac:dyDescent="0.3">
      <c r="A63" s="51" t="s">
        <v>322</v>
      </c>
      <c r="B63" s="51" t="s">
        <v>323</v>
      </c>
      <c r="C63" s="51" t="s">
        <v>170</v>
      </c>
      <c r="D63" s="51" t="s">
        <v>171</v>
      </c>
      <c r="E63" s="51" t="s">
        <v>163</v>
      </c>
      <c r="F63" s="51" t="s">
        <v>160</v>
      </c>
      <c r="G63" s="51" t="s">
        <v>160</v>
      </c>
      <c r="H63" s="51" t="s">
        <v>160</v>
      </c>
      <c r="I63" s="51" t="s">
        <v>160</v>
      </c>
      <c r="J63" s="51" t="s">
        <v>166</v>
      </c>
      <c r="K63" s="51" t="s">
        <v>167</v>
      </c>
    </row>
    <row r="64" spans="1:11" x14ac:dyDescent="0.3">
      <c r="A64" s="51" t="s">
        <v>324</v>
      </c>
      <c r="B64" s="51" t="s">
        <v>325</v>
      </c>
      <c r="C64" s="51" t="s">
        <v>170</v>
      </c>
      <c r="D64" s="51" t="s">
        <v>171</v>
      </c>
      <c r="E64" s="51" t="s">
        <v>163</v>
      </c>
      <c r="F64" s="51" t="s">
        <v>160</v>
      </c>
      <c r="G64" s="51" t="s">
        <v>160</v>
      </c>
      <c r="H64" s="51" t="s">
        <v>160</v>
      </c>
      <c r="I64" s="51" t="s">
        <v>160</v>
      </c>
      <c r="J64" s="51" t="s">
        <v>172</v>
      </c>
      <c r="K64" s="51" t="s">
        <v>167</v>
      </c>
    </row>
    <row r="65" spans="1:11" x14ac:dyDescent="0.3">
      <c r="A65" s="51" t="s">
        <v>326</v>
      </c>
      <c r="B65" s="51" t="s">
        <v>327</v>
      </c>
      <c r="C65" s="51" t="s">
        <v>170</v>
      </c>
      <c r="D65" s="51" t="s">
        <v>171</v>
      </c>
      <c r="E65" s="51" t="s">
        <v>163</v>
      </c>
      <c r="F65" s="51" t="s">
        <v>160</v>
      </c>
      <c r="G65" s="51" t="s">
        <v>160</v>
      </c>
      <c r="H65" s="51" t="s">
        <v>160</v>
      </c>
      <c r="I65" s="51" t="s">
        <v>160</v>
      </c>
      <c r="J65" s="51" t="s">
        <v>172</v>
      </c>
      <c r="K65" s="51" t="s">
        <v>167</v>
      </c>
    </row>
    <row r="66" spans="1:11" x14ac:dyDescent="0.3">
      <c r="A66" s="51" t="s">
        <v>328</v>
      </c>
      <c r="B66" s="51" t="s">
        <v>329</v>
      </c>
      <c r="C66" s="51" t="s">
        <v>170</v>
      </c>
      <c r="D66" s="51" t="s">
        <v>171</v>
      </c>
      <c r="E66" s="51" t="s">
        <v>163</v>
      </c>
      <c r="F66" s="51" t="s">
        <v>160</v>
      </c>
      <c r="G66" s="51" t="s">
        <v>160</v>
      </c>
      <c r="H66" s="51" t="s">
        <v>160</v>
      </c>
      <c r="I66" s="51" t="s">
        <v>160</v>
      </c>
      <c r="J66" s="51" t="s">
        <v>172</v>
      </c>
      <c r="K66" s="51" t="s">
        <v>273</v>
      </c>
    </row>
    <row r="67" spans="1:11" x14ac:dyDescent="0.3">
      <c r="A67" s="51" t="s">
        <v>330</v>
      </c>
      <c r="B67" s="51" t="s">
        <v>331</v>
      </c>
      <c r="C67" s="51" t="s">
        <v>170</v>
      </c>
      <c r="D67" s="51" t="s">
        <v>171</v>
      </c>
      <c r="E67" s="51" t="s">
        <v>163</v>
      </c>
      <c r="F67" s="51" t="s">
        <v>160</v>
      </c>
      <c r="G67" s="51" t="s">
        <v>160</v>
      </c>
      <c r="H67" s="51" t="s">
        <v>160</v>
      </c>
      <c r="I67" s="51" t="s">
        <v>160</v>
      </c>
      <c r="J67" s="51" t="s">
        <v>172</v>
      </c>
      <c r="K67" s="51" t="s">
        <v>167</v>
      </c>
    </row>
    <row r="68" spans="1:11" x14ac:dyDescent="0.3">
      <c r="A68" s="51" t="s">
        <v>270</v>
      </c>
      <c r="B68" s="51" t="s">
        <v>332</v>
      </c>
      <c r="C68" s="51" t="s">
        <v>170</v>
      </c>
      <c r="D68" s="51" t="s">
        <v>171</v>
      </c>
      <c r="E68" s="51" t="s">
        <v>163</v>
      </c>
      <c r="F68" s="51" t="s">
        <v>160</v>
      </c>
      <c r="G68" s="51" t="s">
        <v>160</v>
      </c>
      <c r="H68" s="51" t="s">
        <v>160</v>
      </c>
      <c r="I68" s="51" t="s">
        <v>160</v>
      </c>
      <c r="J68" s="51" t="s">
        <v>166</v>
      </c>
      <c r="K68" s="51" t="s">
        <v>167</v>
      </c>
    </row>
    <row r="69" spans="1:11" x14ac:dyDescent="0.3">
      <c r="A69" s="51" t="s">
        <v>255</v>
      </c>
      <c r="B69" s="51" t="s">
        <v>333</v>
      </c>
      <c r="C69" s="51" t="s">
        <v>170</v>
      </c>
      <c r="D69" s="51" t="s">
        <v>171</v>
      </c>
      <c r="E69" s="51" t="s">
        <v>163</v>
      </c>
      <c r="F69" s="51" t="s">
        <v>160</v>
      </c>
      <c r="G69" s="51" t="s">
        <v>160</v>
      </c>
      <c r="H69" s="51" t="s">
        <v>160</v>
      </c>
      <c r="I69" s="51" t="s">
        <v>160</v>
      </c>
      <c r="J69" s="51" t="s">
        <v>321</v>
      </c>
      <c r="K69" s="51" t="s">
        <v>167</v>
      </c>
    </row>
    <row r="70" spans="1:11" x14ac:dyDescent="0.3">
      <c r="A70" s="51" t="s">
        <v>334</v>
      </c>
      <c r="B70" s="51" t="s">
        <v>335</v>
      </c>
      <c r="C70" s="51" t="s">
        <v>170</v>
      </c>
      <c r="D70" s="51" t="s">
        <v>171</v>
      </c>
      <c r="E70" s="51" t="s">
        <v>163</v>
      </c>
      <c r="F70" s="51" t="s">
        <v>160</v>
      </c>
      <c r="G70" s="51" t="s">
        <v>160</v>
      </c>
      <c r="H70" s="51" t="s">
        <v>160</v>
      </c>
      <c r="I70" s="51" t="s">
        <v>160</v>
      </c>
      <c r="J70" s="51" t="s">
        <v>166</v>
      </c>
      <c r="K70" s="51" t="s">
        <v>167</v>
      </c>
    </row>
    <row r="71" spans="1:11" x14ac:dyDescent="0.3">
      <c r="A71" s="51" t="s">
        <v>336</v>
      </c>
      <c r="B71" s="51" t="s">
        <v>337</v>
      </c>
      <c r="C71" s="51" t="s">
        <v>170</v>
      </c>
      <c r="D71" s="51" t="s">
        <v>171</v>
      </c>
      <c r="E71" s="51" t="s">
        <v>163</v>
      </c>
      <c r="F71" s="51" t="s">
        <v>160</v>
      </c>
      <c r="G71" s="51" t="s">
        <v>160</v>
      </c>
      <c r="H71" s="51" t="s">
        <v>160</v>
      </c>
      <c r="I71" s="51" t="s">
        <v>160</v>
      </c>
      <c r="J71" s="51" t="s">
        <v>202</v>
      </c>
      <c r="K71" s="51" t="s">
        <v>167</v>
      </c>
    </row>
    <row r="72" spans="1:11" x14ac:dyDescent="0.3">
      <c r="A72" s="51" t="s">
        <v>338</v>
      </c>
      <c r="B72" s="51" t="s">
        <v>339</v>
      </c>
      <c r="C72" s="51" t="s">
        <v>170</v>
      </c>
      <c r="D72" s="51" t="s">
        <v>171</v>
      </c>
      <c r="E72" s="51" t="s">
        <v>163</v>
      </c>
      <c r="F72" s="51" t="s">
        <v>160</v>
      </c>
      <c r="G72" s="51" t="s">
        <v>160</v>
      </c>
      <c r="H72" s="51" t="s">
        <v>160</v>
      </c>
      <c r="I72" s="51" t="s">
        <v>160</v>
      </c>
      <c r="J72" s="51" t="s">
        <v>340</v>
      </c>
      <c r="K72" s="51" t="s">
        <v>167</v>
      </c>
    </row>
    <row r="73" spans="1:11" x14ac:dyDescent="0.3">
      <c r="A73" s="51" t="s">
        <v>341</v>
      </c>
      <c r="B73" s="51" t="s">
        <v>342</v>
      </c>
      <c r="C73" s="51" t="s">
        <v>170</v>
      </c>
      <c r="D73" s="51" t="s">
        <v>171</v>
      </c>
      <c r="E73" s="51" t="s">
        <v>163</v>
      </c>
      <c r="F73" s="51" t="s">
        <v>160</v>
      </c>
      <c r="G73" s="51" t="s">
        <v>160</v>
      </c>
      <c r="H73" s="51" t="s">
        <v>160</v>
      </c>
      <c r="I73" s="51" t="s">
        <v>160</v>
      </c>
      <c r="J73" s="51" t="s">
        <v>172</v>
      </c>
      <c r="K73" s="51" t="s">
        <v>273</v>
      </c>
    </row>
    <row r="74" spans="1:11" x14ac:dyDescent="0.3">
      <c r="A74" s="51" t="s">
        <v>343</v>
      </c>
      <c r="B74" s="51" t="s">
        <v>344</v>
      </c>
      <c r="C74" s="51" t="s">
        <v>170</v>
      </c>
      <c r="D74" s="51" t="s">
        <v>171</v>
      </c>
      <c r="E74" s="51" t="s">
        <v>163</v>
      </c>
      <c r="F74" s="51" t="s">
        <v>160</v>
      </c>
      <c r="G74" s="51" t="s">
        <v>160</v>
      </c>
      <c r="H74" s="51" t="s">
        <v>160</v>
      </c>
      <c r="I74" s="51" t="s">
        <v>160</v>
      </c>
      <c r="J74" s="51" t="s">
        <v>257</v>
      </c>
      <c r="K74" s="51" t="s">
        <v>167</v>
      </c>
    </row>
    <row r="75" spans="1:11" x14ac:dyDescent="0.3">
      <c r="A75" s="51" t="s">
        <v>345</v>
      </c>
      <c r="B75" s="51" t="s">
        <v>346</v>
      </c>
      <c r="C75" s="51" t="s">
        <v>170</v>
      </c>
      <c r="D75" s="51" t="s">
        <v>171</v>
      </c>
      <c r="E75" s="51" t="s">
        <v>163</v>
      </c>
      <c r="F75" s="51" t="s">
        <v>160</v>
      </c>
      <c r="G75" s="51" t="s">
        <v>160</v>
      </c>
      <c r="H75" s="51" t="s">
        <v>160</v>
      </c>
      <c r="I75" s="51" t="s">
        <v>160</v>
      </c>
      <c r="J75" s="51" t="s">
        <v>166</v>
      </c>
      <c r="K75" s="51" t="s">
        <v>167</v>
      </c>
    </row>
    <row r="76" spans="1:11" x14ac:dyDescent="0.3">
      <c r="A76" s="51" t="s">
        <v>347</v>
      </c>
      <c r="B76" s="51" t="s">
        <v>348</v>
      </c>
      <c r="C76" s="51" t="s">
        <v>170</v>
      </c>
      <c r="D76" s="51" t="s">
        <v>171</v>
      </c>
      <c r="E76" s="51" t="s">
        <v>163</v>
      </c>
      <c r="F76" s="51" t="s">
        <v>160</v>
      </c>
      <c r="G76" s="51" t="s">
        <v>160</v>
      </c>
      <c r="H76" s="51" t="s">
        <v>160</v>
      </c>
      <c r="I76" s="51" t="s">
        <v>160</v>
      </c>
      <c r="J76" s="51" t="s">
        <v>349</v>
      </c>
      <c r="K76" s="51" t="s">
        <v>167</v>
      </c>
    </row>
    <row r="77" spans="1:11" x14ac:dyDescent="0.3">
      <c r="A77" s="51" t="s">
        <v>350</v>
      </c>
      <c r="B77" s="51" t="s">
        <v>351</v>
      </c>
      <c r="C77" s="51" t="s">
        <v>170</v>
      </c>
      <c r="D77" s="51" t="s">
        <v>171</v>
      </c>
      <c r="E77" s="51" t="s">
        <v>163</v>
      </c>
      <c r="F77" s="51" t="s">
        <v>160</v>
      </c>
      <c r="G77" s="51" t="s">
        <v>160</v>
      </c>
      <c r="H77" s="51" t="s">
        <v>160</v>
      </c>
      <c r="I77" s="51" t="s">
        <v>160</v>
      </c>
      <c r="J77" s="51" t="s">
        <v>166</v>
      </c>
      <c r="K77" s="51" t="s">
        <v>167</v>
      </c>
    </row>
    <row r="78" spans="1:11" x14ac:dyDescent="0.3">
      <c r="A78" s="51" t="s">
        <v>352</v>
      </c>
      <c r="B78" s="51" t="s">
        <v>353</v>
      </c>
      <c r="C78" s="51" t="s">
        <v>170</v>
      </c>
      <c r="D78" s="51" t="s">
        <v>171</v>
      </c>
      <c r="E78" s="51" t="s">
        <v>163</v>
      </c>
      <c r="F78" s="51" t="s">
        <v>160</v>
      </c>
      <c r="G78" s="51" t="s">
        <v>160</v>
      </c>
      <c r="H78" s="51" t="s">
        <v>160</v>
      </c>
      <c r="I78" s="51" t="s">
        <v>160</v>
      </c>
      <c r="J78" s="51" t="s">
        <v>354</v>
      </c>
      <c r="K78" s="51" t="s">
        <v>167</v>
      </c>
    </row>
    <row r="79" spans="1:11" x14ac:dyDescent="0.3">
      <c r="A79" s="51" t="s">
        <v>355</v>
      </c>
      <c r="B79" s="51" t="s">
        <v>356</v>
      </c>
      <c r="C79" s="51" t="s">
        <v>170</v>
      </c>
      <c r="D79" s="51" t="s">
        <v>171</v>
      </c>
      <c r="E79" s="51" t="s">
        <v>163</v>
      </c>
      <c r="F79" s="51" t="s">
        <v>160</v>
      </c>
      <c r="G79" s="51" t="s">
        <v>160</v>
      </c>
      <c r="H79" s="51" t="s">
        <v>160</v>
      </c>
      <c r="I79" s="51" t="s">
        <v>160</v>
      </c>
      <c r="J79" s="51" t="s">
        <v>357</v>
      </c>
      <c r="K79" s="51" t="s">
        <v>273</v>
      </c>
    </row>
    <row r="80" spans="1:11" x14ac:dyDescent="0.3">
      <c r="A80" s="51" t="s">
        <v>358</v>
      </c>
      <c r="B80" s="51" t="s">
        <v>359</v>
      </c>
      <c r="C80" s="51" t="s">
        <v>170</v>
      </c>
      <c r="D80" s="51" t="s">
        <v>171</v>
      </c>
      <c r="E80" s="51" t="s">
        <v>163</v>
      </c>
      <c r="F80" s="51" t="s">
        <v>160</v>
      </c>
      <c r="G80" s="51" t="s">
        <v>160</v>
      </c>
      <c r="H80" s="51" t="s">
        <v>160</v>
      </c>
      <c r="I80" s="51" t="s">
        <v>160</v>
      </c>
      <c r="J80" s="51" t="s">
        <v>172</v>
      </c>
      <c r="K80" s="51" t="s">
        <v>167</v>
      </c>
    </row>
    <row r="81" spans="1:11" x14ac:dyDescent="0.3">
      <c r="A81" s="51" t="s">
        <v>360</v>
      </c>
      <c r="B81" s="51" t="s">
        <v>361</v>
      </c>
      <c r="C81" s="51" t="s">
        <v>287</v>
      </c>
      <c r="D81" s="51" t="s">
        <v>362</v>
      </c>
      <c r="E81" s="51" t="s">
        <v>163</v>
      </c>
      <c r="F81" s="51" t="s">
        <v>160</v>
      </c>
      <c r="G81" s="51" t="s">
        <v>160</v>
      </c>
      <c r="H81" s="51" t="s">
        <v>160</v>
      </c>
      <c r="I81" s="51" t="s">
        <v>160</v>
      </c>
      <c r="J81" s="51" t="s">
        <v>272</v>
      </c>
      <c r="K81" s="51" t="s">
        <v>167</v>
      </c>
    </row>
    <row r="82" spans="1:11" x14ac:dyDescent="0.3">
      <c r="A82" s="51" t="s">
        <v>363</v>
      </c>
      <c r="B82" s="51" t="s">
        <v>364</v>
      </c>
      <c r="C82" s="51" t="s">
        <v>170</v>
      </c>
      <c r="D82" s="51" t="s">
        <v>171</v>
      </c>
      <c r="E82" s="51" t="s">
        <v>163</v>
      </c>
      <c r="F82" s="51" t="s">
        <v>160</v>
      </c>
      <c r="G82" s="51" t="s">
        <v>160</v>
      </c>
      <c r="H82" s="51" t="s">
        <v>160</v>
      </c>
      <c r="I82" s="51" t="s">
        <v>160</v>
      </c>
      <c r="J82" s="51" t="s">
        <v>172</v>
      </c>
      <c r="K82" s="51" t="s">
        <v>167</v>
      </c>
    </row>
    <row r="83" spans="1:11" x14ac:dyDescent="0.3">
      <c r="A83" s="51" t="s">
        <v>365</v>
      </c>
      <c r="B83" s="51" t="s">
        <v>366</v>
      </c>
      <c r="C83" s="51" t="s">
        <v>170</v>
      </c>
      <c r="D83" s="51" t="s">
        <v>171</v>
      </c>
      <c r="E83" s="51" t="s">
        <v>163</v>
      </c>
      <c r="F83" s="51" t="s">
        <v>160</v>
      </c>
      <c r="G83" s="51" t="s">
        <v>160</v>
      </c>
      <c r="H83" s="51" t="s">
        <v>160</v>
      </c>
      <c r="I83" s="51" t="s">
        <v>160</v>
      </c>
      <c r="J83" s="51" t="s">
        <v>172</v>
      </c>
      <c r="K83" s="51" t="s">
        <v>167</v>
      </c>
    </row>
    <row r="84" spans="1:11" x14ac:dyDescent="0.3">
      <c r="A84" s="51" t="s">
        <v>367</v>
      </c>
      <c r="B84" s="51" t="s">
        <v>368</v>
      </c>
      <c r="C84" s="51" t="s">
        <v>170</v>
      </c>
      <c r="D84" s="51" t="s">
        <v>171</v>
      </c>
      <c r="E84" s="51" t="s">
        <v>163</v>
      </c>
      <c r="F84" s="51" t="s">
        <v>160</v>
      </c>
      <c r="G84" s="51" t="s">
        <v>160</v>
      </c>
      <c r="H84" s="51" t="s">
        <v>160</v>
      </c>
      <c r="I84" s="51" t="s">
        <v>160</v>
      </c>
      <c r="J84" s="51" t="s">
        <v>172</v>
      </c>
      <c r="K84" s="51" t="s">
        <v>167</v>
      </c>
    </row>
    <row r="85" spans="1:11" x14ac:dyDescent="0.3">
      <c r="A85" s="51" t="s">
        <v>369</v>
      </c>
      <c r="B85" s="51" t="s">
        <v>370</v>
      </c>
      <c r="C85" s="51" t="s">
        <v>170</v>
      </c>
      <c r="D85" s="51" t="s">
        <v>171</v>
      </c>
      <c r="E85" s="51" t="s">
        <v>163</v>
      </c>
      <c r="F85" s="51" t="s">
        <v>160</v>
      </c>
      <c r="G85" s="51" t="s">
        <v>160</v>
      </c>
      <c r="H85" s="51" t="s">
        <v>160</v>
      </c>
      <c r="I85" s="51" t="s">
        <v>160</v>
      </c>
      <c r="J85" s="51" t="s">
        <v>175</v>
      </c>
      <c r="K85" s="51" t="s">
        <v>195</v>
      </c>
    </row>
    <row r="86" spans="1:11" x14ac:dyDescent="0.3">
      <c r="A86" s="51" t="s">
        <v>371</v>
      </c>
      <c r="B86" s="51" t="s">
        <v>372</v>
      </c>
      <c r="C86" s="51" t="s">
        <v>170</v>
      </c>
      <c r="D86" s="51" t="s">
        <v>171</v>
      </c>
      <c r="E86" s="51" t="s">
        <v>163</v>
      </c>
      <c r="F86" s="51" t="s">
        <v>160</v>
      </c>
      <c r="G86" s="51" t="s">
        <v>160</v>
      </c>
      <c r="H86" s="51" t="s">
        <v>160</v>
      </c>
      <c r="I86" s="51" t="s">
        <v>160</v>
      </c>
      <c r="J86" s="51" t="s">
        <v>172</v>
      </c>
      <c r="K86" s="51" t="s">
        <v>167</v>
      </c>
    </row>
    <row r="87" spans="1:11" x14ac:dyDescent="0.3">
      <c r="A87" s="51" t="s">
        <v>373</v>
      </c>
      <c r="B87" s="51" t="s">
        <v>374</v>
      </c>
      <c r="C87" s="51" t="s">
        <v>170</v>
      </c>
      <c r="D87" s="51" t="s">
        <v>171</v>
      </c>
      <c r="E87" s="51" t="s">
        <v>163</v>
      </c>
      <c r="F87" s="51" t="s">
        <v>160</v>
      </c>
      <c r="G87" s="51" t="s">
        <v>160</v>
      </c>
      <c r="H87" s="51" t="s">
        <v>160</v>
      </c>
      <c r="I87" s="51" t="s">
        <v>160</v>
      </c>
      <c r="J87" s="51" t="s">
        <v>354</v>
      </c>
      <c r="K87" s="51" t="s">
        <v>167</v>
      </c>
    </row>
    <row r="88" spans="1:11" x14ac:dyDescent="0.3">
      <c r="A88" s="51" t="s">
        <v>375</v>
      </c>
      <c r="B88" s="51" t="s">
        <v>376</v>
      </c>
      <c r="C88" s="51" t="s">
        <v>170</v>
      </c>
      <c r="D88" s="51" t="s">
        <v>171</v>
      </c>
      <c r="E88" s="51" t="s">
        <v>163</v>
      </c>
      <c r="F88" s="51" t="s">
        <v>160</v>
      </c>
      <c r="G88" s="51" t="s">
        <v>160</v>
      </c>
      <c r="H88" s="51" t="s">
        <v>160</v>
      </c>
      <c r="I88" s="51" t="s">
        <v>160</v>
      </c>
      <c r="J88" s="51" t="s">
        <v>172</v>
      </c>
      <c r="K88" s="51" t="s">
        <v>167</v>
      </c>
    </row>
    <row r="89" spans="1:11" x14ac:dyDescent="0.3">
      <c r="A89" s="51" t="s">
        <v>377</v>
      </c>
      <c r="B89" s="51" t="s">
        <v>378</v>
      </c>
      <c r="C89" s="51" t="s">
        <v>170</v>
      </c>
      <c r="D89" s="51" t="s">
        <v>171</v>
      </c>
      <c r="E89" s="51" t="s">
        <v>163</v>
      </c>
      <c r="F89" s="51" t="s">
        <v>160</v>
      </c>
      <c r="G89" s="51" t="s">
        <v>160</v>
      </c>
      <c r="H89" s="51" t="s">
        <v>160</v>
      </c>
      <c r="I89" s="51" t="s">
        <v>160</v>
      </c>
      <c r="J89" s="51" t="s">
        <v>172</v>
      </c>
      <c r="K89" s="51" t="s">
        <v>167</v>
      </c>
    </row>
    <row r="90" spans="1:11" x14ac:dyDescent="0.3">
      <c r="A90" s="51" t="s">
        <v>379</v>
      </c>
      <c r="B90" s="51" t="s">
        <v>366</v>
      </c>
      <c r="C90" s="51" t="s">
        <v>170</v>
      </c>
      <c r="D90" s="51" t="s">
        <v>171</v>
      </c>
      <c r="E90" s="51" t="s">
        <v>163</v>
      </c>
      <c r="F90" s="51" t="s">
        <v>160</v>
      </c>
      <c r="G90" s="51" t="s">
        <v>160</v>
      </c>
      <c r="H90" s="51" t="s">
        <v>160</v>
      </c>
      <c r="I90" s="51" t="s">
        <v>160</v>
      </c>
      <c r="J90" s="51" t="s">
        <v>175</v>
      </c>
      <c r="K90" s="51" t="s">
        <v>195</v>
      </c>
    </row>
    <row r="91" spans="1:11" x14ac:dyDescent="0.3">
      <c r="A91" s="51" t="s">
        <v>380</v>
      </c>
      <c r="B91" s="51" t="s">
        <v>381</v>
      </c>
      <c r="C91" s="51" t="s">
        <v>170</v>
      </c>
      <c r="D91" s="51" t="s">
        <v>171</v>
      </c>
      <c r="E91" s="51" t="s">
        <v>163</v>
      </c>
      <c r="F91" s="51" t="s">
        <v>160</v>
      </c>
      <c r="G91" s="51" t="s">
        <v>160</v>
      </c>
      <c r="H91" s="51" t="s">
        <v>160</v>
      </c>
      <c r="I91" s="51" t="s">
        <v>160</v>
      </c>
      <c r="J91" s="51" t="s">
        <v>172</v>
      </c>
      <c r="K91" s="51" t="s">
        <v>167</v>
      </c>
    </row>
    <row r="92" spans="1:11" x14ac:dyDescent="0.3">
      <c r="A92" s="51" t="s">
        <v>382</v>
      </c>
      <c r="B92" s="51" t="s">
        <v>383</v>
      </c>
      <c r="C92" s="51" t="s">
        <v>170</v>
      </c>
      <c r="D92" s="51" t="s">
        <v>171</v>
      </c>
      <c r="E92" s="51" t="s">
        <v>163</v>
      </c>
      <c r="F92" s="51" t="s">
        <v>160</v>
      </c>
      <c r="G92" s="51" t="s">
        <v>160</v>
      </c>
      <c r="H92" s="51" t="s">
        <v>160</v>
      </c>
      <c r="I92" s="51" t="s">
        <v>160</v>
      </c>
      <c r="J92" s="51" t="s">
        <v>172</v>
      </c>
      <c r="K92" s="51" t="s">
        <v>167</v>
      </c>
    </row>
    <row r="93" spans="1:11" x14ac:dyDescent="0.3">
      <c r="A93" s="51" t="s">
        <v>384</v>
      </c>
      <c r="B93" s="51" t="s">
        <v>385</v>
      </c>
      <c r="C93" s="51" t="s">
        <v>170</v>
      </c>
      <c r="D93" s="51" t="s">
        <v>171</v>
      </c>
      <c r="E93" s="51" t="s">
        <v>163</v>
      </c>
      <c r="F93" s="51" t="s">
        <v>160</v>
      </c>
      <c r="G93" s="51" t="s">
        <v>160</v>
      </c>
      <c r="H93" s="51" t="s">
        <v>160</v>
      </c>
      <c r="I93" s="51" t="s">
        <v>160</v>
      </c>
      <c r="J93" s="51" t="s">
        <v>172</v>
      </c>
      <c r="K93" s="51" t="s">
        <v>167</v>
      </c>
    </row>
    <row r="94" spans="1:11" x14ac:dyDescent="0.3">
      <c r="A94" s="51" t="s">
        <v>386</v>
      </c>
      <c r="B94" s="51" t="s">
        <v>387</v>
      </c>
      <c r="C94" s="51" t="s">
        <v>170</v>
      </c>
      <c r="D94" s="51" t="s">
        <v>171</v>
      </c>
      <c r="E94" s="51" t="s">
        <v>163</v>
      </c>
      <c r="F94" s="51" t="s">
        <v>160</v>
      </c>
      <c r="G94" s="51" t="s">
        <v>160</v>
      </c>
      <c r="H94" s="51" t="s">
        <v>160</v>
      </c>
      <c r="I94" s="51" t="s">
        <v>160</v>
      </c>
      <c r="J94" s="51" t="s">
        <v>172</v>
      </c>
      <c r="K94" s="51" t="s">
        <v>167</v>
      </c>
    </row>
    <row r="95" spans="1:11" x14ac:dyDescent="0.3">
      <c r="A95" s="51" t="s">
        <v>388</v>
      </c>
      <c r="B95" s="51" t="s">
        <v>389</v>
      </c>
      <c r="C95" s="51" t="s">
        <v>170</v>
      </c>
      <c r="D95" s="51" t="s">
        <v>171</v>
      </c>
      <c r="E95" s="51" t="s">
        <v>163</v>
      </c>
      <c r="F95" s="51" t="s">
        <v>160</v>
      </c>
      <c r="G95" s="51" t="s">
        <v>160</v>
      </c>
      <c r="H95" s="51" t="s">
        <v>160</v>
      </c>
      <c r="I95" s="51" t="s">
        <v>160</v>
      </c>
      <c r="J95" s="51" t="s">
        <v>172</v>
      </c>
      <c r="K95" s="51" t="s">
        <v>167</v>
      </c>
    </row>
    <row r="96" spans="1:11" x14ac:dyDescent="0.3">
      <c r="A96" s="51" t="s">
        <v>390</v>
      </c>
      <c r="B96" s="51" t="s">
        <v>391</v>
      </c>
      <c r="C96" s="51" t="s">
        <v>170</v>
      </c>
      <c r="D96" s="51" t="s">
        <v>171</v>
      </c>
      <c r="E96" s="51" t="s">
        <v>163</v>
      </c>
      <c r="F96" s="51" t="s">
        <v>160</v>
      </c>
      <c r="G96" s="51" t="s">
        <v>160</v>
      </c>
      <c r="H96" s="51" t="s">
        <v>160</v>
      </c>
      <c r="I96" s="51" t="s">
        <v>160</v>
      </c>
      <c r="J96" s="51" t="s">
        <v>172</v>
      </c>
      <c r="K96" s="51" t="s">
        <v>167</v>
      </c>
    </row>
    <row r="97" spans="1:11" x14ac:dyDescent="0.3">
      <c r="A97" s="51" t="s">
        <v>392</v>
      </c>
      <c r="B97" s="51" t="s">
        <v>393</v>
      </c>
      <c r="C97" s="51" t="s">
        <v>170</v>
      </c>
      <c r="D97" s="51" t="s">
        <v>171</v>
      </c>
      <c r="E97" s="51" t="s">
        <v>163</v>
      </c>
      <c r="F97" s="51" t="s">
        <v>160</v>
      </c>
      <c r="G97" s="51" t="s">
        <v>160</v>
      </c>
      <c r="H97" s="51" t="s">
        <v>160</v>
      </c>
      <c r="I97" s="51" t="s">
        <v>160</v>
      </c>
      <c r="J97" s="51" t="s">
        <v>340</v>
      </c>
      <c r="K97" s="51" t="s">
        <v>167</v>
      </c>
    </row>
    <row r="98" spans="1:11" x14ac:dyDescent="0.3">
      <c r="A98" s="51" t="s">
        <v>394</v>
      </c>
      <c r="B98" s="51" t="s">
        <v>372</v>
      </c>
      <c r="C98" s="51" t="s">
        <v>170</v>
      </c>
      <c r="D98" s="51" t="s">
        <v>171</v>
      </c>
      <c r="E98" s="51" t="s">
        <v>163</v>
      </c>
      <c r="F98" s="51" t="s">
        <v>160</v>
      </c>
      <c r="G98" s="51" t="s">
        <v>160</v>
      </c>
      <c r="H98" s="51" t="s">
        <v>160</v>
      </c>
      <c r="I98" s="51" t="s">
        <v>160</v>
      </c>
      <c r="J98" s="51" t="s">
        <v>175</v>
      </c>
      <c r="K98" s="51" t="s">
        <v>195</v>
      </c>
    </row>
    <row r="99" spans="1:11" x14ac:dyDescent="0.3">
      <c r="A99" s="51" t="s">
        <v>395</v>
      </c>
      <c r="B99" s="51" t="s">
        <v>396</v>
      </c>
      <c r="C99" s="51" t="s">
        <v>170</v>
      </c>
      <c r="D99" s="51" t="s">
        <v>396</v>
      </c>
      <c r="E99" s="51" t="s">
        <v>163</v>
      </c>
      <c r="F99" s="51" t="s">
        <v>160</v>
      </c>
      <c r="G99" s="51" t="s">
        <v>160</v>
      </c>
      <c r="H99" s="51" t="s">
        <v>160</v>
      </c>
      <c r="I99" s="51" t="s">
        <v>160</v>
      </c>
      <c r="J99" s="51" t="s">
        <v>397</v>
      </c>
      <c r="K99" s="51" t="s">
        <v>167</v>
      </c>
    </row>
    <row r="100" spans="1:11" x14ac:dyDescent="0.3">
      <c r="A100" s="51" t="s">
        <v>398</v>
      </c>
      <c r="B100" s="51" t="s">
        <v>399</v>
      </c>
      <c r="C100" s="51" t="s">
        <v>170</v>
      </c>
      <c r="D100" s="51" t="s">
        <v>171</v>
      </c>
      <c r="E100" s="51" t="s">
        <v>163</v>
      </c>
      <c r="F100" s="51" t="s">
        <v>160</v>
      </c>
      <c r="G100" s="51" t="s">
        <v>160</v>
      </c>
      <c r="H100" s="51" t="s">
        <v>160</v>
      </c>
      <c r="I100" s="51" t="s">
        <v>160</v>
      </c>
      <c r="J100" s="51" t="s">
        <v>172</v>
      </c>
      <c r="K100" s="51" t="s">
        <v>167</v>
      </c>
    </row>
    <row r="101" spans="1:11" x14ac:dyDescent="0.3">
      <c r="A101" s="51" t="s">
        <v>400</v>
      </c>
      <c r="B101" s="51" t="s">
        <v>401</v>
      </c>
      <c r="C101" s="51" t="s">
        <v>170</v>
      </c>
      <c r="D101" s="51" t="s">
        <v>171</v>
      </c>
      <c r="E101" s="51" t="s">
        <v>163</v>
      </c>
      <c r="F101" s="51" t="s">
        <v>160</v>
      </c>
      <c r="G101" s="51" t="s">
        <v>160</v>
      </c>
      <c r="H101" s="51" t="s">
        <v>160</v>
      </c>
      <c r="I101" s="51" t="s">
        <v>160</v>
      </c>
      <c r="J101" s="51" t="s">
        <v>402</v>
      </c>
      <c r="K101" s="51" t="s">
        <v>167</v>
      </c>
    </row>
    <row r="102" spans="1:11" x14ac:dyDescent="0.3">
      <c r="A102" s="51" t="s">
        <v>403</v>
      </c>
      <c r="B102" s="51" t="s">
        <v>404</v>
      </c>
      <c r="C102" s="51" t="s">
        <v>170</v>
      </c>
      <c r="D102" s="51" t="s">
        <v>171</v>
      </c>
      <c r="E102" s="51" t="s">
        <v>163</v>
      </c>
      <c r="F102" s="51" t="s">
        <v>160</v>
      </c>
      <c r="G102" s="51" t="s">
        <v>160</v>
      </c>
      <c r="H102" s="51" t="s">
        <v>160</v>
      </c>
      <c r="I102" s="51" t="s">
        <v>160</v>
      </c>
      <c r="J102" s="51" t="s">
        <v>257</v>
      </c>
      <c r="K102" s="51" t="s">
        <v>167</v>
      </c>
    </row>
    <row r="103" spans="1:11" x14ac:dyDescent="0.3">
      <c r="A103" s="51" t="s">
        <v>405</v>
      </c>
      <c r="B103" s="51" t="s">
        <v>406</v>
      </c>
      <c r="C103" s="51" t="s">
        <v>170</v>
      </c>
      <c r="D103" s="51" t="s">
        <v>171</v>
      </c>
      <c r="E103" s="51" t="s">
        <v>163</v>
      </c>
      <c r="F103" s="51" t="s">
        <v>160</v>
      </c>
      <c r="G103" s="51" t="s">
        <v>160</v>
      </c>
      <c r="H103" s="51" t="s">
        <v>160</v>
      </c>
      <c r="I103" s="51" t="s">
        <v>160</v>
      </c>
      <c r="J103" s="51" t="s">
        <v>172</v>
      </c>
      <c r="K103" s="51" t="s">
        <v>167</v>
      </c>
    </row>
    <row r="104" spans="1:11" x14ac:dyDescent="0.3">
      <c r="A104" s="51" t="s">
        <v>407</v>
      </c>
      <c r="B104" s="51" t="s">
        <v>408</v>
      </c>
      <c r="C104" s="51" t="s">
        <v>170</v>
      </c>
      <c r="D104" s="51" t="s">
        <v>171</v>
      </c>
      <c r="E104" s="51" t="s">
        <v>163</v>
      </c>
      <c r="F104" s="51" t="s">
        <v>160</v>
      </c>
      <c r="G104" s="51" t="s">
        <v>160</v>
      </c>
      <c r="H104" s="51" t="s">
        <v>160</v>
      </c>
      <c r="I104" s="51" t="s">
        <v>160</v>
      </c>
      <c r="J104" s="51" t="s">
        <v>172</v>
      </c>
      <c r="K104" s="51" t="s">
        <v>167</v>
      </c>
    </row>
    <row r="105" spans="1:11" x14ac:dyDescent="0.3">
      <c r="A105" s="51" t="s">
        <v>409</v>
      </c>
      <c r="B105" s="51" t="s">
        <v>410</v>
      </c>
      <c r="C105" s="51" t="s">
        <v>170</v>
      </c>
      <c r="D105" s="51" t="s">
        <v>171</v>
      </c>
      <c r="E105" s="51" t="s">
        <v>163</v>
      </c>
      <c r="F105" s="51" t="s">
        <v>160</v>
      </c>
      <c r="G105" s="51" t="s">
        <v>160</v>
      </c>
      <c r="H105" s="51" t="s">
        <v>160</v>
      </c>
      <c r="I105" s="51" t="s">
        <v>160</v>
      </c>
      <c r="J105" s="51" t="s">
        <v>175</v>
      </c>
      <c r="K105" s="51" t="s">
        <v>167</v>
      </c>
    </row>
    <row r="106" spans="1:11" x14ac:dyDescent="0.3">
      <c r="A106" s="51" t="s">
        <v>411</v>
      </c>
      <c r="B106" s="51" t="s">
        <v>412</v>
      </c>
      <c r="C106" s="51" t="s">
        <v>170</v>
      </c>
      <c r="D106" s="51" t="s">
        <v>171</v>
      </c>
      <c r="E106" s="51" t="s">
        <v>163</v>
      </c>
      <c r="F106" s="51" t="s">
        <v>160</v>
      </c>
      <c r="G106" s="51" t="s">
        <v>160</v>
      </c>
      <c r="H106" s="51" t="s">
        <v>160</v>
      </c>
      <c r="I106" s="51" t="s">
        <v>160</v>
      </c>
      <c r="J106" s="51" t="s">
        <v>172</v>
      </c>
      <c r="K106" s="51" t="s">
        <v>273</v>
      </c>
    </row>
    <row r="107" spans="1:11" x14ac:dyDescent="0.3">
      <c r="A107" s="51" t="s">
        <v>413</v>
      </c>
      <c r="B107" s="51" t="s">
        <v>414</v>
      </c>
      <c r="C107" s="51" t="s">
        <v>255</v>
      </c>
      <c r="D107" s="51" t="s">
        <v>256</v>
      </c>
      <c r="E107" s="51" t="s">
        <v>163</v>
      </c>
      <c r="F107" s="51" t="s">
        <v>160</v>
      </c>
      <c r="G107" s="51" t="s">
        <v>160</v>
      </c>
      <c r="H107" s="51" t="s">
        <v>160</v>
      </c>
      <c r="I107" s="51" t="s">
        <v>160</v>
      </c>
      <c r="J107" s="51" t="s">
        <v>272</v>
      </c>
      <c r="K107" s="51" t="s">
        <v>167</v>
      </c>
    </row>
    <row r="108" spans="1:11" x14ac:dyDescent="0.3">
      <c r="A108" s="51" t="s">
        <v>415</v>
      </c>
      <c r="B108" s="51" t="s">
        <v>416</v>
      </c>
      <c r="C108" s="51" t="s">
        <v>255</v>
      </c>
      <c r="D108" s="51" t="s">
        <v>256</v>
      </c>
      <c r="E108" s="51" t="s">
        <v>163</v>
      </c>
      <c r="F108" s="51" t="s">
        <v>160</v>
      </c>
      <c r="G108" s="51" t="s">
        <v>160</v>
      </c>
      <c r="H108" s="51" t="s">
        <v>160</v>
      </c>
      <c r="I108" s="51" t="s">
        <v>160</v>
      </c>
      <c r="J108" s="51" t="s">
        <v>349</v>
      </c>
      <c r="K108" s="51" t="s">
        <v>167</v>
      </c>
    </row>
    <row r="109" spans="1:11" x14ac:dyDescent="0.3">
      <c r="A109" s="51" t="s">
        <v>417</v>
      </c>
      <c r="B109" s="51" t="s">
        <v>418</v>
      </c>
      <c r="C109" s="51" t="s">
        <v>255</v>
      </c>
      <c r="D109" s="51" t="s">
        <v>256</v>
      </c>
      <c r="E109" s="51" t="s">
        <v>163</v>
      </c>
      <c r="F109" s="51" t="s">
        <v>160</v>
      </c>
      <c r="G109" s="51" t="s">
        <v>160</v>
      </c>
      <c r="H109" s="51" t="s">
        <v>160</v>
      </c>
      <c r="I109" s="51" t="s">
        <v>160</v>
      </c>
      <c r="J109" s="51" t="s">
        <v>272</v>
      </c>
      <c r="K109" s="51" t="s">
        <v>167</v>
      </c>
    </row>
    <row r="110" spans="1:11" x14ac:dyDescent="0.3">
      <c r="A110" s="51" t="s">
        <v>419</v>
      </c>
      <c r="B110" s="51" t="s">
        <v>420</v>
      </c>
      <c r="C110" s="51" t="s">
        <v>255</v>
      </c>
      <c r="D110" s="51" t="s">
        <v>256</v>
      </c>
      <c r="E110" s="51" t="s">
        <v>163</v>
      </c>
      <c r="F110" s="51" t="s">
        <v>160</v>
      </c>
      <c r="G110" s="51" t="s">
        <v>160</v>
      </c>
      <c r="H110" s="51" t="s">
        <v>160</v>
      </c>
      <c r="I110" s="51" t="s">
        <v>160</v>
      </c>
      <c r="J110" s="51" t="s">
        <v>272</v>
      </c>
      <c r="K110" s="51" t="s">
        <v>167</v>
      </c>
    </row>
    <row r="111" spans="1:11" x14ac:dyDescent="0.3">
      <c r="A111" s="51" t="s">
        <v>421</v>
      </c>
      <c r="B111" s="51" t="s">
        <v>420</v>
      </c>
      <c r="C111" s="51" t="s">
        <v>255</v>
      </c>
      <c r="D111" s="51" t="s">
        <v>256</v>
      </c>
      <c r="E111" s="51" t="s">
        <v>163</v>
      </c>
      <c r="F111" s="51" t="s">
        <v>160</v>
      </c>
      <c r="G111" s="51" t="s">
        <v>160</v>
      </c>
      <c r="H111" s="51" t="s">
        <v>160</v>
      </c>
      <c r="I111" s="51" t="s">
        <v>160</v>
      </c>
      <c r="J111" s="51" t="s">
        <v>272</v>
      </c>
      <c r="K111" s="51" t="s">
        <v>167</v>
      </c>
    </row>
    <row r="112" spans="1:11" x14ac:dyDescent="0.3">
      <c r="A112" s="51" t="s">
        <v>422</v>
      </c>
      <c r="B112" s="51" t="s">
        <v>423</v>
      </c>
      <c r="C112" s="51" t="s">
        <v>255</v>
      </c>
      <c r="D112" s="51" t="s">
        <v>256</v>
      </c>
      <c r="E112" s="51" t="s">
        <v>163</v>
      </c>
      <c r="F112" s="51" t="s">
        <v>160</v>
      </c>
      <c r="G112" s="51" t="s">
        <v>160</v>
      </c>
      <c r="H112" s="51" t="s">
        <v>160</v>
      </c>
      <c r="I112" s="51" t="s">
        <v>160</v>
      </c>
      <c r="J112" s="51" t="s">
        <v>424</v>
      </c>
      <c r="K112" s="51" t="s">
        <v>167</v>
      </c>
    </row>
    <row r="113" spans="1:11" x14ac:dyDescent="0.3">
      <c r="A113" s="51" t="s">
        <v>425</v>
      </c>
      <c r="B113" s="51" t="s">
        <v>426</v>
      </c>
      <c r="C113" s="51" t="s">
        <v>255</v>
      </c>
      <c r="D113" s="51" t="s">
        <v>256</v>
      </c>
      <c r="E113" s="51" t="s">
        <v>163</v>
      </c>
      <c r="F113" s="51" t="s">
        <v>160</v>
      </c>
      <c r="G113" s="51" t="s">
        <v>160</v>
      </c>
      <c r="H113" s="51" t="s">
        <v>160</v>
      </c>
      <c r="I113" s="51" t="s">
        <v>160</v>
      </c>
      <c r="J113" s="51" t="s">
        <v>272</v>
      </c>
      <c r="K113" s="51" t="s">
        <v>273</v>
      </c>
    </row>
    <row r="114" spans="1:11" x14ac:dyDescent="0.3">
      <c r="A114" s="51" t="s">
        <v>427</v>
      </c>
      <c r="B114" s="51" t="s">
        <v>428</v>
      </c>
      <c r="C114" s="51" t="s">
        <v>255</v>
      </c>
      <c r="D114" s="51" t="s">
        <v>256</v>
      </c>
      <c r="E114" s="51" t="s">
        <v>163</v>
      </c>
      <c r="F114" s="51" t="s">
        <v>160</v>
      </c>
      <c r="G114" s="51" t="s">
        <v>160</v>
      </c>
      <c r="H114" s="51" t="s">
        <v>160</v>
      </c>
      <c r="I114" s="51" t="s">
        <v>160</v>
      </c>
      <c r="J114" s="51" t="s">
        <v>272</v>
      </c>
      <c r="K114" s="51" t="s">
        <v>273</v>
      </c>
    </row>
    <row r="115" spans="1:11" x14ac:dyDescent="0.3">
      <c r="A115" s="51" t="s">
        <v>429</v>
      </c>
      <c r="B115" s="51" t="s">
        <v>430</v>
      </c>
      <c r="C115" s="51" t="s">
        <v>255</v>
      </c>
      <c r="D115" s="51" t="s">
        <v>256</v>
      </c>
      <c r="E115" s="51" t="s">
        <v>163</v>
      </c>
      <c r="F115" s="51" t="s">
        <v>160</v>
      </c>
      <c r="G115" s="51" t="s">
        <v>160</v>
      </c>
      <c r="H115" s="51" t="s">
        <v>160</v>
      </c>
      <c r="I115" s="51" t="s">
        <v>160</v>
      </c>
      <c r="J115" s="51" t="s">
        <v>272</v>
      </c>
      <c r="K115" s="51" t="s">
        <v>273</v>
      </c>
    </row>
    <row r="116" spans="1:11" x14ac:dyDescent="0.3">
      <c r="A116" s="51" t="s">
        <v>431</v>
      </c>
      <c r="B116" s="51" t="s">
        <v>432</v>
      </c>
      <c r="C116" s="51" t="s">
        <v>255</v>
      </c>
      <c r="D116" s="51" t="s">
        <v>256</v>
      </c>
      <c r="E116" s="51" t="s">
        <v>163</v>
      </c>
      <c r="F116" s="51" t="s">
        <v>160</v>
      </c>
      <c r="G116" s="51" t="s">
        <v>160</v>
      </c>
      <c r="H116" s="51" t="s">
        <v>160</v>
      </c>
      <c r="I116" s="51" t="s">
        <v>160</v>
      </c>
      <c r="J116" s="51" t="s">
        <v>272</v>
      </c>
      <c r="K116" s="51" t="s">
        <v>273</v>
      </c>
    </row>
    <row r="117" spans="1:11" x14ac:dyDescent="0.3">
      <c r="A117" s="51" t="s">
        <v>433</v>
      </c>
      <c r="B117" s="51" t="s">
        <v>434</v>
      </c>
      <c r="C117" s="51" t="s">
        <v>255</v>
      </c>
      <c r="D117" s="51" t="s">
        <v>256</v>
      </c>
      <c r="E117" s="51" t="s">
        <v>163</v>
      </c>
      <c r="F117" s="51" t="s">
        <v>160</v>
      </c>
      <c r="G117" s="51" t="s">
        <v>160</v>
      </c>
      <c r="H117" s="51" t="s">
        <v>160</v>
      </c>
      <c r="I117" s="51" t="s">
        <v>160</v>
      </c>
      <c r="J117" s="51" t="s">
        <v>272</v>
      </c>
      <c r="K117" s="51" t="s">
        <v>273</v>
      </c>
    </row>
    <row r="118" spans="1:11" x14ac:dyDescent="0.3">
      <c r="A118" s="51" t="s">
        <v>435</v>
      </c>
      <c r="B118" s="51" t="s">
        <v>436</v>
      </c>
      <c r="C118" s="51" t="s">
        <v>255</v>
      </c>
      <c r="D118" s="51" t="s">
        <v>256</v>
      </c>
      <c r="E118" s="51" t="s">
        <v>163</v>
      </c>
      <c r="F118" s="51" t="s">
        <v>160</v>
      </c>
      <c r="G118" s="51" t="s">
        <v>160</v>
      </c>
      <c r="H118" s="51" t="s">
        <v>160</v>
      </c>
      <c r="I118" s="51" t="s">
        <v>160</v>
      </c>
      <c r="J118" s="51" t="s">
        <v>272</v>
      </c>
      <c r="K118" s="51" t="s">
        <v>167</v>
      </c>
    </row>
    <row r="119" spans="1:11" x14ac:dyDescent="0.3">
      <c r="A119" s="51" t="s">
        <v>437</v>
      </c>
      <c r="B119" s="51" t="s">
        <v>438</v>
      </c>
      <c r="C119" s="51" t="s">
        <v>255</v>
      </c>
      <c r="D119" s="51" t="s">
        <v>256</v>
      </c>
      <c r="E119" s="51" t="s">
        <v>163</v>
      </c>
      <c r="F119" s="51" t="s">
        <v>160</v>
      </c>
      <c r="G119" s="51" t="s">
        <v>160</v>
      </c>
      <c r="H119" s="51" t="s">
        <v>160</v>
      </c>
      <c r="I119" s="51" t="s">
        <v>160</v>
      </c>
      <c r="J119" s="51" t="s">
        <v>272</v>
      </c>
      <c r="K119" s="51" t="s">
        <v>273</v>
      </c>
    </row>
    <row r="120" spans="1:11" x14ac:dyDescent="0.3">
      <c r="A120" s="51" t="s">
        <v>439</v>
      </c>
      <c r="B120" s="51" t="s">
        <v>440</v>
      </c>
      <c r="C120" s="51" t="s">
        <v>255</v>
      </c>
      <c r="D120" s="51" t="s">
        <v>256</v>
      </c>
      <c r="E120" s="51" t="s">
        <v>163</v>
      </c>
      <c r="F120" s="51" t="s">
        <v>160</v>
      </c>
      <c r="G120" s="51" t="s">
        <v>160</v>
      </c>
      <c r="H120" s="51" t="s">
        <v>160</v>
      </c>
      <c r="I120" s="51" t="s">
        <v>160</v>
      </c>
      <c r="J120" s="51" t="s">
        <v>272</v>
      </c>
      <c r="K120" s="51" t="s">
        <v>273</v>
      </c>
    </row>
    <row r="121" spans="1:11" x14ac:dyDescent="0.3">
      <c r="A121" s="51" t="s">
        <v>441</v>
      </c>
      <c r="B121" s="51" t="s">
        <v>442</v>
      </c>
      <c r="C121" s="51" t="s">
        <v>255</v>
      </c>
      <c r="D121" s="51" t="s">
        <v>256</v>
      </c>
      <c r="E121" s="51" t="s">
        <v>163</v>
      </c>
      <c r="F121" s="51" t="s">
        <v>160</v>
      </c>
      <c r="G121" s="51" t="s">
        <v>160</v>
      </c>
      <c r="H121" s="51" t="s">
        <v>160</v>
      </c>
      <c r="I121" s="51" t="s">
        <v>160</v>
      </c>
      <c r="J121" s="51" t="s">
        <v>272</v>
      </c>
      <c r="K121" s="51" t="s">
        <v>167</v>
      </c>
    </row>
    <row r="122" spans="1:11" x14ac:dyDescent="0.3">
      <c r="A122" s="51" t="s">
        <v>443</v>
      </c>
      <c r="B122" s="51" t="s">
        <v>444</v>
      </c>
      <c r="C122" s="51" t="s">
        <v>255</v>
      </c>
      <c r="D122" s="51" t="s">
        <v>256</v>
      </c>
      <c r="E122" s="51" t="s">
        <v>163</v>
      </c>
      <c r="F122" s="51" t="s">
        <v>160</v>
      </c>
      <c r="G122" s="51" t="s">
        <v>160</v>
      </c>
      <c r="H122" s="51" t="s">
        <v>160</v>
      </c>
      <c r="I122" s="51" t="s">
        <v>160</v>
      </c>
      <c r="J122" s="51" t="s">
        <v>272</v>
      </c>
      <c r="K122" s="51" t="s">
        <v>273</v>
      </c>
    </row>
    <row r="123" spans="1:11" x14ac:dyDescent="0.3">
      <c r="A123" s="51" t="s">
        <v>445</v>
      </c>
      <c r="B123" s="51" t="s">
        <v>446</v>
      </c>
      <c r="C123" s="51" t="s">
        <v>255</v>
      </c>
      <c r="D123" s="51" t="s">
        <v>256</v>
      </c>
      <c r="E123" s="51" t="s">
        <v>163</v>
      </c>
      <c r="F123" s="51" t="s">
        <v>160</v>
      </c>
      <c r="G123" s="51" t="s">
        <v>160</v>
      </c>
      <c r="H123" s="51" t="s">
        <v>160</v>
      </c>
      <c r="I123" s="51" t="s">
        <v>160</v>
      </c>
      <c r="J123" s="51" t="s">
        <v>272</v>
      </c>
      <c r="K123" s="51" t="s">
        <v>273</v>
      </c>
    </row>
    <row r="124" spans="1:11" x14ac:dyDescent="0.3">
      <c r="A124" s="51" t="s">
        <v>447</v>
      </c>
      <c r="B124" s="51" t="s">
        <v>448</v>
      </c>
      <c r="C124" s="51" t="s">
        <v>255</v>
      </c>
      <c r="D124" s="51" t="s">
        <v>256</v>
      </c>
      <c r="E124" s="51" t="s">
        <v>163</v>
      </c>
      <c r="F124" s="51" t="s">
        <v>160</v>
      </c>
      <c r="G124" s="51" t="s">
        <v>160</v>
      </c>
      <c r="H124" s="51" t="s">
        <v>160</v>
      </c>
      <c r="I124" s="51" t="s">
        <v>160</v>
      </c>
      <c r="J124" s="51" t="s">
        <v>272</v>
      </c>
      <c r="K124" s="51" t="s">
        <v>167</v>
      </c>
    </row>
    <row r="125" spans="1:11" x14ac:dyDescent="0.3">
      <c r="A125" s="51" t="s">
        <v>449</v>
      </c>
      <c r="B125" s="51" t="s">
        <v>450</v>
      </c>
      <c r="C125" s="51" t="s">
        <v>255</v>
      </c>
      <c r="D125" s="51" t="s">
        <v>256</v>
      </c>
      <c r="E125" s="51" t="s">
        <v>163</v>
      </c>
      <c r="F125" s="51" t="s">
        <v>160</v>
      </c>
      <c r="G125" s="51" t="s">
        <v>160</v>
      </c>
      <c r="H125" s="51" t="s">
        <v>160</v>
      </c>
      <c r="I125" s="51" t="s">
        <v>160</v>
      </c>
      <c r="J125" s="51" t="s">
        <v>272</v>
      </c>
      <c r="K125" s="51" t="s">
        <v>273</v>
      </c>
    </row>
    <row r="126" spans="1:11" x14ac:dyDescent="0.3">
      <c r="A126" s="51" t="s">
        <v>451</v>
      </c>
      <c r="B126" s="51" t="s">
        <v>452</v>
      </c>
      <c r="C126" s="51" t="s">
        <v>255</v>
      </c>
      <c r="D126" s="51" t="s">
        <v>256</v>
      </c>
      <c r="E126" s="51" t="s">
        <v>163</v>
      </c>
      <c r="F126" s="51" t="s">
        <v>160</v>
      </c>
      <c r="G126" s="51" t="s">
        <v>160</v>
      </c>
      <c r="H126" s="51" t="s">
        <v>160</v>
      </c>
      <c r="I126" s="51" t="s">
        <v>160</v>
      </c>
      <c r="J126" s="51" t="s">
        <v>272</v>
      </c>
      <c r="K126" s="51" t="s">
        <v>273</v>
      </c>
    </row>
    <row r="127" spans="1:11" x14ac:dyDescent="0.3">
      <c r="A127" s="51" t="s">
        <v>453</v>
      </c>
      <c r="B127" s="51" t="s">
        <v>454</v>
      </c>
      <c r="C127" s="51" t="s">
        <v>255</v>
      </c>
      <c r="D127" s="51" t="s">
        <v>256</v>
      </c>
      <c r="E127" s="51" t="s">
        <v>163</v>
      </c>
      <c r="F127" s="51" t="s">
        <v>160</v>
      </c>
      <c r="G127" s="51" t="s">
        <v>160</v>
      </c>
      <c r="H127" s="51" t="s">
        <v>160</v>
      </c>
      <c r="I127" s="51" t="s">
        <v>160</v>
      </c>
      <c r="J127" s="51" t="s">
        <v>455</v>
      </c>
      <c r="K127" s="51" t="s">
        <v>167</v>
      </c>
    </row>
    <row r="128" spans="1:11" x14ac:dyDescent="0.3">
      <c r="A128" s="51" t="s">
        <v>456</v>
      </c>
      <c r="B128" s="51" t="s">
        <v>457</v>
      </c>
      <c r="C128" s="51" t="s">
        <v>255</v>
      </c>
      <c r="D128" s="51" t="s">
        <v>256</v>
      </c>
      <c r="E128" s="51" t="s">
        <v>163</v>
      </c>
      <c r="F128" s="51" t="s">
        <v>160</v>
      </c>
      <c r="G128" s="51" t="s">
        <v>160</v>
      </c>
      <c r="H128" s="51" t="s">
        <v>160</v>
      </c>
      <c r="I128" s="51" t="s">
        <v>160</v>
      </c>
      <c r="J128" s="51" t="s">
        <v>455</v>
      </c>
      <c r="K128" s="51" t="s">
        <v>273</v>
      </c>
    </row>
    <row r="129" spans="1:11" x14ac:dyDescent="0.3">
      <c r="A129" s="51" t="s">
        <v>458</v>
      </c>
      <c r="B129" s="51" t="s">
        <v>459</v>
      </c>
      <c r="C129" s="51" t="s">
        <v>255</v>
      </c>
      <c r="D129" s="51" t="s">
        <v>256</v>
      </c>
      <c r="E129" s="51" t="s">
        <v>163</v>
      </c>
      <c r="F129" s="51" t="s">
        <v>160</v>
      </c>
      <c r="G129" s="51" t="s">
        <v>160</v>
      </c>
      <c r="H129" s="51" t="s">
        <v>160</v>
      </c>
      <c r="I129" s="51" t="s">
        <v>160</v>
      </c>
      <c r="J129" s="51" t="s">
        <v>455</v>
      </c>
      <c r="K129" s="51" t="s">
        <v>273</v>
      </c>
    </row>
    <row r="130" spans="1:11" x14ac:dyDescent="0.3">
      <c r="A130" s="51" t="s">
        <v>460</v>
      </c>
      <c r="B130" s="51" t="s">
        <v>461</v>
      </c>
      <c r="C130" s="51" t="s">
        <v>255</v>
      </c>
      <c r="D130" s="51" t="s">
        <v>256</v>
      </c>
      <c r="E130" s="51" t="s">
        <v>163</v>
      </c>
      <c r="F130" s="51" t="s">
        <v>160</v>
      </c>
      <c r="G130" s="51" t="s">
        <v>160</v>
      </c>
      <c r="H130" s="51" t="s">
        <v>160</v>
      </c>
      <c r="I130" s="51" t="s">
        <v>160</v>
      </c>
      <c r="J130" s="51" t="s">
        <v>272</v>
      </c>
      <c r="K130" s="51" t="s">
        <v>273</v>
      </c>
    </row>
    <row r="131" spans="1:11" x14ac:dyDescent="0.3">
      <c r="A131" s="51" t="s">
        <v>462</v>
      </c>
      <c r="B131" s="51" t="s">
        <v>463</v>
      </c>
      <c r="C131" s="51" t="s">
        <v>255</v>
      </c>
      <c r="D131" s="51" t="s">
        <v>256</v>
      </c>
      <c r="E131" s="51" t="s">
        <v>163</v>
      </c>
      <c r="F131" s="51" t="s">
        <v>160</v>
      </c>
      <c r="G131" s="51" t="s">
        <v>160</v>
      </c>
      <c r="H131" s="51" t="s">
        <v>160</v>
      </c>
      <c r="I131" s="51" t="s">
        <v>160</v>
      </c>
      <c r="J131" s="51" t="s">
        <v>272</v>
      </c>
      <c r="K131" s="51" t="s">
        <v>273</v>
      </c>
    </row>
    <row r="132" spans="1:11" x14ac:dyDescent="0.3">
      <c r="A132" s="51" t="s">
        <v>464</v>
      </c>
      <c r="B132" s="51" t="s">
        <v>465</v>
      </c>
      <c r="C132" s="51" t="s">
        <v>255</v>
      </c>
      <c r="D132" s="51" t="s">
        <v>256</v>
      </c>
      <c r="E132" s="51" t="s">
        <v>163</v>
      </c>
      <c r="F132" s="51" t="s">
        <v>160</v>
      </c>
      <c r="G132" s="51" t="s">
        <v>160</v>
      </c>
      <c r="H132" s="51" t="s">
        <v>160</v>
      </c>
      <c r="I132" s="51" t="s">
        <v>160</v>
      </c>
      <c r="J132" s="51" t="s">
        <v>272</v>
      </c>
      <c r="K132" s="51" t="s">
        <v>167</v>
      </c>
    </row>
    <row r="133" spans="1:11" x14ac:dyDescent="0.3">
      <c r="A133" s="51" t="s">
        <v>466</v>
      </c>
      <c r="B133" s="51" t="s">
        <v>467</v>
      </c>
      <c r="C133" s="51" t="s">
        <v>255</v>
      </c>
      <c r="D133" s="51" t="s">
        <v>256</v>
      </c>
      <c r="E133" s="51" t="s">
        <v>163</v>
      </c>
      <c r="F133" s="51" t="s">
        <v>160</v>
      </c>
      <c r="G133" s="51" t="s">
        <v>160</v>
      </c>
      <c r="H133" s="51" t="s">
        <v>160</v>
      </c>
      <c r="I133" s="51" t="s">
        <v>160</v>
      </c>
      <c r="J133" s="51" t="s">
        <v>272</v>
      </c>
      <c r="K133" s="51" t="s">
        <v>273</v>
      </c>
    </row>
    <row r="134" spans="1:11" x14ac:dyDescent="0.3">
      <c r="A134" s="51" t="s">
        <v>468</v>
      </c>
      <c r="B134" s="51" t="s">
        <v>469</v>
      </c>
      <c r="C134" s="51" t="s">
        <v>255</v>
      </c>
      <c r="D134" s="51" t="s">
        <v>256</v>
      </c>
      <c r="E134" s="51" t="s">
        <v>163</v>
      </c>
      <c r="F134" s="51" t="s">
        <v>160</v>
      </c>
      <c r="G134" s="51" t="s">
        <v>160</v>
      </c>
      <c r="H134" s="51" t="s">
        <v>160</v>
      </c>
      <c r="I134" s="51" t="s">
        <v>160</v>
      </c>
      <c r="J134" s="51" t="s">
        <v>272</v>
      </c>
      <c r="K134" s="51" t="s">
        <v>273</v>
      </c>
    </row>
    <row r="135" spans="1:11" x14ac:dyDescent="0.3">
      <c r="A135" s="51" t="s">
        <v>470</v>
      </c>
      <c r="B135" s="51" t="s">
        <v>471</v>
      </c>
      <c r="C135" s="51" t="s">
        <v>255</v>
      </c>
      <c r="D135" s="51" t="s">
        <v>256</v>
      </c>
      <c r="E135" s="51" t="s">
        <v>163</v>
      </c>
      <c r="F135" s="51" t="s">
        <v>160</v>
      </c>
      <c r="G135" s="51" t="s">
        <v>160</v>
      </c>
      <c r="H135" s="51" t="s">
        <v>160</v>
      </c>
      <c r="I135" s="51" t="s">
        <v>160</v>
      </c>
      <c r="J135" s="51" t="s">
        <v>272</v>
      </c>
      <c r="K135" s="51" t="s">
        <v>273</v>
      </c>
    </row>
    <row r="136" spans="1:11" x14ac:dyDescent="0.3">
      <c r="A136" s="51" t="s">
        <v>472</v>
      </c>
      <c r="B136" s="51" t="s">
        <v>473</v>
      </c>
      <c r="C136" s="51" t="s">
        <v>255</v>
      </c>
      <c r="D136" s="51" t="s">
        <v>256</v>
      </c>
      <c r="E136" s="51" t="s">
        <v>163</v>
      </c>
      <c r="F136" s="51" t="s">
        <v>160</v>
      </c>
      <c r="G136" s="51" t="s">
        <v>160</v>
      </c>
      <c r="H136" s="51" t="s">
        <v>160</v>
      </c>
      <c r="I136" s="51" t="s">
        <v>160</v>
      </c>
      <c r="J136" s="51" t="s">
        <v>272</v>
      </c>
      <c r="K136" s="51" t="s">
        <v>273</v>
      </c>
    </row>
    <row r="137" spans="1:11" x14ac:dyDescent="0.3">
      <c r="A137" s="51" t="s">
        <v>474</v>
      </c>
      <c r="B137" s="51" t="s">
        <v>475</v>
      </c>
      <c r="C137" s="51" t="s">
        <v>255</v>
      </c>
      <c r="D137" s="51" t="s">
        <v>256</v>
      </c>
      <c r="E137" s="51" t="s">
        <v>163</v>
      </c>
      <c r="F137" s="51" t="s">
        <v>160</v>
      </c>
      <c r="G137" s="51" t="s">
        <v>160</v>
      </c>
      <c r="H137" s="51" t="s">
        <v>160</v>
      </c>
      <c r="I137" s="51" t="s">
        <v>160</v>
      </c>
      <c r="J137" s="51" t="s">
        <v>272</v>
      </c>
      <c r="K137" s="51" t="s">
        <v>273</v>
      </c>
    </row>
    <row r="138" spans="1:11" x14ac:dyDescent="0.3">
      <c r="A138" s="51" t="s">
        <v>476</v>
      </c>
      <c r="B138" s="51" t="s">
        <v>477</v>
      </c>
      <c r="C138" s="51" t="s">
        <v>255</v>
      </c>
      <c r="D138" s="51" t="s">
        <v>256</v>
      </c>
      <c r="E138" s="51" t="s">
        <v>163</v>
      </c>
      <c r="F138" s="51" t="s">
        <v>160</v>
      </c>
      <c r="G138" s="51" t="s">
        <v>160</v>
      </c>
      <c r="H138" s="51" t="s">
        <v>160</v>
      </c>
      <c r="I138" s="51" t="s">
        <v>160</v>
      </c>
      <c r="J138" s="51" t="s">
        <v>478</v>
      </c>
      <c r="K138" s="51" t="s">
        <v>167</v>
      </c>
    </row>
    <row r="139" spans="1:11" x14ac:dyDescent="0.3">
      <c r="A139" s="51" t="s">
        <v>479</v>
      </c>
      <c r="B139" s="51" t="s">
        <v>480</v>
      </c>
      <c r="C139" s="51" t="s">
        <v>255</v>
      </c>
      <c r="D139" s="51" t="s">
        <v>256</v>
      </c>
      <c r="E139" s="51" t="s">
        <v>163</v>
      </c>
      <c r="F139" s="51" t="s">
        <v>160</v>
      </c>
      <c r="G139" s="51" t="s">
        <v>160</v>
      </c>
      <c r="H139" s="51" t="s">
        <v>160</v>
      </c>
      <c r="I139" s="51" t="s">
        <v>160</v>
      </c>
      <c r="J139" s="51" t="s">
        <v>455</v>
      </c>
      <c r="K139" s="51" t="s">
        <v>273</v>
      </c>
    </row>
    <row r="140" spans="1:11" x14ac:dyDescent="0.3">
      <c r="A140" s="51" t="s">
        <v>481</v>
      </c>
      <c r="B140" s="51" t="s">
        <v>482</v>
      </c>
      <c r="C140" s="51" t="s">
        <v>255</v>
      </c>
      <c r="D140" s="51" t="s">
        <v>256</v>
      </c>
      <c r="E140" s="51" t="s">
        <v>163</v>
      </c>
      <c r="F140" s="51" t="s">
        <v>160</v>
      </c>
      <c r="G140" s="51" t="s">
        <v>160</v>
      </c>
      <c r="H140" s="51" t="s">
        <v>160</v>
      </c>
      <c r="I140" s="51" t="s">
        <v>160</v>
      </c>
      <c r="J140" s="51" t="s">
        <v>455</v>
      </c>
      <c r="K140" s="51" t="s">
        <v>273</v>
      </c>
    </row>
    <row r="141" spans="1:11" x14ac:dyDescent="0.3">
      <c r="A141" s="51" t="s">
        <v>483</v>
      </c>
      <c r="B141" s="51" t="s">
        <v>484</v>
      </c>
      <c r="C141" s="51" t="s">
        <v>255</v>
      </c>
      <c r="D141" s="51" t="s">
        <v>256</v>
      </c>
      <c r="E141" s="51" t="s">
        <v>163</v>
      </c>
      <c r="F141" s="51" t="s">
        <v>160</v>
      </c>
      <c r="G141" s="51" t="s">
        <v>160</v>
      </c>
      <c r="H141" s="51" t="s">
        <v>160</v>
      </c>
      <c r="I141" s="51" t="s">
        <v>160</v>
      </c>
      <c r="J141" s="51" t="s">
        <v>455</v>
      </c>
      <c r="K141" s="51" t="s">
        <v>273</v>
      </c>
    </row>
    <row r="142" spans="1:11" x14ac:dyDescent="0.3">
      <c r="A142" s="51" t="s">
        <v>485</v>
      </c>
      <c r="B142" s="51" t="s">
        <v>486</v>
      </c>
      <c r="C142" s="51" t="s">
        <v>255</v>
      </c>
      <c r="D142" s="51" t="s">
        <v>256</v>
      </c>
      <c r="E142" s="51" t="s">
        <v>163</v>
      </c>
      <c r="F142" s="51" t="s">
        <v>160</v>
      </c>
      <c r="G142" s="51" t="s">
        <v>160</v>
      </c>
      <c r="H142" s="51" t="s">
        <v>160</v>
      </c>
      <c r="I142" s="51" t="s">
        <v>160</v>
      </c>
      <c r="J142" s="51" t="s">
        <v>455</v>
      </c>
      <c r="K142" s="51" t="s">
        <v>273</v>
      </c>
    </row>
    <row r="143" spans="1:11" x14ac:dyDescent="0.3">
      <c r="A143" s="51" t="s">
        <v>487</v>
      </c>
      <c r="B143" s="51" t="s">
        <v>488</v>
      </c>
      <c r="C143" s="51" t="s">
        <v>255</v>
      </c>
      <c r="D143" s="51" t="s">
        <v>256</v>
      </c>
      <c r="E143" s="51" t="s">
        <v>163</v>
      </c>
      <c r="F143" s="51" t="s">
        <v>160</v>
      </c>
      <c r="G143" s="51" t="s">
        <v>160</v>
      </c>
      <c r="H143" s="51" t="s">
        <v>160</v>
      </c>
      <c r="I143" s="51" t="s">
        <v>160</v>
      </c>
      <c r="J143" s="51" t="s">
        <v>455</v>
      </c>
      <c r="K143" s="51" t="s">
        <v>273</v>
      </c>
    </row>
    <row r="144" spans="1:11" x14ac:dyDescent="0.3">
      <c r="A144" s="51" t="s">
        <v>489</v>
      </c>
      <c r="B144" s="51" t="s">
        <v>490</v>
      </c>
      <c r="C144" s="51" t="s">
        <v>255</v>
      </c>
      <c r="D144" s="51" t="s">
        <v>256</v>
      </c>
      <c r="E144" s="51" t="s">
        <v>163</v>
      </c>
      <c r="F144" s="51" t="s">
        <v>160</v>
      </c>
      <c r="G144" s="51" t="s">
        <v>160</v>
      </c>
      <c r="H144" s="51" t="s">
        <v>160</v>
      </c>
      <c r="I144" s="51" t="s">
        <v>160</v>
      </c>
      <c r="J144" s="51" t="s">
        <v>455</v>
      </c>
      <c r="K144" s="51" t="s">
        <v>273</v>
      </c>
    </row>
    <row r="145" spans="1:11" x14ac:dyDescent="0.3">
      <c r="A145" s="51" t="s">
        <v>491</v>
      </c>
      <c r="B145" s="51" t="s">
        <v>492</v>
      </c>
      <c r="C145" s="51" t="s">
        <v>255</v>
      </c>
      <c r="D145" s="51" t="s">
        <v>256</v>
      </c>
      <c r="E145" s="51" t="s">
        <v>163</v>
      </c>
      <c r="F145" s="51" t="s">
        <v>160</v>
      </c>
      <c r="G145" s="51" t="s">
        <v>160</v>
      </c>
      <c r="H145" s="51" t="s">
        <v>160</v>
      </c>
      <c r="I145" s="51" t="s">
        <v>160</v>
      </c>
      <c r="J145" s="51" t="s">
        <v>455</v>
      </c>
      <c r="K145" s="51" t="s">
        <v>273</v>
      </c>
    </row>
    <row r="146" spans="1:11" x14ac:dyDescent="0.3">
      <c r="A146" s="51" t="s">
        <v>493</v>
      </c>
      <c r="B146" s="51" t="s">
        <v>494</v>
      </c>
      <c r="C146" s="51" t="s">
        <v>255</v>
      </c>
      <c r="D146" s="51" t="s">
        <v>256</v>
      </c>
      <c r="E146" s="51" t="s">
        <v>163</v>
      </c>
      <c r="F146" s="51" t="s">
        <v>160</v>
      </c>
      <c r="G146" s="51" t="s">
        <v>160</v>
      </c>
      <c r="H146" s="51" t="s">
        <v>160</v>
      </c>
      <c r="I146" s="51" t="s">
        <v>160</v>
      </c>
      <c r="J146" s="51" t="s">
        <v>455</v>
      </c>
      <c r="K146" s="51" t="s">
        <v>273</v>
      </c>
    </row>
    <row r="147" spans="1:11" x14ac:dyDescent="0.3">
      <c r="A147" s="51" t="s">
        <v>495</v>
      </c>
      <c r="B147" s="51" t="s">
        <v>496</v>
      </c>
      <c r="C147" s="51" t="s">
        <v>255</v>
      </c>
      <c r="D147" s="51" t="s">
        <v>256</v>
      </c>
      <c r="E147" s="51" t="s">
        <v>163</v>
      </c>
      <c r="F147" s="51" t="s">
        <v>160</v>
      </c>
      <c r="G147" s="51" t="s">
        <v>160</v>
      </c>
      <c r="H147" s="51" t="s">
        <v>160</v>
      </c>
      <c r="I147" s="51" t="s">
        <v>160</v>
      </c>
      <c r="J147" s="51" t="s">
        <v>455</v>
      </c>
      <c r="K147" s="51" t="s">
        <v>273</v>
      </c>
    </row>
    <row r="148" spans="1:11" x14ac:dyDescent="0.3">
      <c r="A148" s="51" t="s">
        <v>497</v>
      </c>
      <c r="B148" s="51" t="s">
        <v>498</v>
      </c>
      <c r="C148" s="51" t="s">
        <v>255</v>
      </c>
      <c r="D148" s="51" t="s">
        <v>256</v>
      </c>
      <c r="E148" s="51" t="s">
        <v>163</v>
      </c>
      <c r="F148" s="51" t="s">
        <v>160</v>
      </c>
      <c r="G148" s="51" t="s">
        <v>160</v>
      </c>
      <c r="H148" s="51" t="s">
        <v>160</v>
      </c>
      <c r="I148" s="51" t="s">
        <v>160</v>
      </c>
      <c r="J148" s="51" t="s">
        <v>455</v>
      </c>
      <c r="K148" s="51" t="s">
        <v>273</v>
      </c>
    </row>
    <row r="149" spans="1:11" x14ac:dyDescent="0.3">
      <c r="A149" s="51" t="s">
        <v>499</v>
      </c>
      <c r="B149" s="51" t="s">
        <v>500</v>
      </c>
      <c r="C149" s="51" t="s">
        <v>255</v>
      </c>
      <c r="D149" s="51" t="s">
        <v>256</v>
      </c>
      <c r="E149" s="51" t="s">
        <v>163</v>
      </c>
      <c r="F149" s="51" t="s">
        <v>160</v>
      </c>
      <c r="G149" s="51" t="s">
        <v>160</v>
      </c>
      <c r="H149" s="51" t="s">
        <v>160</v>
      </c>
      <c r="I149" s="51" t="s">
        <v>160</v>
      </c>
      <c r="J149" s="51" t="s">
        <v>455</v>
      </c>
      <c r="K149" s="51" t="s">
        <v>167</v>
      </c>
    </row>
    <row r="150" spans="1:11" x14ac:dyDescent="0.3">
      <c r="A150" s="51" t="s">
        <v>501</v>
      </c>
      <c r="B150" s="51" t="s">
        <v>502</v>
      </c>
      <c r="C150" s="51" t="s">
        <v>255</v>
      </c>
      <c r="D150" s="51" t="s">
        <v>256</v>
      </c>
      <c r="E150" s="51" t="s">
        <v>163</v>
      </c>
      <c r="F150" s="51" t="s">
        <v>160</v>
      </c>
      <c r="G150" s="51" t="s">
        <v>160</v>
      </c>
      <c r="H150" s="51" t="s">
        <v>160</v>
      </c>
      <c r="I150" s="51" t="s">
        <v>160</v>
      </c>
      <c r="J150" s="51" t="s">
        <v>272</v>
      </c>
      <c r="K150" s="51" t="s">
        <v>273</v>
      </c>
    </row>
    <row r="151" spans="1:11" x14ac:dyDescent="0.3">
      <c r="A151" s="51" t="s">
        <v>503</v>
      </c>
      <c r="B151" s="51" t="s">
        <v>504</v>
      </c>
      <c r="C151" s="51" t="s">
        <v>255</v>
      </c>
      <c r="D151" s="51" t="s">
        <v>256</v>
      </c>
      <c r="E151" s="51" t="s">
        <v>163</v>
      </c>
      <c r="F151" s="51" t="s">
        <v>160</v>
      </c>
      <c r="G151" s="51" t="s">
        <v>160</v>
      </c>
      <c r="H151" s="51" t="s">
        <v>160</v>
      </c>
      <c r="I151" s="51" t="s">
        <v>160</v>
      </c>
      <c r="J151" s="51" t="s">
        <v>272</v>
      </c>
      <c r="K151" s="51" t="s">
        <v>167</v>
      </c>
    </row>
    <row r="152" spans="1:11" x14ac:dyDescent="0.3">
      <c r="A152" s="51" t="s">
        <v>505</v>
      </c>
      <c r="B152" s="51" t="s">
        <v>506</v>
      </c>
      <c r="C152" s="51" t="s">
        <v>255</v>
      </c>
      <c r="D152" s="51" t="s">
        <v>256</v>
      </c>
      <c r="E152" s="51" t="s">
        <v>163</v>
      </c>
      <c r="F152" s="51" t="s">
        <v>160</v>
      </c>
      <c r="G152" s="51" t="s">
        <v>160</v>
      </c>
      <c r="H152" s="51" t="s">
        <v>160</v>
      </c>
      <c r="I152" s="51" t="s">
        <v>160</v>
      </c>
      <c r="J152" s="51" t="s">
        <v>272</v>
      </c>
      <c r="K152" s="51" t="s">
        <v>273</v>
      </c>
    </row>
    <row r="153" spans="1:11" x14ac:dyDescent="0.3">
      <c r="A153" s="51" t="s">
        <v>507</v>
      </c>
      <c r="B153" s="51" t="s">
        <v>508</v>
      </c>
      <c r="C153" s="51" t="s">
        <v>255</v>
      </c>
      <c r="D153" s="51" t="s">
        <v>256</v>
      </c>
      <c r="E153" s="51" t="s">
        <v>163</v>
      </c>
      <c r="F153" s="51" t="s">
        <v>160</v>
      </c>
      <c r="G153" s="51" t="s">
        <v>160</v>
      </c>
      <c r="H153" s="51" t="s">
        <v>160</v>
      </c>
      <c r="I153" s="51" t="s">
        <v>160</v>
      </c>
      <c r="J153" s="51" t="s">
        <v>455</v>
      </c>
      <c r="K153" s="51" t="s">
        <v>273</v>
      </c>
    </row>
    <row r="154" spans="1:11" x14ac:dyDescent="0.3">
      <c r="A154" s="51" t="s">
        <v>509</v>
      </c>
      <c r="B154" s="51" t="s">
        <v>510</v>
      </c>
      <c r="C154" s="51" t="s">
        <v>255</v>
      </c>
      <c r="D154" s="51" t="s">
        <v>256</v>
      </c>
      <c r="E154" s="51" t="s">
        <v>163</v>
      </c>
      <c r="F154" s="51" t="s">
        <v>160</v>
      </c>
      <c r="G154" s="51" t="s">
        <v>160</v>
      </c>
      <c r="H154" s="51" t="s">
        <v>160</v>
      </c>
      <c r="I154" s="51" t="s">
        <v>160</v>
      </c>
      <c r="J154" s="51" t="s">
        <v>272</v>
      </c>
      <c r="K154" s="51" t="s">
        <v>273</v>
      </c>
    </row>
    <row r="155" spans="1:11" x14ac:dyDescent="0.3">
      <c r="A155" s="51" t="s">
        <v>511</v>
      </c>
      <c r="B155" s="51" t="s">
        <v>512</v>
      </c>
      <c r="C155" s="51" t="s">
        <v>255</v>
      </c>
      <c r="D155" s="51" t="s">
        <v>256</v>
      </c>
      <c r="E155" s="51" t="s">
        <v>163</v>
      </c>
      <c r="F155" s="51" t="s">
        <v>160</v>
      </c>
      <c r="G155" s="51" t="s">
        <v>160</v>
      </c>
      <c r="H155" s="51" t="s">
        <v>160</v>
      </c>
      <c r="I155" s="51" t="s">
        <v>160</v>
      </c>
      <c r="J155" s="51" t="s">
        <v>455</v>
      </c>
      <c r="K155" s="51" t="s">
        <v>273</v>
      </c>
    </row>
    <row r="156" spans="1:11" x14ac:dyDescent="0.3">
      <c r="A156" s="51" t="s">
        <v>513</v>
      </c>
      <c r="B156" s="51" t="s">
        <v>514</v>
      </c>
      <c r="C156" s="51" t="s">
        <v>255</v>
      </c>
      <c r="D156" s="51" t="s">
        <v>256</v>
      </c>
      <c r="E156" s="51" t="s">
        <v>163</v>
      </c>
      <c r="F156" s="51" t="s">
        <v>160</v>
      </c>
      <c r="G156" s="51" t="s">
        <v>160</v>
      </c>
      <c r="H156" s="51" t="s">
        <v>160</v>
      </c>
      <c r="I156" s="51" t="s">
        <v>160</v>
      </c>
      <c r="J156" s="51" t="s">
        <v>272</v>
      </c>
      <c r="K156" s="51" t="s">
        <v>273</v>
      </c>
    </row>
    <row r="157" spans="1:11" x14ac:dyDescent="0.3">
      <c r="A157" s="51" t="s">
        <v>515</v>
      </c>
      <c r="B157" s="51" t="s">
        <v>516</v>
      </c>
      <c r="C157" s="51" t="s">
        <v>255</v>
      </c>
      <c r="D157" s="51" t="s">
        <v>256</v>
      </c>
      <c r="E157" s="51" t="s">
        <v>163</v>
      </c>
      <c r="F157" s="51" t="s">
        <v>160</v>
      </c>
      <c r="G157" s="51" t="s">
        <v>160</v>
      </c>
      <c r="H157" s="51" t="s">
        <v>160</v>
      </c>
      <c r="I157" s="51" t="s">
        <v>160</v>
      </c>
      <c r="J157" s="51" t="s">
        <v>272</v>
      </c>
      <c r="K157" s="51" t="s">
        <v>273</v>
      </c>
    </row>
    <row r="158" spans="1:11" x14ac:dyDescent="0.3">
      <c r="A158" s="51" t="s">
        <v>517</v>
      </c>
      <c r="B158" s="51" t="s">
        <v>518</v>
      </c>
      <c r="C158" s="51" t="s">
        <v>255</v>
      </c>
      <c r="D158" s="51" t="s">
        <v>256</v>
      </c>
      <c r="E158" s="51" t="s">
        <v>163</v>
      </c>
      <c r="F158" s="51" t="s">
        <v>160</v>
      </c>
      <c r="G158" s="51" t="s">
        <v>160</v>
      </c>
      <c r="H158" s="51" t="s">
        <v>160</v>
      </c>
      <c r="I158" s="51" t="s">
        <v>160</v>
      </c>
      <c r="J158" s="51" t="s">
        <v>272</v>
      </c>
      <c r="K158" s="51" t="s">
        <v>167</v>
      </c>
    </row>
    <row r="159" spans="1:11" x14ac:dyDescent="0.3">
      <c r="A159" s="51" t="s">
        <v>519</v>
      </c>
      <c r="B159" s="51" t="s">
        <v>520</v>
      </c>
      <c r="C159" s="51" t="s">
        <v>255</v>
      </c>
      <c r="D159" s="51" t="s">
        <v>256</v>
      </c>
      <c r="E159" s="51" t="s">
        <v>163</v>
      </c>
      <c r="F159" s="51" t="s">
        <v>160</v>
      </c>
      <c r="G159" s="51" t="s">
        <v>160</v>
      </c>
      <c r="H159" s="51" t="s">
        <v>160</v>
      </c>
      <c r="I159" s="51" t="s">
        <v>160</v>
      </c>
      <c r="J159" s="51" t="s">
        <v>272</v>
      </c>
      <c r="K159" s="51" t="s">
        <v>273</v>
      </c>
    </row>
    <row r="160" spans="1:11" x14ac:dyDescent="0.3">
      <c r="A160" s="51" t="s">
        <v>521</v>
      </c>
      <c r="B160" s="51" t="s">
        <v>522</v>
      </c>
      <c r="C160" s="51" t="s">
        <v>255</v>
      </c>
      <c r="D160" s="51" t="s">
        <v>256</v>
      </c>
      <c r="E160" s="51" t="s">
        <v>163</v>
      </c>
      <c r="F160" s="51" t="s">
        <v>160</v>
      </c>
      <c r="G160" s="51" t="s">
        <v>160</v>
      </c>
      <c r="H160" s="51" t="s">
        <v>160</v>
      </c>
      <c r="I160" s="51" t="s">
        <v>160</v>
      </c>
      <c r="J160" s="51" t="s">
        <v>455</v>
      </c>
      <c r="K160" s="51" t="s">
        <v>273</v>
      </c>
    </row>
    <row r="161" spans="1:11" x14ac:dyDescent="0.3">
      <c r="A161" s="51" t="s">
        <v>523</v>
      </c>
      <c r="B161" s="51" t="s">
        <v>524</v>
      </c>
      <c r="C161" s="51" t="s">
        <v>255</v>
      </c>
      <c r="D161" s="51" t="s">
        <v>256</v>
      </c>
      <c r="E161" s="51" t="s">
        <v>163</v>
      </c>
      <c r="F161" s="51" t="s">
        <v>160</v>
      </c>
      <c r="G161" s="51" t="s">
        <v>160</v>
      </c>
      <c r="H161" s="51" t="s">
        <v>160</v>
      </c>
      <c r="I161" s="51" t="s">
        <v>160</v>
      </c>
      <c r="J161" s="51" t="s">
        <v>272</v>
      </c>
      <c r="K161" s="51" t="s">
        <v>167</v>
      </c>
    </row>
    <row r="162" spans="1:11" x14ac:dyDescent="0.3">
      <c r="A162" s="51" t="s">
        <v>525</v>
      </c>
      <c r="B162" s="51" t="s">
        <v>526</v>
      </c>
      <c r="C162" s="51" t="s">
        <v>255</v>
      </c>
      <c r="D162" s="51" t="s">
        <v>256</v>
      </c>
      <c r="E162" s="51" t="s">
        <v>163</v>
      </c>
      <c r="F162" s="51" t="s">
        <v>160</v>
      </c>
      <c r="G162" s="51" t="s">
        <v>160</v>
      </c>
      <c r="H162" s="51" t="s">
        <v>160</v>
      </c>
      <c r="I162" s="51" t="s">
        <v>160</v>
      </c>
      <c r="J162" s="51" t="s">
        <v>272</v>
      </c>
      <c r="K162" s="51" t="s">
        <v>273</v>
      </c>
    </row>
    <row r="163" spans="1:11" x14ac:dyDescent="0.3">
      <c r="A163" s="51" t="s">
        <v>527</v>
      </c>
      <c r="B163" s="51" t="s">
        <v>528</v>
      </c>
      <c r="C163" s="51" t="s">
        <v>255</v>
      </c>
      <c r="D163" s="51" t="s">
        <v>256</v>
      </c>
      <c r="E163" s="51" t="s">
        <v>163</v>
      </c>
      <c r="F163" s="51" t="s">
        <v>160</v>
      </c>
      <c r="G163" s="51" t="s">
        <v>160</v>
      </c>
      <c r="H163" s="51" t="s">
        <v>160</v>
      </c>
      <c r="I163" s="51" t="s">
        <v>160</v>
      </c>
      <c r="J163" s="51" t="s">
        <v>272</v>
      </c>
      <c r="K163" s="51" t="s">
        <v>273</v>
      </c>
    </row>
    <row r="164" spans="1:11" x14ac:dyDescent="0.3">
      <c r="A164" s="51" t="s">
        <v>529</v>
      </c>
      <c r="B164" s="51" t="s">
        <v>420</v>
      </c>
      <c r="C164" s="51" t="s">
        <v>255</v>
      </c>
      <c r="D164" s="51" t="s">
        <v>256</v>
      </c>
      <c r="E164" s="51" t="s">
        <v>163</v>
      </c>
      <c r="F164" s="51" t="s">
        <v>160</v>
      </c>
      <c r="G164" s="51" t="s">
        <v>160</v>
      </c>
      <c r="H164" s="51" t="s">
        <v>160</v>
      </c>
      <c r="I164" s="51" t="s">
        <v>160</v>
      </c>
      <c r="J164" s="51" t="s">
        <v>272</v>
      </c>
      <c r="K164" s="51" t="s">
        <v>167</v>
      </c>
    </row>
    <row r="165" spans="1:11" x14ac:dyDescent="0.3">
      <c r="A165" s="51" t="s">
        <v>530</v>
      </c>
      <c r="B165" s="51" t="s">
        <v>531</v>
      </c>
      <c r="C165" s="51" t="s">
        <v>255</v>
      </c>
      <c r="D165" s="51" t="s">
        <v>256</v>
      </c>
      <c r="E165" s="51" t="s">
        <v>163</v>
      </c>
      <c r="F165" s="51" t="s">
        <v>160</v>
      </c>
      <c r="G165" s="51" t="s">
        <v>160</v>
      </c>
      <c r="H165" s="51" t="s">
        <v>160</v>
      </c>
      <c r="I165" s="51" t="s">
        <v>160</v>
      </c>
      <c r="J165" s="51" t="s">
        <v>272</v>
      </c>
      <c r="K165" s="51" t="s">
        <v>273</v>
      </c>
    </row>
    <row r="166" spans="1:11" x14ac:dyDescent="0.3">
      <c r="A166" s="51" t="s">
        <v>532</v>
      </c>
      <c r="B166" s="51" t="s">
        <v>533</v>
      </c>
      <c r="C166" s="51" t="s">
        <v>255</v>
      </c>
      <c r="D166" s="51" t="s">
        <v>256</v>
      </c>
      <c r="E166" s="51" t="s">
        <v>163</v>
      </c>
      <c r="F166" s="51" t="s">
        <v>160</v>
      </c>
      <c r="G166" s="51" t="s">
        <v>160</v>
      </c>
      <c r="H166" s="51" t="s">
        <v>160</v>
      </c>
      <c r="I166" s="51" t="s">
        <v>160</v>
      </c>
      <c r="J166" s="51" t="s">
        <v>272</v>
      </c>
      <c r="K166" s="51" t="s">
        <v>167</v>
      </c>
    </row>
    <row r="167" spans="1:11" x14ac:dyDescent="0.3">
      <c r="A167" s="51" t="s">
        <v>534</v>
      </c>
      <c r="B167" s="51" t="s">
        <v>535</v>
      </c>
      <c r="C167" s="51" t="s">
        <v>255</v>
      </c>
      <c r="D167" s="51" t="s">
        <v>256</v>
      </c>
      <c r="E167" s="51" t="s">
        <v>163</v>
      </c>
      <c r="F167" s="51" t="s">
        <v>160</v>
      </c>
      <c r="G167" s="51" t="s">
        <v>160</v>
      </c>
      <c r="H167" s="51" t="s">
        <v>160</v>
      </c>
      <c r="I167" s="51" t="s">
        <v>160</v>
      </c>
      <c r="J167" s="51" t="s">
        <v>455</v>
      </c>
      <c r="K167" s="51" t="s">
        <v>167</v>
      </c>
    </row>
    <row r="168" spans="1:11" x14ac:dyDescent="0.3">
      <c r="A168" s="51" t="s">
        <v>536</v>
      </c>
      <c r="B168" s="51" t="s">
        <v>537</v>
      </c>
      <c r="C168" s="51" t="s">
        <v>255</v>
      </c>
      <c r="D168" s="51" t="s">
        <v>256</v>
      </c>
      <c r="E168" s="51" t="s">
        <v>163</v>
      </c>
      <c r="F168" s="51" t="s">
        <v>160</v>
      </c>
      <c r="G168" s="51" t="s">
        <v>160</v>
      </c>
      <c r="H168" s="51" t="s">
        <v>160</v>
      </c>
      <c r="I168" s="51" t="s">
        <v>160</v>
      </c>
      <c r="J168" s="51" t="s">
        <v>455</v>
      </c>
      <c r="K168" s="51" t="s">
        <v>167</v>
      </c>
    </row>
    <row r="169" spans="1:11" x14ac:dyDescent="0.3">
      <c r="A169" s="51" t="s">
        <v>538</v>
      </c>
      <c r="B169" s="51" t="s">
        <v>539</v>
      </c>
      <c r="C169" s="51" t="s">
        <v>255</v>
      </c>
      <c r="D169" s="51" t="s">
        <v>256</v>
      </c>
      <c r="E169" s="51" t="s">
        <v>163</v>
      </c>
      <c r="F169" s="51" t="s">
        <v>160</v>
      </c>
      <c r="G169" s="51" t="s">
        <v>160</v>
      </c>
      <c r="H169" s="51" t="s">
        <v>160</v>
      </c>
      <c r="I169" s="51" t="s">
        <v>160</v>
      </c>
      <c r="J169" s="51" t="s">
        <v>257</v>
      </c>
      <c r="K169" s="51" t="s">
        <v>167</v>
      </c>
    </row>
    <row r="170" spans="1:11" x14ac:dyDescent="0.3">
      <c r="A170" s="51" t="s">
        <v>540</v>
      </c>
      <c r="B170" s="51" t="s">
        <v>541</v>
      </c>
      <c r="C170" s="51" t="s">
        <v>255</v>
      </c>
      <c r="D170" s="51" t="s">
        <v>256</v>
      </c>
      <c r="E170" s="51" t="s">
        <v>163</v>
      </c>
      <c r="F170" s="51" t="s">
        <v>160</v>
      </c>
      <c r="G170" s="51" t="s">
        <v>160</v>
      </c>
      <c r="H170" s="51" t="s">
        <v>160</v>
      </c>
      <c r="I170" s="51" t="s">
        <v>160</v>
      </c>
      <c r="J170" s="51" t="s">
        <v>272</v>
      </c>
      <c r="K170" s="51" t="s">
        <v>167</v>
      </c>
    </row>
    <row r="171" spans="1:11" x14ac:dyDescent="0.3">
      <c r="A171" s="51" t="s">
        <v>542</v>
      </c>
      <c r="B171" s="51" t="s">
        <v>543</v>
      </c>
      <c r="C171" s="51" t="s">
        <v>255</v>
      </c>
      <c r="D171" s="51" t="s">
        <v>256</v>
      </c>
      <c r="E171" s="51" t="s">
        <v>163</v>
      </c>
      <c r="F171" s="51" t="s">
        <v>160</v>
      </c>
      <c r="G171" s="51" t="s">
        <v>160</v>
      </c>
      <c r="H171" s="51" t="s">
        <v>160</v>
      </c>
      <c r="I171" s="51" t="s">
        <v>160</v>
      </c>
      <c r="J171" s="51" t="s">
        <v>272</v>
      </c>
      <c r="K171" s="51" t="s">
        <v>167</v>
      </c>
    </row>
    <row r="172" spans="1:11" x14ac:dyDescent="0.3">
      <c r="A172" s="51" t="s">
        <v>544</v>
      </c>
      <c r="B172" s="51" t="s">
        <v>545</v>
      </c>
      <c r="C172" s="51" t="s">
        <v>255</v>
      </c>
      <c r="D172" s="51" t="s">
        <v>546</v>
      </c>
      <c r="E172" s="51" t="s">
        <v>163</v>
      </c>
      <c r="F172" s="51" t="s">
        <v>160</v>
      </c>
      <c r="G172" s="51" t="s">
        <v>160</v>
      </c>
      <c r="H172" s="51" t="s">
        <v>160</v>
      </c>
      <c r="I172" s="51" t="s">
        <v>160</v>
      </c>
      <c r="J172" s="51" t="s">
        <v>547</v>
      </c>
      <c r="K172" s="51" t="s">
        <v>167</v>
      </c>
    </row>
    <row r="173" spans="1:11" x14ac:dyDescent="0.3">
      <c r="A173" s="51" t="s">
        <v>548</v>
      </c>
      <c r="B173" s="51" t="s">
        <v>549</v>
      </c>
      <c r="C173" s="51" t="s">
        <v>255</v>
      </c>
      <c r="D173" s="51" t="s">
        <v>256</v>
      </c>
      <c r="E173" s="51" t="s">
        <v>163</v>
      </c>
      <c r="F173" s="51" t="s">
        <v>160</v>
      </c>
      <c r="G173" s="51" t="s">
        <v>160</v>
      </c>
      <c r="H173" s="51" t="s">
        <v>160</v>
      </c>
      <c r="I173" s="51" t="s">
        <v>160</v>
      </c>
      <c r="J173" s="51" t="s">
        <v>272</v>
      </c>
      <c r="K173" s="51" t="s">
        <v>167</v>
      </c>
    </row>
    <row r="174" spans="1:11" x14ac:dyDescent="0.3">
      <c r="A174" s="51" t="s">
        <v>550</v>
      </c>
      <c r="B174" s="51" t="s">
        <v>551</v>
      </c>
      <c r="C174" s="51" t="s">
        <v>255</v>
      </c>
      <c r="D174" s="51" t="s">
        <v>256</v>
      </c>
      <c r="E174" s="51" t="s">
        <v>163</v>
      </c>
      <c r="F174" s="51" t="s">
        <v>160</v>
      </c>
      <c r="G174" s="51" t="s">
        <v>160</v>
      </c>
      <c r="H174" s="51" t="s">
        <v>160</v>
      </c>
      <c r="I174" s="51" t="s">
        <v>160</v>
      </c>
      <c r="J174" s="51" t="s">
        <v>272</v>
      </c>
      <c r="K174" s="51" t="s">
        <v>167</v>
      </c>
    </row>
    <row r="175" spans="1:11" x14ac:dyDescent="0.3">
      <c r="A175" s="51" t="s">
        <v>552</v>
      </c>
      <c r="B175" s="51" t="s">
        <v>553</v>
      </c>
      <c r="C175" s="51" t="s">
        <v>170</v>
      </c>
      <c r="D175" s="51" t="s">
        <v>171</v>
      </c>
      <c r="E175" s="51" t="s">
        <v>163</v>
      </c>
      <c r="F175" s="51" t="s">
        <v>160</v>
      </c>
      <c r="G175" s="51" t="s">
        <v>160</v>
      </c>
      <c r="H175" s="51" t="s">
        <v>160</v>
      </c>
      <c r="I175" s="51" t="s">
        <v>160</v>
      </c>
      <c r="J175" s="51" t="s">
        <v>257</v>
      </c>
      <c r="K175" s="51" t="s">
        <v>167</v>
      </c>
    </row>
    <row r="176" spans="1:11" x14ac:dyDescent="0.3">
      <c r="A176" s="51" t="s">
        <v>554</v>
      </c>
      <c r="B176" s="51" t="s">
        <v>555</v>
      </c>
      <c r="C176" s="51" t="s">
        <v>170</v>
      </c>
      <c r="D176" s="51" t="s">
        <v>171</v>
      </c>
      <c r="E176" s="51" t="s">
        <v>163</v>
      </c>
      <c r="F176" s="51" t="s">
        <v>160</v>
      </c>
      <c r="G176" s="51" t="s">
        <v>160</v>
      </c>
      <c r="H176" s="51" t="s">
        <v>160</v>
      </c>
      <c r="I176" s="51" t="s">
        <v>160</v>
      </c>
      <c r="J176" s="51" t="s">
        <v>257</v>
      </c>
      <c r="K176" s="51" t="s">
        <v>167</v>
      </c>
    </row>
    <row r="177" spans="1:11" x14ac:dyDescent="0.3">
      <c r="A177" s="51" t="s">
        <v>556</v>
      </c>
      <c r="B177" s="51" t="s">
        <v>557</v>
      </c>
      <c r="C177" s="51" t="s">
        <v>170</v>
      </c>
      <c r="D177" s="51" t="s">
        <v>171</v>
      </c>
      <c r="E177" s="51" t="s">
        <v>163</v>
      </c>
      <c r="F177" s="51" t="s">
        <v>160</v>
      </c>
      <c r="G177" s="51" t="s">
        <v>160</v>
      </c>
      <c r="H177" s="51" t="s">
        <v>160</v>
      </c>
      <c r="I177" s="51" t="s">
        <v>160</v>
      </c>
      <c r="J177" s="51" t="s">
        <v>257</v>
      </c>
      <c r="K177" s="51" t="s">
        <v>167</v>
      </c>
    </row>
    <row r="178" spans="1:11" x14ac:dyDescent="0.3">
      <c r="A178" s="51" t="s">
        <v>558</v>
      </c>
      <c r="B178" s="51" t="s">
        <v>559</v>
      </c>
      <c r="C178" s="51" t="s">
        <v>255</v>
      </c>
      <c r="D178" s="51" t="s">
        <v>256</v>
      </c>
      <c r="E178" s="51" t="s">
        <v>163</v>
      </c>
      <c r="F178" s="51" t="s">
        <v>160</v>
      </c>
      <c r="G178" s="51" t="s">
        <v>160</v>
      </c>
      <c r="H178" s="51" t="s">
        <v>160</v>
      </c>
      <c r="I178" s="51" t="s">
        <v>160</v>
      </c>
      <c r="J178" s="51" t="s">
        <v>257</v>
      </c>
      <c r="K178" s="51" t="s">
        <v>167</v>
      </c>
    </row>
    <row r="179" spans="1:11" x14ac:dyDescent="0.3">
      <c r="A179" s="51" t="s">
        <v>560</v>
      </c>
      <c r="B179" s="51" t="s">
        <v>561</v>
      </c>
      <c r="C179" s="51" t="s">
        <v>255</v>
      </c>
      <c r="D179" s="51" t="s">
        <v>256</v>
      </c>
      <c r="E179" s="51" t="s">
        <v>163</v>
      </c>
      <c r="F179" s="51" t="s">
        <v>160</v>
      </c>
      <c r="G179" s="51" t="s">
        <v>160</v>
      </c>
      <c r="H179" s="51" t="s">
        <v>160</v>
      </c>
      <c r="I179" s="51" t="s">
        <v>160</v>
      </c>
      <c r="J179" s="51" t="s">
        <v>272</v>
      </c>
      <c r="K179" s="51" t="s">
        <v>167</v>
      </c>
    </row>
    <row r="180" spans="1:11" x14ac:dyDescent="0.3">
      <c r="A180" s="51" t="s">
        <v>562</v>
      </c>
      <c r="B180" s="51" t="s">
        <v>563</v>
      </c>
      <c r="C180" s="51" t="s">
        <v>255</v>
      </c>
      <c r="D180" s="51" t="s">
        <v>256</v>
      </c>
      <c r="E180" s="51" t="s">
        <v>163</v>
      </c>
      <c r="F180" s="51" t="s">
        <v>160</v>
      </c>
      <c r="G180" s="51" t="s">
        <v>160</v>
      </c>
      <c r="H180" s="51" t="s">
        <v>160</v>
      </c>
      <c r="I180" s="51" t="s">
        <v>160</v>
      </c>
      <c r="J180" s="51" t="s">
        <v>272</v>
      </c>
      <c r="K180" s="51" t="s">
        <v>273</v>
      </c>
    </row>
    <row r="181" spans="1:11" x14ac:dyDescent="0.3">
      <c r="A181" s="51" t="s">
        <v>564</v>
      </c>
      <c r="B181" s="51" t="s">
        <v>565</v>
      </c>
      <c r="C181" s="51" t="s">
        <v>255</v>
      </c>
      <c r="D181" s="51" t="s">
        <v>256</v>
      </c>
      <c r="E181" s="51" t="s">
        <v>163</v>
      </c>
      <c r="F181" s="51" t="s">
        <v>160</v>
      </c>
      <c r="G181" s="51" t="s">
        <v>160</v>
      </c>
      <c r="H181" s="51" t="s">
        <v>160</v>
      </c>
      <c r="I181" s="51" t="s">
        <v>160</v>
      </c>
      <c r="J181" s="51" t="s">
        <v>566</v>
      </c>
      <c r="K181" s="51" t="s">
        <v>167</v>
      </c>
    </row>
    <row r="182" spans="1:11" x14ac:dyDescent="0.3">
      <c r="A182" s="51" t="s">
        <v>567</v>
      </c>
      <c r="B182" s="51" t="s">
        <v>568</v>
      </c>
      <c r="C182" s="51" t="s">
        <v>255</v>
      </c>
      <c r="D182" s="51" t="s">
        <v>256</v>
      </c>
      <c r="E182" s="51" t="s">
        <v>163</v>
      </c>
      <c r="F182" s="51" t="s">
        <v>160</v>
      </c>
      <c r="G182" s="51" t="s">
        <v>160</v>
      </c>
      <c r="H182" s="51" t="s">
        <v>160</v>
      </c>
      <c r="I182" s="51" t="s">
        <v>160</v>
      </c>
      <c r="J182" s="51" t="s">
        <v>566</v>
      </c>
      <c r="K182" s="51" t="s">
        <v>167</v>
      </c>
    </row>
    <row r="183" spans="1:11" x14ac:dyDescent="0.3">
      <c r="A183" s="51" t="s">
        <v>569</v>
      </c>
      <c r="B183" s="51" t="s">
        <v>261</v>
      </c>
      <c r="C183" s="51" t="s">
        <v>260</v>
      </c>
      <c r="D183" s="51" t="s">
        <v>261</v>
      </c>
      <c r="E183" s="51" t="s">
        <v>163</v>
      </c>
      <c r="F183" s="51" t="s">
        <v>160</v>
      </c>
      <c r="G183" s="51" t="s">
        <v>160</v>
      </c>
      <c r="H183" s="51" t="s">
        <v>160</v>
      </c>
      <c r="I183" s="51" t="s">
        <v>160</v>
      </c>
      <c r="J183" s="51" t="s">
        <v>455</v>
      </c>
      <c r="K183" s="51" t="s">
        <v>167</v>
      </c>
    </row>
    <row r="184" spans="1:11" x14ac:dyDescent="0.3">
      <c r="A184" s="51" t="s">
        <v>570</v>
      </c>
      <c r="B184" s="51" t="s">
        <v>571</v>
      </c>
      <c r="C184" s="51" t="s">
        <v>255</v>
      </c>
      <c r="D184" s="51" t="s">
        <v>256</v>
      </c>
      <c r="E184" s="51" t="s">
        <v>163</v>
      </c>
      <c r="F184" s="51" t="s">
        <v>160</v>
      </c>
      <c r="G184" s="51" t="s">
        <v>160</v>
      </c>
      <c r="H184" s="51" t="s">
        <v>160</v>
      </c>
      <c r="I184" s="51" t="s">
        <v>160</v>
      </c>
      <c r="J184" s="51" t="s">
        <v>566</v>
      </c>
      <c r="K184" s="51" t="s">
        <v>167</v>
      </c>
    </row>
    <row r="185" spans="1:11" x14ac:dyDescent="0.3">
      <c r="A185" s="51" t="s">
        <v>572</v>
      </c>
      <c r="B185" s="51" t="s">
        <v>573</v>
      </c>
      <c r="C185" s="51" t="s">
        <v>255</v>
      </c>
      <c r="D185" s="51" t="s">
        <v>256</v>
      </c>
      <c r="E185" s="51" t="s">
        <v>163</v>
      </c>
      <c r="F185" s="51" t="s">
        <v>160</v>
      </c>
      <c r="G185" s="51" t="s">
        <v>160</v>
      </c>
      <c r="H185" s="51" t="s">
        <v>160</v>
      </c>
      <c r="I185" s="51" t="s">
        <v>160</v>
      </c>
      <c r="J185" s="51" t="s">
        <v>566</v>
      </c>
      <c r="K185" s="51" t="s">
        <v>167</v>
      </c>
    </row>
    <row r="186" spans="1:11" x14ac:dyDescent="0.3">
      <c r="A186" s="51" t="s">
        <v>574</v>
      </c>
      <c r="B186" s="51" t="s">
        <v>575</v>
      </c>
      <c r="C186" s="51" t="s">
        <v>255</v>
      </c>
      <c r="D186" s="51" t="s">
        <v>256</v>
      </c>
      <c r="E186" s="51" t="s">
        <v>163</v>
      </c>
      <c r="F186" s="51" t="s">
        <v>160</v>
      </c>
      <c r="G186" s="51" t="s">
        <v>160</v>
      </c>
      <c r="H186" s="51" t="s">
        <v>160</v>
      </c>
      <c r="I186" s="51" t="s">
        <v>160</v>
      </c>
      <c r="J186" s="51" t="s">
        <v>566</v>
      </c>
      <c r="K186" s="51" t="s">
        <v>167</v>
      </c>
    </row>
    <row r="187" spans="1:11" x14ac:dyDescent="0.3">
      <c r="A187" s="51" t="s">
        <v>576</v>
      </c>
      <c r="B187" s="51" t="s">
        <v>577</v>
      </c>
      <c r="C187" s="51" t="s">
        <v>255</v>
      </c>
      <c r="D187" s="51" t="s">
        <v>256</v>
      </c>
      <c r="E187" s="51" t="s">
        <v>163</v>
      </c>
      <c r="F187" s="51" t="s">
        <v>160</v>
      </c>
      <c r="G187" s="51" t="s">
        <v>160</v>
      </c>
      <c r="H187" s="51" t="s">
        <v>160</v>
      </c>
      <c r="I187" s="51" t="s">
        <v>160</v>
      </c>
      <c r="J187" s="51" t="s">
        <v>566</v>
      </c>
      <c r="K187" s="51" t="s">
        <v>167</v>
      </c>
    </row>
    <row r="188" spans="1:11" x14ac:dyDescent="0.3">
      <c r="A188" s="51" t="s">
        <v>578</v>
      </c>
      <c r="B188" s="51" t="s">
        <v>579</v>
      </c>
      <c r="C188" s="51" t="s">
        <v>255</v>
      </c>
      <c r="D188" s="51" t="s">
        <v>256</v>
      </c>
      <c r="E188" s="51" t="s">
        <v>163</v>
      </c>
      <c r="F188" s="51" t="s">
        <v>160</v>
      </c>
      <c r="G188" s="51" t="s">
        <v>160</v>
      </c>
      <c r="H188" s="51" t="s">
        <v>160</v>
      </c>
      <c r="I188" s="51" t="s">
        <v>160</v>
      </c>
      <c r="J188" s="51" t="s">
        <v>580</v>
      </c>
      <c r="K188" s="51" t="s">
        <v>273</v>
      </c>
    </row>
    <row r="189" spans="1:11" x14ac:dyDescent="0.3">
      <c r="A189" s="51" t="s">
        <v>581</v>
      </c>
      <c r="B189" s="51" t="s">
        <v>582</v>
      </c>
      <c r="C189" s="51" t="s">
        <v>255</v>
      </c>
      <c r="D189" s="51" t="s">
        <v>256</v>
      </c>
      <c r="E189" s="51" t="s">
        <v>163</v>
      </c>
      <c r="F189" s="51" t="s">
        <v>160</v>
      </c>
      <c r="G189" s="51" t="s">
        <v>160</v>
      </c>
      <c r="H189" s="51" t="s">
        <v>160</v>
      </c>
      <c r="I189" s="51" t="s">
        <v>160</v>
      </c>
      <c r="J189" s="51" t="s">
        <v>580</v>
      </c>
      <c r="K189" s="51" t="s">
        <v>273</v>
      </c>
    </row>
    <row r="190" spans="1:11" x14ac:dyDescent="0.3">
      <c r="A190" s="51" t="s">
        <v>583</v>
      </c>
      <c r="B190" s="51" t="s">
        <v>584</v>
      </c>
      <c r="C190" s="51" t="s">
        <v>255</v>
      </c>
      <c r="D190" s="51" t="s">
        <v>256</v>
      </c>
      <c r="E190" s="51" t="s">
        <v>163</v>
      </c>
      <c r="F190" s="51" t="s">
        <v>160</v>
      </c>
      <c r="G190" s="51" t="s">
        <v>160</v>
      </c>
      <c r="H190" s="51" t="s">
        <v>160</v>
      </c>
      <c r="I190" s="51" t="s">
        <v>160</v>
      </c>
      <c r="J190" s="51" t="s">
        <v>566</v>
      </c>
      <c r="K190" s="51" t="s">
        <v>167</v>
      </c>
    </row>
    <row r="191" spans="1:11" x14ac:dyDescent="0.3">
      <c r="A191" s="51" t="s">
        <v>585</v>
      </c>
      <c r="B191" s="51" t="s">
        <v>586</v>
      </c>
      <c r="C191" s="51" t="s">
        <v>255</v>
      </c>
      <c r="D191" s="51" t="s">
        <v>587</v>
      </c>
      <c r="E191" s="51" t="s">
        <v>588</v>
      </c>
      <c r="F191" s="51" t="s">
        <v>160</v>
      </c>
      <c r="G191" s="51" t="s">
        <v>160</v>
      </c>
      <c r="H191" s="51" t="s">
        <v>160</v>
      </c>
      <c r="I191" s="51" t="s">
        <v>160</v>
      </c>
      <c r="J191" s="51" t="s">
        <v>589</v>
      </c>
      <c r="K191" s="51" t="s">
        <v>167</v>
      </c>
    </row>
    <row r="192" spans="1:11" x14ac:dyDescent="0.3">
      <c r="A192" s="51" t="s">
        <v>590</v>
      </c>
      <c r="B192" s="51" t="s">
        <v>591</v>
      </c>
      <c r="C192" s="51" t="s">
        <v>255</v>
      </c>
      <c r="D192" s="51" t="s">
        <v>587</v>
      </c>
      <c r="E192" s="51" t="s">
        <v>588</v>
      </c>
      <c r="F192" s="51" t="s">
        <v>160</v>
      </c>
      <c r="G192" s="51" t="s">
        <v>160</v>
      </c>
      <c r="H192" s="51" t="s">
        <v>160</v>
      </c>
      <c r="I192" s="51" t="s">
        <v>160</v>
      </c>
      <c r="J192" s="51" t="s">
        <v>592</v>
      </c>
      <c r="K192" s="51" t="s">
        <v>167</v>
      </c>
    </row>
    <row r="193" spans="1:11" x14ac:dyDescent="0.3">
      <c r="A193" s="51" t="s">
        <v>593</v>
      </c>
      <c r="B193" s="51" t="s">
        <v>594</v>
      </c>
      <c r="C193" s="51" t="s">
        <v>255</v>
      </c>
      <c r="D193" s="51" t="s">
        <v>256</v>
      </c>
      <c r="E193" s="51" t="s">
        <v>163</v>
      </c>
      <c r="F193" s="51" t="s">
        <v>160</v>
      </c>
      <c r="G193" s="51" t="s">
        <v>160</v>
      </c>
      <c r="H193" s="51" t="s">
        <v>160</v>
      </c>
      <c r="I193" s="51" t="s">
        <v>160</v>
      </c>
      <c r="J193" s="51" t="s">
        <v>566</v>
      </c>
      <c r="K193" s="51" t="s">
        <v>167</v>
      </c>
    </row>
    <row r="194" spans="1:11" x14ac:dyDescent="0.3">
      <c r="A194" s="51" t="s">
        <v>595</v>
      </c>
      <c r="B194" s="51" t="s">
        <v>596</v>
      </c>
      <c r="C194" s="51" t="s">
        <v>255</v>
      </c>
      <c r="D194" s="51" t="s">
        <v>256</v>
      </c>
      <c r="E194" s="51" t="s">
        <v>163</v>
      </c>
      <c r="F194" s="51" t="s">
        <v>160</v>
      </c>
      <c r="G194" s="51" t="s">
        <v>160</v>
      </c>
      <c r="H194" s="51" t="s">
        <v>160</v>
      </c>
      <c r="I194" s="51" t="s">
        <v>160</v>
      </c>
      <c r="J194" s="51" t="s">
        <v>566</v>
      </c>
      <c r="K194" s="51" t="s">
        <v>167</v>
      </c>
    </row>
    <row r="195" spans="1:11" x14ac:dyDescent="0.3">
      <c r="A195" s="51" t="s">
        <v>597</v>
      </c>
      <c r="B195" s="51" t="s">
        <v>598</v>
      </c>
      <c r="C195" s="51" t="s">
        <v>255</v>
      </c>
      <c r="D195" s="51" t="s">
        <v>256</v>
      </c>
      <c r="E195" s="51" t="s">
        <v>163</v>
      </c>
      <c r="F195" s="51" t="s">
        <v>160</v>
      </c>
      <c r="G195" s="51" t="s">
        <v>160</v>
      </c>
      <c r="H195" s="51" t="s">
        <v>160</v>
      </c>
      <c r="I195" s="51" t="s">
        <v>160</v>
      </c>
      <c r="J195" s="51" t="s">
        <v>566</v>
      </c>
      <c r="K195" s="51" t="s">
        <v>167</v>
      </c>
    </row>
    <row r="196" spans="1:11" x14ac:dyDescent="0.3">
      <c r="A196" s="51" t="s">
        <v>599</v>
      </c>
      <c r="B196" s="51" t="s">
        <v>600</v>
      </c>
      <c r="C196" s="51" t="s">
        <v>255</v>
      </c>
      <c r="D196" s="51" t="s">
        <v>256</v>
      </c>
      <c r="E196" s="51" t="s">
        <v>163</v>
      </c>
      <c r="F196" s="51" t="s">
        <v>160</v>
      </c>
      <c r="G196" s="51" t="s">
        <v>160</v>
      </c>
      <c r="H196" s="51" t="s">
        <v>160</v>
      </c>
      <c r="I196" s="51" t="s">
        <v>160</v>
      </c>
      <c r="J196" s="51" t="s">
        <v>566</v>
      </c>
      <c r="K196" s="51" t="s">
        <v>167</v>
      </c>
    </row>
    <row r="197" spans="1:11" x14ac:dyDescent="0.3">
      <c r="A197" s="51" t="s">
        <v>601</v>
      </c>
      <c r="B197" s="51" t="s">
        <v>602</v>
      </c>
      <c r="C197" s="51" t="s">
        <v>255</v>
      </c>
      <c r="D197" s="51" t="s">
        <v>256</v>
      </c>
      <c r="E197" s="51" t="s">
        <v>163</v>
      </c>
      <c r="F197" s="51" t="s">
        <v>160</v>
      </c>
      <c r="G197" s="51" t="s">
        <v>160</v>
      </c>
      <c r="H197" s="51" t="s">
        <v>160</v>
      </c>
      <c r="I197" s="51" t="s">
        <v>160</v>
      </c>
      <c r="J197" s="51" t="s">
        <v>566</v>
      </c>
      <c r="K197" s="51" t="s">
        <v>167</v>
      </c>
    </row>
    <row r="198" spans="1:11" x14ac:dyDescent="0.3">
      <c r="A198" s="51" t="s">
        <v>603</v>
      </c>
      <c r="B198" s="51" t="s">
        <v>604</v>
      </c>
      <c r="C198" s="51" t="s">
        <v>255</v>
      </c>
      <c r="D198" s="51" t="s">
        <v>256</v>
      </c>
      <c r="E198" s="51" t="s">
        <v>163</v>
      </c>
      <c r="F198" s="51" t="s">
        <v>160</v>
      </c>
      <c r="G198" s="51" t="s">
        <v>160</v>
      </c>
      <c r="H198" s="51" t="s">
        <v>160</v>
      </c>
      <c r="I198" s="51" t="s">
        <v>160</v>
      </c>
      <c r="J198" s="51" t="s">
        <v>566</v>
      </c>
      <c r="K198" s="51" t="s">
        <v>195</v>
      </c>
    </row>
    <row r="199" spans="1:11" x14ac:dyDescent="0.3">
      <c r="A199" s="51" t="s">
        <v>605</v>
      </c>
      <c r="B199" s="51" t="s">
        <v>606</v>
      </c>
      <c r="C199" s="51" t="s">
        <v>255</v>
      </c>
      <c r="D199" s="51" t="s">
        <v>256</v>
      </c>
      <c r="E199" s="51" t="s">
        <v>163</v>
      </c>
      <c r="F199" s="51" t="s">
        <v>160</v>
      </c>
      <c r="G199" s="51" t="s">
        <v>160</v>
      </c>
      <c r="H199" s="51" t="s">
        <v>160</v>
      </c>
      <c r="I199" s="51" t="s">
        <v>160</v>
      </c>
      <c r="J199" s="51" t="s">
        <v>566</v>
      </c>
      <c r="K199" s="51" t="s">
        <v>167</v>
      </c>
    </row>
    <row r="200" spans="1:11" x14ac:dyDescent="0.3">
      <c r="A200" s="51" t="s">
        <v>607</v>
      </c>
      <c r="B200" s="51" t="s">
        <v>608</v>
      </c>
      <c r="C200" s="51" t="s">
        <v>255</v>
      </c>
      <c r="D200" s="51" t="s">
        <v>256</v>
      </c>
      <c r="E200" s="51" t="s">
        <v>163</v>
      </c>
      <c r="F200" s="51" t="s">
        <v>160</v>
      </c>
      <c r="G200" s="51" t="s">
        <v>160</v>
      </c>
      <c r="H200" s="51" t="s">
        <v>160</v>
      </c>
      <c r="I200" s="51" t="s">
        <v>160</v>
      </c>
      <c r="J200" s="51" t="s">
        <v>580</v>
      </c>
      <c r="K200" s="51" t="s">
        <v>273</v>
      </c>
    </row>
    <row r="201" spans="1:11" x14ac:dyDescent="0.3">
      <c r="A201" s="51" t="s">
        <v>609</v>
      </c>
      <c r="B201" s="51" t="s">
        <v>610</v>
      </c>
      <c r="C201" s="51" t="s">
        <v>255</v>
      </c>
      <c r="D201" s="51" t="s">
        <v>256</v>
      </c>
      <c r="E201" s="51" t="s">
        <v>163</v>
      </c>
      <c r="F201" s="51" t="s">
        <v>160</v>
      </c>
      <c r="G201" s="51" t="s">
        <v>160</v>
      </c>
      <c r="H201" s="51" t="s">
        <v>160</v>
      </c>
      <c r="I201" s="51" t="s">
        <v>160</v>
      </c>
      <c r="J201" s="51" t="s">
        <v>257</v>
      </c>
      <c r="K201" s="51" t="s">
        <v>167</v>
      </c>
    </row>
    <row r="202" spans="1:11" x14ac:dyDescent="0.3">
      <c r="A202" s="51" t="s">
        <v>611</v>
      </c>
      <c r="B202" s="51" t="s">
        <v>612</v>
      </c>
      <c r="C202" s="51" t="s">
        <v>255</v>
      </c>
      <c r="D202" s="51" t="s">
        <v>256</v>
      </c>
      <c r="E202" s="51" t="s">
        <v>163</v>
      </c>
      <c r="F202" s="51" t="s">
        <v>160</v>
      </c>
      <c r="G202" s="51" t="s">
        <v>160</v>
      </c>
      <c r="H202" s="51" t="s">
        <v>160</v>
      </c>
      <c r="I202" s="51" t="s">
        <v>160</v>
      </c>
      <c r="J202" s="51" t="s">
        <v>566</v>
      </c>
      <c r="K202" s="51" t="s">
        <v>167</v>
      </c>
    </row>
    <row r="203" spans="1:11" x14ac:dyDescent="0.3">
      <c r="A203" s="51" t="s">
        <v>613</v>
      </c>
      <c r="B203" s="51" t="s">
        <v>378</v>
      </c>
      <c r="C203" s="51" t="s">
        <v>255</v>
      </c>
      <c r="D203" s="51" t="s">
        <v>256</v>
      </c>
      <c r="E203" s="51" t="s">
        <v>163</v>
      </c>
      <c r="F203" s="51" t="s">
        <v>160</v>
      </c>
      <c r="G203" s="51" t="s">
        <v>160</v>
      </c>
      <c r="H203" s="51" t="s">
        <v>160</v>
      </c>
      <c r="I203" s="51" t="s">
        <v>160</v>
      </c>
      <c r="J203" s="51" t="s">
        <v>566</v>
      </c>
      <c r="K203" s="51" t="s">
        <v>195</v>
      </c>
    </row>
    <row r="204" spans="1:11" x14ac:dyDescent="0.3">
      <c r="A204" s="51" t="s">
        <v>614</v>
      </c>
      <c r="B204" s="51" t="s">
        <v>339</v>
      </c>
      <c r="C204" s="51" t="s">
        <v>255</v>
      </c>
      <c r="D204" s="51" t="s">
        <v>256</v>
      </c>
      <c r="E204" s="51" t="s">
        <v>163</v>
      </c>
      <c r="F204" s="51" t="s">
        <v>160</v>
      </c>
      <c r="G204" s="51" t="s">
        <v>160</v>
      </c>
      <c r="H204" s="51" t="s">
        <v>160</v>
      </c>
      <c r="I204" s="51" t="s">
        <v>160</v>
      </c>
      <c r="J204" s="51" t="s">
        <v>566</v>
      </c>
      <c r="K204" s="51" t="s">
        <v>273</v>
      </c>
    </row>
    <row r="205" spans="1:11" x14ac:dyDescent="0.3">
      <c r="A205" s="51" t="s">
        <v>615</v>
      </c>
      <c r="B205" s="51" t="s">
        <v>616</v>
      </c>
      <c r="C205" s="51" t="s">
        <v>255</v>
      </c>
      <c r="D205" s="51" t="s">
        <v>256</v>
      </c>
      <c r="E205" s="51" t="s">
        <v>163</v>
      </c>
      <c r="F205" s="51" t="s">
        <v>160</v>
      </c>
      <c r="G205" s="51" t="s">
        <v>160</v>
      </c>
      <c r="H205" s="51" t="s">
        <v>160</v>
      </c>
      <c r="I205" s="51" t="s">
        <v>160</v>
      </c>
      <c r="J205" s="51" t="s">
        <v>566</v>
      </c>
      <c r="K205" s="51" t="s">
        <v>167</v>
      </c>
    </row>
    <row r="206" spans="1:11" x14ac:dyDescent="0.3">
      <c r="A206" s="51" t="s">
        <v>617</v>
      </c>
      <c r="B206" s="51" t="s">
        <v>618</v>
      </c>
      <c r="C206" s="51" t="s">
        <v>255</v>
      </c>
      <c r="D206" s="51" t="s">
        <v>256</v>
      </c>
      <c r="E206" s="51" t="s">
        <v>163</v>
      </c>
      <c r="F206" s="51" t="s">
        <v>160</v>
      </c>
      <c r="G206" s="51" t="s">
        <v>160</v>
      </c>
      <c r="H206" s="51" t="s">
        <v>160</v>
      </c>
      <c r="I206" s="51" t="s">
        <v>160</v>
      </c>
      <c r="J206" s="51" t="s">
        <v>619</v>
      </c>
      <c r="K206" s="51" t="s">
        <v>167</v>
      </c>
    </row>
    <row r="207" spans="1:11" x14ac:dyDescent="0.3">
      <c r="A207" s="51" t="s">
        <v>620</v>
      </c>
      <c r="B207" s="51" t="s">
        <v>621</v>
      </c>
      <c r="C207" s="51" t="s">
        <v>255</v>
      </c>
      <c r="D207" s="51" t="s">
        <v>256</v>
      </c>
      <c r="E207" s="51" t="s">
        <v>163</v>
      </c>
      <c r="F207" s="51" t="s">
        <v>160</v>
      </c>
      <c r="G207" s="51" t="s">
        <v>160</v>
      </c>
      <c r="H207" s="51" t="s">
        <v>160</v>
      </c>
      <c r="I207" s="51" t="s">
        <v>160</v>
      </c>
      <c r="J207" s="51" t="s">
        <v>566</v>
      </c>
      <c r="K207" s="51" t="s">
        <v>167</v>
      </c>
    </row>
    <row r="208" spans="1:11" x14ac:dyDescent="0.3">
      <c r="A208" s="51" t="s">
        <v>622</v>
      </c>
      <c r="B208" s="51" t="s">
        <v>623</v>
      </c>
      <c r="C208" s="51" t="s">
        <v>255</v>
      </c>
      <c r="D208" s="51" t="s">
        <v>256</v>
      </c>
      <c r="E208" s="51" t="s">
        <v>163</v>
      </c>
      <c r="F208" s="51" t="s">
        <v>160</v>
      </c>
      <c r="G208" s="51" t="s">
        <v>160</v>
      </c>
      <c r="H208" s="51" t="s">
        <v>160</v>
      </c>
      <c r="I208" s="51" t="s">
        <v>160</v>
      </c>
      <c r="J208" s="51" t="s">
        <v>566</v>
      </c>
      <c r="K208" s="51" t="s">
        <v>167</v>
      </c>
    </row>
    <row r="209" spans="1:11" x14ac:dyDescent="0.3">
      <c r="A209" s="51" t="s">
        <v>624</v>
      </c>
      <c r="B209" s="51" t="s">
        <v>261</v>
      </c>
      <c r="C209" s="51" t="s">
        <v>260</v>
      </c>
      <c r="D209" s="51" t="s">
        <v>261</v>
      </c>
      <c r="E209" s="51" t="s">
        <v>163</v>
      </c>
      <c r="F209" s="51" t="s">
        <v>160</v>
      </c>
      <c r="G209" s="51" t="s">
        <v>160</v>
      </c>
      <c r="H209" s="51" t="s">
        <v>160</v>
      </c>
      <c r="I209" s="51" t="s">
        <v>160</v>
      </c>
      <c r="J209" s="51" t="s">
        <v>625</v>
      </c>
      <c r="K209" s="51" t="s">
        <v>167</v>
      </c>
    </row>
    <row r="210" spans="1:11" x14ac:dyDescent="0.3">
      <c r="A210" s="51" t="s">
        <v>626</v>
      </c>
      <c r="B210" s="51" t="s">
        <v>627</v>
      </c>
      <c r="C210" s="51" t="s">
        <v>260</v>
      </c>
      <c r="D210" s="51" t="s">
        <v>261</v>
      </c>
      <c r="E210" s="51" t="s">
        <v>163</v>
      </c>
      <c r="F210" s="51" t="s">
        <v>160</v>
      </c>
      <c r="G210" s="51" t="s">
        <v>160</v>
      </c>
      <c r="H210" s="51" t="s">
        <v>160</v>
      </c>
      <c r="I210" s="51" t="s">
        <v>160</v>
      </c>
      <c r="J210" s="51" t="s">
        <v>246</v>
      </c>
      <c r="K210" s="51" t="s">
        <v>273</v>
      </c>
    </row>
    <row r="211" spans="1:11" x14ac:dyDescent="0.3">
      <c r="A211" s="51" t="s">
        <v>628</v>
      </c>
      <c r="B211" s="51" t="s">
        <v>629</v>
      </c>
      <c r="C211" s="51" t="s">
        <v>260</v>
      </c>
      <c r="D211" s="51" t="s">
        <v>261</v>
      </c>
      <c r="E211" s="51" t="s">
        <v>163</v>
      </c>
      <c r="F211" s="51" t="s">
        <v>160</v>
      </c>
      <c r="G211" s="51" t="s">
        <v>160</v>
      </c>
      <c r="H211" s="51" t="s">
        <v>160</v>
      </c>
      <c r="I211" s="51" t="s">
        <v>160</v>
      </c>
      <c r="J211" s="51" t="s">
        <v>257</v>
      </c>
      <c r="K211" s="51" t="s">
        <v>273</v>
      </c>
    </row>
    <row r="212" spans="1:11" x14ac:dyDescent="0.3">
      <c r="A212" s="51" t="s">
        <v>630</v>
      </c>
      <c r="B212" s="51" t="s">
        <v>631</v>
      </c>
      <c r="C212" s="51" t="s">
        <v>260</v>
      </c>
      <c r="D212" s="51" t="s">
        <v>261</v>
      </c>
      <c r="E212" s="51" t="s">
        <v>163</v>
      </c>
      <c r="F212" s="51" t="s">
        <v>160</v>
      </c>
      <c r="G212" s="51" t="s">
        <v>160</v>
      </c>
      <c r="H212" s="51" t="s">
        <v>160</v>
      </c>
      <c r="I212" s="51" t="s">
        <v>160</v>
      </c>
      <c r="J212" s="51" t="s">
        <v>455</v>
      </c>
      <c r="K212" s="51" t="s">
        <v>167</v>
      </c>
    </row>
    <row r="213" spans="1:11" x14ac:dyDescent="0.3">
      <c r="A213" s="51" t="s">
        <v>632</v>
      </c>
      <c r="B213" s="51" t="s">
        <v>633</v>
      </c>
      <c r="C213" s="51" t="s">
        <v>260</v>
      </c>
      <c r="D213" s="51" t="s">
        <v>261</v>
      </c>
      <c r="E213" s="51" t="s">
        <v>163</v>
      </c>
      <c r="F213" s="51" t="s">
        <v>160</v>
      </c>
      <c r="G213" s="51" t="s">
        <v>160</v>
      </c>
      <c r="H213" s="51" t="s">
        <v>160</v>
      </c>
      <c r="I213" s="51" t="s">
        <v>160</v>
      </c>
      <c r="J213" s="51" t="s">
        <v>455</v>
      </c>
      <c r="K213" s="51" t="s">
        <v>167</v>
      </c>
    </row>
    <row r="214" spans="1:11" x14ac:dyDescent="0.3">
      <c r="A214" s="51" t="s">
        <v>634</v>
      </c>
      <c r="B214" s="51" t="s">
        <v>635</v>
      </c>
      <c r="C214" s="51" t="s">
        <v>260</v>
      </c>
      <c r="D214" s="51" t="s">
        <v>261</v>
      </c>
      <c r="E214" s="51" t="s">
        <v>163</v>
      </c>
      <c r="F214" s="51" t="s">
        <v>160</v>
      </c>
      <c r="G214" s="51" t="s">
        <v>160</v>
      </c>
      <c r="H214" s="51" t="s">
        <v>160</v>
      </c>
      <c r="I214" s="51" t="s">
        <v>160</v>
      </c>
      <c r="J214" s="51" t="s">
        <v>636</v>
      </c>
      <c r="K214" s="51" t="s">
        <v>167</v>
      </c>
    </row>
    <row r="215" spans="1:11" x14ac:dyDescent="0.3">
      <c r="A215" s="51" t="s">
        <v>637</v>
      </c>
      <c r="B215" s="51" t="s">
        <v>638</v>
      </c>
      <c r="C215" s="51" t="s">
        <v>260</v>
      </c>
      <c r="D215" s="51" t="s">
        <v>261</v>
      </c>
      <c r="E215" s="51" t="s">
        <v>639</v>
      </c>
      <c r="F215" s="51" t="s">
        <v>160</v>
      </c>
      <c r="G215" s="51" t="s">
        <v>160</v>
      </c>
      <c r="H215" s="51" t="s">
        <v>160</v>
      </c>
      <c r="I215" s="51" t="s">
        <v>160</v>
      </c>
      <c r="J215" s="51" t="s">
        <v>640</v>
      </c>
      <c r="K215" s="51" t="s">
        <v>167</v>
      </c>
    </row>
    <row r="216" spans="1:11" x14ac:dyDescent="0.3">
      <c r="A216" s="51" t="s">
        <v>641</v>
      </c>
      <c r="B216" s="51" t="s">
        <v>642</v>
      </c>
      <c r="C216" s="51" t="s">
        <v>260</v>
      </c>
      <c r="D216" s="51" t="s">
        <v>261</v>
      </c>
      <c r="E216" s="51" t="s">
        <v>163</v>
      </c>
      <c r="F216" s="51" t="s">
        <v>160</v>
      </c>
      <c r="G216" s="51" t="s">
        <v>160</v>
      </c>
      <c r="H216" s="51" t="s">
        <v>160</v>
      </c>
      <c r="I216" s="51" t="s">
        <v>160</v>
      </c>
      <c r="J216" s="51" t="s">
        <v>455</v>
      </c>
      <c r="K216" s="51" t="s">
        <v>273</v>
      </c>
    </row>
    <row r="217" spans="1:11" x14ac:dyDescent="0.3">
      <c r="A217" s="51" t="s">
        <v>643</v>
      </c>
      <c r="B217" s="51" t="s">
        <v>644</v>
      </c>
      <c r="C217" s="51" t="s">
        <v>260</v>
      </c>
      <c r="D217" s="51" t="s">
        <v>261</v>
      </c>
      <c r="E217" s="51" t="s">
        <v>163</v>
      </c>
      <c r="F217" s="51" t="s">
        <v>160</v>
      </c>
      <c r="G217" s="51" t="s">
        <v>160</v>
      </c>
      <c r="H217" s="51" t="s">
        <v>160</v>
      </c>
      <c r="I217" s="51" t="s">
        <v>160</v>
      </c>
      <c r="J217" s="51" t="s">
        <v>455</v>
      </c>
      <c r="K217" s="51" t="s">
        <v>167</v>
      </c>
    </row>
    <row r="218" spans="1:11" x14ac:dyDescent="0.3">
      <c r="A218" s="51" t="s">
        <v>645</v>
      </c>
      <c r="B218" s="51" t="s">
        <v>646</v>
      </c>
      <c r="C218" s="51" t="s">
        <v>255</v>
      </c>
      <c r="D218" s="51" t="s">
        <v>256</v>
      </c>
      <c r="E218" s="51" t="s">
        <v>163</v>
      </c>
      <c r="F218" s="51" t="s">
        <v>160</v>
      </c>
      <c r="G218" s="51" t="s">
        <v>160</v>
      </c>
      <c r="H218" s="51" t="s">
        <v>160</v>
      </c>
      <c r="I218" s="51" t="s">
        <v>160</v>
      </c>
      <c r="J218" s="51" t="s">
        <v>566</v>
      </c>
      <c r="K218" s="51" t="s">
        <v>167</v>
      </c>
    </row>
    <row r="219" spans="1:11" x14ac:dyDescent="0.3">
      <c r="A219" s="51" t="s">
        <v>647</v>
      </c>
      <c r="B219" s="51" t="s">
        <v>648</v>
      </c>
      <c r="C219" s="51" t="s">
        <v>255</v>
      </c>
      <c r="D219" s="51" t="s">
        <v>256</v>
      </c>
      <c r="E219" s="51" t="s">
        <v>163</v>
      </c>
      <c r="F219" s="51" t="s">
        <v>160</v>
      </c>
      <c r="G219" s="51" t="s">
        <v>160</v>
      </c>
      <c r="H219" s="51" t="s">
        <v>160</v>
      </c>
      <c r="I219" s="51" t="s">
        <v>160</v>
      </c>
      <c r="J219" s="51" t="s">
        <v>566</v>
      </c>
      <c r="K219" s="51" t="s">
        <v>167</v>
      </c>
    </row>
    <row r="220" spans="1:11" x14ac:dyDescent="0.3">
      <c r="A220" s="51" t="s">
        <v>649</v>
      </c>
      <c r="B220" s="51" t="s">
        <v>650</v>
      </c>
      <c r="C220" s="51" t="s">
        <v>255</v>
      </c>
      <c r="D220" s="51" t="s">
        <v>256</v>
      </c>
      <c r="E220" s="51" t="s">
        <v>163</v>
      </c>
      <c r="F220" s="51" t="s">
        <v>160</v>
      </c>
      <c r="G220" s="51" t="s">
        <v>160</v>
      </c>
      <c r="H220" s="51" t="s">
        <v>160</v>
      </c>
      <c r="I220" s="51" t="s">
        <v>160</v>
      </c>
      <c r="J220" s="51" t="s">
        <v>566</v>
      </c>
      <c r="K220" s="51" t="s">
        <v>167</v>
      </c>
    </row>
    <row r="221" spans="1:11" x14ac:dyDescent="0.3">
      <c r="A221" s="51" t="s">
        <v>651</v>
      </c>
      <c r="B221" s="51" t="s">
        <v>652</v>
      </c>
      <c r="C221" s="51" t="s">
        <v>270</v>
      </c>
      <c r="D221" s="51" t="s">
        <v>271</v>
      </c>
      <c r="E221" s="51" t="s">
        <v>163</v>
      </c>
      <c r="F221" s="51" t="s">
        <v>160</v>
      </c>
      <c r="G221" s="51" t="s">
        <v>160</v>
      </c>
      <c r="H221" s="51" t="s">
        <v>160</v>
      </c>
      <c r="I221" s="51" t="s">
        <v>160</v>
      </c>
      <c r="J221" s="51" t="s">
        <v>354</v>
      </c>
      <c r="K221" s="51" t="s">
        <v>167</v>
      </c>
    </row>
    <row r="222" spans="1:11" x14ac:dyDescent="0.3">
      <c r="A222" s="51" t="s">
        <v>653</v>
      </c>
      <c r="B222" s="51" t="s">
        <v>654</v>
      </c>
      <c r="C222" s="51" t="s">
        <v>270</v>
      </c>
      <c r="D222" s="51" t="s">
        <v>271</v>
      </c>
      <c r="E222" s="51" t="s">
        <v>163</v>
      </c>
      <c r="F222" s="51" t="s">
        <v>160</v>
      </c>
      <c r="G222" s="51" t="s">
        <v>160</v>
      </c>
      <c r="H222" s="51" t="s">
        <v>160</v>
      </c>
      <c r="I222" s="51" t="s">
        <v>160</v>
      </c>
      <c r="J222" s="51" t="s">
        <v>655</v>
      </c>
      <c r="K222" s="51" t="s">
        <v>167</v>
      </c>
    </row>
    <row r="223" spans="1:11" x14ac:dyDescent="0.3">
      <c r="A223" s="51" t="s">
        <v>656</v>
      </c>
      <c r="B223" s="51" t="s">
        <v>657</v>
      </c>
      <c r="C223" s="51" t="s">
        <v>270</v>
      </c>
      <c r="D223" s="51" t="s">
        <v>271</v>
      </c>
      <c r="E223" s="51" t="s">
        <v>163</v>
      </c>
      <c r="F223" s="51" t="s">
        <v>160</v>
      </c>
      <c r="G223" s="51" t="s">
        <v>160</v>
      </c>
      <c r="H223" s="51" t="s">
        <v>160</v>
      </c>
      <c r="I223" s="51" t="s">
        <v>160</v>
      </c>
      <c r="J223" s="51" t="s">
        <v>658</v>
      </c>
      <c r="K223" s="51" t="s">
        <v>167</v>
      </c>
    </row>
    <row r="224" spans="1:11" x14ac:dyDescent="0.3">
      <c r="A224" s="51" t="s">
        <v>659</v>
      </c>
      <c r="B224" s="51" t="s">
        <v>660</v>
      </c>
      <c r="C224" s="51" t="s">
        <v>270</v>
      </c>
      <c r="D224" s="51" t="s">
        <v>271</v>
      </c>
      <c r="E224" s="51" t="s">
        <v>163</v>
      </c>
      <c r="F224" s="51" t="s">
        <v>160</v>
      </c>
      <c r="G224" s="51" t="s">
        <v>160</v>
      </c>
      <c r="H224" s="51" t="s">
        <v>160</v>
      </c>
      <c r="I224" s="51" t="s">
        <v>160</v>
      </c>
      <c r="J224" s="51" t="s">
        <v>172</v>
      </c>
      <c r="K224" s="51" t="s">
        <v>273</v>
      </c>
    </row>
    <row r="225" spans="1:11" x14ac:dyDescent="0.3">
      <c r="A225" s="51" t="s">
        <v>661</v>
      </c>
      <c r="B225" s="51" t="s">
        <v>662</v>
      </c>
      <c r="C225" s="51" t="s">
        <v>270</v>
      </c>
      <c r="D225" s="51" t="s">
        <v>271</v>
      </c>
      <c r="E225" s="51" t="s">
        <v>163</v>
      </c>
      <c r="F225" s="51" t="s">
        <v>160</v>
      </c>
      <c r="G225" s="51" t="s">
        <v>160</v>
      </c>
      <c r="H225" s="51" t="s">
        <v>160</v>
      </c>
      <c r="I225" s="51" t="s">
        <v>160</v>
      </c>
      <c r="J225" s="51" t="s">
        <v>357</v>
      </c>
      <c r="K225" s="51" t="s">
        <v>273</v>
      </c>
    </row>
    <row r="226" spans="1:11" x14ac:dyDescent="0.3">
      <c r="A226" s="51" t="s">
        <v>663</v>
      </c>
      <c r="B226" s="51" t="s">
        <v>664</v>
      </c>
      <c r="C226" s="51" t="s">
        <v>270</v>
      </c>
      <c r="D226" s="51" t="s">
        <v>271</v>
      </c>
      <c r="E226" s="51" t="s">
        <v>163</v>
      </c>
      <c r="F226" s="51" t="s">
        <v>160</v>
      </c>
      <c r="G226" s="51" t="s">
        <v>160</v>
      </c>
      <c r="H226" s="51" t="s">
        <v>160</v>
      </c>
      <c r="I226" s="51" t="s">
        <v>160</v>
      </c>
      <c r="J226" s="51" t="s">
        <v>175</v>
      </c>
      <c r="K226" s="51" t="s">
        <v>167</v>
      </c>
    </row>
    <row r="227" spans="1:11" x14ac:dyDescent="0.3">
      <c r="A227" s="51" t="s">
        <v>665</v>
      </c>
      <c r="B227" s="51" t="s">
        <v>666</v>
      </c>
      <c r="C227" s="51" t="s">
        <v>270</v>
      </c>
      <c r="D227" s="51" t="s">
        <v>271</v>
      </c>
      <c r="E227" s="51" t="s">
        <v>163</v>
      </c>
      <c r="F227" s="51" t="s">
        <v>160</v>
      </c>
      <c r="G227" s="51" t="s">
        <v>160</v>
      </c>
      <c r="H227" s="51" t="s">
        <v>160</v>
      </c>
      <c r="I227" s="51" t="s">
        <v>160</v>
      </c>
      <c r="J227" s="51" t="s">
        <v>175</v>
      </c>
      <c r="K227" s="51" t="s">
        <v>167</v>
      </c>
    </row>
    <row r="228" spans="1:11" x14ac:dyDescent="0.3">
      <c r="A228" s="51" t="s">
        <v>667</v>
      </c>
      <c r="B228" s="51" t="s">
        <v>668</v>
      </c>
      <c r="C228" s="51" t="s">
        <v>270</v>
      </c>
      <c r="D228" s="51" t="s">
        <v>271</v>
      </c>
      <c r="E228" s="51" t="s">
        <v>163</v>
      </c>
      <c r="F228" s="51" t="s">
        <v>160</v>
      </c>
      <c r="G228" s="51" t="s">
        <v>160</v>
      </c>
      <c r="H228" s="51" t="s">
        <v>160</v>
      </c>
      <c r="I228" s="51" t="s">
        <v>160</v>
      </c>
      <c r="J228" s="51" t="s">
        <v>172</v>
      </c>
      <c r="K228" s="51" t="s">
        <v>167</v>
      </c>
    </row>
    <row r="229" spans="1:11" x14ac:dyDescent="0.3">
      <c r="A229" s="51" t="s">
        <v>669</v>
      </c>
      <c r="B229" s="51" t="s">
        <v>670</v>
      </c>
      <c r="C229" s="51" t="s">
        <v>270</v>
      </c>
      <c r="D229" s="51" t="s">
        <v>271</v>
      </c>
      <c r="E229" s="51" t="s">
        <v>163</v>
      </c>
      <c r="F229" s="51" t="s">
        <v>160</v>
      </c>
      <c r="G229" s="51" t="s">
        <v>160</v>
      </c>
      <c r="H229" s="51" t="s">
        <v>160</v>
      </c>
      <c r="I229" s="51" t="s">
        <v>160</v>
      </c>
      <c r="J229" s="51" t="s">
        <v>636</v>
      </c>
      <c r="K229" s="51" t="s">
        <v>167</v>
      </c>
    </row>
    <row r="230" spans="1:11" x14ac:dyDescent="0.3">
      <c r="A230" s="51" t="s">
        <v>671</v>
      </c>
      <c r="B230" s="51" t="s">
        <v>672</v>
      </c>
      <c r="C230" s="51" t="s">
        <v>270</v>
      </c>
      <c r="D230" s="51" t="s">
        <v>271</v>
      </c>
      <c r="E230" s="51" t="s">
        <v>163</v>
      </c>
      <c r="F230" s="51" t="s">
        <v>160</v>
      </c>
      <c r="G230" s="51" t="s">
        <v>160</v>
      </c>
      <c r="H230" s="51" t="s">
        <v>160</v>
      </c>
      <c r="I230" s="51" t="s">
        <v>160</v>
      </c>
      <c r="J230" s="51" t="s">
        <v>673</v>
      </c>
      <c r="K230" s="51" t="s">
        <v>167</v>
      </c>
    </row>
    <row r="231" spans="1:11" x14ac:dyDescent="0.3">
      <c r="A231" s="51" t="s">
        <v>674</v>
      </c>
      <c r="B231" s="51" t="s">
        <v>675</v>
      </c>
      <c r="C231" s="51" t="s">
        <v>270</v>
      </c>
      <c r="D231" s="51" t="s">
        <v>271</v>
      </c>
      <c r="E231" s="51" t="s">
        <v>163</v>
      </c>
      <c r="F231" s="51" t="s">
        <v>160</v>
      </c>
      <c r="G231" s="51" t="s">
        <v>160</v>
      </c>
      <c r="H231" s="51" t="s">
        <v>160</v>
      </c>
      <c r="I231" s="51" t="s">
        <v>160</v>
      </c>
      <c r="J231" s="51" t="s">
        <v>172</v>
      </c>
      <c r="K231" s="51" t="s">
        <v>167</v>
      </c>
    </row>
    <row r="232" spans="1:11" x14ac:dyDescent="0.3">
      <c r="A232" s="51" t="s">
        <v>676</v>
      </c>
      <c r="B232" s="51" t="s">
        <v>677</v>
      </c>
      <c r="C232" s="51" t="s">
        <v>270</v>
      </c>
      <c r="D232" s="51" t="s">
        <v>271</v>
      </c>
      <c r="E232" s="51" t="s">
        <v>163</v>
      </c>
      <c r="F232" s="51" t="s">
        <v>160</v>
      </c>
      <c r="G232" s="51" t="s">
        <v>160</v>
      </c>
      <c r="H232" s="51" t="s">
        <v>160</v>
      </c>
      <c r="I232" s="51" t="s">
        <v>160</v>
      </c>
      <c r="J232" s="51" t="s">
        <v>175</v>
      </c>
      <c r="K232" s="51" t="s">
        <v>195</v>
      </c>
    </row>
    <row r="233" spans="1:11" x14ac:dyDescent="0.3">
      <c r="A233" s="51" t="s">
        <v>678</v>
      </c>
      <c r="B233" s="51" t="s">
        <v>679</v>
      </c>
      <c r="C233" s="51" t="s">
        <v>270</v>
      </c>
      <c r="D233" s="51" t="s">
        <v>271</v>
      </c>
      <c r="E233" s="51" t="s">
        <v>163</v>
      </c>
      <c r="F233" s="51" t="s">
        <v>160</v>
      </c>
      <c r="G233" s="51" t="s">
        <v>160</v>
      </c>
      <c r="H233" s="51" t="s">
        <v>160</v>
      </c>
      <c r="I233" s="51" t="s">
        <v>160</v>
      </c>
      <c r="J233" s="51" t="s">
        <v>175</v>
      </c>
      <c r="K233" s="51" t="s">
        <v>195</v>
      </c>
    </row>
    <row r="234" spans="1:11" x14ac:dyDescent="0.3">
      <c r="A234" s="51" t="s">
        <v>680</v>
      </c>
      <c r="B234" s="51" t="s">
        <v>681</v>
      </c>
      <c r="C234" s="51" t="s">
        <v>270</v>
      </c>
      <c r="D234" s="51" t="s">
        <v>271</v>
      </c>
      <c r="E234" s="51" t="s">
        <v>163</v>
      </c>
      <c r="F234" s="51" t="s">
        <v>160</v>
      </c>
      <c r="G234" s="51" t="s">
        <v>160</v>
      </c>
      <c r="H234" s="51" t="s">
        <v>160</v>
      </c>
      <c r="I234" s="51" t="s">
        <v>160</v>
      </c>
      <c r="J234" s="51" t="s">
        <v>357</v>
      </c>
      <c r="K234" s="51" t="s">
        <v>273</v>
      </c>
    </row>
    <row r="235" spans="1:11" x14ac:dyDescent="0.3">
      <c r="A235" s="51" t="s">
        <v>682</v>
      </c>
      <c r="B235" s="51" t="s">
        <v>683</v>
      </c>
      <c r="C235" s="51" t="s">
        <v>270</v>
      </c>
      <c r="D235" s="51" t="s">
        <v>271</v>
      </c>
      <c r="E235" s="51" t="s">
        <v>163</v>
      </c>
      <c r="F235" s="51" t="s">
        <v>160</v>
      </c>
      <c r="G235" s="51" t="s">
        <v>160</v>
      </c>
      <c r="H235" s="51" t="s">
        <v>160</v>
      </c>
      <c r="I235" s="51" t="s">
        <v>160</v>
      </c>
      <c r="J235" s="51" t="s">
        <v>424</v>
      </c>
      <c r="K235" s="51" t="s">
        <v>167</v>
      </c>
    </row>
    <row r="236" spans="1:11" x14ac:dyDescent="0.3">
      <c r="A236" s="51" t="s">
        <v>684</v>
      </c>
      <c r="B236" s="51" t="s">
        <v>685</v>
      </c>
      <c r="C236" s="51" t="s">
        <v>270</v>
      </c>
      <c r="D236" s="51" t="s">
        <v>271</v>
      </c>
      <c r="E236" s="51" t="s">
        <v>163</v>
      </c>
      <c r="F236" s="51" t="s">
        <v>160</v>
      </c>
      <c r="G236" s="51" t="s">
        <v>160</v>
      </c>
      <c r="H236" s="51" t="s">
        <v>160</v>
      </c>
      <c r="I236" s="51" t="s">
        <v>160</v>
      </c>
      <c r="J236" s="51" t="s">
        <v>172</v>
      </c>
      <c r="K236" s="51" t="s">
        <v>167</v>
      </c>
    </row>
    <row r="237" spans="1:11" x14ac:dyDescent="0.3">
      <c r="A237" s="51" t="s">
        <v>686</v>
      </c>
      <c r="B237" s="51" t="s">
        <v>687</v>
      </c>
      <c r="C237" s="51" t="s">
        <v>270</v>
      </c>
      <c r="D237" s="51" t="s">
        <v>271</v>
      </c>
      <c r="E237" s="51" t="s">
        <v>163</v>
      </c>
      <c r="F237" s="51" t="s">
        <v>160</v>
      </c>
      <c r="G237" s="51" t="s">
        <v>160</v>
      </c>
      <c r="H237" s="51" t="s">
        <v>160</v>
      </c>
      <c r="I237" s="51" t="s">
        <v>160</v>
      </c>
      <c r="J237" s="51" t="s">
        <v>688</v>
      </c>
      <c r="K237" s="51" t="s">
        <v>167</v>
      </c>
    </row>
    <row r="238" spans="1:11" x14ac:dyDescent="0.3">
      <c r="A238" s="51" t="s">
        <v>689</v>
      </c>
      <c r="B238" s="51" t="s">
        <v>690</v>
      </c>
      <c r="C238" s="51" t="s">
        <v>270</v>
      </c>
      <c r="D238" s="51" t="s">
        <v>271</v>
      </c>
      <c r="E238" s="51" t="s">
        <v>163</v>
      </c>
      <c r="F238" s="51" t="s">
        <v>160</v>
      </c>
      <c r="G238" s="51" t="s">
        <v>160</v>
      </c>
      <c r="H238" s="51" t="s">
        <v>160</v>
      </c>
      <c r="I238" s="51" t="s">
        <v>160</v>
      </c>
      <c r="J238" s="51" t="s">
        <v>172</v>
      </c>
      <c r="K238" s="51" t="s">
        <v>167</v>
      </c>
    </row>
    <row r="239" spans="1:11" x14ac:dyDescent="0.3">
      <c r="A239" s="51" t="s">
        <v>691</v>
      </c>
      <c r="B239" s="51" t="s">
        <v>692</v>
      </c>
      <c r="C239" s="51" t="s">
        <v>270</v>
      </c>
      <c r="D239" s="51" t="s">
        <v>271</v>
      </c>
      <c r="E239" s="51" t="s">
        <v>163</v>
      </c>
      <c r="F239" s="51" t="s">
        <v>160</v>
      </c>
      <c r="G239" s="51" t="s">
        <v>160</v>
      </c>
      <c r="H239" s="51" t="s">
        <v>160</v>
      </c>
      <c r="I239" s="51" t="s">
        <v>160</v>
      </c>
      <c r="J239" s="51" t="s">
        <v>357</v>
      </c>
      <c r="K239" s="51" t="s">
        <v>273</v>
      </c>
    </row>
    <row r="240" spans="1:11" x14ac:dyDescent="0.3">
      <c r="A240" s="51" t="s">
        <v>693</v>
      </c>
      <c r="B240" s="51" t="s">
        <v>694</v>
      </c>
      <c r="C240" s="51" t="s">
        <v>270</v>
      </c>
      <c r="D240" s="51" t="s">
        <v>271</v>
      </c>
      <c r="E240" s="51" t="s">
        <v>163</v>
      </c>
      <c r="F240" s="51" t="s">
        <v>160</v>
      </c>
      <c r="G240" s="51" t="s">
        <v>160</v>
      </c>
      <c r="H240" s="51" t="s">
        <v>160</v>
      </c>
      <c r="I240" s="51" t="s">
        <v>160</v>
      </c>
      <c r="J240" s="51" t="s">
        <v>172</v>
      </c>
      <c r="K240" s="51" t="s">
        <v>273</v>
      </c>
    </row>
    <row r="241" spans="1:11" x14ac:dyDescent="0.3">
      <c r="A241" s="51" t="s">
        <v>695</v>
      </c>
      <c r="B241" s="51" t="s">
        <v>696</v>
      </c>
      <c r="C241" s="51" t="s">
        <v>270</v>
      </c>
      <c r="D241" s="51" t="s">
        <v>271</v>
      </c>
      <c r="E241" s="51" t="s">
        <v>163</v>
      </c>
      <c r="F241" s="51" t="s">
        <v>160</v>
      </c>
      <c r="G241" s="51" t="s">
        <v>160</v>
      </c>
      <c r="H241" s="51" t="s">
        <v>160</v>
      </c>
      <c r="I241" s="51" t="s">
        <v>160</v>
      </c>
      <c r="J241" s="51" t="s">
        <v>357</v>
      </c>
      <c r="K241" s="51" t="s">
        <v>273</v>
      </c>
    </row>
    <row r="242" spans="1:11" x14ac:dyDescent="0.3">
      <c r="A242" s="51" t="s">
        <v>697</v>
      </c>
      <c r="B242" s="51" t="s">
        <v>698</v>
      </c>
      <c r="C242" s="51" t="s">
        <v>270</v>
      </c>
      <c r="D242" s="51" t="s">
        <v>271</v>
      </c>
      <c r="E242" s="51" t="s">
        <v>163</v>
      </c>
      <c r="F242" s="51" t="s">
        <v>160</v>
      </c>
      <c r="G242" s="51" t="s">
        <v>160</v>
      </c>
      <c r="H242" s="51" t="s">
        <v>160</v>
      </c>
      <c r="I242" s="51" t="s">
        <v>160</v>
      </c>
      <c r="J242" s="51" t="s">
        <v>175</v>
      </c>
      <c r="K242" s="51" t="s">
        <v>273</v>
      </c>
    </row>
    <row r="243" spans="1:11" x14ac:dyDescent="0.3">
      <c r="A243" s="51" t="s">
        <v>699</v>
      </c>
      <c r="B243" s="51" t="s">
        <v>700</v>
      </c>
      <c r="C243" s="51" t="s">
        <v>270</v>
      </c>
      <c r="D243" s="51" t="s">
        <v>271</v>
      </c>
      <c r="E243" s="51" t="s">
        <v>163</v>
      </c>
      <c r="F243" s="51" t="s">
        <v>160</v>
      </c>
      <c r="G243" s="51" t="s">
        <v>160</v>
      </c>
      <c r="H243" s="51" t="s">
        <v>160</v>
      </c>
      <c r="I243" s="51" t="s">
        <v>160</v>
      </c>
      <c r="J243" s="51" t="s">
        <v>166</v>
      </c>
      <c r="K243" s="51" t="s">
        <v>167</v>
      </c>
    </row>
    <row r="244" spans="1:11" x14ac:dyDescent="0.3">
      <c r="A244" s="51" t="s">
        <v>701</v>
      </c>
      <c r="B244" s="51" t="s">
        <v>702</v>
      </c>
      <c r="C244" s="51" t="s">
        <v>270</v>
      </c>
      <c r="D244" s="51" t="s">
        <v>271</v>
      </c>
      <c r="E244" s="51" t="s">
        <v>163</v>
      </c>
      <c r="F244" s="51" t="s">
        <v>160</v>
      </c>
      <c r="G244" s="51" t="s">
        <v>160</v>
      </c>
      <c r="H244" s="51" t="s">
        <v>160</v>
      </c>
      <c r="I244" s="51" t="s">
        <v>160</v>
      </c>
      <c r="J244" s="51" t="s">
        <v>166</v>
      </c>
      <c r="K244" s="51" t="s">
        <v>167</v>
      </c>
    </row>
    <row r="245" spans="1:11" x14ac:dyDescent="0.3">
      <c r="A245" s="51" t="s">
        <v>703</v>
      </c>
      <c r="B245" s="51" t="s">
        <v>704</v>
      </c>
      <c r="C245" s="51" t="s">
        <v>270</v>
      </c>
      <c r="D245" s="51" t="s">
        <v>271</v>
      </c>
      <c r="E245" s="51" t="s">
        <v>163</v>
      </c>
      <c r="F245" s="51" t="s">
        <v>160</v>
      </c>
      <c r="G245" s="51" t="s">
        <v>160</v>
      </c>
      <c r="H245" s="51" t="s">
        <v>160</v>
      </c>
      <c r="I245" s="51" t="s">
        <v>160</v>
      </c>
      <c r="J245" s="51" t="s">
        <v>357</v>
      </c>
      <c r="K245" s="51" t="s">
        <v>273</v>
      </c>
    </row>
    <row r="246" spans="1:11" x14ac:dyDescent="0.3">
      <c r="A246" s="51" t="s">
        <v>705</v>
      </c>
      <c r="B246" s="51" t="s">
        <v>706</v>
      </c>
      <c r="C246" s="51" t="s">
        <v>270</v>
      </c>
      <c r="D246" s="51" t="s">
        <v>271</v>
      </c>
      <c r="E246" s="51" t="s">
        <v>163</v>
      </c>
      <c r="F246" s="51" t="s">
        <v>160</v>
      </c>
      <c r="G246" s="51" t="s">
        <v>160</v>
      </c>
      <c r="H246" s="51" t="s">
        <v>160</v>
      </c>
      <c r="I246" s="51" t="s">
        <v>160</v>
      </c>
      <c r="J246" s="51" t="s">
        <v>707</v>
      </c>
      <c r="K246" s="51" t="s">
        <v>167</v>
      </c>
    </row>
    <row r="247" spans="1:11" x14ac:dyDescent="0.3">
      <c r="A247" s="51" t="s">
        <v>708</v>
      </c>
      <c r="B247" s="51" t="s">
        <v>709</v>
      </c>
      <c r="C247" s="51" t="s">
        <v>270</v>
      </c>
      <c r="D247" s="51" t="s">
        <v>271</v>
      </c>
      <c r="E247" s="51" t="s">
        <v>163</v>
      </c>
      <c r="F247" s="51" t="s">
        <v>160</v>
      </c>
      <c r="G247" s="51" t="s">
        <v>160</v>
      </c>
      <c r="H247" s="51" t="s">
        <v>160</v>
      </c>
      <c r="I247" s="51" t="s">
        <v>160</v>
      </c>
      <c r="J247" s="51" t="s">
        <v>202</v>
      </c>
      <c r="K247" s="51" t="s">
        <v>167</v>
      </c>
    </row>
    <row r="248" spans="1:11" x14ac:dyDescent="0.3">
      <c r="A248" s="51" t="s">
        <v>710</v>
      </c>
      <c r="B248" s="51" t="s">
        <v>711</v>
      </c>
      <c r="C248" s="51" t="s">
        <v>270</v>
      </c>
      <c r="D248" s="51" t="s">
        <v>271</v>
      </c>
      <c r="E248" s="51" t="s">
        <v>163</v>
      </c>
      <c r="F248" s="51" t="s">
        <v>160</v>
      </c>
      <c r="G248" s="51" t="s">
        <v>160</v>
      </c>
      <c r="H248" s="51" t="s">
        <v>160</v>
      </c>
      <c r="I248" s="51" t="s">
        <v>160</v>
      </c>
      <c r="J248" s="51" t="s">
        <v>172</v>
      </c>
      <c r="K248" s="51" t="s">
        <v>167</v>
      </c>
    </row>
    <row r="249" spans="1:11" x14ac:dyDescent="0.3">
      <c r="A249" s="51" t="s">
        <v>712</v>
      </c>
      <c r="B249" s="51" t="s">
        <v>713</v>
      </c>
      <c r="C249" s="51" t="s">
        <v>270</v>
      </c>
      <c r="D249" s="51" t="s">
        <v>271</v>
      </c>
      <c r="E249" s="51" t="s">
        <v>163</v>
      </c>
      <c r="F249" s="51" t="s">
        <v>160</v>
      </c>
      <c r="G249" s="51" t="s">
        <v>160</v>
      </c>
      <c r="H249" s="51" t="s">
        <v>160</v>
      </c>
      <c r="I249" s="51" t="s">
        <v>160</v>
      </c>
      <c r="J249" s="51" t="s">
        <v>172</v>
      </c>
      <c r="K249" s="51" t="s">
        <v>167</v>
      </c>
    </row>
    <row r="250" spans="1:11" x14ac:dyDescent="0.3">
      <c r="A250" s="51" t="s">
        <v>714</v>
      </c>
      <c r="B250" s="51" t="s">
        <v>715</v>
      </c>
      <c r="C250" s="51" t="s">
        <v>270</v>
      </c>
      <c r="D250" s="51" t="s">
        <v>271</v>
      </c>
      <c r="E250" s="51" t="s">
        <v>163</v>
      </c>
      <c r="F250" s="51" t="s">
        <v>160</v>
      </c>
      <c r="G250" s="51" t="s">
        <v>160</v>
      </c>
      <c r="H250" s="51" t="s">
        <v>160</v>
      </c>
      <c r="I250" s="51" t="s">
        <v>160</v>
      </c>
      <c r="J250" s="51" t="s">
        <v>172</v>
      </c>
      <c r="K250" s="51" t="s">
        <v>273</v>
      </c>
    </row>
    <row r="251" spans="1:11" x14ac:dyDescent="0.3">
      <c r="A251" s="51" t="s">
        <v>716</v>
      </c>
      <c r="B251" s="51" t="s">
        <v>717</v>
      </c>
      <c r="C251" s="51" t="s">
        <v>270</v>
      </c>
      <c r="D251" s="51" t="s">
        <v>271</v>
      </c>
      <c r="E251" s="51" t="s">
        <v>163</v>
      </c>
      <c r="F251" s="51" t="s">
        <v>160</v>
      </c>
      <c r="G251" s="51" t="s">
        <v>160</v>
      </c>
      <c r="H251" s="51" t="s">
        <v>160</v>
      </c>
      <c r="I251" s="51" t="s">
        <v>160</v>
      </c>
      <c r="J251" s="51" t="s">
        <v>282</v>
      </c>
      <c r="K251" s="51" t="s">
        <v>167</v>
      </c>
    </row>
    <row r="252" spans="1:11" x14ac:dyDescent="0.3">
      <c r="A252" s="51" t="s">
        <v>718</v>
      </c>
      <c r="B252" s="51" t="s">
        <v>719</v>
      </c>
      <c r="C252" s="51" t="s">
        <v>270</v>
      </c>
      <c r="D252" s="51" t="s">
        <v>271</v>
      </c>
      <c r="E252" s="51" t="s">
        <v>163</v>
      </c>
      <c r="F252" s="51" t="s">
        <v>160</v>
      </c>
      <c r="G252" s="51" t="s">
        <v>160</v>
      </c>
      <c r="H252" s="51" t="s">
        <v>160</v>
      </c>
      <c r="I252" s="51" t="s">
        <v>160</v>
      </c>
      <c r="J252" s="51" t="s">
        <v>340</v>
      </c>
      <c r="K252" s="51" t="s">
        <v>167</v>
      </c>
    </row>
    <row r="253" spans="1:11" x14ac:dyDescent="0.3">
      <c r="A253" s="51" t="s">
        <v>720</v>
      </c>
      <c r="B253" s="51" t="s">
        <v>721</v>
      </c>
      <c r="C253" s="51" t="s">
        <v>270</v>
      </c>
      <c r="D253" s="51" t="s">
        <v>271</v>
      </c>
      <c r="E253" s="51" t="s">
        <v>163</v>
      </c>
      <c r="F253" s="51" t="s">
        <v>160</v>
      </c>
      <c r="G253" s="51" t="s">
        <v>160</v>
      </c>
      <c r="H253" s="51" t="s">
        <v>160</v>
      </c>
      <c r="I253" s="51" t="s">
        <v>160</v>
      </c>
      <c r="J253" s="51" t="s">
        <v>722</v>
      </c>
      <c r="K253" s="51" t="s">
        <v>167</v>
      </c>
    </row>
    <row r="254" spans="1:11" x14ac:dyDescent="0.3">
      <c r="A254" s="51" t="s">
        <v>723</v>
      </c>
      <c r="B254" s="51" t="s">
        <v>724</v>
      </c>
      <c r="C254" s="51" t="s">
        <v>270</v>
      </c>
      <c r="D254" s="51" t="s">
        <v>271</v>
      </c>
      <c r="E254" s="51" t="s">
        <v>163</v>
      </c>
      <c r="F254" s="51" t="s">
        <v>160</v>
      </c>
      <c r="G254" s="51" t="s">
        <v>160</v>
      </c>
      <c r="H254" s="51" t="s">
        <v>160</v>
      </c>
      <c r="I254" s="51" t="s">
        <v>160</v>
      </c>
      <c r="J254" s="51" t="s">
        <v>725</v>
      </c>
      <c r="K254" s="51" t="s">
        <v>167</v>
      </c>
    </row>
    <row r="255" spans="1:11" x14ac:dyDescent="0.3">
      <c r="A255" s="51" t="s">
        <v>726</v>
      </c>
      <c r="B255" s="51" t="s">
        <v>727</v>
      </c>
      <c r="C255" s="51" t="s">
        <v>270</v>
      </c>
      <c r="D255" s="51" t="s">
        <v>271</v>
      </c>
      <c r="E255" s="51" t="s">
        <v>163</v>
      </c>
      <c r="F255" s="51" t="s">
        <v>160</v>
      </c>
      <c r="G255" s="51" t="s">
        <v>160</v>
      </c>
      <c r="H255" s="51" t="s">
        <v>160</v>
      </c>
      <c r="I255" s="51" t="s">
        <v>160</v>
      </c>
      <c r="J255" s="51" t="s">
        <v>728</v>
      </c>
      <c r="K255" s="51" t="s">
        <v>167</v>
      </c>
    </row>
    <row r="256" spans="1:11" x14ac:dyDescent="0.3">
      <c r="A256" s="51" t="s">
        <v>729</v>
      </c>
      <c r="B256" s="51" t="s">
        <v>730</v>
      </c>
      <c r="C256" s="51" t="s">
        <v>270</v>
      </c>
      <c r="D256" s="51" t="s">
        <v>271</v>
      </c>
      <c r="E256" s="51" t="s">
        <v>163</v>
      </c>
      <c r="F256" s="51" t="s">
        <v>160</v>
      </c>
      <c r="G256" s="51" t="s">
        <v>160</v>
      </c>
      <c r="H256" s="51" t="s">
        <v>160</v>
      </c>
      <c r="I256" s="51" t="s">
        <v>160</v>
      </c>
      <c r="J256" s="51" t="s">
        <v>321</v>
      </c>
      <c r="K256" s="51" t="s">
        <v>167</v>
      </c>
    </row>
    <row r="257" spans="1:11" x14ac:dyDescent="0.3">
      <c r="A257" s="51" t="s">
        <v>731</v>
      </c>
      <c r="B257" s="51" t="s">
        <v>732</v>
      </c>
      <c r="C257" s="51" t="s">
        <v>270</v>
      </c>
      <c r="D257" s="51" t="s">
        <v>271</v>
      </c>
      <c r="E257" s="51" t="s">
        <v>163</v>
      </c>
      <c r="F257" s="51" t="s">
        <v>160</v>
      </c>
      <c r="G257" s="51" t="s">
        <v>160</v>
      </c>
      <c r="H257" s="51" t="s">
        <v>160</v>
      </c>
      <c r="I257" s="51" t="s">
        <v>160</v>
      </c>
      <c r="J257" s="51" t="s">
        <v>172</v>
      </c>
      <c r="K257" s="51" t="s">
        <v>167</v>
      </c>
    </row>
    <row r="258" spans="1:11" x14ac:dyDescent="0.3">
      <c r="A258" s="51" t="s">
        <v>733</v>
      </c>
      <c r="B258" s="51" t="s">
        <v>734</v>
      </c>
      <c r="C258" s="51" t="s">
        <v>270</v>
      </c>
      <c r="D258" s="51" t="s">
        <v>271</v>
      </c>
      <c r="E258" s="51" t="s">
        <v>163</v>
      </c>
      <c r="F258" s="51" t="s">
        <v>160</v>
      </c>
      <c r="G258" s="51" t="s">
        <v>160</v>
      </c>
      <c r="H258" s="51" t="s">
        <v>160</v>
      </c>
      <c r="I258" s="51" t="s">
        <v>160</v>
      </c>
      <c r="J258" s="51" t="s">
        <v>166</v>
      </c>
      <c r="K258" s="51" t="s">
        <v>167</v>
      </c>
    </row>
    <row r="259" spans="1:11" x14ac:dyDescent="0.3">
      <c r="A259" s="51" t="s">
        <v>735</v>
      </c>
      <c r="B259" s="51" t="s">
        <v>736</v>
      </c>
      <c r="C259" s="51" t="s">
        <v>270</v>
      </c>
      <c r="D259" s="51" t="s">
        <v>271</v>
      </c>
      <c r="E259" s="51" t="s">
        <v>163</v>
      </c>
      <c r="F259" s="51" t="s">
        <v>160</v>
      </c>
      <c r="G259" s="51" t="s">
        <v>160</v>
      </c>
      <c r="H259" s="51" t="s">
        <v>160</v>
      </c>
      <c r="I259" s="51" t="s">
        <v>160</v>
      </c>
      <c r="J259" s="51" t="s">
        <v>728</v>
      </c>
      <c r="K259" s="51" t="s">
        <v>167</v>
      </c>
    </row>
    <row r="260" spans="1:11" x14ac:dyDescent="0.3">
      <c r="A260" s="51" t="s">
        <v>737</v>
      </c>
      <c r="B260" s="51" t="s">
        <v>738</v>
      </c>
      <c r="C260" s="51" t="s">
        <v>270</v>
      </c>
      <c r="D260" s="51" t="s">
        <v>271</v>
      </c>
      <c r="E260" s="51" t="s">
        <v>163</v>
      </c>
      <c r="F260" s="51" t="s">
        <v>160</v>
      </c>
      <c r="G260" s="51" t="s">
        <v>160</v>
      </c>
      <c r="H260" s="51" t="s">
        <v>160</v>
      </c>
      <c r="I260" s="51" t="s">
        <v>160</v>
      </c>
      <c r="J260" s="51" t="s">
        <v>354</v>
      </c>
      <c r="K260" s="51" t="s">
        <v>167</v>
      </c>
    </row>
    <row r="261" spans="1:11" x14ac:dyDescent="0.3">
      <c r="A261" s="51" t="s">
        <v>739</v>
      </c>
      <c r="B261" s="51" t="s">
        <v>740</v>
      </c>
      <c r="C261" s="51" t="s">
        <v>270</v>
      </c>
      <c r="D261" s="51" t="s">
        <v>271</v>
      </c>
      <c r="E261" s="51" t="s">
        <v>163</v>
      </c>
      <c r="F261" s="51" t="s">
        <v>160</v>
      </c>
      <c r="G261" s="51" t="s">
        <v>160</v>
      </c>
      <c r="H261" s="51" t="s">
        <v>160</v>
      </c>
      <c r="I261" s="51" t="s">
        <v>160</v>
      </c>
      <c r="J261" s="51" t="s">
        <v>354</v>
      </c>
      <c r="K261" s="51" t="s">
        <v>167</v>
      </c>
    </row>
    <row r="262" spans="1:11" x14ac:dyDescent="0.3">
      <c r="A262" s="51" t="s">
        <v>741</v>
      </c>
      <c r="B262" s="51" t="s">
        <v>742</v>
      </c>
      <c r="C262" s="51" t="s">
        <v>270</v>
      </c>
      <c r="D262" s="51" t="s">
        <v>271</v>
      </c>
      <c r="E262" s="51" t="s">
        <v>163</v>
      </c>
      <c r="F262" s="51" t="s">
        <v>160</v>
      </c>
      <c r="G262" s="51" t="s">
        <v>160</v>
      </c>
      <c r="H262" s="51" t="s">
        <v>160</v>
      </c>
      <c r="I262" s="51" t="s">
        <v>160</v>
      </c>
      <c r="J262" s="51" t="s">
        <v>743</v>
      </c>
      <c r="K262" s="51" t="s">
        <v>167</v>
      </c>
    </row>
    <row r="263" spans="1:11" x14ac:dyDescent="0.3">
      <c r="A263" s="51" t="s">
        <v>744</v>
      </c>
      <c r="B263" s="51" t="s">
        <v>745</v>
      </c>
      <c r="C263" s="51" t="s">
        <v>270</v>
      </c>
      <c r="D263" s="51" t="s">
        <v>271</v>
      </c>
      <c r="E263" s="51" t="s">
        <v>163</v>
      </c>
      <c r="F263" s="51" t="s">
        <v>160</v>
      </c>
      <c r="G263" s="51" t="s">
        <v>160</v>
      </c>
      <c r="H263" s="51" t="s">
        <v>160</v>
      </c>
      <c r="I263" s="51" t="s">
        <v>160</v>
      </c>
      <c r="J263" s="51" t="s">
        <v>172</v>
      </c>
      <c r="K263" s="51" t="s">
        <v>167</v>
      </c>
    </row>
    <row r="264" spans="1:11" x14ac:dyDescent="0.3">
      <c r="A264" s="51" t="s">
        <v>746</v>
      </c>
      <c r="B264" s="51" t="s">
        <v>747</v>
      </c>
      <c r="C264" s="51" t="s">
        <v>270</v>
      </c>
      <c r="D264" s="51" t="s">
        <v>271</v>
      </c>
      <c r="E264" s="51" t="s">
        <v>163</v>
      </c>
      <c r="F264" s="51" t="s">
        <v>160</v>
      </c>
      <c r="G264" s="51" t="s">
        <v>160</v>
      </c>
      <c r="H264" s="51" t="s">
        <v>160</v>
      </c>
      <c r="I264" s="51" t="s">
        <v>160</v>
      </c>
      <c r="J264" s="51" t="s">
        <v>707</v>
      </c>
      <c r="K264" s="51" t="s">
        <v>167</v>
      </c>
    </row>
    <row r="265" spans="1:11" x14ac:dyDescent="0.3">
      <c r="A265" s="51" t="s">
        <v>748</v>
      </c>
      <c r="B265" s="51" t="s">
        <v>749</v>
      </c>
      <c r="C265" s="51" t="s">
        <v>270</v>
      </c>
      <c r="D265" s="51" t="s">
        <v>271</v>
      </c>
      <c r="E265" s="51" t="s">
        <v>163</v>
      </c>
      <c r="F265" s="51" t="s">
        <v>160</v>
      </c>
      <c r="G265" s="51" t="s">
        <v>160</v>
      </c>
      <c r="H265" s="51" t="s">
        <v>160</v>
      </c>
      <c r="I265" s="51" t="s">
        <v>160</v>
      </c>
      <c r="J265" s="51" t="s">
        <v>172</v>
      </c>
      <c r="K265" s="51" t="s">
        <v>273</v>
      </c>
    </row>
    <row r="266" spans="1:11" x14ac:dyDescent="0.3">
      <c r="A266" s="51" t="s">
        <v>750</v>
      </c>
      <c r="B266" s="51" t="s">
        <v>751</v>
      </c>
      <c r="C266" s="51" t="s">
        <v>270</v>
      </c>
      <c r="D266" s="51" t="s">
        <v>271</v>
      </c>
      <c r="E266" s="51" t="s">
        <v>163</v>
      </c>
      <c r="F266" s="51" t="s">
        <v>160</v>
      </c>
      <c r="G266" s="51" t="s">
        <v>160</v>
      </c>
      <c r="H266" s="51" t="s">
        <v>160</v>
      </c>
      <c r="I266" s="51" t="s">
        <v>160</v>
      </c>
      <c r="J266" s="51" t="s">
        <v>752</v>
      </c>
      <c r="K266" s="51" t="s">
        <v>167</v>
      </c>
    </row>
    <row r="267" spans="1:11" x14ac:dyDescent="0.3">
      <c r="A267" s="51" t="s">
        <v>753</v>
      </c>
      <c r="B267" s="51" t="s">
        <v>754</v>
      </c>
      <c r="C267" s="51" t="s">
        <v>270</v>
      </c>
      <c r="D267" s="51" t="s">
        <v>271</v>
      </c>
      <c r="E267" s="51" t="s">
        <v>163</v>
      </c>
      <c r="F267" s="51" t="s">
        <v>160</v>
      </c>
      <c r="G267" s="51" t="s">
        <v>160</v>
      </c>
      <c r="H267" s="51" t="s">
        <v>160</v>
      </c>
      <c r="I267" s="51" t="s">
        <v>160</v>
      </c>
      <c r="J267" s="51" t="s">
        <v>175</v>
      </c>
      <c r="K267" s="51" t="s">
        <v>167</v>
      </c>
    </row>
    <row r="268" spans="1:11" x14ac:dyDescent="0.3">
      <c r="A268" s="51" t="s">
        <v>755</v>
      </c>
      <c r="B268" s="51" t="s">
        <v>756</v>
      </c>
      <c r="C268" s="51" t="s">
        <v>270</v>
      </c>
      <c r="D268" s="51" t="s">
        <v>271</v>
      </c>
      <c r="E268" s="51" t="s">
        <v>163</v>
      </c>
      <c r="F268" s="51" t="s">
        <v>160</v>
      </c>
      <c r="G268" s="51" t="s">
        <v>160</v>
      </c>
      <c r="H268" s="51" t="s">
        <v>160</v>
      </c>
      <c r="I268" s="51" t="s">
        <v>160</v>
      </c>
      <c r="J268" s="51" t="s">
        <v>752</v>
      </c>
      <c r="K268" s="51" t="s">
        <v>167</v>
      </c>
    </row>
    <row r="269" spans="1:11" x14ac:dyDescent="0.3">
      <c r="A269" s="51" t="s">
        <v>757</v>
      </c>
      <c r="B269" s="51" t="s">
        <v>758</v>
      </c>
      <c r="C269" s="51" t="s">
        <v>270</v>
      </c>
      <c r="D269" s="51" t="s">
        <v>271</v>
      </c>
      <c r="E269" s="51" t="s">
        <v>163</v>
      </c>
      <c r="F269" s="51" t="s">
        <v>160</v>
      </c>
      <c r="G269" s="51" t="s">
        <v>160</v>
      </c>
      <c r="H269" s="51" t="s">
        <v>160</v>
      </c>
      <c r="I269" s="51" t="s">
        <v>160</v>
      </c>
      <c r="J269" s="51" t="s">
        <v>175</v>
      </c>
      <c r="K269" s="51" t="s">
        <v>167</v>
      </c>
    </row>
    <row r="270" spans="1:11" x14ac:dyDescent="0.3">
      <c r="A270" s="51" t="s">
        <v>759</v>
      </c>
      <c r="B270" s="51" t="s">
        <v>760</v>
      </c>
      <c r="C270" s="51" t="s">
        <v>270</v>
      </c>
      <c r="D270" s="51" t="s">
        <v>271</v>
      </c>
      <c r="E270" s="51" t="s">
        <v>163</v>
      </c>
      <c r="F270" s="51" t="s">
        <v>160</v>
      </c>
      <c r="G270" s="51" t="s">
        <v>160</v>
      </c>
      <c r="H270" s="51" t="s">
        <v>160</v>
      </c>
      <c r="I270" s="51" t="s">
        <v>160</v>
      </c>
      <c r="J270" s="51" t="s">
        <v>172</v>
      </c>
      <c r="K270" s="51" t="s">
        <v>167</v>
      </c>
    </row>
    <row r="271" spans="1:11" x14ac:dyDescent="0.3">
      <c r="A271" s="51" t="s">
        <v>761</v>
      </c>
      <c r="B271" s="51" t="s">
        <v>762</v>
      </c>
      <c r="C271" s="51" t="s">
        <v>270</v>
      </c>
      <c r="D271" s="51" t="s">
        <v>271</v>
      </c>
      <c r="E271" s="51" t="s">
        <v>163</v>
      </c>
      <c r="F271" s="51" t="s">
        <v>160</v>
      </c>
      <c r="G271" s="51" t="s">
        <v>160</v>
      </c>
      <c r="H271" s="51" t="s">
        <v>160</v>
      </c>
      <c r="I271" s="51" t="s">
        <v>160</v>
      </c>
      <c r="J271" s="51" t="s">
        <v>252</v>
      </c>
      <c r="K271" s="51" t="s">
        <v>167</v>
      </c>
    </row>
    <row r="272" spans="1:11" x14ac:dyDescent="0.3">
      <c r="A272" s="51" t="s">
        <v>763</v>
      </c>
      <c r="B272" s="51" t="s">
        <v>764</v>
      </c>
      <c r="C272" s="51" t="s">
        <v>270</v>
      </c>
      <c r="D272" s="51" t="s">
        <v>271</v>
      </c>
      <c r="E272" s="51" t="s">
        <v>163</v>
      </c>
      <c r="F272" s="51" t="s">
        <v>160</v>
      </c>
      <c r="G272" s="51" t="s">
        <v>160</v>
      </c>
      <c r="H272" s="51" t="s">
        <v>160</v>
      </c>
      <c r="I272" s="51" t="s">
        <v>160</v>
      </c>
      <c r="J272" s="51" t="s">
        <v>172</v>
      </c>
      <c r="K272" s="51" t="s">
        <v>167</v>
      </c>
    </row>
    <row r="273" spans="1:11" x14ac:dyDescent="0.3">
      <c r="A273" s="51" t="s">
        <v>765</v>
      </c>
      <c r="B273" s="51" t="s">
        <v>766</v>
      </c>
      <c r="C273" s="51" t="s">
        <v>264</v>
      </c>
      <c r="D273" s="51" t="s">
        <v>265</v>
      </c>
      <c r="E273" s="51" t="s">
        <v>163</v>
      </c>
      <c r="F273" s="51" t="s">
        <v>160</v>
      </c>
      <c r="G273" s="51" t="s">
        <v>160</v>
      </c>
      <c r="H273" s="51" t="s">
        <v>160</v>
      </c>
      <c r="I273" s="51" t="s">
        <v>160</v>
      </c>
      <c r="J273" s="51" t="s">
        <v>455</v>
      </c>
      <c r="K273" s="51" t="s">
        <v>167</v>
      </c>
    </row>
    <row r="274" spans="1:11" x14ac:dyDescent="0.3">
      <c r="A274" s="51" t="s">
        <v>767</v>
      </c>
      <c r="B274" s="51" t="s">
        <v>768</v>
      </c>
      <c r="C274" s="51" t="s">
        <v>264</v>
      </c>
      <c r="D274" s="51" t="s">
        <v>265</v>
      </c>
      <c r="E274" s="51" t="s">
        <v>163</v>
      </c>
      <c r="F274" s="51" t="s">
        <v>160</v>
      </c>
      <c r="G274" s="51" t="s">
        <v>160</v>
      </c>
      <c r="H274" s="51" t="s">
        <v>160</v>
      </c>
      <c r="I274" s="51" t="s">
        <v>160</v>
      </c>
      <c r="J274" s="51" t="s">
        <v>455</v>
      </c>
      <c r="K274" s="51" t="s">
        <v>273</v>
      </c>
    </row>
    <row r="275" spans="1:11" x14ac:dyDescent="0.3">
      <c r="A275" s="51" t="s">
        <v>769</v>
      </c>
      <c r="B275" s="51" t="s">
        <v>770</v>
      </c>
      <c r="C275" s="51" t="s">
        <v>264</v>
      </c>
      <c r="D275" s="51" t="s">
        <v>265</v>
      </c>
      <c r="E275" s="51" t="s">
        <v>163</v>
      </c>
      <c r="F275" s="51" t="s">
        <v>160</v>
      </c>
      <c r="G275" s="51" t="s">
        <v>160</v>
      </c>
      <c r="H275" s="51" t="s">
        <v>160</v>
      </c>
      <c r="I275" s="51" t="s">
        <v>160</v>
      </c>
      <c r="J275" s="51" t="s">
        <v>455</v>
      </c>
      <c r="K275" s="51" t="s">
        <v>273</v>
      </c>
    </row>
    <row r="276" spans="1:11" x14ac:dyDescent="0.3">
      <c r="A276" s="51" t="s">
        <v>771</v>
      </c>
      <c r="B276" s="51" t="s">
        <v>772</v>
      </c>
      <c r="C276" s="51" t="s">
        <v>264</v>
      </c>
      <c r="D276" s="51" t="s">
        <v>265</v>
      </c>
      <c r="E276" s="51" t="s">
        <v>163</v>
      </c>
      <c r="F276" s="51" t="s">
        <v>160</v>
      </c>
      <c r="G276" s="51" t="s">
        <v>160</v>
      </c>
      <c r="H276" s="51" t="s">
        <v>160</v>
      </c>
      <c r="I276" s="51" t="s">
        <v>160</v>
      </c>
      <c r="J276" s="51" t="s">
        <v>455</v>
      </c>
      <c r="K276" s="51" t="s">
        <v>167</v>
      </c>
    </row>
    <row r="277" spans="1:11" x14ac:dyDescent="0.3">
      <c r="A277" s="51" t="s">
        <v>773</v>
      </c>
      <c r="B277" s="51" t="s">
        <v>774</v>
      </c>
      <c r="C277" s="51" t="s">
        <v>264</v>
      </c>
      <c r="D277" s="51" t="s">
        <v>265</v>
      </c>
      <c r="E277" s="51" t="s">
        <v>163</v>
      </c>
      <c r="F277" s="51" t="s">
        <v>160</v>
      </c>
      <c r="G277" s="51" t="s">
        <v>160</v>
      </c>
      <c r="H277" s="51" t="s">
        <v>160</v>
      </c>
      <c r="I277" s="51" t="s">
        <v>160</v>
      </c>
      <c r="J277" s="51" t="s">
        <v>455</v>
      </c>
      <c r="K277" s="51" t="s">
        <v>167</v>
      </c>
    </row>
    <row r="278" spans="1:11" x14ac:dyDescent="0.3">
      <c r="A278" s="51" t="s">
        <v>775</v>
      </c>
      <c r="B278" s="51" t="s">
        <v>776</v>
      </c>
      <c r="C278" s="51" t="s">
        <v>264</v>
      </c>
      <c r="D278" s="51" t="s">
        <v>265</v>
      </c>
      <c r="E278" s="51" t="s">
        <v>163</v>
      </c>
      <c r="F278" s="51" t="s">
        <v>160</v>
      </c>
      <c r="G278" s="51" t="s">
        <v>160</v>
      </c>
      <c r="H278" s="51" t="s">
        <v>160</v>
      </c>
      <c r="I278" s="51" t="s">
        <v>160</v>
      </c>
      <c r="J278" s="51" t="s">
        <v>455</v>
      </c>
      <c r="K278" s="51" t="s">
        <v>167</v>
      </c>
    </row>
    <row r="279" spans="1:11" x14ac:dyDescent="0.3">
      <c r="A279" s="51" t="s">
        <v>777</v>
      </c>
      <c r="B279" s="51" t="s">
        <v>778</v>
      </c>
      <c r="C279" s="51" t="s">
        <v>264</v>
      </c>
      <c r="D279" s="51" t="s">
        <v>265</v>
      </c>
      <c r="E279" s="51" t="s">
        <v>779</v>
      </c>
      <c r="F279" s="51" t="s">
        <v>160</v>
      </c>
      <c r="G279" s="51" t="s">
        <v>160</v>
      </c>
      <c r="H279" s="51" t="s">
        <v>160</v>
      </c>
      <c r="I279" s="51" t="s">
        <v>160</v>
      </c>
      <c r="J279" s="51" t="s">
        <v>455</v>
      </c>
      <c r="K279" s="51" t="s">
        <v>167</v>
      </c>
    </row>
    <row r="280" spans="1:11" x14ac:dyDescent="0.3">
      <c r="A280" s="51" t="s">
        <v>780</v>
      </c>
      <c r="B280" s="51" t="s">
        <v>781</v>
      </c>
      <c r="C280" s="51" t="s">
        <v>264</v>
      </c>
      <c r="D280" s="51" t="s">
        <v>265</v>
      </c>
      <c r="E280" s="51" t="s">
        <v>163</v>
      </c>
      <c r="F280" s="51" t="s">
        <v>160</v>
      </c>
      <c r="G280" s="51" t="s">
        <v>160</v>
      </c>
      <c r="H280" s="51" t="s">
        <v>160</v>
      </c>
      <c r="I280" s="51" t="s">
        <v>160</v>
      </c>
      <c r="J280" s="51" t="s">
        <v>455</v>
      </c>
      <c r="K280" s="51" t="s">
        <v>273</v>
      </c>
    </row>
    <row r="281" spans="1:11" x14ac:dyDescent="0.3">
      <c r="A281" s="51" t="s">
        <v>782</v>
      </c>
      <c r="B281" s="51" t="s">
        <v>783</v>
      </c>
      <c r="C281" s="51" t="s">
        <v>264</v>
      </c>
      <c r="D281" s="51" t="s">
        <v>265</v>
      </c>
      <c r="E281" s="51" t="s">
        <v>163</v>
      </c>
      <c r="F281" s="51" t="s">
        <v>160</v>
      </c>
      <c r="G281" s="51" t="s">
        <v>160</v>
      </c>
      <c r="H281" s="51" t="s">
        <v>160</v>
      </c>
      <c r="I281" s="51" t="s">
        <v>160</v>
      </c>
      <c r="J281" s="51" t="s">
        <v>455</v>
      </c>
      <c r="K281" s="51" t="s">
        <v>273</v>
      </c>
    </row>
    <row r="282" spans="1:11" x14ac:dyDescent="0.3">
      <c r="A282" s="51" t="s">
        <v>784</v>
      </c>
      <c r="B282" s="51" t="s">
        <v>785</v>
      </c>
      <c r="C282" s="51" t="s">
        <v>264</v>
      </c>
      <c r="D282" s="51" t="s">
        <v>265</v>
      </c>
      <c r="E282" s="51" t="s">
        <v>163</v>
      </c>
      <c r="F282" s="51" t="s">
        <v>160</v>
      </c>
      <c r="G282" s="51" t="s">
        <v>160</v>
      </c>
      <c r="H282" s="51" t="s">
        <v>160</v>
      </c>
      <c r="I282" s="51" t="s">
        <v>160</v>
      </c>
      <c r="J282" s="51" t="s">
        <v>455</v>
      </c>
      <c r="K282" s="51" t="s">
        <v>167</v>
      </c>
    </row>
    <row r="283" spans="1:11" x14ac:dyDescent="0.3">
      <c r="A283" s="51" t="s">
        <v>786</v>
      </c>
      <c r="B283" s="51" t="s">
        <v>787</v>
      </c>
      <c r="C283" s="51" t="s">
        <v>264</v>
      </c>
      <c r="D283" s="51" t="s">
        <v>265</v>
      </c>
      <c r="E283" s="51" t="s">
        <v>163</v>
      </c>
      <c r="F283" s="51" t="s">
        <v>160</v>
      </c>
      <c r="G283" s="51" t="s">
        <v>160</v>
      </c>
      <c r="H283" s="51" t="s">
        <v>160</v>
      </c>
      <c r="I283" s="51" t="s">
        <v>160</v>
      </c>
      <c r="J283" s="51" t="s">
        <v>455</v>
      </c>
      <c r="K283" s="51" t="s">
        <v>167</v>
      </c>
    </row>
    <row r="284" spans="1:11" x14ac:dyDescent="0.3">
      <c r="A284" s="51" t="s">
        <v>788</v>
      </c>
      <c r="B284" s="51" t="s">
        <v>789</v>
      </c>
      <c r="C284" s="51" t="s">
        <v>264</v>
      </c>
      <c r="D284" s="51" t="s">
        <v>265</v>
      </c>
      <c r="E284" s="51" t="s">
        <v>163</v>
      </c>
      <c r="F284" s="51" t="s">
        <v>160</v>
      </c>
      <c r="G284" s="51" t="s">
        <v>160</v>
      </c>
      <c r="H284" s="51" t="s">
        <v>160</v>
      </c>
      <c r="I284" s="51" t="s">
        <v>160</v>
      </c>
      <c r="J284" s="51" t="s">
        <v>455</v>
      </c>
      <c r="K284" s="51" t="s">
        <v>167</v>
      </c>
    </row>
    <row r="285" spans="1:11" x14ac:dyDescent="0.3">
      <c r="A285" s="51" t="s">
        <v>790</v>
      </c>
      <c r="B285" s="51" t="s">
        <v>791</v>
      </c>
      <c r="C285" s="51" t="s">
        <v>264</v>
      </c>
      <c r="D285" s="51" t="s">
        <v>265</v>
      </c>
      <c r="E285" s="51" t="s">
        <v>163</v>
      </c>
      <c r="F285" s="51" t="s">
        <v>160</v>
      </c>
      <c r="G285" s="51" t="s">
        <v>160</v>
      </c>
      <c r="H285" s="51" t="s">
        <v>160</v>
      </c>
      <c r="I285" s="51" t="s">
        <v>160</v>
      </c>
      <c r="J285" s="51" t="s">
        <v>455</v>
      </c>
      <c r="K285" s="51" t="s">
        <v>167</v>
      </c>
    </row>
    <row r="286" spans="1:11" x14ac:dyDescent="0.3">
      <c r="A286" s="51" t="s">
        <v>792</v>
      </c>
      <c r="B286" s="51" t="s">
        <v>793</v>
      </c>
      <c r="C286" s="51" t="s">
        <v>264</v>
      </c>
      <c r="D286" s="51" t="s">
        <v>265</v>
      </c>
      <c r="E286" s="51" t="s">
        <v>163</v>
      </c>
      <c r="F286" s="51" t="s">
        <v>160</v>
      </c>
      <c r="G286" s="51" t="s">
        <v>160</v>
      </c>
      <c r="H286" s="51" t="s">
        <v>160</v>
      </c>
      <c r="I286" s="51" t="s">
        <v>160</v>
      </c>
      <c r="J286" s="51" t="s">
        <v>455</v>
      </c>
      <c r="K286" s="51" t="s">
        <v>167</v>
      </c>
    </row>
    <row r="287" spans="1:11" x14ac:dyDescent="0.3">
      <c r="A287" s="51" t="s">
        <v>794</v>
      </c>
      <c r="B287" s="51" t="s">
        <v>795</v>
      </c>
      <c r="C287" s="51" t="s">
        <v>264</v>
      </c>
      <c r="D287" s="51" t="s">
        <v>265</v>
      </c>
      <c r="E287" s="51" t="s">
        <v>163</v>
      </c>
      <c r="F287" s="51" t="s">
        <v>160</v>
      </c>
      <c r="G287" s="51" t="s">
        <v>160</v>
      </c>
      <c r="H287" s="51" t="s">
        <v>160</v>
      </c>
      <c r="I287" s="51" t="s">
        <v>160</v>
      </c>
      <c r="J287" s="51" t="s">
        <v>455</v>
      </c>
      <c r="K287" s="51" t="s">
        <v>167</v>
      </c>
    </row>
    <row r="288" spans="1:11" x14ac:dyDescent="0.3">
      <c r="A288" s="51" t="s">
        <v>796</v>
      </c>
      <c r="B288" s="51" t="s">
        <v>797</v>
      </c>
      <c r="C288" s="51" t="s">
        <v>264</v>
      </c>
      <c r="D288" s="51" t="s">
        <v>265</v>
      </c>
      <c r="E288" s="51" t="s">
        <v>163</v>
      </c>
      <c r="F288" s="51" t="s">
        <v>160</v>
      </c>
      <c r="G288" s="51" t="s">
        <v>160</v>
      </c>
      <c r="H288" s="51" t="s">
        <v>160</v>
      </c>
      <c r="I288" s="51" t="s">
        <v>160</v>
      </c>
      <c r="J288" s="51" t="s">
        <v>455</v>
      </c>
      <c r="K288" s="51" t="s">
        <v>273</v>
      </c>
    </row>
    <row r="289" spans="1:11" x14ac:dyDescent="0.3">
      <c r="A289" s="51" t="s">
        <v>798</v>
      </c>
      <c r="B289" s="51" t="s">
        <v>799</v>
      </c>
      <c r="C289" s="51" t="s">
        <v>264</v>
      </c>
      <c r="D289" s="51" t="s">
        <v>265</v>
      </c>
      <c r="E289" s="51" t="s">
        <v>163</v>
      </c>
      <c r="F289" s="51" t="s">
        <v>160</v>
      </c>
      <c r="G289" s="51" t="s">
        <v>160</v>
      </c>
      <c r="H289" s="51" t="s">
        <v>160</v>
      </c>
      <c r="I289" s="51" t="s">
        <v>160</v>
      </c>
      <c r="J289" s="51" t="s">
        <v>455</v>
      </c>
      <c r="K289" s="51" t="s">
        <v>167</v>
      </c>
    </row>
    <row r="290" spans="1:11" x14ac:dyDescent="0.3">
      <c r="A290" s="51" t="s">
        <v>800</v>
      </c>
      <c r="B290" s="51" t="s">
        <v>801</v>
      </c>
      <c r="C290" s="51" t="s">
        <v>264</v>
      </c>
      <c r="D290" s="51" t="s">
        <v>265</v>
      </c>
      <c r="E290" s="51" t="s">
        <v>163</v>
      </c>
      <c r="F290" s="51" t="s">
        <v>160</v>
      </c>
      <c r="G290" s="51" t="s">
        <v>160</v>
      </c>
      <c r="H290" s="51" t="s">
        <v>160</v>
      </c>
      <c r="I290" s="51" t="s">
        <v>160</v>
      </c>
      <c r="J290" s="51" t="s">
        <v>455</v>
      </c>
      <c r="K290" s="51" t="s">
        <v>167</v>
      </c>
    </row>
    <row r="291" spans="1:11" x14ac:dyDescent="0.3">
      <c r="A291" s="51" t="s">
        <v>802</v>
      </c>
      <c r="B291" s="51" t="s">
        <v>803</v>
      </c>
      <c r="C291" s="51" t="s">
        <v>264</v>
      </c>
      <c r="D291" s="51" t="s">
        <v>163</v>
      </c>
      <c r="E291" s="51" t="s">
        <v>163</v>
      </c>
      <c r="F291" s="51" t="s">
        <v>160</v>
      </c>
      <c r="G291" s="51" t="s">
        <v>160</v>
      </c>
      <c r="H291" s="51" t="s">
        <v>160</v>
      </c>
      <c r="I291" s="51" t="s">
        <v>160</v>
      </c>
      <c r="J291" s="51" t="s">
        <v>804</v>
      </c>
      <c r="K291" s="51" t="s">
        <v>167</v>
      </c>
    </row>
    <row r="292" spans="1:11" x14ac:dyDescent="0.3">
      <c r="A292" s="51" t="s">
        <v>805</v>
      </c>
      <c r="B292" s="51" t="s">
        <v>806</v>
      </c>
      <c r="C292" s="51" t="s">
        <v>264</v>
      </c>
      <c r="D292" s="51" t="s">
        <v>265</v>
      </c>
      <c r="E292" s="51" t="s">
        <v>163</v>
      </c>
      <c r="F292" s="51" t="s">
        <v>160</v>
      </c>
      <c r="G292" s="51" t="s">
        <v>160</v>
      </c>
      <c r="H292" s="51" t="s">
        <v>160</v>
      </c>
      <c r="I292" s="51" t="s">
        <v>160</v>
      </c>
      <c r="J292" s="51" t="s">
        <v>455</v>
      </c>
      <c r="K292" s="51" t="s">
        <v>167</v>
      </c>
    </row>
    <row r="293" spans="1:11" x14ac:dyDescent="0.3">
      <c r="A293" s="51" t="s">
        <v>807</v>
      </c>
      <c r="B293" s="51" t="s">
        <v>803</v>
      </c>
      <c r="C293" s="51" t="s">
        <v>264</v>
      </c>
      <c r="D293" s="51" t="s">
        <v>163</v>
      </c>
      <c r="E293" s="51" t="s">
        <v>163</v>
      </c>
      <c r="F293" s="51" t="s">
        <v>160</v>
      </c>
      <c r="G293" s="51" t="s">
        <v>160</v>
      </c>
      <c r="H293" s="51" t="s">
        <v>160</v>
      </c>
      <c r="I293" s="51" t="s">
        <v>160</v>
      </c>
      <c r="J293" s="51" t="s">
        <v>804</v>
      </c>
      <c r="K293" s="51" t="s">
        <v>167</v>
      </c>
    </row>
    <row r="294" spans="1:11" x14ac:dyDescent="0.3">
      <c r="A294" s="51" t="s">
        <v>808</v>
      </c>
      <c r="B294" s="51" t="s">
        <v>803</v>
      </c>
      <c r="C294" s="51" t="s">
        <v>264</v>
      </c>
      <c r="D294" s="51" t="s">
        <v>163</v>
      </c>
      <c r="E294" s="51" t="s">
        <v>163</v>
      </c>
      <c r="F294" s="51" t="s">
        <v>160</v>
      </c>
      <c r="G294" s="51" t="s">
        <v>160</v>
      </c>
      <c r="H294" s="51" t="s">
        <v>160</v>
      </c>
      <c r="I294" s="51" t="s">
        <v>160</v>
      </c>
      <c r="J294" s="51" t="s">
        <v>804</v>
      </c>
      <c r="K294" s="51" t="s">
        <v>167</v>
      </c>
    </row>
    <row r="295" spans="1:11" x14ac:dyDescent="0.3">
      <c r="A295" s="51" t="s">
        <v>809</v>
      </c>
      <c r="B295" s="51" t="s">
        <v>803</v>
      </c>
      <c r="C295" s="51" t="s">
        <v>264</v>
      </c>
      <c r="D295" s="51" t="s">
        <v>163</v>
      </c>
      <c r="E295" s="51" t="s">
        <v>163</v>
      </c>
      <c r="F295" s="51" t="s">
        <v>160</v>
      </c>
      <c r="G295" s="51" t="s">
        <v>160</v>
      </c>
      <c r="H295" s="51" t="s">
        <v>160</v>
      </c>
      <c r="I295" s="51" t="s">
        <v>160</v>
      </c>
      <c r="J295" s="51" t="s">
        <v>804</v>
      </c>
      <c r="K295" s="51" t="s">
        <v>167</v>
      </c>
    </row>
    <row r="296" spans="1:11" x14ac:dyDescent="0.3">
      <c r="A296" s="51" t="s">
        <v>810</v>
      </c>
      <c r="B296" s="51" t="s">
        <v>803</v>
      </c>
      <c r="C296" s="51" t="s">
        <v>264</v>
      </c>
      <c r="D296" s="51" t="s">
        <v>163</v>
      </c>
      <c r="E296" s="51" t="s">
        <v>163</v>
      </c>
      <c r="F296" s="51" t="s">
        <v>160</v>
      </c>
      <c r="G296" s="51" t="s">
        <v>160</v>
      </c>
      <c r="H296" s="51" t="s">
        <v>160</v>
      </c>
      <c r="I296" s="51" t="s">
        <v>160</v>
      </c>
      <c r="J296" s="51" t="s">
        <v>804</v>
      </c>
      <c r="K296" s="51" t="s">
        <v>167</v>
      </c>
    </row>
    <row r="297" spans="1:11" x14ac:dyDescent="0.3">
      <c r="A297" s="51" t="s">
        <v>811</v>
      </c>
      <c r="B297" s="51" t="s">
        <v>803</v>
      </c>
      <c r="C297" s="51" t="s">
        <v>264</v>
      </c>
      <c r="D297" s="51" t="s">
        <v>163</v>
      </c>
      <c r="E297" s="51" t="s">
        <v>163</v>
      </c>
      <c r="F297" s="51" t="s">
        <v>160</v>
      </c>
      <c r="G297" s="51" t="s">
        <v>160</v>
      </c>
      <c r="H297" s="51" t="s">
        <v>160</v>
      </c>
      <c r="I297" s="51" t="s">
        <v>160</v>
      </c>
      <c r="J297" s="51" t="s">
        <v>804</v>
      </c>
      <c r="K297" s="51" t="s">
        <v>167</v>
      </c>
    </row>
    <row r="298" spans="1:11" x14ac:dyDescent="0.3">
      <c r="A298" s="51" t="s">
        <v>812</v>
      </c>
      <c r="B298" s="51" t="s">
        <v>813</v>
      </c>
      <c r="C298" s="51" t="s">
        <v>264</v>
      </c>
      <c r="D298" s="51" t="s">
        <v>265</v>
      </c>
      <c r="E298" s="51" t="s">
        <v>163</v>
      </c>
      <c r="F298" s="51" t="s">
        <v>160</v>
      </c>
      <c r="G298" s="51" t="s">
        <v>160</v>
      </c>
      <c r="H298" s="51" t="s">
        <v>160</v>
      </c>
      <c r="I298" s="51" t="s">
        <v>160</v>
      </c>
      <c r="J298" s="51" t="s">
        <v>455</v>
      </c>
      <c r="K298" s="51" t="s">
        <v>167</v>
      </c>
    </row>
    <row r="299" spans="1:11" x14ac:dyDescent="0.3">
      <c r="A299" s="51" t="s">
        <v>814</v>
      </c>
      <c r="B299" s="51" t="s">
        <v>815</v>
      </c>
      <c r="C299" s="51" t="s">
        <v>264</v>
      </c>
      <c r="D299" s="51" t="s">
        <v>265</v>
      </c>
      <c r="E299" s="51" t="s">
        <v>163</v>
      </c>
      <c r="F299" s="51" t="s">
        <v>160</v>
      </c>
      <c r="G299" s="51" t="s">
        <v>160</v>
      </c>
      <c r="H299" s="51" t="s">
        <v>160</v>
      </c>
      <c r="I299" s="51" t="s">
        <v>160</v>
      </c>
      <c r="J299" s="51" t="s">
        <v>455</v>
      </c>
      <c r="K299" s="51" t="s">
        <v>273</v>
      </c>
    </row>
    <row r="300" spans="1:11" x14ac:dyDescent="0.3">
      <c r="A300" s="51" t="s">
        <v>816</v>
      </c>
      <c r="B300" s="51" t="s">
        <v>806</v>
      </c>
      <c r="C300" s="51" t="s">
        <v>264</v>
      </c>
      <c r="D300" s="51" t="s">
        <v>265</v>
      </c>
      <c r="E300" s="51" t="s">
        <v>163</v>
      </c>
      <c r="F300" s="51" t="s">
        <v>160</v>
      </c>
      <c r="G300" s="51" t="s">
        <v>160</v>
      </c>
      <c r="H300" s="51" t="s">
        <v>160</v>
      </c>
      <c r="I300" s="51" t="s">
        <v>160</v>
      </c>
      <c r="J300" s="51" t="s">
        <v>455</v>
      </c>
      <c r="K300" s="51" t="s">
        <v>167</v>
      </c>
    </row>
    <row r="301" spans="1:11" x14ac:dyDescent="0.3">
      <c r="A301" s="51" t="s">
        <v>817</v>
      </c>
      <c r="B301" s="51" t="s">
        <v>818</v>
      </c>
      <c r="C301" s="51" t="s">
        <v>264</v>
      </c>
      <c r="D301" s="51" t="s">
        <v>265</v>
      </c>
      <c r="E301" s="51" t="s">
        <v>163</v>
      </c>
      <c r="F301" s="51" t="s">
        <v>160</v>
      </c>
      <c r="G301" s="51" t="s">
        <v>160</v>
      </c>
      <c r="H301" s="51" t="s">
        <v>160</v>
      </c>
      <c r="I301" s="51" t="s">
        <v>160</v>
      </c>
      <c r="J301" s="51" t="s">
        <v>455</v>
      </c>
      <c r="K301" s="51" t="s">
        <v>273</v>
      </c>
    </row>
    <row r="302" spans="1:11" x14ac:dyDescent="0.3">
      <c r="A302" s="51" t="s">
        <v>819</v>
      </c>
      <c r="B302" s="51" t="s">
        <v>820</v>
      </c>
      <c r="C302" s="51" t="s">
        <v>264</v>
      </c>
      <c r="D302" s="51" t="s">
        <v>265</v>
      </c>
      <c r="E302" s="51" t="s">
        <v>163</v>
      </c>
      <c r="F302" s="51" t="s">
        <v>160</v>
      </c>
      <c r="G302" s="51" t="s">
        <v>160</v>
      </c>
      <c r="H302" s="51" t="s">
        <v>160</v>
      </c>
      <c r="I302" s="51" t="s">
        <v>160</v>
      </c>
      <c r="J302" s="51" t="s">
        <v>455</v>
      </c>
      <c r="K302" s="51" t="s">
        <v>273</v>
      </c>
    </row>
    <row r="303" spans="1:11" x14ac:dyDescent="0.3">
      <c r="A303" s="51" t="s">
        <v>821</v>
      </c>
      <c r="B303" s="51" t="s">
        <v>822</v>
      </c>
      <c r="C303" s="51" t="s">
        <v>264</v>
      </c>
      <c r="D303" s="51" t="s">
        <v>265</v>
      </c>
      <c r="E303" s="51" t="s">
        <v>163</v>
      </c>
      <c r="F303" s="51" t="s">
        <v>160</v>
      </c>
      <c r="G303" s="51" t="s">
        <v>160</v>
      </c>
      <c r="H303" s="51" t="s">
        <v>160</v>
      </c>
      <c r="I303" s="51" t="s">
        <v>160</v>
      </c>
      <c r="J303" s="51" t="s">
        <v>455</v>
      </c>
      <c r="K303" s="51" t="s">
        <v>273</v>
      </c>
    </row>
    <row r="304" spans="1:11" x14ac:dyDescent="0.3">
      <c r="A304" s="51" t="s">
        <v>823</v>
      </c>
      <c r="B304" s="51" t="s">
        <v>824</v>
      </c>
      <c r="C304" s="51" t="s">
        <v>264</v>
      </c>
      <c r="D304" s="51" t="s">
        <v>265</v>
      </c>
      <c r="E304" s="51" t="s">
        <v>163</v>
      </c>
      <c r="F304" s="51" t="s">
        <v>160</v>
      </c>
      <c r="G304" s="51" t="s">
        <v>160</v>
      </c>
      <c r="H304" s="51" t="s">
        <v>160</v>
      </c>
      <c r="I304" s="51" t="s">
        <v>160</v>
      </c>
      <c r="J304" s="51" t="s">
        <v>455</v>
      </c>
      <c r="K304" s="51" t="s">
        <v>273</v>
      </c>
    </row>
    <row r="305" spans="1:11" x14ac:dyDescent="0.3">
      <c r="A305" s="51" t="s">
        <v>825</v>
      </c>
      <c r="B305" s="51" t="s">
        <v>826</v>
      </c>
      <c r="C305" s="51" t="s">
        <v>264</v>
      </c>
      <c r="D305" s="51" t="s">
        <v>265</v>
      </c>
      <c r="E305" s="51" t="s">
        <v>163</v>
      </c>
      <c r="F305" s="51" t="s">
        <v>160</v>
      </c>
      <c r="G305" s="51" t="s">
        <v>160</v>
      </c>
      <c r="H305" s="51" t="s">
        <v>160</v>
      </c>
      <c r="I305" s="51" t="s">
        <v>160</v>
      </c>
      <c r="J305" s="51" t="s">
        <v>455</v>
      </c>
      <c r="K305" s="51" t="s">
        <v>273</v>
      </c>
    </row>
    <row r="306" spans="1:11" x14ac:dyDescent="0.3">
      <c r="A306" s="51" t="s">
        <v>827</v>
      </c>
      <c r="B306" s="51" t="s">
        <v>828</v>
      </c>
      <c r="C306" s="51" t="s">
        <v>264</v>
      </c>
      <c r="D306" s="51" t="s">
        <v>265</v>
      </c>
      <c r="E306" s="51" t="s">
        <v>163</v>
      </c>
      <c r="F306" s="51" t="s">
        <v>160</v>
      </c>
      <c r="G306" s="51" t="s">
        <v>160</v>
      </c>
      <c r="H306" s="51" t="s">
        <v>160</v>
      </c>
      <c r="I306" s="51" t="s">
        <v>160</v>
      </c>
      <c r="J306" s="51" t="s">
        <v>455</v>
      </c>
      <c r="K306" s="51" t="s">
        <v>167</v>
      </c>
    </row>
    <row r="307" spans="1:11" x14ac:dyDescent="0.3">
      <c r="A307" s="51" t="s">
        <v>829</v>
      </c>
      <c r="B307" s="51" t="s">
        <v>830</v>
      </c>
      <c r="C307" s="51" t="s">
        <v>264</v>
      </c>
      <c r="D307" s="51" t="s">
        <v>265</v>
      </c>
      <c r="E307" s="51" t="s">
        <v>163</v>
      </c>
      <c r="F307" s="51" t="s">
        <v>160</v>
      </c>
      <c r="G307" s="51" t="s">
        <v>160</v>
      </c>
      <c r="H307" s="51" t="s">
        <v>160</v>
      </c>
      <c r="I307" s="51" t="s">
        <v>160</v>
      </c>
      <c r="J307" s="51" t="s">
        <v>455</v>
      </c>
      <c r="K307" s="51" t="s">
        <v>167</v>
      </c>
    </row>
    <row r="308" spans="1:11" x14ac:dyDescent="0.3">
      <c r="A308" s="51" t="s">
        <v>831</v>
      </c>
      <c r="B308" s="51" t="s">
        <v>832</v>
      </c>
      <c r="C308" s="51" t="s">
        <v>264</v>
      </c>
      <c r="D308" s="51" t="s">
        <v>265</v>
      </c>
      <c r="E308" s="51" t="s">
        <v>163</v>
      </c>
      <c r="F308" s="51" t="s">
        <v>160</v>
      </c>
      <c r="G308" s="51" t="s">
        <v>160</v>
      </c>
      <c r="H308" s="51" t="s">
        <v>160</v>
      </c>
      <c r="I308" s="51" t="s">
        <v>160</v>
      </c>
      <c r="J308" s="51" t="s">
        <v>455</v>
      </c>
      <c r="K308" s="51" t="s">
        <v>167</v>
      </c>
    </row>
    <row r="309" spans="1:11" x14ac:dyDescent="0.3">
      <c r="A309" s="51" t="s">
        <v>833</v>
      </c>
      <c r="B309" s="51" t="s">
        <v>834</v>
      </c>
      <c r="C309" s="51" t="s">
        <v>264</v>
      </c>
      <c r="D309" s="51" t="s">
        <v>265</v>
      </c>
      <c r="E309" s="51" t="s">
        <v>163</v>
      </c>
      <c r="F309" s="51" t="s">
        <v>160</v>
      </c>
      <c r="G309" s="51" t="s">
        <v>160</v>
      </c>
      <c r="H309" s="51" t="s">
        <v>160</v>
      </c>
      <c r="I309" s="51" t="s">
        <v>160</v>
      </c>
      <c r="J309" s="51" t="s">
        <v>455</v>
      </c>
      <c r="K309" s="51" t="s">
        <v>167</v>
      </c>
    </row>
    <row r="310" spans="1:11" x14ac:dyDescent="0.3">
      <c r="A310" s="51" t="s">
        <v>835</v>
      </c>
      <c r="B310" s="51" t="s">
        <v>836</v>
      </c>
      <c r="C310" s="51" t="s">
        <v>264</v>
      </c>
      <c r="D310" s="51" t="s">
        <v>265</v>
      </c>
      <c r="E310" s="51" t="s">
        <v>163</v>
      </c>
      <c r="F310" s="51" t="s">
        <v>160</v>
      </c>
      <c r="G310" s="51" t="s">
        <v>160</v>
      </c>
      <c r="H310" s="51" t="s">
        <v>160</v>
      </c>
      <c r="I310" s="51" t="s">
        <v>160</v>
      </c>
      <c r="J310" s="51" t="s">
        <v>455</v>
      </c>
      <c r="K310" s="51" t="s">
        <v>167</v>
      </c>
    </row>
    <row r="311" spans="1:11" x14ac:dyDescent="0.3">
      <c r="A311" s="51" t="s">
        <v>837</v>
      </c>
      <c r="B311" s="51" t="s">
        <v>838</v>
      </c>
      <c r="C311" s="51" t="s">
        <v>264</v>
      </c>
      <c r="D311" s="51" t="s">
        <v>265</v>
      </c>
      <c r="E311" s="51" t="s">
        <v>163</v>
      </c>
      <c r="F311" s="51" t="s">
        <v>160</v>
      </c>
      <c r="G311" s="51" t="s">
        <v>160</v>
      </c>
      <c r="H311" s="51" t="s">
        <v>160</v>
      </c>
      <c r="I311" s="51" t="s">
        <v>160</v>
      </c>
      <c r="J311" s="51" t="s">
        <v>455</v>
      </c>
      <c r="K311" s="51" t="s">
        <v>167</v>
      </c>
    </row>
    <row r="312" spans="1:11" x14ac:dyDescent="0.3">
      <c r="A312" s="51" t="s">
        <v>839</v>
      </c>
      <c r="B312" s="51" t="s">
        <v>840</v>
      </c>
      <c r="C312" s="51" t="s">
        <v>264</v>
      </c>
      <c r="D312" s="51" t="s">
        <v>265</v>
      </c>
      <c r="E312" s="51" t="s">
        <v>163</v>
      </c>
      <c r="F312" s="51" t="s">
        <v>160</v>
      </c>
      <c r="G312" s="51" t="s">
        <v>160</v>
      </c>
      <c r="H312" s="51" t="s">
        <v>160</v>
      </c>
      <c r="I312" s="51" t="s">
        <v>160</v>
      </c>
      <c r="J312" s="51" t="s">
        <v>455</v>
      </c>
      <c r="K312" s="51" t="s">
        <v>167</v>
      </c>
    </row>
    <row r="313" spans="1:11" x14ac:dyDescent="0.3">
      <c r="A313" s="51" t="s">
        <v>841</v>
      </c>
      <c r="B313" s="51" t="s">
        <v>842</v>
      </c>
      <c r="C313" s="51" t="s">
        <v>264</v>
      </c>
      <c r="D313" s="51" t="s">
        <v>265</v>
      </c>
      <c r="E313" s="51" t="s">
        <v>163</v>
      </c>
      <c r="F313" s="51" t="s">
        <v>160</v>
      </c>
      <c r="G313" s="51" t="s">
        <v>160</v>
      </c>
      <c r="H313" s="51" t="s">
        <v>160</v>
      </c>
      <c r="I313" s="51" t="s">
        <v>160</v>
      </c>
      <c r="J313" s="51" t="s">
        <v>843</v>
      </c>
      <c r="K313" s="51" t="s">
        <v>167</v>
      </c>
    </row>
    <row r="314" spans="1:11" x14ac:dyDescent="0.3">
      <c r="A314" s="51" t="s">
        <v>844</v>
      </c>
      <c r="B314" s="51" t="s">
        <v>845</v>
      </c>
      <c r="C314" s="51" t="s">
        <v>264</v>
      </c>
      <c r="D314" s="51" t="s">
        <v>265</v>
      </c>
      <c r="E314" s="51" t="s">
        <v>163</v>
      </c>
      <c r="F314" s="51" t="s">
        <v>160</v>
      </c>
      <c r="G314" s="51" t="s">
        <v>160</v>
      </c>
      <c r="H314" s="51" t="s">
        <v>160</v>
      </c>
      <c r="I314" s="51" t="s">
        <v>160</v>
      </c>
      <c r="J314" s="51" t="s">
        <v>455</v>
      </c>
      <c r="K314" s="51" t="s">
        <v>167</v>
      </c>
    </row>
    <row r="315" spans="1:11" x14ac:dyDescent="0.3">
      <c r="A315" s="51" t="s">
        <v>846</v>
      </c>
      <c r="B315" s="51" t="s">
        <v>847</v>
      </c>
      <c r="C315" s="51" t="s">
        <v>264</v>
      </c>
      <c r="D315" s="51" t="s">
        <v>265</v>
      </c>
      <c r="E315" s="51" t="s">
        <v>163</v>
      </c>
      <c r="F315" s="51" t="s">
        <v>160</v>
      </c>
      <c r="G315" s="51" t="s">
        <v>160</v>
      </c>
      <c r="H315" s="51" t="s">
        <v>160</v>
      </c>
      <c r="I315" s="51" t="s">
        <v>160</v>
      </c>
      <c r="J315" s="51" t="s">
        <v>455</v>
      </c>
      <c r="K315" s="51" t="s">
        <v>167</v>
      </c>
    </row>
    <row r="316" spans="1:11" x14ac:dyDescent="0.3">
      <c r="A316" s="51" t="s">
        <v>848</v>
      </c>
      <c r="B316" s="51" t="s">
        <v>849</v>
      </c>
      <c r="C316" s="51" t="s">
        <v>264</v>
      </c>
      <c r="D316" s="51" t="s">
        <v>265</v>
      </c>
      <c r="E316" s="51" t="s">
        <v>163</v>
      </c>
      <c r="F316" s="51" t="s">
        <v>160</v>
      </c>
      <c r="G316" s="51" t="s">
        <v>160</v>
      </c>
      <c r="H316" s="51" t="s">
        <v>160</v>
      </c>
      <c r="I316" s="51" t="s">
        <v>160</v>
      </c>
      <c r="J316" s="51" t="s">
        <v>455</v>
      </c>
      <c r="K316" s="51" t="s">
        <v>167</v>
      </c>
    </row>
    <row r="317" spans="1:11" x14ac:dyDescent="0.3">
      <c r="A317" s="51" t="s">
        <v>850</v>
      </c>
      <c r="B317" s="51" t="s">
        <v>851</v>
      </c>
      <c r="C317" s="51" t="s">
        <v>264</v>
      </c>
      <c r="D317" s="51" t="s">
        <v>265</v>
      </c>
      <c r="E317" s="51" t="s">
        <v>163</v>
      </c>
      <c r="F317" s="51" t="s">
        <v>160</v>
      </c>
      <c r="G317" s="51" t="s">
        <v>160</v>
      </c>
      <c r="H317" s="51" t="s">
        <v>160</v>
      </c>
      <c r="I317" s="51" t="s">
        <v>160</v>
      </c>
      <c r="J317" s="51" t="s">
        <v>455</v>
      </c>
      <c r="K317" s="51" t="s">
        <v>167</v>
      </c>
    </row>
    <row r="318" spans="1:11" x14ac:dyDescent="0.3">
      <c r="A318" s="51" t="s">
        <v>852</v>
      </c>
      <c r="B318" s="51" t="s">
        <v>853</v>
      </c>
      <c r="C318" s="51" t="s">
        <v>264</v>
      </c>
      <c r="D318" s="51" t="s">
        <v>265</v>
      </c>
      <c r="E318" s="51" t="s">
        <v>163</v>
      </c>
      <c r="F318" s="51" t="s">
        <v>160</v>
      </c>
      <c r="G318" s="51" t="s">
        <v>160</v>
      </c>
      <c r="H318" s="51" t="s">
        <v>160</v>
      </c>
      <c r="I318" s="51" t="s">
        <v>160</v>
      </c>
      <c r="J318" s="51" t="s">
        <v>455</v>
      </c>
      <c r="K318" s="51" t="s">
        <v>167</v>
      </c>
    </row>
    <row r="319" spans="1:11" x14ac:dyDescent="0.3">
      <c r="A319" s="51" t="s">
        <v>854</v>
      </c>
      <c r="B319" s="51" t="s">
        <v>855</v>
      </c>
      <c r="C319" s="51" t="s">
        <v>264</v>
      </c>
      <c r="D319" s="51" t="s">
        <v>265</v>
      </c>
      <c r="E319" s="51" t="s">
        <v>163</v>
      </c>
      <c r="F319" s="51" t="s">
        <v>160</v>
      </c>
      <c r="G319" s="51" t="s">
        <v>160</v>
      </c>
      <c r="H319" s="51" t="s">
        <v>160</v>
      </c>
      <c r="I319" s="51" t="s">
        <v>160</v>
      </c>
      <c r="J319" s="51" t="s">
        <v>455</v>
      </c>
      <c r="K319" s="51" t="s">
        <v>167</v>
      </c>
    </row>
    <row r="320" spans="1:11" x14ac:dyDescent="0.3">
      <c r="A320" s="51" t="s">
        <v>856</v>
      </c>
      <c r="B320" s="51" t="s">
        <v>857</v>
      </c>
      <c r="C320" s="51" t="s">
        <v>276</v>
      </c>
      <c r="D320" s="51" t="s">
        <v>857</v>
      </c>
      <c r="E320" s="51" t="s">
        <v>163</v>
      </c>
      <c r="F320" s="51" t="s">
        <v>160</v>
      </c>
      <c r="G320" s="51" t="s">
        <v>160</v>
      </c>
      <c r="H320" s="51" t="s">
        <v>160</v>
      </c>
      <c r="I320" s="51" t="s">
        <v>160</v>
      </c>
      <c r="J320" s="51" t="s">
        <v>272</v>
      </c>
      <c r="K320" s="51" t="s">
        <v>167</v>
      </c>
    </row>
    <row r="321" spans="1:11" x14ac:dyDescent="0.3">
      <c r="A321" s="51" t="s">
        <v>858</v>
      </c>
      <c r="B321" s="51" t="s">
        <v>859</v>
      </c>
      <c r="C321" s="51" t="s">
        <v>276</v>
      </c>
      <c r="D321" s="51" t="s">
        <v>857</v>
      </c>
      <c r="E321" s="51" t="s">
        <v>163</v>
      </c>
      <c r="F321" s="51" t="s">
        <v>160</v>
      </c>
      <c r="G321" s="51" t="s">
        <v>160</v>
      </c>
      <c r="H321" s="51" t="s">
        <v>160</v>
      </c>
      <c r="I321" s="51" t="s">
        <v>160</v>
      </c>
      <c r="J321" s="51" t="s">
        <v>272</v>
      </c>
      <c r="K321" s="51" t="s">
        <v>167</v>
      </c>
    </row>
    <row r="322" spans="1:11" x14ac:dyDescent="0.3">
      <c r="A322" s="51" t="s">
        <v>860</v>
      </c>
      <c r="B322" s="51" t="s">
        <v>861</v>
      </c>
      <c r="C322" s="51" t="s">
        <v>276</v>
      </c>
      <c r="D322" s="51" t="s">
        <v>857</v>
      </c>
      <c r="E322" s="51" t="s">
        <v>163</v>
      </c>
      <c r="F322" s="51" t="s">
        <v>160</v>
      </c>
      <c r="G322" s="51" t="s">
        <v>160</v>
      </c>
      <c r="H322" s="51" t="s">
        <v>160</v>
      </c>
      <c r="I322" s="51" t="s">
        <v>160</v>
      </c>
      <c r="J322" s="51" t="s">
        <v>272</v>
      </c>
      <c r="K322" s="51" t="s">
        <v>167</v>
      </c>
    </row>
    <row r="323" spans="1:11" x14ac:dyDescent="0.3">
      <c r="A323" s="51" t="s">
        <v>862</v>
      </c>
      <c r="B323" s="51" t="s">
        <v>863</v>
      </c>
      <c r="C323" s="51" t="s">
        <v>276</v>
      </c>
      <c r="D323" s="51" t="s">
        <v>857</v>
      </c>
      <c r="E323" s="51" t="s">
        <v>163</v>
      </c>
      <c r="F323" s="51" t="s">
        <v>160</v>
      </c>
      <c r="G323" s="51" t="s">
        <v>160</v>
      </c>
      <c r="H323" s="51" t="s">
        <v>160</v>
      </c>
      <c r="I323" s="51" t="s">
        <v>160</v>
      </c>
      <c r="J323" s="51" t="s">
        <v>272</v>
      </c>
      <c r="K323" s="51" t="s">
        <v>167</v>
      </c>
    </row>
    <row r="324" spans="1:11" x14ac:dyDescent="0.3">
      <c r="A324" s="51" t="s">
        <v>864</v>
      </c>
      <c r="B324" s="51" t="s">
        <v>865</v>
      </c>
      <c r="C324" s="51" t="s">
        <v>276</v>
      </c>
      <c r="D324" s="51" t="s">
        <v>857</v>
      </c>
      <c r="E324" s="51" t="s">
        <v>163</v>
      </c>
      <c r="F324" s="51" t="s">
        <v>160</v>
      </c>
      <c r="G324" s="51" t="s">
        <v>160</v>
      </c>
      <c r="H324" s="51" t="s">
        <v>160</v>
      </c>
      <c r="I324" s="51" t="s">
        <v>160</v>
      </c>
      <c r="J324" s="51" t="s">
        <v>349</v>
      </c>
      <c r="K324" s="51" t="s">
        <v>167</v>
      </c>
    </row>
    <row r="325" spans="1:11" x14ac:dyDescent="0.3">
      <c r="A325" s="51" t="s">
        <v>866</v>
      </c>
      <c r="B325" s="51" t="s">
        <v>867</v>
      </c>
      <c r="C325" s="51" t="s">
        <v>276</v>
      </c>
      <c r="D325" s="51" t="s">
        <v>857</v>
      </c>
      <c r="E325" s="51" t="s">
        <v>163</v>
      </c>
      <c r="F325" s="51" t="s">
        <v>160</v>
      </c>
      <c r="G325" s="51" t="s">
        <v>160</v>
      </c>
      <c r="H325" s="51" t="s">
        <v>160</v>
      </c>
      <c r="I325" s="51" t="s">
        <v>160</v>
      </c>
      <c r="J325" s="51" t="s">
        <v>272</v>
      </c>
      <c r="K325" s="51" t="s">
        <v>167</v>
      </c>
    </row>
    <row r="326" spans="1:11" x14ac:dyDescent="0.3">
      <c r="A326" s="51" t="s">
        <v>868</v>
      </c>
      <c r="B326" s="51" t="s">
        <v>869</v>
      </c>
      <c r="C326" s="51" t="s">
        <v>276</v>
      </c>
      <c r="D326" s="51" t="s">
        <v>857</v>
      </c>
      <c r="E326" s="51" t="s">
        <v>163</v>
      </c>
      <c r="F326" s="51" t="s">
        <v>160</v>
      </c>
      <c r="G326" s="51" t="s">
        <v>160</v>
      </c>
      <c r="H326" s="51" t="s">
        <v>160</v>
      </c>
      <c r="I326" s="51" t="s">
        <v>160</v>
      </c>
      <c r="J326" s="51" t="s">
        <v>272</v>
      </c>
      <c r="K326" s="51" t="s">
        <v>167</v>
      </c>
    </row>
    <row r="327" spans="1:11" x14ac:dyDescent="0.3">
      <c r="A327" s="51" t="s">
        <v>870</v>
      </c>
      <c r="B327" s="51" t="s">
        <v>871</v>
      </c>
      <c r="C327" s="51" t="s">
        <v>276</v>
      </c>
      <c r="D327" s="51" t="s">
        <v>857</v>
      </c>
      <c r="E327" s="51" t="s">
        <v>163</v>
      </c>
      <c r="F327" s="51" t="s">
        <v>160</v>
      </c>
      <c r="G327" s="51" t="s">
        <v>160</v>
      </c>
      <c r="H327" s="51" t="s">
        <v>160</v>
      </c>
      <c r="I327" s="51" t="s">
        <v>160</v>
      </c>
      <c r="J327" s="51" t="s">
        <v>272</v>
      </c>
      <c r="K327" s="51" t="s">
        <v>167</v>
      </c>
    </row>
    <row r="328" spans="1:11" x14ac:dyDescent="0.3">
      <c r="A328" s="51" t="s">
        <v>872</v>
      </c>
      <c r="B328" s="51" t="s">
        <v>873</v>
      </c>
      <c r="C328" s="51" t="s">
        <v>276</v>
      </c>
      <c r="D328" s="51" t="s">
        <v>857</v>
      </c>
      <c r="E328" s="51" t="s">
        <v>163</v>
      </c>
      <c r="F328" s="51" t="s">
        <v>160</v>
      </c>
      <c r="G328" s="51" t="s">
        <v>160</v>
      </c>
      <c r="H328" s="51" t="s">
        <v>160</v>
      </c>
      <c r="I328" s="51" t="s">
        <v>160</v>
      </c>
      <c r="J328" s="51" t="s">
        <v>272</v>
      </c>
      <c r="K328" s="51" t="s">
        <v>167</v>
      </c>
    </row>
    <row r="329" spans="1:11" x14ac:dyDescent="0.3">
      <c r="A329" s="51" t="s">
        <v>874</v>
      </c>
      <c r="B329" s="51" t="s">
        <v>875</v>
      </c>
      <c r="C329" s="51" t="s">
        <v>276</v>
      </c>
      <c r="D329" s="51" t="s">
        <v>857</v>
      </c>
      <c r="E329" s="51" t="s">
        <v>163</v>
      </c>
      <c r="F329" s="51" t="s">
        <v>160</v>
      </c>
      <c r="G329" s="51" t="s">
        <v>160</v>
      </c>
      <c r="H329" s="51" t="s">
        <v>160</v>
      </c>
      <c r="I329" s="51" t="s">
        <v>160</v>
      </c>
      <c r="J329" s="51" t="s">
        <v>272</v>
      </c>
      <c r="K329" s="51" t="s">
        <v>167</v>
      </c>
    </row>
    <row r="330" spans="1:11" x14ac:dyDescent="0.3">
      <c r="A330" s="51" t="s">
        <v>876</v>
      </c>
      <c r="B330" s="51" t="s">
        <v>877</v>
      </c>
      <c r="C330" s="51" t="s">
        <v>276</v>
      </c>
      <c r="D330" s="51" t="s">
        <v>857</v>
      </c>
      <c r="E330" s="51" t="s">
        <v>163</v>
      </c>
      <c r="F330" s="51" t="s">
        <v>160</v>
      </c>
      <c r="G330" s="51" t="s">
        <v>160</v>
      </c>
      <c r="H330" s="51" t="s">
        <v>160</v>
      </c>
      <c r="I330" s="51" t="s">
        <v>160</v>
      </c>
      <c r="J330" s="51" t="s">
        <v>272</v>
      </c>
      <c r="K330" s="51" t="s">
        <v>167</v>
      </c>
    </row>
    <row r="331" spans="1:11" x14ac:dyDescent="0.3">
      <c r="A331" s="51" t="s">
        <v>878</v>
      </c>
      <c r="B331" s="51" t="s">
        <v>879</v>
      </c>
      <c r="C331" s="51" t="s">
        <v>276</v>
      </c>
      <c r="D331" s="51" t="s">
        <v>857</v>
      </c>
      <c r="E331" s="51" t="s">
        <v>163</v>
      </c>
      <c r="F331" s="51" t="s">
        <v>160</v>
      </c>
      <c r="G331" s="51" t="s">
        <v>160</v>
      </c>
      <c r="H331" s="51" t="s">
        <v>160</v>
      </c>
      <c r="I331" s="51" t="s">
        <v>160</v>
      </c>
      <c r="J331" s="51" t="s">
        <v>272</v>
      </c>
      <c r="K331" s="51" t="s">
        <v>167</v>
      </c>
    </row>
    <row r="332" spans="1:11" x14ac:dyDescent="0.3">
      <c r="A332" s="51" t="s">
        <v>880</v>
      </c>
      <c r="B332" s="51" t="s">
        <v>881</v>
      </c>
      <c r="C332" s="51" t="s">
        <v>276</v>
      </c>
      <c r="D332" s="51" t="s">
        <v>857</v>
      </c>
      <c r="E332" s="51" t="s">
        <v>163</v>
      </c>
      <c r="F332" s="51" t="s">
        <v>160</v>
      </c>
      <c r="G332" s="51" t="s">
        <v>160</v>
      </c>
      <c r="H332" s="51" t="s">
        <v>160</v>
      </c>
      <c r="I332" s="51" t="s">
        <v>160</v>
      </c>
      <c r="J332" s="51" t="s">
        <v>272</v>
      </c>
      <c r="K332" s="51" t="s">
        <v>167</v>
      </c>
    </row>
    <row r="333" spans="1:11" x14ac:dyDescent="0.3">
      <c r="A333" s="51" t="s">
        <v>882</v>
      </c>
      <c r="B333" s="51" t="s">
        <v>883</v>
      </c>
      <c r="C333" s="51" t="s">
        <v>276</v>
      </c>
      <c r="D333" s="51" t="s">
        <v>857</v>
      </c>
      <c r="E333" s="51" t="s">
        <v>163</v>
      </c>
      <c r="F333" s="51" t="s">
        <v>160</v>
      </c>
      <c r="G333" s="51" t="s">
        <v>160</v>
      </c>
      <c r="H333" s="51" t="s">
        <v>160</v>
      </c>
      <c r="I333" s="51" t="s">
        <v>160</v>
      </c>
      <c r="J333" s="51" t="s">
        <v>272</v>
      </c>
      <c r="K333" s="51" t="s">
        <v>167</v>
      </c>
    </row>
    <row r="334" spans="1:11" x14ac:dyDescent="0.3">
      <c r="A334" s="51" t="s">
        <v>884</v>
      </c>
      <c r="B334" s="51" t="s">
        <v>885</v>
      </c>
      <c r="C334" s="51" t="s">
        <v>276</v>
      </c>
      <c r="D334" s="51" t="s">
        <v>857</v>
      </c>
      <c r="E334" s="51" t="s">
        <v>163</v>
      </c>
      <c r="F334" s="51" t="s">
        <v>160</v>
      </c>
      <c r="G334" s="51" t="s">
        <v>160</v>
      </c>
      <c r="H334" s="51" t="s">
        <v>160</v>
      </c>
      <c r="I334" s="51" t="s">
        <v>160</v>
      </c>
      <c r="J334" s="51" t="s">
        <v>272</v>
      </c>
      <c r="K334" s="51" t="s">
        <v>167</v>
      </c>
    </row>
    <row r="335" spans="1:11" x14ac:dyDescent="0.3">
      <c r="A335" s="51" t="s">
        <v>886</v>
      </c>
      <c r="B335" s="51" t="s">
        <v>887</v>
      </c>
      <c r="C335" s="51" t="s">
        <v>276</v>
      </c>
      <c r="D335" s="51" t="s">
        <v>857</v>
      </c>
      <c r="E335" s="51" t="s">
        <v>163</v>
      </c>
      <c r="F335" s="51" t="s">
        <v>160</v>
      </c>
      <c r="G335" s="51" t="s">
        <v>160</v>
      </c>
      <c r="H335" s="51" t="s">
        <v>160</v>
      </c>
      <c r="I335" s="51" t="s">
        <v>160</v>
      </c>
      <c r="J335" s="51" t="s">
        <v>272</v>
      </c>
      <c r="K335" s="51" t="s">
        <v>167</v>
      </c>
    </row>
    <row r="336" spans="1:11" x14ac:dyDescent="0.3">
      <c r="A336" s="51" t="s">
        <v>888</v>
      </c>
      <c r="B336" s="51" t="s">
        <v>881</v>
      </c>
      <c r="C336" s="51" t="s">
        <v>276</v>
      </c>
      <c r="D336" s="51" t="s">
        <v>857</v>
      </c>
      <c r="E336" s="51" t="s">
        <v>163</v>
      </c>
      <c r="F336" s="51" t="s">
        <v>160</v>
      </c>
      <c r="G336" s="51" t="s">
        <v>160</v>
      </c>
      <c r="H336" s="51" t="s">
        <v>160</v>
      </c>
      <c r="I336" s="51" t="s">
        <v>160</v>
      </c>
      <c r="J336" s="51" t="s">
        <v>272</v>
      </c>
      <c r="K336" s="51" t="s">
        <v>273</v>
      </c>
    </row>
    <row r="337" spans="1:11" x14ac:dyDescent="0.3">
      <c r="A337" s="51" t="s">
        <v>889</v>
      </c>
      <c r="B337" s="51" t="s">
        <v>890</v>
      </c>
      <c r="C337" s="51" t="s">
        <v>276</v>
      </c>
      <c r="D337" s="51" t="s">
        <v>857</v>
      </c>
      <c r="E337" s="51" t="s">
        <v>163</v>
      </c>
      <c r="F337" s="51" t="s">
        <v>160</v>
      </c>
      <c r="G337" s="51" t="s">
        <v>160</v>
      </c>
      <c r="H337" s="51" t="s">
        <v>160</v>
      </c>
      <c r="I337" s="51" t="s">
        <v>160</v>
      </c>
      <c r="J337" s="51" t="s">
        <v>272</v>
      </c>
      <c r="K337" s="51" t="s">
        <v>273</v>
      </c>
    </row>
    <row r="338" spans="1:11" x14ac:dyDescent="0.3">
      <c r="A338" s="51" t="s">
        <v>891</v>
      </c>
      <c r="B338" s="51" t="s">
        <v>892</v>
      </c>
      <c r="C338" s="51" t="s">
        <v>276</v>
      </c>
      <c r="D338" s="51" t="s">
        <v>857</v>
      </c>
      <c r="E338" s="51" t="s">
        <v>163</v>
      </c>
      <c r="F338" s="51" t="s">
        <v>160</v>
      </c>
      <c r="G338" s="51" t="s">
        <v>160</v>
      </c>
      <c r="H338" s="51" t="s">
        <v>160</v>
      </c>
      <c r="I338" s="51" t="s">
        <v>160</v>
      </c>
      <c r="J338" s="51" t="s">
        <v>272</v>
      </c>
      <c r="K338" s="51" t="s">
        <v>167</v>
      </c>
    </row>
    <row r="339" spans="1:11" x14ac:dyDescent="0.3">
      <c r="A339" s="51" t="s">
        <v>893</v>
      </c>
      <c r="B339" s="51" t="s">
        <v>894</v>
      </c>
      <c r="C339" s="51" t="s">
        <v>276</v>
      </c>
      <c r="D339" s="51" t="s">
        <v>857</v>
      </c>
      <c r="E339" s="51" t="s">
        <v>163</v>
      </c>
      <c r="F339" s="51" t="s">
        <v>160</v>
      </c>
      <c r="G339" s="51" t="s">
        <v>160</v>
      </c>
      <c r="H339" s="51" t="s">
        <v>160</v>
      </c>
      <c r="I339" s="51" t="s">
        <v>160</v>
      </c>
      <c r="J339" s="51" t="s">
        <v>272</v>
      </c>
      <c r="K339" s="51" t="s">
        <v>167</v>
      </c>
    </row>
    <row r="340" spans="1:11" x14ac:dyDescent="0.3">
      <c r="A340" s="51" t="s">
        <v>895</v>
      </c>
      <c r="B340" s="51" t="s">
        <v>896</v>
      </c>
      <c r="C340" s="51" t="s">
        <v>276</v>
      </c>
      <c r="D340" s="51" t="s">
        <v>857</v>
      </c>
      <c r="E340" s="51" t="s">
        <v>163</v>
      </c>
      <c r="F340" s="51" t="s">
        <v>160</v>
      </c>
      <c r="G340" s="51" t="s">
        <v>160</v>
      </c>
      <c r="H340" s="51" t="s">
        <v>160</v>
      </c>
      <c r="I340" s="51" t="s">
        <v>160</v>
      </c>
      <c r="J340" s="51" t="s">
        <v>272</v>
      </c>
      <c r="K340" s="51" t="s">
        <v>167</v>
      </c>
    </row>
    <row r="341" spans="1:11" x14ac:dyDescent="0.3">
      <c r="A341" s="51" t="s">
        <v>897</v>
      </c>
      <c r="B341" s="51" t="s">
        <v>898</v>
      </c>
      <c r="C341" s="51" t="s">
        <v>276</v>
      </c>
      <c r="D341" s="51" t="s">
        <v>857</v>
      </c>
      <c r="E341" s="51" t="s">
        <v>163</v>
      </c>
      <c r="F341" s="51" t="s">
        <v>160</v>
      </c>
      <c r="G341" s="51" t="s">
        <v>160</v>
      </c>
      <c r="H341" s="51" t="s">
        <v>160</v>
      </c>
      <c r="I341" s="51" t="s">
        <v>160</v>
      </c>
      <c r="J341" s="51" t="s">
        <v>272</v>
      </c>
      <c r="K341" s="51" t="s">
        <v>167</v>
      </c>
    </row>
    <row r="342" spans="1:11" x14ac:dyDescent="0.3">
      <c r="A342" s="51" t="s">
        <v>899</v>
      </c>
      <c r="B342" s="51" t="s">
        <v>900</v>
      </c>
      <c r="C342" s="51" t="s">
        <v>276</v>
      </c>
      <c r="D342" s="51" t="s">
        <v>857</v>
      </c>
      <c r="E342" s="51" t="s">
        <v>163</v>
      </c>
      <c r="F342" s="51" t="s">
        <v>160</v>
      </c>
      <c r="G342" s="51" t="s">
        <v>160</v>
      </c>
      <c r="H342" s="51" t="s">
        <v>160</v>
      </c>
      <c r="I342" s="51" t="s">
        <v>160</v>
      </c>
      <c r="J342" s="51" t="s">
        <v>272</v>
      </c>
      <c r="K342" s="51" t="s">
        <v>167</v>
      </c>
    </row>
    <row r="343" spans="1:11" x14ac:dyDescent="0.3">
      <c r="A343" s="51" t="s">
        <v>901</v>
      </c>
      <c r="B343" s="51" t="s">
        <v>902</v>
      </c>
      <c r="C343" s="51" t="s">
        <v>276</v>
      </c>
      <c r="D343" s="51" t="s">
        <v>857</v>
      </c>
      <c r="E343" s="51" t="s">
        <v>163</v>
      </c>
      <c r="F343" s="51" t="s">
        <v>160</v>
      </c>
      <c r="G343" s="51" t="s">
        <v>160</v>
      </c>
      <c r="H343" s="51" t="s">
        <v>160</v>
      </c>
      <c r="I343" s="51" t="s">
        <v>160</v>
      </c>
      <c r="J343" s="51" t="s">
        <v>272</v>
      </c>
      <c r="K343" s="51" t="s">
        <v>167</v>
      </c>
    </row>
    <row r="344" spans="1:11" x14ac:dyDescent="0.3">
      <c r="A344" s="51" t="s">
        <v>903</v>
      </c>
      <c r="B344" s="51" t="s">
        <v>904</v>
      </c>
      <c r="C344" s="51" t="s">
        <v>276</v>
      </c>
      <c r="D344" s="51" t="s">
        <v>857</v>
      </c>
      <c r="E344" s="51" t="s">
        <v>163</v>
      </c>
      <c r="F344" s="51" t="s">
        <v>160</v>
      </c>
      <c r="G344" s="51" t="s">
        <v>160</v>
      </c>
      <c r="H344" s="51" t="s">
        <v>160</v>
      </c>
      <c r="I344" s="51" t="s">
        <v>160</v>
      </c>
      <c r="J344" s="51" t="s">
        <v>272</v>
      </c>
      <c r="K344" s="51" t="s">
        <v>167</v>
      </c>
    </row>
    <row r="345" spans="1:11" x14ac:dyDescent="0.3">
      <c r="A345" s="51" t="s">
        <v>905</v>
      </c>
      <c r="B345" s="51" t="s">
        <v>906</v>
      </c>
      <c r="C345" s="51" t="s">
        <v>276</v>
      </c>
      <c r="D345" s="51" t="s">
        <v>857</v>
      </c>
      <c r="E345" s="51" t="s">
        <v>163</v>
      </c>
      <c r="F345" s="51" t="s">
        <v>160</v>
      </c>
      <c r="G345" s="51" t="s">
        <v>160</v>
      </c>
      <c r="H345" s="51" t="s">
        <v>160</v>
      </c>
      <c r="I345" s="51" t="s">
        <v>160</v>
      </c>
      <c r="J345" s="51" t="s">
        <v>272</v>
      </c>
      <c r="K345" s="51" t="s">
        <v>167</v>
      </c>
    </row>
    <row r="346" spans="1:11" x14ac:dyDescent="0.3">
      <c r="A346" s="51" t="s">
        <v>907</v>
      </c>
      <c r="B346" s="51" t="s">
        <v>908</v>
      </c>
      <c r="C346" s="51" t="s">
        <v>276</v>
      </c>
      <c r="D346" s="51" t="s">
        <v>857</v>
      </c>
      <c r="E346" s="51" t="s">
        <v>163</v>
      </c>
      <c r="F346" s="51" t="s">
        <v>160</v>
      </c>
      <c r="G346" s="51" t="s">
        <v>160</v>
      </c>
      <c r="H346" s="51" t="s">
        <v>160</v>
      </c>
      <c r="I346" s="51" t="s">
        <v>160</v>
      </c>
      <c r="J346" s="51" t="s">
        <v>272</v>
      </c>
      <c r="K346" s="51" t="s">
        <v>167</v>
      </c>
    </row>
    <row r="347" spans="1:11" x14ac:dyDescent="0.3">
      <c r="A347" s="51" t="s">
        <v>909</v>
      </c>
      <c r="B347" s="51" t="s">
        <v>910</v>
      </c>
      <c r="C347" s="51" t="s">
        <v>276</v>
      </c>
      <c r="D347" s="51" t="s">
        <v>857</v>
      </c>
      <c r="E347" s="51" t="s">
        <v>163</v>
      </c>
      <c r="F347" s="51" t="s">
        <v>160</v>
      </c>
      <c r="G347" s="51" t="s">
        <v>160</v>
      </c>
      <c r="H347" s="51" t="s">
        <v>160</v>
      </c>
      <c r="I347" s="51" t="s">
        <v>160</v>
      </c>
      <c r="J347" s="51" t="s">
        <v>272</v>
      </c>
      <c r="K347" s="51" t="s">
        <v>273</v>
      </c>
    </row>
    <row r="348" spans="1:11" x14ac:dyDescent="0.3">
      <c r="A348" s="51" t="s">
        <v>911</v>
      </c>
      <c r="B348" s="51" t="s">
        <v>912</v>
      </c>
      <c r="C348" s="51" t="s">
        <v>276</v>
      </c>
      <c r="D348" s="51" t="s">
        <v>857</v>
      </c>
      <c r="E348" s="51" t="s">
        <v>163</v>
      </c>
      <c r="F348" s="51" t="s">
        <v>160</v>
      </c>
      <c r="G348" s="51" t="s">
        <v>160</v>
      </c>
      <c r="H348" s="51" t="s">
        <v>160</v>
      </c>
      <c r="I348" s="51" t="s">
        <v>160</v>
      </c>
      <c r="J348" s="51" t="s">
        <v>272</v>
      </c>
      <c r="K348" s="51" t="s">
        <v>167</v>
      </c>
    </row>
    <row r="349" spans="1:11" x14ac:dyDescent="0.3">
      <c r="A349" s="51" t="s">
        <v>913</v>
      </c>
      <c r="B349" s="51" t="s">
        <v>914</v>
      </c>
      <c r="C349" s="51" t="s">
        <v>276</v>
      </c>
      <c r="D349" s="51" t="s">
        <v>857</v>
      </c>
      <c r="E349" s="51" t="s">
        <v>163</v>
      </c>
      <c r="F349" s="51" t="s">
        <v>160</v>
      </c>
      <c r="G349" s="51" t="s">
        <v>160</v>
      </c>
      <c r="H349" s="51" t="s">
        <v>160</v>
      </c>
      <c r="I349" s="51" t="s">
        <v>160</v>
      </c>
      <c r="J349" s="51" t="s">
        <v>272</v>
      </c>
      <c r="K349" s="51" t="s">
        <v>167</v>
      </c>
    </row>
    <row r="350" spans="1:11" x14ac:dyDescent="0.3">
      <c r="A350" s="51" t="s">
        <v>915</v>
      </c>
      <c r="B350" s="51" t="s">
        <v>916</v>
      </c>
      <c r="C350" s="51" t="s">
        <v>276</v>
      </c>
      <c r="D350" s="51" t="s">
        <v>857</v>
      </c>
      <c r="E350" s="51" t="s">
        <v>163</v>
      </c>
      <c r="F350" s="51" t="s">
        <v>160</v>
      </c>
      <c r="G350" s="51" t="s">
        <v>160</v>
      </c>
      <c r="H350" s="51" t="s">
        <v>160</v>
      </c>
      <c r="I350" s="51" t="s">
        <v>160</v>
      </c>
      <c r="J350" s="51" t="s">
        <v>272</v>
      </c>
      <c r="K350" s="51" t="s">
        <v>167</v>
      </c>
    </row>
    <row r="351" spans="1:11" x14ac:dyDescent="0.3">
      <c r="A351" s="51" t="s">
        <v>917</v>
      </c>
      <c r="B351" s="51" t="s">
        <v>918</v>
      </c>
      <c r="C351" s="51" t="s">
        <v>276</v>
      </c>
      <c r="D351" s="51" t="s">
        <v>857</v>
      </c>
      <c r="E351" s="51" t="s">
        <v>163</v>
      </c>
      <c r="F351" s="51" t="s">
        <v>160</v>
      </c>
      <c r="G351" s="51" t="s">
        <v>160</v>
      </c>
      <c r="H351" s="51" t="s">
        <v>160</v>
      </c>
      <c r="I351" s="51" t="s">
        <v>160</v>
      </c>
      <c r="J351" s="51" t="s">
        <v>272</v>
      </c>
      <c r="K351" s="51" t="s">
        <v>273</v>
      </c>
    </row>
    <row r="352" spans="1:11" x14ac:dyDescent="0.3">
      <c r="A352" s="51" t="s">
        <v>919</v>
      </c>
      <c r="B352" s="51" t="s">
        <v>920</v>
      </c>
      <c r="C352" s="51" t="s">
        <v>276</v>
      </c>
      <c r="D352" s="51" t="s">
        <v>857</v>
      </c>
      <c r="E352" s="51" t="s">
        <v>163</v>
      </c>
      <c r="F352" s="51" t="s">
        <v>160</v>
      </c>
      <c r="G352" s="51" t="s">
        <v>160</v>
      </c>
      <c r="H352" s="51" t="s">
        <v>160</v>
      </c>
      <c r="I352" s="51" t="s">
        <v>160</v>
      </c>
      <c r="J352" s="51" t="s">
        <v>272</v>
      </c>
      <c r="K352" s="51" t="s">
        <v>273</v>
      </c>
    </row>
    <row r="353" spans="1:11" x14ac:dyDescent="0.3">
      <c r="A353" s="51" t="s">
        <v>921</v>
      </c>
      <c r="B353" s="51" t="s">
        <v>922</v>
      </c>
      <c r="C353" s="51" t="s">
        <v>276</v>
      </c>
      <c r="D353" s="51" t="s">
        <v>857</v>
      </c>
      <c r="E353" s="51" t="s">
        <v>163</v>
      </c>
      <c r="F353" s="51" t="s">
        <v>160</v>
      </c>
      <c r="G353" s="51" t="s">
        <v>160</v>
      </c>
      <c r="H353" s="51" t="s">
        <v>160</v>
      </c>
      <c r="I353" s="51" t="s">
        <v>160</v>
      </c>
      <c r="J353" s="51" t="s">
        <v>272</v>
      </c>
      <c r="K353" s="51" t="s">
        <v>273</v>
      </c>
    </row>
    <row r="354" spans="1:11" x14ac:dyDescent="0.3">
      <c r="A354" s="51" t="s">
        <v>923</v>
      </c>
      <c r="B354" s="51" t="s">
        <v>924</v>
      </c>
      <c r="C354" s="51" t="s">
        <v>276</v>
      </c>
      <c r="D354" s="51" t="s">
        <v>857</v>
      </c>
      <c r="E354" s="51" t="s">
        <v>163</v>
      </c>
      <c r="F354" s="51" t="s">
        <v>160</v>
      </c>
      <c r="G354" s="51" t="s">
        <v>160</v>
      </c>
      <c r="H354" s="51" t="s">
        <v>160</v>
      </c>
      <c r="I354" s="51" t="s">
        <v>160</v>
      </c>
      <c r="J354" s="51" t="s">
        <v>272</v>
      </c>
      <c r="K354" s="51" t="s">
        <v>273</v>
      </c>
    </row>
    <row r="355" spans="1:11" x14ac:dyDescent="0.3">
      <c r="A355" s="51" t="s">
        <v>925</v>
      </c>
      <c r="B355" s="51" t="s">
        <v>926</v>
      </c>
      <c r="C355" s="51" t="s">
        <v>276</v>
      </c>
      <c r="D355" s="51" t="s">
        <v>857</v>
      </c>
      <c r="E355" s="51" t="s">
        <v>163</v>
      </c>
      <c r="F355" s="51" t="s">
        <v>160</v>
      </c>
      <c r="G355" s="51" t="s">
        <v>160</v>
      </c>
      <c r="H355" s="51" t="s">
        <v>160</v>
      </c>
      <c r="I355" s="51" t="s">
        <v>160</v>
      </c>
      <c r="J355" s="51" t="s">
        <v>272</v>
      </c>
      <c r="K355" s="51" t="s">
        <v>167</v>
      </c>
    </row>
    <row r="356" spans="1:11" x14ac:dyDescent="0.3">
      <c r="A356" s="51" t="s">
        <v>927</v>
      </c>
      <c r="B356" s="51" t="s">
        <v>928</v>
      </c>
      <c r="C356" s="51" t="s">
        <v>276</v>
      </c>
      <c r="D356" s="51" t="s">
        <v>857</v>
      </c>
      <c r="E356" s="51" t="s">
        <v>163</v>
      </c>
      <c r="F356" s="51" t="s">
        <v>160</v>
      </c>
      <c r="G356" s="51" t="s">
        <v>160</v>
      </c>
      <c r="H356" s="51" t="s">
        <v>160</v>
      </c>
      <c r="I356" s="51" t="s">
        <v>160</v>
      </c>
      <c r="J356" s="51" t="s">
        <v>272</v>
      </c>
      <c r="K356" s="51" t="s">
        <v>273</v>
      </c>
    </row>
    <row r="357" spans="1:11" x14ac:dyDescent="0.3">
      <c r="A357" s="51" t="s">
        <v>929</v>
      </c>
      <c r="B357" s="51" t="s">
        <v>930</v>
      </c>
      <c r="C357" s="51" t="s">
        <v>276</v>
      </c>
      <c r="D357" s="51" t="s">
        <v>857</v>
      </c>
      <c r="E357" s="51" t="s">
        <v>163</v>
      </c>
      <c r="F357" s="51" t="s">
        <v>160</v>
      </c>
      <c r="G357" s="51" t="s">
        <v>160</v>
      </c>
      <c r="H357" s="51" t="s">
        <v>160</v>
      </c>
      <c r="I357" s="51" t="s">
        <v>160</v>
      </c>
      <c r="J357" s="51" t="s">
        <v>272</v>
      </c>
      <c r="K357" s="51" t="s">
        <v>167</v>
      </c>
    </row>
    <row r="358" spans="1:11" x14ac:dyDescent="0.3">
      <c r="A358" s="51" t="s">
        <v>931</v>
      </c>
      <c r="B358" s="51" t="s">
        <v>932</v>
      </c>
      <c r="C358" s="51" t="s">
        <v>276</v>
      </c>
      <c r="D358" s="51" t="s">
        <v>857</v>
      </c>
      <c r="E358" s="51" t="s">
        <v>163</v>
      </c>
      <c r="F358" s="51" t="s">
        <v>160</v>
      </c>
      <c r="G358" s="51" t="s">
        <v>160</v>
      </c>
      <c r="H358" s="51" t="s">
        <v>160</v>
      </c>
      <c r="I358" s="51" t="s">
        <v>160</v>
      </c>
      <c r="J358" s="51" t="s">
        <v>272</v>
      </c>
      <c r="K358" s="51" t="s">
        <v>167</v>
      </c>
    </row>
    <row r="359" spans="1:11" x14ac:dyDescent="0.3">
      <c r="A359" s="51" t="s">
        <v>933</v>
      </c>
      <c r="B359" s="51" t="s">
        <v>934</v>
      </c>
      <c r="C359" s="51" t="s">
        <v>276</v>
      </c>
      <c r="D359" s="51" t="s">
        <v>857</v>
      </c>
      <c r="E359" s="51" t="s">
        <v>163</v>
      </c>
      <c r="F359" s="51" t="s">
        <v>160</v>
      </c>
      <c r="G359" s="51" t="s">
        <v>160</v>
      </c>
      <c r="H359" s="51" t="s">
        <v>160</v>
      </c>
      <c r="I359" s="51" t="s">
        <v>160</v>
      </c>
      <c r="J359" s="51" t="s">
        <v>272</v>
      </c>
      <c r="K359" s="51" t="s">
        <v>167</v>
      </c>
    </row>
    <row r="360" spans="1:11" x14ac:dyDescent="0.3">
      <c r="A360" s="51" t="s">
        <v>935</v>
      </c>
      <c r="B360" s="51" t="s">
        <v>936</v>
      </c>
      <c r="C360" s="51" t="s">
        <v>276</v>
      </c>
      <c r="D360" s="51" t="s">
        <v>857</v>
      </c>
      <c r="E360" s="51" t="s">
        <v>163</v>
      </c>
      <c r="F360" s="51" t="s">
        <v>160</v>
      </c>
      <c r="G360" s="51" t="s">
        <v>160</v>
      </c>
      <c r="H360" s="51" t="s">
        <v>160</v>
      </c>
      <c r="I360" s="51" t="s">
        <v>160</v>
      </c>
      <c r="J360" s="51" t="s">
        <v>272</v>
      </c>
      <c r="K360" s="51" t="s">
        <v>167</v>
      </c>
    </row>
    <row r="361" spans="1:11" x14ac:dyDescent="0.3">
      <c r="A361" s="51" t="s">
        <v>937</v>
      </c>
      <c r="B361" s="51" t="s">
        <v>938</v>
      </c>
      <c r="C361" s="51" t="s">
        <v>276</v>
      </c>
      <c r="D361" s="51" t="s">
        <v>857</v>
      </c>
      <c r="E361" s="51" t="s">
        <v>163</v>
      </c>
      <c r="F361" s="51" t="s">
        <v>160</v>
      </c>
      <c r="G361" s="51" t="s">
        <v>160</v>
      </c>
      <c r="H361" s="51" t="s">
        <v>160</v>
      </c>
      <c r="I361" s="51" t="s">
        <v>160</v>
      </c>
      <c r="J361" s="51" t="s">
        <v>272</v>
      </c>
      <c r="K361" s="51" t="s">
        <v>167</v>
      </c>
    </row>
    <row r="362" spans="1:11" x14ac:dyDescent="0.3">
      <c r="A362" s="51" t="s">
        <v>939</v>
      </c>
      <c r="B362" s="51" t="s">
        <v>940</v>
      </c>
      <c r="C362" s="51" t="s">
        <v>276</v>
      </c>
      <c r="D362" s="51" t="s">
        <v>857</v>
      </c>
      <c r="E362" s="51" t="s">
        <v>163</v>
      </c>
      <c r="F362" s="51" t="s">
        <v>160</v>
      </c>
      <c r="G362" s="51" t="s">
        <v>160</v>
      </c>
      <c r="H362" s="51" t="s">
        <v>160</v>
      </c>
      <c r="I362" s="51" t="s">
        <v>160</v>
      </c>
      <c r="J362" s="51" t="s">
        <v>272</v>
      </c>
      <c r="K362" s="51" t="s">
        <v>273</v>
      </c>
    </row>
    <row r="363" spans="1:11" x14ac:dyDescent="0.3">
      <c r="A363" s="51" t="s">
        <v>941</v>
      </c>
      <c r="B363" s="51" t="s">
        <v>942</v>
      </c>
      <c r="C363" s="51" t="s">
        <v>276</v>
      </c>
      <c r="D363" s="51" t="s">
        <v>857</v>
      </c>
      <c r="E363" s="51" t="s">
        <v>163</v>
      </c>
      <c r="F363" s="51" t="s">
        <v>160</v>
      </c>
      <c r="G363" s="51" t="s">
        <v>160</v>
      </c>
      <c r="H363" s="51" t="s">
        <v>160</v>
      </c>
      <c r="I363" s="51" t="s">
        <v>160</v>
      </c>
      <c r="J363" s="51" t="s">
        <v>636</v>
      </c>
      <c r="K363" s="51" t="s">
        <v>273</v>
      </c>
    </row>
    <row r="364" spans="1:11" x14ac:dyDescent="0.3">
      <c r="A364" s="51" t="s">
        <v>943</v>
      </c>
      <c r="B364" s="51" t="s">
        <v>944</v>
      </c>
      <c r="C364" s="51" t="s">
        <v>276</v>
      </c>
      <c r="D364" s="51" t="s">
        <v>857</v>
      </c>
      <c r="E364" s="51" t="s">
        <v>163</v>
      </c>
      <c r="F364" s="51" t="s">
        <v>160</v>
      </c>
      <c r="G364" s="51" t="s">
        <v>160</v>
      </c>
      <c r="H364" s="51" t="s">
        <v>160</v>
      </c>
      <c r="I364" s="51" t="s">
        <v>160</v>
      </c>
      <c r="J364" s="51" t="s">
        <v>636</v>
      </c>
      <c r="K364" s="51" t="s">
        <v>273</v>
      </c>
    </row>
    <row r="365" spans="1:11" x14ac:dyDescent="0.3">
      <c r="A365" s="51" t="s">
        <v>945</v>
      </c>
      <c r="B365" s="51" t="s">
        <v>946</v>
      </c>
      <c r="C365" s="51" t="s">
        <v>276</v>
      </c>
      <c r="D365" s="51" t="s">
        <v>857</v>
      </c>
      <c r="E365" s="51" t="s">
        <v>163</v>
      </c>
      <c r="F365" s="51" t="s">
        <v>160</v>
      </c>
      <c r="G365" s="51" t="s">
        <v>160</v>
      </c>
      <c r="H365" s="51" t="s">
        <v>160</v>
      </c>
      <c r="I365" s="51" t="s">
        <v>160</v>
      </c>
      <c r="J365" s="51" t="s">
        <v>272</v>
      </c>
      <c r="K365" s="51" t="s">
        <v>167</v>
      </c>
    </row>
    <row r="366" spans="1:11" x14ac:dyDescent="0.3">
      <c r="A366" s="51" t="s">
        <v>947</v>
      </c>
      <c r="B366" s="51" t="s">
        <v>948</v>
      </c>
      <c r="C366" s="51" t="s">
        <v>276</v>
      </c>
      <c r="D366" s="51" t="s">
        <v>857</v>
      </c>
      <c r="E366" s="51" t="s">
        <v>163</v>
      </c>
      <c r="F366" s="51" t="s">
        <v>160</v>
      </c>
      <c r="G366" s="51" t="s">
        <v>160</v>
      </c>
      <c r="H366" s="51" t="s">
        <v>160</v>
      </c>
      <c r="I366" s="51" t="s">
        <v>160</v>
      </c>
      <c r="J366" s="51" t="s">
        <v>636</v>
      </c>
      <c r="K366" s="51" t="s">
        <v>273</v>
      </c>
    </row>
    <row r="367" spans="1:11" x14ac:dyDescent="0.3">
      <c r="A367" s="51" t="s">
        <v>949</v>
      </c>
      <c r="B367" s="51" t="s">
        <v>950</v>
      </c>
      <c r="C367" s="51" t="s">
        <v>276</v>
      </c>
      <c r="D367" s="51" t="s">
        <v>857</v>
      </c>
      <c r="E367" s="51" t="s">
        <v>163</v>
      </c>
      <c r="F367" s="51" t="s">
        <v>160</v>
      </c>
      <c r="G367" s="51" t="s">
        <v>160</v>
      </c>
      <c r="H367" s="51" t="s">
        <v>160</v>
      </c>
      <c r="I367" s="51" t="s">
        <v>160</v>
      </c>
      <c r="J367" s="51" t="s">
        <v>636</v>
      </c>
      <c r="K367" s="51" t="s">
        <v>167</v>
      </c>
    </row>
    <row r="368" spans="1:11" x14ac:dyDescent="0.3">
      <c r="A368" s="51" t="s">
        <v>951</v>
      </c>
      <c r="B368" s="51" t="s">
        <v>952</v>
      </c>
      <c r="C368" s="51" t="s">
        <v>276</v>
      </c>
      <c r="D368" s="51" t="s">
        <v>857</v>
      </c>
      <c r="E368" s="51" t="s">
        <v>163</v>
      </c>
      <c r="F368" s="51" t="s">
        <v>160</v>
      </c>
      <c r="G368" s="51" t="s">
        <v>160</v>
      </c>
      <c r="H368" s="51" t="s">
        <v>160</v>
      </c>
      <c r="I368" s="51" t="s">
        <v>160</v>
      </c>
      <c r="J368" s="51" t="s">
        <v>272</v>
      </c>
      <c r="K368" s="51" t="s">
        <v>167</v>
      </c>
    </row>
    <row r="369" spans="1:11" x14ac:dyDescent="0.3">
      <c r="A369" s="51" t="s">
        <v>953</v>
      </c>
      <c r="B369" s="51" t="s">
        <v>954</v>
      </c>
      <c r="C369" s="51" t="s">
        <v>276</v>
      </c>
      <c r="D369" s="51" t="s">
        <v>857</v>
      </c>
      <c r="E369" s="51" t="s">
        <v>163</v>
      </c>
      <c r="F369" s="51" t="s">
        <v>160</v>
      </c>
      <c r="G369" s="51" t="s">
        <v>160</v>
      </c>
      <c r="H369" s="51" t="s">
        <v>160</v>
      </c>
      <c r="I369" s="51" t="s">
        <v>160</v>
      </c>
      <c r="J369" s="51" t="s">
        <v>636</v>
      </c>
      <c r="K369" s="51" t="s">
        <v>273</v>
      </c>
    </row>
    <row r="370" spans="1:11" x14ac:dyDescent="0.3">
      <c r="A370" s="51" t="s">
        <v>955</v>
      </c>
      <c r="B370" s="51" t="s">
        <v>956</v>
      </c>
      <c r="C370" s="51" t="s">
        <v>276</v>
      </c>
      <c r="D370" s="51" t="s">
        <v>857</v>
      </c>
      <c r="E370" s="51" t="s">
        <v>163</v>
      </c>
      <c r="F370" s="51" t="s">
        <v>160</v>
      </c>
      <c r="G370" s="51" t="s">
        <v>160</v>
      </c>
      <c r="H370" s="51" t="s">
        <v>160</v>
      </c>
      <c r="I370" s="51" t="s">
        <v>160</v>
      </c>
      <c r="J370" s="51" t="s">
        <v>272</v>
      </c>
      <c r="K370" s="51" t="s">
        <v>273</v>
      </c>
    </row>
    <row r="371" spans="1:11" x14ac:dyDescent="0.3">
      <c r="A371" s="51" t="s">
        <v>957</v>
      </c>
      <c r="B371" s="51" t="s">
        <v>958</v>
      </c>
      <c r="C371" s="51" t="s">
        <v>276</v>
      </c>
      <c r="D371" s="51" t="s">
        <v>857</v>
      </c>
      <c r="E371" s="51" t="s">
        <v>163</v>
      </c>
      <c r="F371" s="51" t="s">
        <v>160</v>
      </c>
      <c r="G371" s="51" t="s">
        <v>160</v>
      </c>
      <c r="H371" s="51" t="s">
        <v>160</v>
      </c>
      <c r="I371" s="51" t="s">
        <v>160</v>
      </c>
      <c r="J371" s="51" t="s">
        <v>636</v>
      </c>
      <c r="K371" s="51" t="s">
        <v>273</v>
      </c>
    </row>
    <row r="372" spans="1:11" x14ac:dyDescent="0.3">
      <c r="A372" s="51" t="s">
        <v>959</v>
      </c>
      <c r="B372" s="51" t="s">
        <v>960</v>
      </c>
      <c r="C372" s="51" t="s">
        <v>276</v>
      </c>
      <c r="D372" s="51" t="s">
        <v>857</v>
      </c>
      <c r="E372" s="51" t="s">
        <v>163</v>
      </c>
      <c r="F372" s="51" t="s">
        <v>160</v>
      </c>
      <c r="G372" s="51" t="s">
        <v>160</v>
      </c>
      <c r="H372" s="51" t="s">
        <v>160</v>
      </c>
      <c r="I372" s="51" t="s">
        <v>160</v>
      </c>
      <c r="J372" s="51" t="s">
        <v>636</v>
      </c>
      <c r="K372" s="51" t="s">
        <v>167</v>
      </c>
    </row>
    <row r="373" spans="1:11" x14ac:dyDescent="0.3">
      <c r="A373" s="51" t="s">
        <v>961</v>
      </c>
      <c r="B373" s="51" t="s">
        <v>962</v>
      </c>
      <c r="C373" s="51" t="s">
        <v>276</v>
      </c>
      <c r="D373" s="51" t="s">
        <v>857</v>
      </c>
      <c r="E373" s="51" t="s">
        <v>163</v>
      </c>
      <c r="F373" s="51" t="s">
        <v>160</v>
      </c>
      <c r="G373" s="51" t="s">
        <v>160</v>
      </c>
      <c r="H373" s="51" t="s">
        <v>160</v>
      </c>
      <c r="I373" s="51" t="s">
        <v>160</v>
      </c>
      <c r="J373" s="51" t="s">
        <v>636</v>
      </c>
      <c r="K373" s="51" t="s">
        <v>167</v>
      </c>
    </row>
    <row r="374" spans="1:11" x14ac:dyDescent="0.3">
      <c r="A374" s="51" t="s">
        <v>963</v>
      </c>
      <c r="B374" s="51" t="s">
        <v>964</v>
      </c>
      <c r="C374" s="51" t="s">
        <v>276</v>
      </c>
      <c r="D374" s="51" t="s">
        <v>857</v>
      </c>
      <c r="E374" s="51" t="s">
        <v>163</v>
      </c>
      <c r="F374" s="51" t="s">
        <v>160</v>
      </c>
      <c r="G374" s="51" t="s">
        <v>160</v>
      </c>
      <c r="H374" s="51" t="s">
        <v>160</v>
      </c>
      <c r="I374" s="51" t="s">
        <v>160</v>
      </c>
      <c r="J374" s="51" t="s">
        <v>636</v>
      </c>
      <c r="K374" s="51" t="s">
        <v>167</v>
      </c>
    </row>
    <row r="375" spans="1:11" x14ac:dyDescent="0.3">
      <c r="A375" s="51" t="s">
        <v>965</v>
      </c>
      <c r="B375" s="51" t="s">
        <v>966</v>
      </c>
      <c r="C375" s="51" t="s">
        <v>276</v>
      </c>
      <c r="D375" s="51" t="s">
        <v>857</v>
      </c>
      <c r="E375" s="51" t="s">
        <v>163</v>
      </c>
      <c r="F375" s="51" t="s">
        <v>160</v>
      </c>
      <c r="G375" s="51" t="s">
        <v>160</v>
      </c>
      <c r="H375" s="51" t="s">
        <v>160</v>
      </c>
      <c r="I375" s="51" t="s">
        <v>160</v>
      </c>
      <c r="J375" s="51" t="s">
        <v>636</v>
      </c>
      <c r="K375" s="51" t="s">
        <v>167</v>
      </c>
    </row>
    <row r="376" spans="1:11" x14ac:dyDescent="0.3">
      <c r="A376" s="51" t="s">
        <v>967</v>
      </c>
      <c r="B376" s="51" t="s">
        <v>968</v>
      </c>
      <c r="C376" s="51" t="s">
        <v>276</v>
      </c>
      <c r="D376" s="51" t="s">
        <v>857</v>
      </c>
      <c r="E376" s="51" t="s">
        <v>163</v>
      </c>
      <c r="F376" s="51" t="s">
        <v>160</v>
      </c>
      <c r="G376" s="51" t="s">
        <v>160</v>
      </c>
      <c r="H376" s="51" t="s">
        <v>160</v>
      </c>
      <c r="I376" s="51" t="s">
        <v>160</v>
      </c>
      <c r="J376" s="51" t="s">
        <v>636</v>
      </c>
      <c r="K376" s="51" t="s">
        <v>167</v>
      </c>
    </row>
    <row r="377" spans="1:11" x14ac:dyDescent="0.3">
      <c r="A377" s="51" t="s">
        <v>969</v>
      </c>
      <c r="B377" s="51" t="s">
        <v>970</v>
      </c>
      <c r="C377" s="51" t="s">
        <v>276</v>
      </c>
      <c r="D377" s="51" t="s">
        <v>857</v>
      </c>
      <c r="E377" s="51" t="s">
        <v>163</v>
      </c>
      <c r="F377" s="51" t="s">
        <v>160</v>
      </c>
      <c r="G377" s="51" t="s">
        <v>160</v>
      </c>
      <c r="H377" s="51" t="s">
        <v>160</v>
      </c>
      <c r="I377" s="51" t="s">
        <v>160</v>
      </c>
      <c r="J377" s="51" t="s">
        <v>272</v>
      </c>
      <c r="K377" s="51" t="s">
        <v>273</v>
      </c>
    </row>
    <row r="378" spans="1:11" x14ac:dyDescent="0.3">
      <c r="A378" s="51" t="s">
        <v>971</v>
      </c>
      <c r="B378" s="51" t="s">
        <v>972</v>
      </c>
      <c r="C378" s="51" t="s">
        <v>276</v>
      </c>
      <c r="D378" s="51" t="s">
        <v>857</v>
      </c>
      <c r="E378" s="51" t="s">
        <v>163</v>
      </c>
      <c r="F378" s="51" t="s">
        <v>160</v>
      </c>
      <c r="G378" s="51" t="s">
        <v>160</v>
      </c>
      <c r="H378" s="51" t="s">
        <v>160</v>
      </c>
      <c r="I378" s="51" t="s">
        <v>160</v>
      </c>
      <c r="J378" s="51" t="s">
        <v>272</v>
      </c>
      <c r="K378" s="51" t="s">
        <v>273</v>
      </c>
    </row>
    <row r="379" spans="1:11" x14ac:dyDescent="0.3">
      <c r="A379" s="51" t="s">
        <v>973</v>
      </c>
      <c r="B379" s="51" t="s">
        <v>974</v>
      </c>
      <c r="C379" s="51" t="s">
        <v>276</v>
      </c>
      <c r="D379" s="51" t="s">
        <v>857</v>
      </c>
      <c r="E379" s="51" t="s">
        <v>163</v>
      </c>
      <c r="F379" s="51" t="s">
        <v>160</v>
      </c>
      <c r="G379" s="51" t="s">
        <v>160</v>
      </c>
      <c r="H379" s="51" t="s">
        <v>160</v>
      </c>
      <c r="I379" s="51" t="s">
        <v>160</v>
      </c>
      <c r="J379" s="51" t="s">
        <v>272</v>
      </c>
      <c r="K379" s="51" t="s">
        <v>273</v>
      </c>
    </row>
    <row r="380" spans="1:11" x14ac:dyDescent="0.3">
      <c r="A380" s="51" t="s">
        <v>975</v>
      </c>
      <c r="B380" s="51" t="s">
        <v>976</v>
      </c>
      <c r="C380" s="51" t="s">
        <v>276</v>
      </c>
      <c r="D380" s="51" t="s">
        <v>857</v>
      </c>
      <c r="E380" s="51" t="s">
        <v>163</v>
      </c>
      <c r="F380" s="51" t="s">
        <v>160</v>
      </c>
      <c r="G380" s="51" t="s">
        <v>160</v>
      </c>
      <c r="H380" s="51" t="s">
        <v>160</v>
      </c>
      <c r="I380" s="51" t="s">
        <v>160</v>
      </c>
      <c r="J380" s="51" t="s">
        <v>272</v>
      </c>
      <c r="K380" s="51" t="s">
        <v>273</v>
      </c>
    </row>
    <row r="381" spans="1:11" x14ac:dyDescent="0.3">
      <c r="A381" s="51" t="s">
        <v>977</v>
      </c>
      <c r="B381" s="51" t="s">
        <v>978</v>
      </c>
      <c r="C381" s="51" t="s">
        <v>276</v>
      </c>
      <c r="D381" s="51" t="s">
        <v>857</v>
      </c>
      <c r="E381" s="51" t="s">
        <v>163</v>
      </c>
      <c r="F381" s="51" t="s">
        <v>160</v>
      </c>
      <c r="G381" s="51" t="s">
        <v>160</v>
      </c>
      <c r="H381" s="51" t="s">
        <v>160</v>
      </c>
      <c r="I381" s="51" t="s">
        <v>160</v>
      </c>
      <c r="J381" s="51" t="s">
        <v>272</v>
      </c>
      <c r="K381" s="51" t="s">
        <v>273</v>
      </c>
    </row>
    <row r="382" spans="1:11" x14ac:dyDescent="0.3">
      <c r="A382" s="51" t="s">
        <v>979</v>
      </c>
      <c r="B382" s="51" t="s">
        <v>980</v>
      </c>
      <c r="C382" s="51" t="s">
        <v>276</v>
      </c>
      <c r="D382" s="51" t="s">
        <v>857</v>
      </c>
      <c r="E382" s="51" t="s">
        <v>163</v>
      </c>
      <c r="F382" s="51" t="s">
        <v>160</v>
      </c>
      <c r="G382" s="51" t="s">
        <v>160</v>
      </c>
      <c r="H382" s="51" t="s">
        <v>160</v>
      </c>
      <c r="I382" s="51" t="s">
        <v>160</v>
      </c>
      <c r="J382" s="51" t="s">
        <v>272</v>
      </c>
      <c r="K382" s="51" t="s">
        <v>273</v>
      </c>
    </row>
    <row r="383" spans="1:11" x14ac:dyDescent="0.3">
      <c r="A383" s="51" t="s">
        <v>981</v>
      </c>
      <c r="B383" s="51" t="s">
        <v>982</v>
      </c>
      <c r="C383" s="51" t="s">
        <v>276</v>
      </c>
      <c r="D383" s="51" t="s">
        <v>857</v>
      </c>
      <c r="E383" s="51" t="s">
        <v>163</v>
      </c>
      <c r="F383" s="51" t="s">
        <v>160</v>
      </c>
      <c r="G383" s="51" t="s">
        <v>160</v>
      </c>
      <c r="H383" s="51" t="s">
        <v>160</v>
      </c>
      <c r="I383" s="51" t="s">
        <v>160</v>
      </c>
      <c r="J383" s="51" t="s">
        <v>272</v>
      </c>
      <c r="K383" s="51" t="s">
        <v>167</v>
      </c>
    </row>
    <row r="384" spans="1:11" x14ac:dyDescent="0.3">
      <c r="A384" s="51" t="s">
        <v>983</v>
      </c>
      <c r="B384" s="51" t="s">
        <v>984</v>
      </c>
      <c r="C384" s="51" t="s">
        <v>276</v>
      </c>
      <c r="D384" s="51" t="s">
        <v>857</v>
      </c>
      <c r="E384" s="51" t="s">
        <v>163</v>
      </c>
      <c r="F384" s="51" t="s">
        <v>160</v>
      </c>
      <c r="G384" s="51" t="s">
        <v>160</v>
      </c>
      <c r="H384" s="51" t="s">
        <v>160</v>
      </c>
      <c r="I384" s="51" t="s">
        <v>160</v>
      </c>
      <c r="J384" s="51" t="s">
        <v>272</v>
      </c>
      <c r="K384" s="51" t="s">
        <v>273</v>
      </c>
    </row>
    <row r="385" spans="1:11" x14ac:dyDescent="0.3">
      <c r="A385" s="51" t="s">
        <v>985</v>
      </c>
      <c r="B385" s="51" t="s">
        <v>986</v>
      </c>
      <c r="C385" s="51" t="s">
        <v>276</v>
      </c>
      <c r="D385" s="51" t="s">
        <v>857</v>
      </c>
      <c r="E385" s="51" t="s">
        <v>163</v>
      </c>
      <c r="F385" s="51" t="s">
        <v>160</v>
      </c>
      <c r="G385" s="51" t="s">
        <v>160</v>
      </c>
      <c r="H385" s="51" t="s">
        <v>160</v>
      </c>
      <c r="I385" s="51" t="s">
        <v>160</v>
      </c>
      <c r="J385" s="51" t="s">
        <v>272</v>
      </c>
      <c r="K385" s="51" t="s">
        <v>273</v>
      </c>
    </row>
    <row r="386" spans="1:11" x14ac:dyDescent="0.3">
      <c r="A386" s="51" t="s">
        <v>987</v>
      </c>
      <c r="B386" s="51" t="s">
        <v>988</v>
      </c>
      <c r="C386" s="51" t="s">
        <v>276</v>
      </c>
      <c r="D386" s="51" t="s">
        <v>857</v>
      </c>
      <c r="E386" s="51" t="s">
        <v>163</v>
      </c>
      <c r="F386" s="51" t="s">
        <v>160</v>
      </c>
      <c r="G386" s="51" t="s">
        <v>160</v>
      </c>
      <c r="H386" s="51" t="s">
        <v>160</v>
      </c>
      <c r="I386" s="51" t="s">
        <v>160</v>
      </c>
      <c r="J386" s="51" t="s">
        <v>272</v>
      </c>
      <c r="K386" s="51" t="s">
        <v>273</v>
      </c>
    </row>
    <row r="387" spans="1:11" x14ac:dyDescent="0.3">
      <c r="A387" s="51" t="s">
        <v>989</v>
      </c>
      <c r="B387" s="51" t="s">
        <v>990</v>
      </c>
      <c r="C387" s="51" t="s">
        <v>276</v>
      </c>
      <c r="D387" s="51" t="s">
        <v>857</v>
      </c>
      <c r="E387" s="51" t="s">
        <v>163</v>
      </c>
      <c r="F387" s="51" t="s">
        <v>160</v>
      </c>
      <c r="G387" s="51" t="s">
        <v>160</v>
      </c>
      <c r="H387" s="51" t="s">
        <v>160</v>
      </c>
      <c r="I387" s="51" t="s">
        <v>160</v>
      </c>
      <c r="J387" s="51" t="s">
        <v>272</v>
      </c>
      <c r="K387" s="51" t="s">
        <v>167</v>
      </c>
    </row>
    <row r="388" spans="1:11" x14ac:dyDescent="0.3">
      <c r="A388" s="51" t="s">
        <v>991</v>
      </c>
      <c r="B388" s="51" t="s">
        <v>992</v>
      </c>
      <c r="C388" s="51" t="s">
        <v>276</v>
      </c>
      <c r="D388" s="51" t="s">
        <v>857</v>
      </c>
      <c r="E388" s="51" t="s">
        <v>163</v>
      </c>
      <c r="F388" s="51" t="s">
        <v>160</v>
      </c>
      <c r="G388" s="51" t="s">
        <v>160</v>
      </c>
      <c r="H388" s="51" t="s">
        <v>160</v>
      </c>
      <c r="I388" s="51" t="s">
        <v>160</v>
      </c>
      <c r="J388" s="51" t="s">
        <v>272</v>
      </c>
      <c r="K388" s="51" t="s">
        <v>167</v>
      </c>
    </row>
    <row r="389" spans="1:11" x14ac:dyDescent="0.3">
      <c r="A389" s="51" t="s">
        <v>993</v>
      </c>
      <c r="B389" s="51" t="s">
        <v>994</v>
      </c>
      <c r="C389" s="51" t="s">
        <v>276</v>
      </c>
      <c r="D389" s="51" t="s">
        <v>857</v>
      </c>
      <c r="E389" s="51" t="s">
        <v>163</v>
      </c>
      <c r="F389" s="51" t="s">
        <v>160</v>
      </c>
      <c r="G389" s="51" t="s">
        <v>160</v>
      </c>
      <c r="H389" s="51" t="s">
        <v>160</v>
      </c>
      <c r="I389" s="51" t="s">
        <v>160</v>
      </c>
      <c r="J389" s="51" t="s">
        <v>272</v>
      </c>
      <c r="K389" s="51" t="s">
        <v>167</v>
      </c>
    </row>
    <row r="390" spans="1:11" x14ac:dyDescent="0.3">
      <c r="A390" s="51" t="s">
        <v>995</v>
      </c>
      <c r="B390" s="51" t="s">
        <v>996</v>
      </c>
      <c r="C390" s="51" t="s">
        <v>276</v>
      </c>
      <c r="D390" s="51" t="s">
        <v>857</v>
      </c>
      <c r="E390" s="51" t="s">
        <v>163</v>
      </c>
      <c r="F390" s="51" t="s">
        <v>160</v>
      </c>
      <c r="G390" s="51" t="s">
        <v>160</v>
      </c>
      <c r="H390" s="51" t="s">
        <v>160</v>
      </c>
      <c r="I390" s="51" t="s">
        <v>160</v>
      </c>
      <c r="J390" s="51" t="s">
        <v>272</v>
      </c>
      <c r="K390" s="51" t="s">
        <v>273</v>
      </c>
    </row>
    <row r="391" spans="1:11" x14ac:dyDescent="0.3">
      <c r="A391" s="51" t="s">
        <v>997</v>
      </c>
      <c r="B391" s="51" t="s">
        <v>998</v>
      </c>
      <c r="C391" s="51" t="s">
        <v>276</v>
      </c>
      <c r="D391" s="51" t="s">
        <v>857</v>
      </c>
      <c r="E391" s="51" t="s">
        <v>163</v>
      </c>
      <c r="F391" s="51" t="s">
        <v>160</v>
      </c>
      <c r="G391" s="51" t="s">
        <v>160</v>
      </c>
      <c r="H391" s="51" t="s">
        <v>160</v>
      </c>
      <c r="I391" s="51" t="s">
        <v>160</v>
      </c>
      <c r="J391" s="51" t="s">
        <v>272</v>
      </c>
      <c r="K391" s="51" t="s">
        <v>273</v>
      </c>
    </row>
    <row r="392" spans="1:11" x14ac:dyDescent="0.3">
      <c r="A392" s="51" t="s">
        <v>999</v>
      </c>
      <c r="B392" s="51" t="s">
        <v>1000</v>
      </c>
      <c r="C392" s="51" t="s">
        <v>276</v>
      </c>
      <c r="D392" s="51" t="s">
        <v>857</v>
      </c>
      <c r="E392" s="51" t="s">
        <v>163</v>
      </c>
      <c r="F392" s="51" t="s">
        <v>160</v>
      </c>
      <c r="G392" s="51" t="s">
        <v>160</v>
      </c>
      <c r="H392" s="51" t="s">
        <v>160</v>
      </c>
      <c r="I392" s="51" t="s">
        <v>160</v>
      </c>
      <c r="J392" s="51" t="s">
        <v>272</v>
      </c>
      <c r="K392" s="51" t="s">
        <v>273</v>
      </c>
    </row>
    <row r="393" spans="1:11" x14ac:dyDescent="0.3">
      <c r="A393" s="51" t="s">
        <v>1001</v>
      </c>
      <c r="B393" s="51" t="s">
        <v>1002</v>
      </c>
      <c r="C393" s="51" t="s">
        <v>276</v>
      </c>
      <c r="D393" s="51" t="s">
        <v>857</v>
      </c>
      <c r="E393" s="51" t="s">
        <v>163</v>
      </c>
      <c r="F393" s="51" t="s">
        <v>160</v>
      </c>
      <c r="G393" s="51" t="s">
        <v>160</v>
      </c>
      <c r="H393" s="51" t="s">
        <v>160</v>
      </c>
      <c r="I393" s="51" t="s">
        <v>160</v>
      </c>
      <c r="J393" s="51" t="s">
        <v>272</v>
      </c>
      <c r="K393" s="51" t="s">
        <v>167</v>
      </c>
    </row>
    <row r="394" spans="1:11" x14ac:dyDescent="0.3">
      <c r="A394" s="51" t="s">
        <v>1003</v>
      </c>
      <c r="B394" s="51" t="s">
        <v>1004</v>
      </c>
      <c r="C394" s="51" t="s">
        <v>276</v>
      </c>
      <c r="D394" s="51" t="s">
        <v>857</v>
      </c>
      <c r="E394" s="51" t="s">
        <v>163</v>
      </c>
      <c r="F394" s="51" t="s">
        <v>160</v>
      </c>
      <c r="G394" s="51" t="s">
        <v>160</v>
      </c>
      <c r="H394" s="51" t="s">
        <v>160</v>
      </c>
      <c r="I394" s="51" t="s">
        <v>160</v>
      </c>
      <c r="J394" s="51" t="s">
        <v>272</v>
      </c>
      <c r="K394" s="51" t="s">
        <v>167</v>
      </c>
    </row>
    <row r="395" spans="1:11" x14ac:dyDescent="0.3">
      <c r="A395" s="51" t="s">
        <v>1005</v>
      </c>
      <c r="B395" s="51" t="s">
        <v>1006</v>
      </c>
      <c r="C395" s="51" t="s">
        <v>276</v>
      </c>
      <c r="D395" s="51" t="s">
        <v>857</v>
      </c>
      <c r="E395" s="51" t="s">
        <v>163</v>
      </c>
      <c r="F395" s="51" t="s">
        <v>160</v>
      </c>
      <c r="G395" s="51" t="s">
        <v>160</v>
      </c>
      <c r="H395" s="51" t="s">
        <v>160</v>
      </c>
      <c r="I395" s="51" t="s">
        <v>160</v>
      </c>
      <c r="J395" s="51" t="s">
        <v>272</v>
      </c>
      <c r="K395" s="51" t="s">
        <v>167</v>
      </c>
    </row>
    <row r="396" spans="1:11" x14ac:dyDescent="0.3">
      <c r="A396" s="51" t="s">
        <v>1007</v>
      </c>
      <c r="B396" s="51" t="s">
        <v>1008</v>
      </c>
      <c r="C396" s="51" t="s">
        <v>276</v>
      </c>
      <c r="D396" s="51" t="s">
        <v>857</v>
      </c>
      <c r="E396" s="51" t="s">
        <v>163</v>
      </c>
      <c r="F396" s="51" t="s">
        <v>160</v>
      </c>
      <c r="G396" s="51" t="s">
        <v>160</v>
      </c>
      <c r="H396" s="51" t="s">
        <v>160</v>
      </c>
      <c r="I396" s="51" t="s">
        <v>160</v>
      </c>
      <c r="J396" s="51" t="s">
        <v>272</v>
      </c>
      <c r="K396" s="51" t="s">
        <v>167</v>
      </c>
    </row>
    <row r="397" spans="1:11" x14ac:dyDescent="0.3">
      <c r="A397" s="51" t="s">
        <v>1009</v>
      </c>
      <c r="B397" s="51" t="s">
        <v>1010</v>
      </c>
      <c r="C397" s="51" t="s">
        <v>276</v>
      </c>
      <c r="D397" s="51" t="s">
        <v>857</v>
      </c>
      <c r="E397" s="51" t="s">
        <v>163</v>
      </c>
      <c r="F397" s="51" t="s">
        <v>160</v>
      </c>
      <c r="G397" s="51" t="s">
        <v>160</v>
      </c>
      <c r="H397" s="51" t="s">
        <v>160</v>
      </c>
      <c r="I397" s="51" t="s">
        <v>160</v>
      </c>
      <c r="J397" s="51" t="s">
        <v>272</v>
      </c>
      <c r="K397" s="51" t="s">
        <v>273</v>
      </c>
    </row>
    <row r="398" spans="1:11" x14ac:dyDescent="0.3">
      <c r="A398" s="51" t="s">
        <v>1011</v>
      </c>
      <c r="B398" s="51" t="s">
        <v>1012</v>
      </c>
      <c r="C398" s="51" t="s">
        <v>276</v>
      </c>
      <c r="D398" s="51" t="s">
        <v>857</v>
      </c>
      <c r="E398" s="51" t="s">
        <v>163</v>
      </c>
      <c r="F398" s="51" t="s">
        <v>160</v>
      </c>
      <c r="G398" s="51" t="s">
        <v>160</v>
      </c>
      <c r="H398" s="51" t="s">
        <v>160</v>
      </c>
      <c r="I398" s="51" t="s">
        <v>160</v>
      </c>
      <c r="J398" s="51" t="s">
        <v>272</v>
      </c>
      <c r="K398" s="51" t="s">
        <v>273</v>
      </c>
    </row>
    <row r="399" spans="1:11" x14ac:dyDescent="0.3">
      <c r="A399" s="51" t="s">
        <v>1013</v>
      </c>
      <c r="B399" s="51" t="s">
        <v>1014</v>
      </c>
      <c r="C399" s="51" t="s">
        <v>276</v>
      </c>
      <c r="D399" s="51" t="s">
        <v>857</v>
      </c>
      <c r="E399" s="51" t="s">
        <v>163</v>
      </c>
      <c r="F399" s="51" t="s">
        <v>160</v>
      </c>
      <c r="G399" s="51" t="s">
        <v>160</v>
      </c>
      <c r="H399" s="51" t="s">
        <v>160</v>
      </c>
      <c r="I399" s="51" t="s">
        <v>160</v>
      </c>
      <c r="J399" s="51" t="s">
        <v>272</v>
      </c>
      <c r="K399" s="51" t="s">
        <v>273</v>
      </c>
    </row>
    <row r="400" spans="1:11" x14ac:dyDescent="0.3">
      <c r="A400" s="51" t="s">
        <v>1015</v>
      </c>
      <c r="B400" s="51" t="s">
        <v>1016</v>
      </c>
      <c r="C400" s="51" t="s">
        <v>276</v>
      </c>
      <c r="D400" s="51" t="s">
        <v>857</v>
      </c>
      <c r="E400" s="51" t="s">
        <v>163</v>
      </c>
      <c r="F400" s="51" t="s">
        <v>160</v>
      </c>
      <c r="G400" s="51" t="s">
        <v>160</v>
      </c>
      <c r="H400" s="51" t="s">
        <v>160</v>
      </c>
      <c r="I400" s="51" t="s">
        <v>160</v>
      </c>
      <c r="J400" s="51" t="s">
        <v>272</v>
      </c>
      <c r="K400" s="51" t="s">
        <v>273</v>
      </c>
    </row>
    <row r="401" spans="1:11" x14ac:dyDescent="0.3">
      <c r="A401" s="51" t="s">
        <v>1017</v>
      </c>
      <c r="B401" s="51" t="s">
        <v>1018</v>
      </c>
      <c r="C401" s="51" t="s">
        <v>276</v>
      </c>
      <c r="D401" s="51" t="s">
        <v>857</v>
      </c>
      <c r="E401" s="51" t="s">
        <v>163</v>
      </c>
      <c r="F401" s="51" t="s">
        <v>160</v>
      </c>
      <c r="G401" s="51" t="s">
        <v>160</v>
      </c>
      <c r="H401" s="51" t="s">
        <v>160</v>
      </c>
      <c r="I401" s="51" t="s">
        <v>160</v>
      </c>
      <c r="J401" s="51" t="s">
        <v>272</v>
      </c>
      <c r="K401" s="51" t="s">
        <v>273</v>
      </c>
    </row>
    <row r="402" spans="1:11" x14ac:dyDescent="0.3">
      <c r="A402" s="51" t="s">
        <v>1019</v>
      </c>
      <c r="B402" s="51" t="s">
        <v>1020</v>
      </c>
      <c r="C402" s="51" t="s">
        <v>276</v>
      </c>
      <c r="D402" s="51" t="s">
        <v>857</v>
      </c>
      <c r="E402" s="51" t="s">
        <v>163</v>
      </c>
      <c r="F402" s="51" t="s">
        <v>160</v>
      </c>
      <c r="G402" s="51" t="s">
        <v>160</v>
      </c>
      <c r="H402" s="51" t="s">
        <v>160</v>
      </c>
      <c r="I402" s="51" t="s">
        <v>160</v>
      </c>
      <c r="J402" s="51" t="s">
        <v>272</v>
      </c>
      <c r="K402" s="51" t="s">
        <v>273</v>
      </c>
    </row>
    <row r="403" spans="1:11" x14ac:dyDescent="0.3">
      <c r="A403" s="51" t="s">
        <v>1021</v>
      </c>
      <c r="B403" s="51" t="s">
        <v>1022</v>
      </c>
      <c r="C403" s="51" t="s">
        <v>276</v>
      </c>
      <c r="D403" s="51" t="s">
        <v>857</v>
      </c>
      <c r="E403" s="51" t="s">
        <v>163</v>
      </c>
      <c r="F403" s="51" t="s">
        <v>160</v>
      </c>
      <c r="G403" s="51" t="s">
        <v>160</v>
      </c>
      <c r="H403" s="51" t="s">
        <v>160</v>
      </c>
      <c r="I403" s="51" t="s">
        <v>160</v>
      </c>
      <c r="J403" s="51" t="s">
        <v>272</v>
      </c>
      <c r="K403" s="51" t="s">
        <v>167</v>
      </c>
    </row>
    <row r="404" spans="1:11" x14ac:dyDescent="0.3">
      <c r="A404" s="51" t="s">
        <v>1023</v>
      </c>
      <c r="B404" s="51" t="s">
        <v>1024</v>
      </c>
      <c r="C404" s="51" t="s">
        <v>276</v>
      </c>
      <c r="D404" s="51" t="s">
        <v>857</v>
      </c>
      <c r="E404" s="51" t="s">
        <v>163</v>
      </c>
      <c r="F404" s="51" t="s">
        <v>160</v>
      </c>
      <c r="G404" s="51" t="s">
        <v>160</v>
      </c>
      <c r="H404" s="51" t="s">
        <v>160</v>
      </c>
      <c r="I404" s="51" t="s">
        <v>160</v>
      </c>
      <c r="J404" s="51" t="s">
        <v>272</v>
      </c>
      <c r="K404" s="51" t="s">
        <v>167</v>
      </c>
    </row>
    <row r="405" spans="1:11" x14ac:dyDescent="0.3">
      <c r="A405" s="51" t="s">
        <v>1025</v>
      </c>
      <c r="B405" s="51" t="s">
        <v>1026</v>
      </c>
      <c r="C405" s="51" t="s">
        <v>276</v>
      </c>
      <c r="D405" s="51" t="s">
        <v>857</v>
      </c>
      <c r="E405" s="51" t="s">
        <v>163</v>
      </c>
      <c r="F405" s="51" t="s">
        <v>160</v>
      </c>
      <c r="G405" s="51" t="s">
        <v>160</v>
      </c>
      <c r="H405" s="51" t="s">
        <v>160</v>
      </c>
      <c r="I405" s="51" t="s">
        <v>160</v>
      </c>
      <c r="J405" s="51" t="s">
        <v>272</v>
      </c>
      <c r="K405" s="51" t="s">
        <v>167</v>
      </c>
    </row>
    <row r="406" spans="1:11" x14ac:dyDescent="0.3">
      <c r="A406" s="51" t="s">
        <v>1027</v>
      </c>
      <c r="B406" s="51" t="s">
        <v>362</v>
      </c>
      <c r="C406" s="51" t="s">
        <v>287</v>
      </c>
      <c r="D406" s="51" t="s">
        <v>362</v>
      </c>
      <c r="E406" s="51" t="s">
        <v>163</v>
      </c>
      <c r="F406" s="51" t="s">
        <v>160</v>
      </c>
      <c r="G406" s="51" t="s">
        <v>160</v>
      </c>
      <c r="H406" s="51" t="s">
        <v>160</v>
      </c>
      <c r="I406" s="51" t="s">
        <v>160</v>
      </c>
      <c r="J406" s="51" t="s">
        <v>175</v>
      </c>
      <c r="K406" s="51" t="s">
        <v>167</v>
      </c>
    </row>
    <row r="407" spans="1:11" x14ac:dyDescent="0.3">
      <c r="A407" s="51" t="s">
        <v>1028</v>
      </c>
      <c r="B407" s="51" t="s">
        <v>1029</v>
      </c>
      <c r="C407" s="51" t="s">
        <v>287</v>
      </c>
      <c r="D407" s="51" t="s">
        <v>362</v>
      </c>
      <c r="E407" s="51" t="s">
        <v>163</v>
      </c>
      <c r="F407" s="51" t="s">
        <v>160</v>
      </c>
      <c r="G407" s="51" t="s">
        <v>160</v>
      </c>
      <c r="H407" s="51" t="s">
        <v>160</v>
      </c>
      <c r="I407" s="51" t="s">
        <v>160</v>
      </c>
      <c r="J407" s="51" t="s">
        <v>175</v>
      </c>
      <c r="K407" s="51" t="s">
        <v>167</v>
      </c>
    </row>
    <row r="408" spans="1:11" x14ac:dyDescent="0.3">
      <c r="A408" s="51" t="s">
        <v>1030</v>
      </c>
      <c r="B408" s="51" t="s">
        <v>1031</v>
      </c>
      <c r="C408" s="51" t="s">
        <v>287</v>
      </c>
      <c r="D408" s="51" t="s">
        <v>362</v>
      </c>
      <c r="E408" s="51" t="s">
        <v>163</v>
      </c>
      <c r="F408" s="51" t="s">
        <v>160</v>
      </c>
      <c r="G408" s="51" t="s">
        <v>160</v>
      </c>
      <c r="H408" s="51" t="s">
        <v>160</v>
      </c>
      <c r="I408" s="51" t="s">
        <v>160</v>
      </c>
      <c r="J408" s="51" t="s">
        <v>175</v>
      </c>
      <c r="K408" s="51" t="s">
        <v>167</v>
      </c>
    </row>
    <row r="409" spans="1:11" x14ac:dyDescent="0.3">
      <c r="A409" s="51" t="s">
        <v>1032</v>
      </c>
      <c r="B409" s="51" t="s">
        <v>1033</v>
      </c>
      <c r="C409" s="51" t="s">
        <v>287</v>
      </c>
      <c r="D409" s="51" t="s">
        <v>362</v>
      </c>
      <c r="E409" s="51" t="s">
        <v>163</v>
      </c>
      <c r="F409" s="51" t="s">
        <v>160</v>
      </c>
      <c r="G409" s="51" t="s">
        <v>160</v>
      </c>
      <c r="H409" s="51" t="s">
        <v>160</v>
      </c>
      <c r="I409" s="51" t="s">
        <v>160</v>
      </c>
      <c r="J409" s="51" t="s">
        <v>1034</v>
      </c>
      <c r="K409" s="51" t="s">
        <v>167</v>
      </c>
    </row>
    <row r="410" spans="1:11" x14ac:dyDescent="0.3">
      <c r="A410" s="51" t="s">
        <v>1035</v>
      </c>
      <c r="B410" s="51" t="s">
        <v>1033</v>
      </c>
      <c r="C410" s="51" t="s">
        <v>287</v>
      </c>
      <c r="D410" s="51" t="s">
        <v>362</v>
      </c>
      <c r="E410" s="51" t="s">
        <v>163</v>
      </c>
      <c r="F410" s="51" t="s">
        <v>160</v>
      </c>
      <c r="G410" s="51" t="s">
        <v>160</v>
      </c>
      <c r="H410" s="51" t="s">
        <v>160</v>
      </c>
      <c r="I410" s="51" t="s">
        <v>160</v>
      </c>
      <c r="J410" s="51" t="s">
        <v>172</v>
      </c>
      <c r="K410" s="51" t="s">
        <v>273</v>
      </c>
    </row>
    <row r="411" spans="1:11" x14ac:dyDescent="0.3">
      <c r="A411" s="51" t="s">
        <v>1036</v>
      </c>
      <c r="B411" s="51" t="s">
        <v>1037</v>
      </c>
      <c r="C411" s="51" t="s">
        <v>287</v>
      </c>
      <c r="D411" s="51" t="s">
        <v>362</v>
      </c>
      <c r="E411" s="51" t="s">
        <v>163</v>
      </c>
      <c r="F411" s="51" t="s">
        <v>160</v>
      </c>
      <c r="G411" s="51" t="s">
        <v>160</v>
      </c>
      <c r="H411" s="51" t="s">
        <v>160</v>
      </c>
      <c r="I411" s="51" t="s">
        <v>160</v>
      </c>
      <c r="J411" s="51" t="s">
        <v>272</v>
      </c>
      <c r="K411" s="51" t="s">
        <v>167</v>
      </c>
    </row>
    <row r="412" spans="1:11" x14ac:dyDescent="0.3">
      <c r="A412" s="51" t="s">
        <v>1038</v>
      </c>
      <c r="B412" s="51" t="s">
        <v>1039</v>
      </c>
      <c r="C412" s="51" t="s">
        <v>287</v>
      </c>
      <c r="D412" s="51" t="s">
        <v>362</v>
      </c>
      <c r="E412" s="51" t="s">
        <v>163</v>
      </c>
      <c r="F412" s="51" t="s">
        <v>160</v>
      </c>
      <c r="G412" s="51" t="s">
        <v>160</v>
      </c>
      <c r="H412" s="51" t="s">
        <v>160</v>
      </c>
      <c r="I412" s="51" t="s">
        <v>160</v>
      </c>
      <c r="J412" s="51" t="s">
        <v>272</v>
      </c>
      <c r="K412" s="51" t="s">
        <v>167</v>
      </c>
    </row>
    <row r="413" spans="1:11" x14ac:dyDescent="0.3">
      <c r="A413" s="51" t="s">
        <v>1040</v>
      </c>
      <c r="B413" s="51" t="s">
        <v>1041</v>
      </c>
      <c r="C413" s="51" t="s">
        <v>287</v>
      </c>
      <c r="D413" s="51" t="s">
        <v>362</v>
      </c>
      <c r="E413" s="51" t="s">
        <v>163</v>
      </c>
      <c r="F413" s="51" t="s">
        <v>160</v>
      </c>
      <c r="G413" s="51" t="s">
        <v>160</v>
      </c>
      <c r="H413" s="51" t="s">
        <v>160</v>
      </c>
      <c r="I413" s="51" t="s">
        <v>160</v>
      </c>
      <c r="J413" s="51" t="s">
        <v>1042</v>
      </c>
      <c r="K413" s="51" t="s">
        <v>167</v>
      </c>
    </row>
    <row r="414" spans="1:11" x14ac:dyDescent="0.3">
      <c r="A414" s="51" t="s">
        <v>1043</v>
      </c>
      <c r="B414" s="51" t="s">
        <v>1044</v>
      </c>
      <c r="C414" s="51" t="s">
        <v>287</v>
      </c>
      <c r="D414" s="51" t="s">
        <v>362</v>
      </c>
      <c r="E414" s="51" t="s">
        <v>163</v>
      </c>
      <c r="F414" s="51" t="s">
        <v>160</v>
      </c>
      <c r="G414" s="51" t="s">
        <v>160</v>
      </c>
      <c r="H414" s="51" t="s">
        <v>160</v>
      </c>
      <c r="I414" s="51" t="s">
        <v>160</v>
      </c>
      <c r="J414" s="51" t="s">
        <v>175</v>
      </c>
      <c r="K414" s="51" t="s">
        <v>167</v>
      </c>
    </row>
    <row r="415" spans="1:11" x14ac:dyDescent="0.3">
      <c r="A415" s="51" t="s">
        <v>1045</v>
      </c>
      <c r="B415" s="51" t="s">
        <v>1046</v>
      </c>
      <c r="C415" s="51" t="s">
        <v>287</v>
      </c>
      <c r="D415" s="51" t="s">
        <v>362</v>
      </c>
      <c r="E415" s="51" t="s">
        <v>163</v>
      </c>
      <c r="F415" s="51" t="s">
        <v>160</v>
      </c>
      <c r="G415" s="51" t="s">
        <v>160</v>
      </c>
      <c r="H415" s="51" t="s">
        <v>160</v>
      </c>
      <c r="I415" s="51" t="s">
        <v>160</v>
      </c>
      <c r="J415" s="51" t="s">
        <v>172</v>
      </c>
      <c r="K415" s="51" t="s">
        <v>167</v>
      </c>
    </row>
    <row r="416" spans="1:11" x14ac:dyDescent="0.3">
      <c r="A416" s="51" t="s">
        <v>1047</v>
      </c>
      <c r="B416" s="51" t="s">
        <v>1048</v>
      </c>
      <c r="C416" s="51" t="s">
        <v>287</v>
      </c>
      <c r="D416" s="51" t="s">
        <v>362</v>
      </c>
      <c r="E416" s="51" t="s">
        <v>163</v>
      </c>
      <c r="F416" s="51" t="s">
        <v>160</v>
      </c>
      <c r="G416" s="51" t="s">
        <v>160</v>
      </c>
      <c r="H416" s="51" t="s">
        <v>160</v>
      </c>
      <c r="I416" s="51" t="s">
        <v>160</v>
      </c>
      <c r="J416" s="51" t="s">
        <v>172</v>
      </c>
      <c r="K416" s="51" t="s">
        <v>167</v>
      </c>
    </row>
    <row r="417" spans="1:11" x14ac:dyDescent="0.3">
      <c r="A417" s="51" t="s">
        <v>1049</v>
      </c>
      <c r="B417" s="51" t="s">
        <v>1050</v>
      </c>
      <c r="C417" s="51" t="s">
        <v>287</v>
      </c>
      <c r="D417" s="51" t="s">
        <v>362</v>
      </c>
      <c r="E417" s="51" t="s">
        <v>163</v>
      </c>
      <c r="F417" s="51" t="s">
        <v>160</v>
      </c>
      <c r="G417" s="51" t="s">
        <v>160</v>
      </c>
      <c r="H417" s="51" t="s">
        <v>160</v>
      </c>
      <c r="I417" s="51" t="s">
        <v>160</v>
      </c>
      <c r="J417" s="51" t="s">
        <v>172</v>
      </c>
      <c r="K417" s="51" t="s">
        <v>167</v>
      </c>
    </row>
    <row r="418" spans="1:11" x14ac:dyDescent="0.3">
      <c r="A418" s="51" t="s">
        <v>1051</v>
      </c>
      <c r="B418" s="51" t="s">
        <v>1052</v>
      </c>
      <c r="C418" s="51" t="s">
        <v>287</v>
      </c>
      <c r="D418" s="51" t="s">
        <v>362</v>
      </c>
      <c r="E418" s="51" t="s">
        <v>163</v>
      </c>
      <c r="F418" s="51" t="s">
        <v>160</v>
      </c>
      <c r="G418" s="51" t="s">
        <v>160</v>
      </c>
      <c r="H418" s="51" t="s">
        <v>160</v>
      </c>
      <c r="I418" s="51" t="s">
        <v>160</v>
      </c>
      <c r="J418" s="51" t="s">
        <v>172</v>
      </c>
      <c r="K418" s="51" t="s">
        <v>167</v>
      </c>
    </row>
    <row r="419" spans="1:11" x14ac:dyDescent="0.3">
      <c r="A419" s="51" t="s">
        <v>1053</v>
      </c>
      <c r="B419" s="51" t="s">
        <v>1054</v>
      </c>
      <c r="C419" s="51" t="s">
        <v>287</v>
      </c>
      <c r="D419" s="51" t="s">
        <v>362</v>
      </c>
      <c r="E419" s="51" t="s">
        <v>163</v>
      </c>
      <c r="F419" s="51" t="s">
        <v>160</v>
      </c>
      <c r="G419" s="51" t="s">
        <v>160</v>
      </c>
      <c r="H419" s="51" t="s">
        <v>160</v>
      </c>
      <c r="I419" s="51" t="s">
        <v>160</v>
      </c>
      <c r="J419" s="51" t="s">
        <v>172</v>
      </c>
      <c r="K419" s="51" t="s">
        <v>273</v>
      </c>
    </row>
    <row r="420" spans="1:11" x14ac:dyDescent="0.3">
      <c r="A420" s="51" t="s">
        <v>1055</v>
      </c>
      <c r="B420" s="51" t="s">
        <v>1056</v>
      </c>
      <c r="C420" s="51" t="s">
        <v>287</v>
      </c>
      <c r="D420" s="51" t="s">
        <v>362</v>
      </c>
      <c r="E420" s="51" t="s">
        <v>163</v>
      </c>
      <c r="F420" s="51" t="s">
        <v>160</v>
      </c>
      <c r="G420" s="51" t="s">
        <v>160</v>
      </c>
      <c r="H420" s="51" t="s">
        <v>160</v>
      </c>
      <c r="I420" s="51" t="s">
        <v>160</v>
      </c>
      <c r="J420" s="51" t="s">
        <v>172</v>
      </c>
      <c r="K420" s="51" t="s">
        <v>273</v>
      </c>
    </row>
    <row r="421" spans="1:11" x14ac:dyDescent="0.3">
      <c r="A421" s="51" t="s">
        <v>1057</v>
      </c>
      <c r="B421" s="51" t="s">
        <v>1058</v>
      </c>
      <c r="C421" s="51" t="s">
        <v>287</v>
      </c>
      <c r="D421" s="51" t="s">
        <v>362</v>
      </c>
      <c r="E421" s="51" t="s">
        <v>163</v>
      </c>
      <c r="F421" s="51" t="s">
        <v>160</v>
      </c>
      <c r="G421" s="51" t="s">
        <v>160</v>
      </c>
      <c r="H421" s="51" t="s">
        <v>160</v>
      </c>
      <c r="I421" s="51" t="s">
        <v>160</v>
      </c>
      <c r="J421" s="51" t="s">
        <v>172</v>
      </c>
      <c r="K421" s="51" t="s">
        <v>167</v>
      </c>
    </row>
    <row r="422" spans="1:11" x14ac:dyDescent="0.3">
      <c r="A422" s="51" t="s">
        <v>1059</v>
      </c>
      <c r="B422" s="51" t="s">
        <v>1060</v>
      </c>
      <c r="C422" s="51" t="s">
        <v>287</v>
      </c>
      <c r="D422" s="51" t="s">
        <v>362</v>
      </c>
      <c r="E422" s="51" t="s">
        <v>163</v>
      </c>
      <c r="F422" s="51" t="s">
        <v>160</v>
      </c>
      <c r="G422" s="51" t="s">
        <v>160</v>
      </c>
      <c r="H422" s="51" t="s">
        <v>160</v>
      </c>
      <c r="I422" s="51" t="s">
        <v>160</v>
      </c>
      <c r="J422" s="51" t="s">
        <v>1061</v>
      </c>
      <c r="K422" s="51" t="s">
        <v>167</v>
      </c>
    </row>
    <row r="423" spans="1:11" x14ac:dyDescent="0.3">
      <c r="A423" s="51" t="s">
        <v>1062</v>
      </c>
      <c r="B423" s="51" t="s">
        <v>1063</v>
      </c>
      <c r="C423" s="51" t="s">
        <v>287</v>
      </c>
      <c r="D423" s="51" t="s">
        <v>362</v>
      </c>
      <c r="E423" s="51" t="s">
        <v>163</v>
      </c>
      <c r="F423" s="51" t="s">
        <v>160</v>
      </c>
      <c r="G423" s="51" t="s">
        <v>160</v>
      </c>
      <c r="H423" s="51" t="s">
        <v>160</v>
      </c>
      <c r="I423" s="51" t="s">
        <v>160</v>
      </c>
      <c r="J423" s="51" t="s">
        <v>272</v>
      </c>
      <c r="K423" s="51" t="s">
        <v>167</v>
      </c>
    </row>
    <row r="424" spans="1:11" x14ac:dyDescent="0.3">
      <c r="A424" s="51" t="s">
        <v>1064</v>
      </c>
      <c r="B424" s="51" t="s">
        <v>1065</v>
      </c>
      <c r="C424" s="51" t="s">
        <v>287</v>
      </c>
      <c r="D424" s="51" t="s">
        <v>362</v>
      </c>
      <c r="E424" s="51" t="s">
        <v>163</v>
      </c>
      <c r="F424" s="51" t="s">
        <v>160</v>
      </c>
      <c r="G424" s="51" t="s">
        <v>160</v>
      </c>
      <c r="H424" s="51" t="s">
        <v>160</v>
      </c>
      <c r="I424" s="51" t="s">
        <v>160</v>
      </c>
      <c r="J424" s="51" t="s">
        <v>172</v>
      </c>
      <c r="K424" s="51" t="s">
        <v>273</v>
      </c>
    </row>
    <row r="425" spans="1:11" x14ac:dyDescent="0.3">
      <c r="A425" s="51" t="s">
        <v>1066</v>
      </c>
      <c r="B425" s="51" t="s">
        <v>1067</v>
      </c>
      <c r="C425" s="51" t="s">
        <v>287</v>
      </c>
      <c r="D425" s="51" t="s">
        <v>362</v>
      </c>
      <c r="E425" s="51" t="s">
        <v>163</v>
      </c>
      <c r="F425" s="51" t="s">
        <v>160</v>
      </c>
      <c r="G425" s="51" t="s">
        <v>160</v>
      </c>
      <c r="H425" s="51" t="s">
        <v>160</v>
      </c>
      <c r="I425" s="51" t="s">
        <v>160</v>
      </c>
      <c r="J425" s="51" t="s">
        <v>172</v>
      </c>
      <c r="K425" s="51" t="s">
        <v>167</v>
      </c>
    </row>
    <row r="426" spans="1:11" x14ac:dyDescent="0.3">
      <c r="A426" s="51" t="s">
        <v>1068</v>
      </c>
      <c r="B426" s="51" t="s">
        <v>1069</v>
      </c>
      <c r="C426" s="51" t="s">
        <v>287</v>
      </c>
      <c r="D426" s="51" t="s">
        <v>362</v>
      </c>
      <c r="E426" s="51" t="s">
        <v>163</v>
      </c>
      <c r="F426" s="51" t="s">
        <v>160</v>
      </c>
      <c r="G426" s="51" t="s">
        <v>160</v>
      </c>
      <c r="H426" s="51" t="s">
        <v>160</v>
      </c>
      <c r="I426" s="51" t="s">
        <v>160</v>
      </c>
      <c r="J426" s="51" t="s">
        <v>166</v>
      </c>
      <c r="K426" s="51" t="s">
        <v>167</v>
      </c>
    </row>
    <row r="427" spans="1:11" x14ac:dyDescent="0.3">
      <c r="A427" s="51" t="s">
        <v>1070</v>
      </c>
      <c r="B427" s="51" t="s">
        <v>1071</v>
      </c>
      <c r="C427" s="51" t="s">
        <v>287</v>
      </c>
      <c r="D427" s="51" t="s">
        <v>362</v>
      </c>
      <c r="E427" s="51" t="s">
        <v>163</v>
      </c>
      <c r="F427" s="51" t="s">
        <v>160</v>
      </c>
      <c r="G427" s="51" t="s">
        <v>160</v>
      </c>
      <c r="H427" s="51" t="s">
        <v>160</v>
      </c>
      <c r="I427" s="51" t="s">
        <v>160</v>
      </c>
      <c r="J427" s="51" t="s">
        <v>172</v>
      </c>
      <c r="K427" s="51" t="s">
        <v>273</v>
      </c>
    </row>
    <row r="428" spans="1:11" x14ac:dyDescent="0.3">
      <c r="A428" s="51" t="s">
        <v>1072</v>
      </c>
      <c r="B428" s="51" t="s">
        <v>1073</v>
      </c>
      <c r="C428" s="51" t="s">
        <v>287</v>
      </c>
      <c r="D428" s="51" t="s">
        <v>362</v>
      </c>
      <c r="E428" s="51" t="s">
        <v>163</v>
      </c>
      <c r="F428" s="51" t="s">
        <v>160</v>
      </c>
      <c r="G428" s="51" t="s">
        <v>160</v>
      </c>
      <c r="H428" s="51" t="s">
        <v>160</v>
      </c>
      <c r="I428" s="51" t="s">
        <v>160</v>
      </c>
      <c r="J428" s="51" t="s">
        <v>172</v>
      </c>
      <c r="K428" s="51" t="s">
        <v>167</v>
      </c>
    </row>
    <row r="429" spans="1:11" x14ac:dyDescent="0.3">
      <c r="A429" s="51" t="s">
        <v>1074</v>
      </c>
      <c r="B429" s="51" t="s">
        <v>1075</v>
      </c>
      <c r="C429" s="51" t="s">
        <v>287</v>
      </c>
      <c r="D429" s="51" t="s">
        <v>362</v>
      </c>
      <c r="E429" s="51" t="s">
        <v>163</v>
      </c>
      <c r="F429" s="51" t="s">
        <v>160</v>
      </c>
      <c r="G429" s="51" t="s">
        <v>160</v>
      </c>
      <c r="H429" s="51" t="s">
        <v>160</v>
      </c>
      <c r="I429" s="51" t="s">
        <v>160</v>
      </c>
      <c r="J429" s="51" t="s">
        <v>172</v>
      </c>
      <c r="K429" s="51" t="s">
        <v>167</v>
      </c>
    </row>
    <row r="430" spans="1:11" x14ac:dyDescent="0.3">
      <c r="A430" s="51" t="s">
        <v>1076</v>
      </c>
      <c r="B430" s="51" t="s">
        <v>1077</v>
      </c>
      <c r="C430" s="51" t="s">
        <v>287</v>
      </c>
      <c r="D430" s="51" t="s">
        <v>362</v>
      </c>
      <c r="E430" s="51" t="s">
        <v>163</v>
      </c>
      <c r="F430" s="51" t="s">
        <v>160</v>
      </c>
      <c r="G430" s="51" t="s">
        <v>160</v>
      </c>
      <c r="H430" s="51" t="s">
        <v>160</v>
      </c>
      <c r="I430" s="51" t="s">
        <v>160</v>
      </c>
      <c r="J430" s="51" t="s">
        <v>172</v>
      </c>
      <c r="K430" s="51" t="s">
        <v>167</v>
      </c>
    </row>
    <row r="431" spans="1:11" x14ac:dyDescent="0.3">
      <c r="A431" s="51" t="s">
        <v>1078</v>
      </c>
      <c r="B431" s="51" t="s">
        <v>1079</v>
      </c>
      <c r="C431" s="51" t="s">
        <v>287</v>
      </c>
      <c r="D431" s="51" t="s">
        <v>362</v>
      </c>
      <c r="E431" s="51" t="s">
        <v>163</v>
      </c>
      <c r="F431" s="51" t="s">
        <v>160</v>
      </c>
      <c r="G431" s="51" t="s">
        <v>160</v>
      </c>
      <c r="H431" s="51" t="s">
        <v>160</v>
      </c>
      <c r="I431" s="51" t="s">
        <v>160</v>
      </c>
      <c r="J431" s="51" t="s">
        <v>166</v>
      </c>
      <c r="K431" s="51" t="s">
        <v>167</v>
      </c>
    </row>
    <row r="432" spans="1:11" x14ac:dyDescent="0.3">
      <c r="A432" s="51" t="s">
        <v>1080</v>
      </c>
      <c r="B432" s="51" t="s">
        <v>1081</v>
      </c>
      <c r="C432" s="51" t="s">
        <v>287</v>
      </c>
      <c r="D432" s="51" t="s">
        <v>362</v>
      </c>
      <c r="E432" s="51" t="s">
        <v>163</v>
      </c>
      <c r="F432" s="51" t="s">
        <v>160</v>
      </c>
      <c r="G432" s="51" t="s">
        <v>160</v>
      </c>
      <c r="H432" s="51" t="s">
        <v>160</v>
      </c>
      <c r="I432" s="51" t="s">
        <v>160</v>
      </c>
      <c r="J432" s="51" t="s">
        <v>1082</v>
      </c>
      <c r="K432" s="51" t="s">
        <v>167</v>
      </c>
    </row>
    <row r="433" spans="1:11" x14ac:dyDescent="0.3">
      <c r="A433" s="51" t="s">
        <v>1083</v>
      </c>
      <c r="B433" s="51" t="s">
        <v>1084</v>
      </c>
      <c r="C433" s="51" t="s">
        <v>287</v>
      </c>
      <c r="D433" s="51" t="s">
        <v>362</v>
      </c>
      <c r="E433" s="51" t="s">
        <v>163</v>
      </c>
      <c r="F433" s="51" t="s">
        <v>160</v>
      </c>
      <c r="G433" s="51" t="s">
        <v>160</v>
      </c>
      <c r="H433" s="51" t="s">
        <v>160</v>
      </c>
      <c r="I433" s="51" t="s">
        <v>160</v>
      </c>
      <c r="J433" s="51" t="s">
        <v>182</v>
      </c>
      <c r="K433" s="51" t="s">
        <v>167</v>
      </c>
    </row>
    <row r="434" spans="1:11" x14ac:dyDescent="0.3">
      <c r="A434" s="51" t="s">
        <v>1085</v>
      </c>
      <c r="B434" s="51" t="s">
        <v>1086</v>
      </c>
      <c r="C434" s="51" t="s">
        <v>287</v>
      </c>
      <c r="D434" s="51" t="s">
        <v>362</v>
      </c>
      <c r="E434" s="51" t="s">
        <v>163</v>
      </c>
      <c r="F434" s="51" t="s">
        <v>160</v>
      </c>
      <c r="G434" s="51" t="s">
        <v>160</v>
      </c>
      <c r="H434" s="51" t="s">
        <v>160</v>
      </c>
      <c r="I434" s="51" t="s">
        <v>160</v>
      </c>
      <c r="J434" s="51" t="s">
        <v>172</v>
      </c>
      <c r="K434" s="51" t="s">
        <v>167</v>
      </c>
    </row>
    <row r="435" spans="1:11" x14ac:dyDescent="0.3">
      <c r="A435" s="51" t="s">
        <v>1087</v>
      </c>
      <c r="B435" s="51" t="s">
        <v>1088</v>
      </c>
      <c r="C435" s="51" t="s">
        <v>287</v>
      </c>
      <c r="D435" s="51" t="s">
        <v>362</v>
      </c>
      <c r="E435" s="51" t="s">
        <v>163</v>
      </c>
      <c r="F435" s="51" t="s">
        <v>160</v>
      </c>
      <c r="G435" s="51" t="s">
        <v>160</v>
      </c>
      <c r="H435" s="51" t="s">
        <v>160</v>
      </c>
      <c r="I435" s="51" t="s">
        <v>160</v>
      </c>
      <c r="J435" s="51" t="s">
        <v>272</v>
      </c>
      <c r="K435" s="51" t="s">
        <v>167</v>
      </c>
    </row>
    <row r="436" spans="1:11" x14ac:dyDescent="0.3">
      <c r="A436" s="51" t="s">
        <v>1089</v>
      </c>
      <c r="B436" s="51" t="s">
        <v>1090</v>
      </c>
      <c r="C436" s="51" t="s">
        <v>287</v>
      </c>
      <c r="D436" s="51" t="s">
        <v>362</v>
      </c>
      <c r="E436" s="51" t="s">
        <v>163</v>
      </c>
      <c r="F436" s="51" t="s">
        <v>160</v>
      </c>
      <c r="G436" s="51" t="s">
        <v>160</v>
      </c>
      <c r="H436" s="51" t="s">
        <v>160</v>
      </c>
      <c r="I436" s="51" t="s">
        <v>160</v>
      </c>
      <c r="J436" s="51" t="s">
        <v>272</v>
      </c>
      <c r="K436" s="51" t="s">
        <v>167</v>
      </c>
    </row>
    <row r="437" spans="1:11" x14ac:dyDescent="0.3">
      <c r="A437" s="51" t="s">
        <v>1091</v>
      </c>
      <c r="B437" s="51" t="s">
        <v>1092</v>
      </c>
      <c r="C437" s="51" t="s">
        <v>287</v>
      </c>
      <c r="D437" s="51" t="s">
        <v>362</v>
      </c>
      <c r="E437" s="51" t="s">
        <v>163</v>
      </c>
      <c r="F437" s="51" t="s">
        <v>160</v>
      </c>
      <c r="G437" s="51" t="s">
        <v>160</v>
      </c>
      <c r="H437" s="51" t="s">
        <v>160</v>
      </c>
      <c r="I437" s="51" t="s">
        <v>160</v>
      </c>
      <c r="J437" s="51" t="s">
        <v>272</v>
      </c>
      <c r="K437" s="51" t="s">
        <v>167</v>
      </c>
    </row>
    <row r="438" spans="1:11" x14ac:dyDescent="0.3">
      <c r="A438" s="51" t="s">
        <v>1093</v>
      </c>
      <c r="B438" s="51" t="s">
        <v>1094</v>
      </c>
      <c r="C438" s="51" t="s">
        <v>287</v>
      </c>
      <c r="D438" s="51" t="s">
        <v>362</v>
      </c>
      <c r="E438" s="51" t="s">
        <v>163</v>
      </c>
      <c r="F438" s="51" t="s">
        <v>160</v>
      </c>
      <c r="G438" s="51" t="s">
        <v>160</v>
      </c>
      <c r="H438" s="51" t="s">
        <v>160</v>
      </c>
      <c r="I438" s="51" t="s">
        <v>160</v>
      </c>
      <c r="J438" s="51" t="s">
        <v>249</v>
      </c>
      <c r="K438" s="51" t="s">
        <v>167</v>
      </c>
    </row>
    <row r="439" spans="1:11" x14ac:dyDescent="0.3">
      <c r="A439" s="51" t="s">
        <v>1095</v>
      </c>
      <c r="B439" s="51" t="s">
        <v>1096</v>
      </c>
      <c r="C439" s="51" t="s">
        <v>287</v>
      </c>
      <c r="D439" s="51" t="s">
        <v>362</v>
      </c>
      <c r="E439" s="51" t="s">
        <v>163</v>
      </c>
      <c r="F439" s="51" t="s">
        <v>160</v>
      </c>
      <c r="G439" s="51" t="s">
        <v>160</v>
      </c>
      <c r="H439" s="51" t="s">
        <v>160</v>
      </c>
      <c r="I439" s="51" t="s">
        <v>160</v>
      </c>
      <c r="J439" s="51" t="s">
        <v>172</v>
      </c>
      <c r="K439" s="51" t="s">
        <v>167</v>
      </c>
    </row>
    <row r="440" spans="1:11" x14ac:dyDescent="0.3">
      <c r="A440" s="51" t="s">
        <v>1097</v>
      </c>
      <c r="B440" s="51" t="s">
        <v>1098</v>
      </c>
      <c r="C440" s="51" t="s">
        <v>287</v>
      </c>
      <c r="D440" s="51" t="s">
        <v>362</v>
      </c>
      <c r="E440" s="51" t="s">
        <v>163</v>
      </c>
      <c r="F440" s="51" t="s">
        <v>160</v>
      </c>
      <c r="G440" s="51" t="s">
        <v>160</v>
      </c>
      <c r="H440" s="51" t="s">
        <v>160</v>
      </c>
      <c r="I440" s="51" t="s">
        <v>160</v>
      </c>
      <c r="J440" s="51" t="s">
        <v>172</v>
      </c>
      <c r="K440" s="51" t="s">
        <v>167</v>
      </c>
    </row>
    <row r="441" spans="1:11" x14ac:dyDescent="0.3">
      <c r="A441" s="51" t="s">
        <v>1099</v>
      </c>
      <c r="B441" s="51" t="s">
        <v>1100</v>
      </c>
      <c r="C441" s="51" t="s">
        <v>287</v>
      </c>
      <c r="D441" s="51" t="s">
        <v>362</v>
      </c>
      <c r="E441" s="51" t="s">
        <v>163</v>
      </c>
      <c r="F441" s="51" t="s">
        <v>160</v>
      </c>
      <c r="G441" s="51" t="s">
        <v>160</v>
      </c>
      <c r="H441" s="51" t="s">
        <v>160</v>
      </c>
      <c r="I441" s="51" t="s">
        <v>160</v>
      </c>
      <c r="J441" s="51" t="s">
        <v>172</v>
      </c>
      <c r="K441" s="51" t="s">
        <v>167</v>
      </c>
    </row>
    <row r="442" spans="1:11" x14ac:dyDescent="0.3">
      <c r="A442" s="51" t="s">
        <v>1101</v>
      </c>
      <c r="B442" s="51" t="s">
        <v>1102</v>
      </c>
      <c r="C442" s="51" t="s">
        <v>287</v>
      </c>
      <c r="D442" s="51" t="s">
        <v>362</v>
      </c>
      <c r="E442" s="51" t="s">
        <v>163</v>
      </c>
      <c r="F442" s="51" t="s">
        <v>160</v>
      </c>
      <c r="G442" s="51" t="s">
        <v>160</v>
      </c>
      <c r="H442" s="51" t="s">
        <v>160</v>
      </c>
      <c r="I442" s="51" t="s">
        <v>160</v>
      </c>
      <c r="J442" s="51" t="s">
        <v>172</v>
      </c>
      <c r="K442" s="51" t="s">
        <v>167</v>
      </c>
    </row>
    <row r="443" spans="1:11" x14ac:dyDescent="0.3">
      <c r="A443" s="51" t="s">
        <v>1103</v>
      </c>
      <c r="B443" s="51" t="s">
        <v>1104</v>
      </c>
      <c r="C443" s="51" t="s">
        <v>287</v>
      </c>
      <c r="D443" s="51" t="s">
        <v>362</v>
      </c>
      <c r="E443" s="51" t="s">
        <v>163</v>
      </c>
      <c r="F443" s="51" t="s">
        <v>160</v>
      </c>
      <c r="G443" s="51" t="s">
        <v>160</v>
      </c>
      <c r="H443" s="51" t="s">
        <v>160</v>
      </c>
      <c r="I443" s="51" t="s">
        <v>160</v>
      </c>
      <c r="J443" s="51" t="s">
        <v>172</v>
      </c>
      <c r="K443" s="51" t="s">
        <v>167</v>
      </c>
    </row>
    <row r="444" spans="1:11" x14ac:dyDescent="0.3">
      <c r="A444" s="51" t="s">
        <v>1105</v>
      </c>
      <c r="B444" s="51" t="s">
        <v>1106</v>
      </c>
      <c r="C444" s="51" t="s">
        <v>287</v>
      </c>
      <c r="D444" s="51" t="s">
        <v>362</v>
      </c>
      <c r="E444" s="51" t="s">
        <v>163</v>
      </c>
      <c r="F444" s="51" t="s">
        <v>160</v>
      </c>
      <c r="G444" s="51" t="s">
        <v>160</v>
      </c>
      <c r="H444" s="51" t="s">
        <v>160</v>
      </c>
      <c r="I444" s="51" t="s">
        <v>160</v>
      </c>
      <c r="J444" s="51" t="s">
        <v>172</v>
      </c>
      <c r="K444" s="51" t="s">
        <v>167</v>
      </c>
    </row>
    <row r="445" spans="1:11" x14ac:dyDescent="0.3">
      <c r="A445" s="51" t="s">
        <v>1107</v>
      </c>
      <c r="B445" s="51" t="s">
        <v>1108</v>
      </c>
      <c r="C445" s="51" t="s">
        <v>287</v>
      </c>
      <c r="D445" s="51" t="s">
        <v>362</v>
      </c>
      <c r="E445" s="51" t="s">
        <v>163</v>
      </c>
      <c r="F445" s="51" t="s">
        <v>160</v>
      </c>
      <c r="G445" s="51" t="s">
        <v>160</v>
      </c>
      <c r="H445" s="51" t="s">
        <v>160</v>
      </c>
      <c r="I445" s="51" t="s">
        <v>160</v>
      </c>
      <c r="J445" s="51" t="s">
        <v>172</v>
      </c>
      <c r="K445" s="51" t="s">
        <v>167</v>
      </c>
    </row>
    <row r="446" spans="1:11" x14ac:dyDescent="0.3">
      <c r="A446" s="51" t="s">
        <v>1109</v>
      </c>
      <c r="B446" s="51" t="s">
        <v>1110</v>
      </c>
      <c r="C446" s="51" t="s">
        <v>287</v>
      </c>
      <c r="D446" s="51" t="s">
        <v>362</v>
      </c>
      <c r="E446" s="51" t="s">
        <v>163</v>
      </c>
      <c r="F446" s="51" t="s">
        <v>160</v>
      </c>
      <c r="G446" s="51" t="s">
        <v>160</v>
      </c>
      <c r="H446" s="51" t="s">
        <v>160</v>
      </c>
      <c r="I446" s="51" t="s">
        <v>160</v>
      </c>
      <c r="J446" s="51" t="s">
        <v>272</v>
      </c>
      <c r="K446" s="51" t="s">
        <v>167</v>
      </c>
    </row>
    <row r="447" spans="1:11" x14ac:dyDescent="0.3">
      <c r="A447" s="51" t="s">
        <v>1111</v>
      </c>
      <c r="B447" s="51" t="s">
        <v>1112</v>
      </c>
      <c r="C447" s="51" t="s">
        <v>287</v>
      </c>
      <c r="D447" s="51" t="s">
        <v>362</v>
      </c>
      <c r="E447" s="51" t="s">
        <v>163</v>
      </c>
      <c r="F447" s="51" t="s">
        <v>160</v>
      </c>
      <c r="G447" s="51" t="s">
        <v>160</v>
      </c>
      <c r="H447" s="51" t="s">
        <v>160</v>
      </c>
      <c r="I447" s="51" t="s">
        <v>160</v>
      </c>
      <c r="J447" s="51" t="s">
        <v>182</v>
      </c>
      <c r="K447" s="51" t="s">
        <v>167</v>
      </c>
    </row>
    <row r="448" spans="1:11" x14ac:dyDescent="0.3">
      <c r="A448" s="51" t="s">
        <v>1113</v>
      </c>
      <c r="B448" s="51" t="s">
        <v>1114</v>
      </c>
      <c r="C448" s="51" t="s">
        <v>287</v>
      </c>
      <c r="D448" s="51" t="s">
        <v>362</v>
      </c>
      <c r="E448" s="51" t="s">
        <v>163</v>
      </c>
      <c r="F448" s="51" t="s">
        <v>160</v>
      </c>
      <c r="G448" s="51" t="s">
        <v>160</v>
      </c>
      <c r="H448" s="51" t="s">
        <v>160</v>
      </c>
      <c r="I448" s="51" t="s">
        <v>160</v>
      </c>
      <c r="J448" s="51" t="s">
        <v>172</v>
      </c>
      <c r="K448" s="51" t="s">
        <v>167</v>
      </c>
    </row>
    <row r="449" spans="1:11" x14ac:dyDescent="0.3">
      <c r="A449" s="51" t="s">
        <v>1115</v>
      </c>
      <c r="B449" s="51" t="s">
        <v>1116</v>
      </c>
      <c r="C449" s="51" t="s">
        <v>287</v>
      </c>
      <c r="D449" s="51" t="s">
        <v>362</v>
      </c>
      <c r="E449" s="51" t="s">
        <v>163</v>
      </c>
      <c r="F449" s="51" t="s">
        <v>160</v>
      </c>
      <c r="G449" s="51" t="s">
        <v>160</v>
      </c>
      <c r="H449" s="51" t="s">
        <v>160</v>
      </c>
      <c r="I449" s="51" t="s">
        <v>160</v>
      </c>
      <c r="J449" s="51" t="s">
        <v>172</v>
      </c>
      <c r="K449" s="51" t="s">
        <v>167</v>
      </c>
    </row>
    <row r="450" spans="1:11" x14ac:dyDescent="0.3">
      <c r="A450" s="51" t="s">
        <v>1117</v>
      </c>
      <c r="B450" s="51" t="s">
        <v>1118</v>
      </c>
      <c r="C450" s="51" t="s">
        <v>287</v>
      </c>
      <c r="D450" s="51" t="s">
        <v>362</v>
      </c>
      <c r="E450" s="51" t="s">
        <v>163</v>
      </c>
      <c r="F450" s="51" t="s">
        <v>160</v>
      </c>
      <c r="G450" s="51" t="s">
        <v>160</v>
      </c>
      <c r="H450" s="51" t="s">
        <v>160</v>
      </c>
      <c r="I450" s="51" t="s">
        <v>160</v>
      </c>
      <c r="J450" s="51" t="s">
        <v>172</v>
      </c>
      <c r="K450" s="51" t="s">
        <v>167</v>
      </c>
    </row>
    <row r="451" spans="1:11" x14ac:dyDescent="0.3">
      <c r="A451" s="51" t="s">
        <v>1119</v>
      </c>
      <c r="B451" s="51" t="s">
        <v>1120</v>
      </c>
      <c r="C451" s="51" t="s">
        <v>287</v>
      </c>
      <c r="D451" s="51" t="s">
        <v>362</v>
      </c>
      <c r="E451" s="51" t="s">
        <v>163</v>
      </c>
      <c r="F451" s="51" t="s">
        <v>160</v>
      </c>
      <c r="G451" s="51" t="s">
        <v>160</v>
      </c>
      <c r="H451" s="51" t="s">
        <v>160</v>
      </c>
      <c r="I451" s="51" t="s">
        <v>160</v>
      </c>
      <c r="J451" s="51" t="s">
        <v>172</v>
      </c>
      <c r="K451" s="51" t="s">
        <v>167</v>
      </c>
    </row>
    <row r="452" spans="1:11" x14ac:dyDescent="0.3">
      <c r="A452" s="51" t="s">
        <v>1121</v>
      </c>
      <c r="B452" s="51" t="s">
        <v>1122</v>
      </c>
      <c r="C452" s="51" t="s">
        <v>287</v>
      </c>
      <c r="D452" s="51" t="s">
        <v>362</v>
      </c>
      <c r="E452" s="51" t="s">
        <v>163</v>
      </c>
      <c r="F452" s="51" t="s">
        <v>160</v>
      </c>
      <c r="G452" s="51" t="s">
        <v>160</v>
      </c>
      <c r="H452" s="51" t="s">
        <v>160</v>
      </c>
      <c r="I452" s="51" t="s">
        <v>160</v>
      </c>
      <c r="J452" s="51" t="s">
        <v>172</v>
      </c>
      <c r="K452" s="51" t="s">
        <v>167</v>
      </c>
    </row>
    <row r="453" spans="1:11" x14ac:dyDescent="0.3">
      <c r="A453" s="51" t="s">
        <v>1123</v>
      </c>
      <c r="B453" s="51" t="s">
        <v>1124</v>
      </c>
      <c r="C453" s="51" t="s">
        <v>287</v>
      </c>
      <c r="D453" s="51" t="s">
        <v>362</v>
      </c>
      <c r="E453" s="51" t="s">
        <v>163</v>
      </c>
      <c r="F453" s="51" t="s">
        <v>160</v>
      </c>
      <c r="G453" s="51" t="s">
        <v>160</v>
      </c>
      <c r="H453" s="51" t="s">
        <v>160</v>
      </c>
      <c r="I453" s="51" t="s">
        <v>160</v>
      </c>
      <c r="J453" s="51" t="s">
        <v>172</v>
      </c>
      <c r="K453" s="51" t="s">
        <v>167</v>
      </c>
    </row>
    <row r="454" spans="1:11" x14ac:dyDescent="0.3">
      <c r="A454" s="51" t="s">
        <v>1125</v>
      </c>
      <c r="B454" s="51" t="s">
        <v>1126</v>
      </c>
      <c r="C454" s="51" t="s">
        <v>287</v>
      </c>
      <c r="D454" s="51" t="s">
        <v>362</v>
      </c>
      <c r="E454" s="51" t="s">
        <v>163</v>
      </c>
      <c r="F454" s="51" t="s">
        <v>160</v>
      </c>
      <c r="G454" s="51" t="s">
        <v>160</v>
      </c>
      <c r="H454" s="51" t="s">
        <v>160</v>
      </c>
      <c r="I454" s="51" t="s">
        <v>160</v>
      </c>
      <c r="J454" s="51" t="s">
        <v>172</v>
      </c>
      <c r="K454" s="51" t="s">
        <v>167</v>
      </c>
    </row>
    <row r="455" spans="1:11" x14ac:dyDescent="0.3">
      <c r="A455" s="51" t="s">
        <v>1127</v>
      </c>
      <c r="B455" s="51" t="s">
        <v>1128</v>
      </c>
      <c r="C455" s="51" t="s">
        <v>287</v>
      </c>
      <c r="D455" s="51" t="s">
        <v>362</v>
      </c>
      <c r="E455" s="51" t="s">
        <v>163</v>
      </c>
      <c r="F455" s="51" t="s">
        <v>160</v>
      </c>
      <c r="G455" s="51" t="s">
        <v>160</v>
      </c>
      <c r="H455" s="51" t="s">
        <v>160</v>
      </c>
      <c r="I455" s="51" t="s">
        <v>160</v>
      </c>
      <c r="J455" s="51" t="s">
        <v>182</v>
      </c>
      <c r="K455" s="51" t="s">
        <v>167</v>
      </c>
    </row>
    <row r="456" spans="1:11" x14ac:dyDescent="0.3">
      <c r="A456" s="51" t="s">
        <v>1129</v>
      </c>
      <c r="B456" s="51" t="s">
        <v>1130</v>
      </c>
      <c r="C456" s="51" t="s">
        <v>287</v>
      </c>
      <c r="D456" s="51" t="s">
        <v>362</v>
      </c>
      <c r="E456" s="51" t="s">
        <v>163</v>
      </c>
      <c r="F456" s="51" t="s">
        <v>160</v>
      </c>
      <c r="G456" s="51" t="s">
        <v>160</v>
      </c>
      <c r="H456" s="51" t="s">
        <v>160</v>
      </c>
      <c r="I456" s="51" t="s">
        <v>160</v>
      </c>
      <c r="J456" s="51" t="s">
        <v>182</v>
      </c>
      <c r="K456" s="51" t="s">
        <v>167</v>
      </c>
    </row>
    <row r="457" spans="1:11" x14ac:dyDescent="0.3">
      <c r="A457" s="51" t="s">
        <v>1131</v>
      </c>
      <c r="B457" s="51" t="s">
        <v>1132</v>
      </c>
      <c r="C457" s="51" t="s">
        <v>287</v>
      </c>
      <c r="D457" s="51" t="s">
        <v>362</v>
      </c>
      <c r="E457" s="51" t="s">
        <v>163</v>
      </c>
      <c r="F457" s="51" t="s">
        <v>160</v>
      </c>
      <c r="G457" s="51" t="s">
        <v>160</v>
      </c>
      <c r="H457" s="51" t="s">
        <v>160</v>
      </c>
      <c r="I457" s="51" t="s">
        <v>160</v>
      </c>
      <c r="J457" s="51" t="s">
        <v>182</v>
      </c>
      <c r="K457" s="51" t="s">
        <v>167</v>
      </c>
    </row>
    <row r="458" spans="1:11" x14ac:dyDescent="0.3">
      <c r="A458" s="51" t="s">
        <v>1133</v>
      </c>
      <c r="B458" s="51" t="s">
        <v>1134</v>
      </c>
      <c r="C458" s="51" t="s">
        <v>287</v>
      </c>
      <c r="D458" s="51" t="s">
        <v>362</v>
      </c>
      <c r="E458" s="51" t="s">
        <v>163</v>
      </c>
      <c r="F458" s="51" t="s">
        <v>160</v>
      </c>
      <c r="G458" s="51" t="s">
        <v>160</v>
      </c>
      <c r="H458" s="51" t="s">
        <v>160</v>
      </c>
      <c r="I458" s="51" t="s">
        <v>160</v>
      </c>
      <c r="J458" s="51" t="s">
        <v>172</v>
      </c>
      <c r="K458" s="51" t="s">
        <v>167</v>
      </c>
    </row>
    <row r="459" spans="1:11" x14ac:dyDescent="0.3">
      <c r="A459" s="51" t="s">
        <v>1135</v>
      </c>
      <c r="B459" s="51" t="s">
        <v>1136</v>
      </c>
      <c r="C459" s="51" t="s">
        <v>287</v>
      </c>
      <c r="D459" s="51" t="s">
        <v>362</v>
      </c>
      <c r="E459" s="51" t="s">
        <v>163</v>
      </c>
      <c r="F459" s="51" t="s">
        <v>160</v>
      </c>
      <c r="G459" s="51" t="s">
        <v>160</v>
      </c>
      <c r="H459" s="51" t="s">
        <v>160</v>
      </c>
      <c r="I459" s="51" t="s">
        <v>160</v>
      </c>
      <c r="J459" s="51" t="s">
        <v>182</v>
      </c>
      <c r="K459" s="51" t="s">
        <v>167</v>
      </c>
    </row>
    <row r="460" spans="1:11" x14ac:dyDescent="0.3">
      <c r="A460" s="51" t="s">
        <v>1137</v>
      </c>
      <c r="B460" s="51" t="s">
        <v>1138</v>
      </c>
      <c r="C460" s="51" t="s">
        <v>287</v>
      </c>
      <c r="D460" s="51" t="s">
        <v>362</v>
      </c>
      <c r="E460" s="51" t="s">
        <v>163</v>
      </c>
      <c r="F460" s="51" t="s">
        <v>160</v>
      </c>
      <c r="G460" s="51" t="s">
        <v>160</v>
      </c>
      <c r="H460" s="51" t="s">
        <v>160</v>
      </c>
      <c r="I460" s="51" t="s">
        <v>160</v>
      </c>
      <c r="J460" s="51" t="s">
        <v>172</v>
      </c>
      <c r="K460" s="51" t="s">
        <v>167</v>
      </c>
    </row>
    <row r="461" spans="1:11" x14ac:dyDescent="0.3">
      <c r="A461" s="51" t="s">
        <v>1139</v>
      </c>
      <c r="B461" s="51" t="s">
        <v>1140</v>
      </c>
      <c r="C461" s="51" t="s">
        <v>287</v>
      </c>
      <c r="D461" s="51" t="s">
        <v>362</v>
      </c>
      <c r="E461" s="51" t="s">
        <v>163</v>
      </c>
      <c r="F461" s="51" t="s">
        <v>160</v>
      </c>
      <c r="G461" s="51" t="s">
        <v>160</v>
      </c>
      <c r="H461" s="51" t="s">
        <v>160</v>
      </c>
      <c r="I461" s="51" t="s">
        <v>160</v>
      </c>
      <c r="J461" s="51" t="s">
        <v>272</v>
      </c>
      <c r="K461" s="51" t="s">
        <v>167</v>
      </c>
    </row>
    <row r="462" spans="1:11" x14ac:dyDescent="0.3">
      <c r="A462" s="51" t="s">
        <v>1141</v>
      </c>
      <c r="B462" s="51" t="s">
        <v>1142</v>
      </c>
      <c r="C462" s="51" t="s">
        <v>287</v>
      </c>
      <c r="D462" s="51" t="s">
        <v>362</v>
      </c>
      <c r="E462" s="51" t="s">
        <v>163</v>
      </c>
      <c r="F462" s="51" t="s">
        <v>160</v>
      </c>
      <c r="G462" s="51" t="s">
        <v>160</v>
      </c>
      <c r="H462" s="51" t="s">
        <v>160</v>
      </c>
      <c r="I462" s="51" t="s">
        <v>160</v>
      </c>
      <c r="J462" s="51" t="s">
        <v>357</v>
      </c>
      <c r="K462" s="51" t="s">
        <v>273</v>
      </c>
    </row>
    <row r="463" spans="1:11" x14ac:dyDescent="0.3">
      <c r="A463" s="51" t="s">
        <v>1143</v>
      </c>
      <c r="B463" s="51" t="s">
        <v>1144</v>
      </c>
      <c r="C463" s="51" t="s">
        <v>287</v>
      </c>
      <c r="D463" s="51" t="s">
        <v>362</v>
      </c>
      <c r="E463" s="51" t="s">
        <v>163</v>
      </c>
      <c r="F463" s="51" t="s">
        <v>160</v>
      </c>
      <c r="G463" s="51" t="s">
        <v>160</v>
      </c>
      <c r="H463" s="51" t="s">
        <v>160</v>
      </c>
      <c r="I463" s="51" t="s">
        <v>160</v>
      </c>
      <c r="J463" s="51" t="s">
        <v>172</v>
      </c>
      <c r="K463" s="51" t="s">
        <v>273</v>
      </c>
    </row>
    <row r="464" spans="1:11" x14ac:dyDescent="0.3">
      <c r="A464" s="51" t="s">
        <v>1145</v>
      </c>
      <c r="B464" s="51" t="s">
        <v>1146</v>
      </c>
      <c r="C464" s="51" t="s">
        <v>287</v>
      </c>
      <c r="D464" s="51" t="s">
        <v>362</v>
      </c>
      <c r="E464" s="51" t="s">
        <v>163</v>
      </c>
      <c r="F464" s="51" t="s">
        <v>160</v>
      </c>
      <c r="G464" s="51" t="s">
        <v>160</v>
      </c>
      <c r="H464" s="51" t="s">
        <v>160</v>
      </c>
      <c r="I464" s="51" t="s">
        <v>160</v>
      </c>
      <c r="J464" s="51" t="s">
        <v>172</v>
      </c>
      <c r="K464" s="51" t="s">
        <v>167</v>
      </c>
    </row>
    <row r="465" spans="1:11" x14ac:dyDescent="0.3">
      <c r="A465" s="51" t="s">
        <v>1147</v>
      </c>
      <c r="B465" s="51" t="s">
        <v>1148</v>
      </c>
      <c r="C465" s="51" t="s">
        <v>287</v>
      </c>
      <c r="D465" s="51" t="s">
        <v>362</v>
      </c>
      <c r="E465" s="51" t="s">
        <v>163</v>
      </c>
      <c r="F465" s="51" t="s">
        <v>160</v>
      </c>
      <c r="G465" s="51" t="s">
        <v>160</v>
      </c>
      <c r="H465" s="51" t="s">
        <v>160</v>
      </c>
      <c r="I465" s="51" t="s">
        <v>160</v>
      </c>
      <c r="J465" s="51" t="s">
        <v>272</v>
      </c>
      <c r="K465" s="51" t="s">
        <v>167</v>
      </c>
    </row>
    <row r="466" spans="1:11" x14ac:dyDescent="0.3">
      <c r="A466" s="51" t="s">
        <v>1149</v>
      </c>
      <c r="B466" s="51" t="s">
        <v>1150</v>
      </c>
      <c r="C466" s="51" t="s">
        <v>287</v>
      </c>
      <c r="D466" s="51" t="s">
        <v>362</v>
      </c>
      <c r="E466" s="51" t="s">
        <v>163</v>
      </c>
      <c r="F466" s="51" t="s">
        <v>160</v>
      </c>
      <c r="G466" s="51" t="s">
        <v>160</v>
      </c>
      <c r="H466" s="51" t="s">
        <v>160</v>
      </c>
      <c r="I466" s="51" t="s">
        <v>160</v>
      </c>
      <c r="J466" s="51" t="s">
        <v>272</v>
      </c>
      <c r="K466" s="51" t="s">
        <v>167</v>
      </c>
    </row>
    <row r="467" spans="1:11" x14ac:dyDescent="0.3">
      <c r="A467" s="51" t="s">
        <v>1151</v>
      </c>
      <c r="B467" s="51" t="s">
        <v>1152</v>
      </c>
      <c r="C467" s="51" t="s">
        <v>264</v>
      </c>
      <c r="D467" s="51" t="s">
        <v>265</v>
      </c>
      <c r="E467" s="51" t="s">
        <v>163</v>
      </c>
      <c r="F467" s="51" t="s">
        <v>160</v>
      </c>
      <c r="G467" s="51" t="s">
        <v>160</v>
      </c>
      <c r="H467" s="51" t="s">
        <v>160</v>
      </c>
      <c r="I467" s="51" t="s">
        <v>160</v>
      </c>
      <c r="J467" s="51" t="s">
        <v>455</v>
      </c>
      <c r="K467" s="51" t="s">
        <v>167</v>
      </c>
    </row>
    <row r="468" spans="1:11" x14ac:dyDescent="0.3">
      <c r="A468" s="51" t="s">
        <v>1153</v>
      </c>
      <c r="B468" s="51" t="s">
        <v>1154</v>
      </c>
      <c r="C468" s="51" t="s">
        <v>264</v>
      </c>
      <c r="D468" s="51" t="s">
        <v>265</v>
      </c>
      <c r="E468" s="51" t="s">
        <v>163</v>
      </c>
      <c r="F468" s="51" t="s">
        <v>160</v>
      </c>
      <c r="G468" s="51" t="s">
        <v>160</v>
      </c>
      <c r="H468" s="51" t="s">
        <v>160</v>
      </c>
      <c r="I468" s="51" t="s">
        <v>160</v>
      </c>
      <c r="J468" s="51" t="s">
        <v>455</v>
      </c>
      <c r="K468" s="51" t="s">
        <v>167</v>
      </c>
    </row>
    <row r="469" spans="1:11" x14ac:dyDescent="0.3">
      <c r="A469" s="51" t="s">
        <v>1155</v>
      </c>
      <c r="B469" s="51" t="s">
        <v>1156</v>
      </c>
      <c r="C469" s="51" t="s">
        <v>264</v>
      </c>
      <c r="D469" s="51" t="s">
        <v>265</v>
      </c>
      <c r="E469" s="51" t="s">
        <v>163</v>
      </c>
      <c r="F469" s="51" t="s">
        <v>160</v>
      </c>
      <c r="G469" s="51" t="s">
        <v>160</v>
      </c>
      <c r="H469" s="51" t="s">
        <v>160</v>
      </c>
      <c r="I469" s="51" t="s">
        <v>160</v>
      </c>
      <c r="J469" s="51" t="s">
        <v>455</v>
      </c>
      <c r="K469" s="51" t="s">
        <v>167</v>
      </c>
    </row>
    <row r="470" spans="1:11" x14ac:dyDescent="0.3">
      <c r="A470" s="51" t="s">
        <v>1157</v>
      </c>
      <c r="B470" s="51" t="s">
        <v>1158</v>
      </c>
      <c r="C470" s="51" t="s">
        <v>264</v>
      </c>
      <c r="D470" s="51" t="s">
        <v>265</v>
      </c>
      <c r="E470" s="51" t="s">
        <v>163</v>
      </c>
      <c r="F470" s="51" t="s">
        <v>160</v>
      </c>
      <c r="G470" s="51" t="s">
        <v>160</v>
      </c>
      <c r="H470" s="51" t="s">
        <v>160</v>
      </c>
      <c r="I470" s="51" t="s">
        <v>160</v>
      </c>
      <c r="J470" s="51" t="s">
        <v>455</v>
      </c>
      <c r="K470" s="51" t="s">
        <v>167</v>
      </c>
    </row>
    <row r="471" spans="1:11" x14ac:dyDescent="0.3">
      <c r="A471" s="51" t="s">
        <v>1159</v>
      </c>
      <c r="B471" s="51" t="s">
        <v>1160</v>
      </c>
      <c r="C471" s="51" t="s">
        <v>264</v>
      </c>
      <c r="D471" s="51" t="s">
        <v>265</v>
      </c>
      <c r="E471" s="51" t="s">
        <v>163</v>
      </c>
      <c r="F471" s="51" t="s">
        <v>160</v>
      </c>
      <c r="G471" s="51" t="s">
        <v>160</v>
      </c>
      <c r="H471" s="51" t="s">
        <v>160</v>
      </c>
      <c r="I471" s="51" t="s">
        <v>160</v>
      </c>
      <c r="J471" s="51" t="s">
        <v>455</v>
      </c>
      <c r="K471" s="51" t="s">
        <v>167</v>
      </c>
    </row>
    <row r="472" spans="1:11" x14ac:dyDescent="0.3">
      <c r="A472" s="51" t="s">
        <v>1161</v>
      </c>
      <c r="B472" s="51" t="s">
        <v>1162</v>
      </c>
      <c r="C472" s="51" t="s">
        <v>264</v>
      </c>
      <c r="D472" s="51" t="s">
        <v>265</v>
      </c>
      <c r="E472" s="51" t="s">
        <v>163</v>
      </c>
      <c r="F472" s="51" t="s">
        <v>160</v>
      </c>
      <c r="G472" s="51" t="s">
        <v>160</v>
      </c>
      <c r="H472" s="51" t="s">
        <v>160</v>
      </c>
      <c r="I472" s="51" t="s">
        <v>160</v>
      </c>
      <c r="J472" s="51" t="s">
        <v>455</v>
      </c>
      <c r="K472" s="51" t="s">
        <v>167</v>
      </c>
    </row>
    <row r="473" spans="1:11" x14ac:dyDescent="0.3">
      <c r="A473" s="51" t="s">
        <v>1163</v>
      </c>
      <c r="B473" s="51" t="s">
        <v>1164</v>
      </c>
      <c r="C473" s="51" t="s">
        <v>264</v>
      </c>
      <c r="D473" s="51" t="s">
        <v>265</v>
      </c>
      <c r="E473" s="51" t="s">
        <v>163</v>
      </c>
      <c r="F473" s="51" t="s">
        <v>160</v>
      </c>
      <c r="G473" s="51" t="s">
        <v>160</v>
      </c>
      <c r="H473" s="51" t="s">
        <v>160</v>
      </c>
      <c r="I473" s="51" t="s">
        <v>160</v>
      </c>
      <c r="J473" s="51" t="s">
        <v>455</v>
      </c>
      <c r="K473" s="51" t="s">
        <v>167</v>
      </c>
    </row>
    <row r="474" spans="1:11" x14ac:dyDescent="0.3">
      <c r="A474" s="51" t="s">
        <v>1165</v>
      </c>
      <c r="B474" s="51" t="s">
        <v>1166</v>
      </c>
      <c r="C474" s="51" t="s">
        <v>170</v>
      </c>
      <c r="D474" s="51" t="s">
        <v>171</v>
      </c>
      <c r="E474" s="51" t="s">
        <v>163</v>
      </c>
      <c r="F474" s="51" t="s">
        <v>160</v>
      </c>
      <c r="G474" s="51" t="s">
        <v>160</v>
      </c>
      <c r="H474" s="51" t="s">
        <v>160</v>
      </c>
      <c r="I474" s="51" t="s">
        <v>160</v>
      </c>
      <c r="J474" s="51" t="s">
        <v>252</v>
      </c>
      <c r="K474" s="51" t="s">
        <v>167</v>
      </c>
    </row>
    <row r="475" spans="1:11" x14ac:dyDescent="0.3">
      <c r="A475" s="51" t="s">
        <v>1167</v>
      </c>
      <c r="B475" s="51" t="s">
        <v>1168</v>
      </c>
      <c r="C475" s="51" t="s">
        <v>170</v>
      </c>
      <c r="D475" s="51" t="s">
        <v>171</v>
      </c>
      <c r="E475" s="51" t="s">
        <v>163</v>
      </c>
      <c r="F475" s="51" t="s">
        <v>160</v>
      </c>
      <c r="G475" s="51" t="s">
        <v>160</v>
      </c>
      <c r="H475" s="51" t="s">
        <v>160</v>
      </c>
      <c r="I475" s="51" t="s">
        <v>160</v>
      </c>
      <c r="J475" s="51" t="s">
        <v>252</v>
      </c>
      <c r="K475" s="51" t="s">
        <v>167</v>
      </c>
    </row>
    <row r="476" spans="1:11" x14ac:dyDescent="0.3">
      <c r="A476" s="51" t="s">
        <v>1169</v>
      </c>
      <c r="B476" s="51" t="s">
        <v>563</v>
      </c>
      <c r="C476" s="51" t="s">
        <v>170</v>
      </c>
      <c r="D476" s="51" t="s">
        <v>171</v>
      </c>
      <c r="E476" s="51" t="s">
        <v>163</v>
      </c>
      <c r="F476" s="51" t="s">
        <v>160</v>
      </c>
      <c r="G476" s="51" t="s">
        <v>160</v>
      </c>
      <c r="H476" s="51" t="s">
        <v>160</v>
      </c>
      <c r="I476" s="51" t="s">
        <v>160</v>
      </c>
      <c r="J476" s="51" t="s">
        <v>252</v>
      </c>
      <c r="K476" s="51" t="s">
        <v>167</v>
      </c>
    </row>
    <row r="477" spans="1:11" x14ac:dyDescent="0.3">
      <c r="A477" s="51" t="s">
        <v>1170</v>
      </c>
      <c r="B477" s="51" t="s">
        <v>1171</v>
      </c>
      <c r="C477" s="51" t="s">
        <v>170</v>
      </c>
      <c r="D477" s="51" t="s">
        <v>171</v>
      </c>
      <c r="E477" s="51" t="s">
        <v>163</v>
      </c>
      <c r="F477" s="51" t="s">
        <v>160</v>
      </c>
      <c r="G477" s="51" t="s">
        <v>160</v>
      </c>
      <c r="H477" s="51" t="s">
        <v>160</v>
      </c>
      <c r="I477" s="51" t="s">
        <v>160</v>
      </c>
      <c r="J477" s="51" t="s">
        <v>349</v>
      </c>
      <c r="K477" s="51" t="s">
        <v>167</v>
      </c>
    </row>
    <row r="478" spans="1:11" x14ac:dyDescent="0.3">
      <c r="A478" s="51" t="s">
        <v>1172</v>
      </c>
      <c r="B478" s="51" t="s">
        <v>1173</v>
      </c>
      <c r="C478" s="51" t="s">
        <v>170</v>
      </c>
      <c r="D478" s="51" t="s">
        <v>171</v>
      </c>
      <c r="E478" s="51" t="s">
        <v>163</v>
      </c>
      <c r="F478" s="51" t="s">
        <v>160</v>
      </c>
      <c r="G478" s="51" t="s">
        <v>160</v>
      </c>
      <c r="H478" s="51" t="s">
        <v>160</v>
      </c>
      <c r="I478" s="51" t="s">
        <v>160</v>
      </c>
      <c r="J478" s="51" t="s">
        <v>252</v>
      </c>
      <c r="K478" s="51" t="s">
        <v>167</v>
      </c>
    </row>
    <row r="479" spans="1:11" x14ac:dyDescent="0.3">
      <c r="A479" s="51" t="s">
        <v>1174</v>
      </c>
      <c r="B479" s="51" t="s">
        <v>1175</v>
      </c>
      <c r="C479" s="51" t="s">
        <v>170</v>
      </c>
      <c r="D479" s="51" t="s">
        <v>171</v>
      </c>
      <c r="E479" s="51" t="s">
        <v>163</v>
      </c>
      <c r="F479" s="51" t="s">
        <v>160</v>
      </c>
      <c r="G479" s="51" t="s">
        <v>160</v>
      </c>
      <c r="H479" s="51" t="s">
        <v>160</v>
      </c>
      <c r="I479" s="51" t="s">
        <v>160</v>
      </c>
      <c r="J479" s="51" t="s">
        <v>252</v>
      </c>
      <c r="K479" s="51" t="s">
        <v>167</v>
      </c>
    </row>
    <row r="480" spans="1:11" x14ac:dyDescent="0.3">
      <c r="A480" s="51" t="s">
        <v>1176</v>
      </c>
      <c r="B480" s="51" t="s">
        <v>1177</v>
      </c>
      <c r="C480" s="51" t="s">
        <v>170</v>
      </c>
      <c r="D480" s="51" t="s">
        <v>171</v>
      </c>
      <c r="E480" s="51" t="s">
        <v>163</v>
      </c>
      <c r="F480" s="51" t="s">
        <v>160</v>
      </c>
      <c r="G480" s="51" t="s">
        <v>160</v>
      </c>
      <c r="H480" s="51" t="s">
        <v>160</v>
      </c>
      <c r="I480" s="51" t="s">
        <v>160</v>
      </c>
      <c r="J480" s="51" t="s">
        <v>252</v>
      </c>
      <c r="K480" s="51" t="s">
        <v>167</v>
      </c>
    </row>
    <row r="481" spans="1:11" x14ac:dyDescent="0.3">
      <c r="A481" s="51" t="s">
        <v>1178</v>
      </c>
      <c r="B481" s="51" t="s">
        <v>1179</v>
      </c>
      <c r="C481" s="51" t="s">
        <v>170</v>
      </c>
      <c r="D481" s="51" t="s">
        <v>171</v>
      </c>
      <c r="E481" s="51" t="s">
        <v>163</v>
      </c>
      <c r="F481" s="51" t="s">
        <v>160</v>
      </c>
      <c r="G481" s="51" t="s">
        <v>160</v>
      </c>
      <c r="H481" s="51" t="s">
        <v>160</v>
      </c>
      <c r="I481" s="51" t="s">
        <v>160</v>
      </c>
      <c r="J481" s="51" t="s">
        <v>252</v>
      </c>
      <c r="K481" s="51" t="s">
        <v>167</v>
      </c>
    </row>
    <row r="482" spans="1:11" x14ac:dyDescent="0.3">
      <c r="A482" s="51" t="s">
        <v>1180</v>
      </c>
      <c r="B482" s="51" t="s">
        <v>1181</v>
      </c>
      <c r="C482" s="51" t="s">
        <v>170</v>
      </c>
      <c r="D482" s="51" t="s">
        <v>171</v>
      </c>
      <c r="E482" s="51" t="s">
        <v>163</v>
      </c>
      <c r="F482" s="51" t="s">
        <v>160</v>
      </c>
      <c r="G482" s="51" t="s">
        <v>160</v>
      </c>
      <c r="H482" s="51" t="s">
        <v>160</v>
      </c>
      <c r="I482" s="51" t="s">
        <v>160</v>
      </c>
      <c r="J482" s="51" t="s">
        <v>252</v>
      </c>
      <c r="K482" s="51" t="s">
        <v>167</v>
      </c>
    </row>
    <row r="483" spans="1:11" x14ac:dyDescent="0.3">
      <c r="A483" s="51" t="s">
        <v>1182</v>
      </c>
      <c r="B483" s="51" t="s">
        <v>1183</v>
      </c>
      <c r="C483" s="51" t="s">
        <v>170</v>
      </c>
      <c r="D483" s="51" t="s">
        <v>171</v>
      </c>
      <c r="E483" s="51" t="s">
        <v>163</v>
      </c>
      <c r="F483" s="51" t="s">
        <v>160</v>
      </c>
      <c r="G483" s="51" t="s">
        <v>160</v>
      </c>
      <c r="H483" s="51" t="s">
        <v>160</v>
      </c>
      <c r="I483" s="51" t="s">
        <v>160</v>
      </c>
      <c r="J483" s="51" t="s">
        <v>252</v>
      </c>
      <c r="K483" s="51" t="s">
        <v>167</v>
      </c>
    </row>
    <row r="484" spans="1:11" x14ac:dyDescent="0.3">
      <c r="A484" s="51" t="s">
        <v>1184</v>
      </c>
      <c r="B484" s="51" t="s">
        <v>1185</v>
      </c>
      <c r="C484" s="51" t="s">
        <v>170</v>
      </c>
      <c r="D484" s="51" t="s">
        <v>171</v>
      </c>
      <c r="E484" s="51" t="s">
        <v>163</v>
      </c>
      <c r="F484" s="51" t="s">
        <v>160</v>
      </c>
      <c r="G484" s="51" t="s">
        <v>160</v>
      </c>
      <c r="H484" s="51" t="s">
        <v>160</v>
      </c>
      <c r="I484" s="51" t="s">
        <v>160</v>
      </c>
      <c r="J484" s="51" t="s">
        <v>175</v>
      </c>
      <c r="K484" s="51" t="s">
        <v>167</v>
      </c>
    </row>
    <row r="485" spans="1:11" x14ac:dyDescent="0.3">
      <c r="A485" s="51" t="s">
        <v>1186</v>
      </c>
      <c r="B485" s="51" t="s">
        <v>1187</v>
      </c>
      <c r="C485" s="51" t="s">
        <v>170</v>
      </c>
      <c r="D485" s="51" t="s">
        <v>171</v>
      </c>
      <c r="E485" s="51" t="s">
        <v>163</v>
      </c>
      <c r="F485" s="51" t="s">
        <v>160</v>
      </c>
      <c r="G485" s="51" t="s">
        <v>160</v>
      </c>
      <c r="H485" s="51" t="s">
        <v>160</v>
      </c>
      <c r="I485" s="51" t="s">
        <v>160</v>
      </c>
      <c r="J485" s="51" t="s">
        <v>175</v>
      </c>
      <c r="K485" s="51" t="s">
        <v>167</v>
      </c>
    </row>
    <row r="486" spans="1:11" x14ac:dyDescent="0.3">
      <c r="A486" s="51" t="s">
        <v>1188</v>
      </c>
      <c r="B486" s="51" t="s">
        <v>1189</v>
      </c>
      <c r="C486" s="51" t="s">
        <v>170</v>
      </c>
      <c r="D486" s="51" t="s">
        <v>171</v>
      </c>
      <c r="E486" s="51" t="s">
        <v>163</v>
      </c>
      <c r="F486" s="51" t="s">
        <v>160</v>
      </c>
      <c r="G486" s="51" t="s">
        <v>160</v>
      </c>
      <c r="H486" s="51" t="s">
        <v>160</v>
      </c>
      <c r="I486" s="51" t="s">
        <v>160</v>
      </c>
      <c r="J486" s="51" t="s">
        <v>172</v>
      </c>
      <c r="K486" s="51" t="s">
        <v>273</v>
      </c>
    </row>
    <row r="487" spans="1:11" x14ac:dyDescent="0.3">
      <c r="A487" s="51" t="s">
        <v>1190</v>
      </c>
      <c r="B487" s="51" t="s">
        <v>1191</v>
      </c>
      <c r="C487" s="51" t="s">
        <v>170</v>
      </c>
      <c r="D487" s="51" t="s">
        <v>171</v>
      </c>
      <c r="E487" s="51" t="s">
        <v>163</v>
      </c>
      <c r="F487" s="51" t="s">
        <v>160</v>
      </c>
      <c r="G487" s="51" t="s">
        <v>160</v>
      </c>
      <c r="H487" s="51" t="s">
        <v>160</v>
      </c>
      <c r="I487" s="51" t="s">
        <v>160</v>
      </c>
      <c r="J487" s="51" t="s">
        <v>340</v>
      </c>
      <c r="K487" s="51" t="s">
        <v>167</v>
      </c>
    </row>
    <row r="488" spans="1:11" x14ac:dyDescent="0.3">
      <c r="A488" s="51" t="s">
        <v>1192</v>
      </c>
      <c r="B488" s="51" t="s">
        <v>1193</v>
      </c>
      <c r="C488" s="51" t="s">
        <v>170</v>
      </c>
      <c r="D488" s="51" t="s">
        <v>171</v>
      </c>
      <c r="E488" s="51" t="s">
        <v>163</v>
      </c>
      <c r="F488" s="51" t="s">
        <v>160</v>
      </c>
      <c r="G488" s="51" t="s">
        <v>160</v>
      </c>
      <c r="H488" s="51" t="s">
        <v>160</v>
      </c>
      <c r="I488" s="51" t="s">
        <v>160</v>
      </c>
      <c r="J488" s="51" t="s">
        <v>1194</v>
      </c>
      <c r="K488" s="51" t="s">
        <v>167</v>
      </c>
    </row>
    <row r="489" spans="1:11" x14ac:dyDescent="0.3">
      <c r="A489" s="51" t="s">
        <v>1195</v>
      </c>
      <c r="B489" s="51" t="s">
        <v>1196</v>
      </c>
      <c r="C489" s="51" t="s">
        <v>170</v>
      </c>
      <c r="D489" s="51" t="s">
        <v>171</v>
      </c>
      <c r="E489" s="51" t="s">
        <v>163</v>
      </c>
      <c r="F489" s="51" t="s">
        <v>160</v>
      </c>
      <c r="G489" s="51" t="s">
        <v>160</v>
      </c>
      <c r="H489" s="51" t="s">
        <v>160</v>
      </c>
      <c r="I489" s="51" t="s">
        <v>160</v>
      </c>
      <c r="J489" s="51" t="s">
        <v>172</v>
      </c>
      <c r="K489" s="51" t="s">
        <v>273</v>
      </c>
    </row>
    <row r="490" spans="1:11" x14ac:dyDescent="0.3">
      <c r="A490" s="51" t="s">
        <v>1197</v>
      </c>
      <c r="B490" s="51" t="s">
        <v>1198</v>
      </c>
      <c r="C490" s="51" t="s">
        <v>170</v>
      </c>
      <c r="D490" s="51" t="s">
        <v>171</v>
      </c>
      <c r="E490" s="51" t="s">
        <v>163</v>
      </c>
      <c r="F490" s="51" t="s">
        <v>160</v>
      </c>
      <c r="G490" s="51" t="s">
        <v>160</v>
      </c>
      <c r="H490" s="51" t="s">
        <v>160</v>
      </c>
      <c r="I490" s="51" t="s">
        <v>160</v>
      </c>
      <c r="J490" s="51" t="s">
        <v>357</v>
      </c>
      <c r="K490" s="51" t="s">
        <v>273</v>
      </c>
    </row>
    <row r="491" spans="1:11" x14ac:dyDescent="0.3">
      <c r="A491" s="51" t="s">
        <v>1199</v>
      </c>
      <c r="B491" s="51" t="s">
        <v>1200</v>
      </c>
      <c r="C491" s="51" t="s">
        <v>170</v>
      </c>
      <c r="D491" s="51" t="s">
        <v>171</v>
      </c>
      <c r="E491" s="51" t="s">
        <v>163</v>
      </c>
      <c r="F491" s="51" t="s">
        <v>160</v>
      </c>
      <c r="G491" s="51" t="s">
        <v>160</v>
      </c>
      <c r="H491" s="51" t="s">
        <v>160</v>
      </c>
      <c r="I491" s="51" t="s">
        <v>160</v>
      </c>
      <c r="J491" s="51" t="s">
        <v>172</v>
      </c>
      <c r="K491" s="51" t="s">
        <v>167</v>
      </c>
    </row>
    <row r="492" spans="1:11" x14ac:dyDescent="0.3">
      <c r="A492" s="51" t="s">
        <v>1201</v>
      </c>
      <c r="B492" s="51" t="s">
        <v>1202</v>
      </c>
      <c r="C492" s="51" t="s">
        <v>170</v>
      </c>
      <c r="D492" s="51" t="s">
        <v>171</v>
      </c>
      <c r="E492" s="51" t="s">
        <v>163</v>
      </c>
      <c r="F492" s="51" t="s">
        <v>160</v>
      </c>
      <c r="G492" s="51" t="s">
        <v>160</v>
      </c>
      <c r="H492" s="51" t="s">
        <v>160</v>
      </c>
      <c r="I492" s="51" t="s">
        <v>160</v>
      </c>
      <c r="J492" s="51" t="s">
        <v>172</v>
      </c>
      <c r="K492" s="51" t="s">
        <v>167</v>
      </c>
    </row>
    <row r="493" spans="1:11" x14ac:dyDescent="0.3">
      <c r="A493" s="51" t="s">
        <v>1203</v>
      </c>
      <c r="B493" s="51" t="s">
        <v>1204</v>
      </c>
      <c r="C493" s="51" t="s">
        <v>170</v>
      </c>
      <c r="D493" s="51" t="s">
        <v>171</v>
      </c>
      <c r="E493" s="51" t="s">
        <v>163</v>
      </c>
      <c r="F493" s="51" t="s">
        <v>160</v>
      </c>
      <c r="G493" s="51" t="s">
        <v>160</v>
      </c>
      <c r="H493" s="51" t="s">
        <v>160</v>
      </c>
      <c r="I493" s="51" t="s">
        <v>160</v>
      </c>
      <c r="J493" s="51" t="s">
        <v>172</v>
      </c>
      <c r="K493" s="51" t="s">
        <v>167</v>
      </c>
    </row>
    <row r="494" spans="1:11" x14ac:dyDescent="0.3">
      <c r="A494" s="51" t="s">
        <v>1205</v>
      </c>
      <c r="B494" s="51" t="s">
        <v>1206</v>
      </c>
      <c r="C494" s="51" t="s">
        <v>170</v>
      </c>
      <c r="D494" s="51" t="s">
        <v>171</v>
      </c>
      <c r="E494" s="51" t="s">
        <v>163</v>
      </c>
      <c r="F494" s="51" t="s">
        <v>160</v>
      </c>
      <c r="G494" s="51" t="s">
        <v>160</v>
      </c>
      <c r="H494" s="51" t="s">
        <v>160</v>
      </c>
      <c r="I494" s="51" t="s">
        <v>160</v>
      </c>
      <c r="J494" s="51" t="s">
        <v>175</v>
      </c>
      <c r="K494" s="51" t="s">
        <v>167</v>
      </c>
    </row>
    <row r="495" spans="1:11" x14ac:dyDescent="0.3">
      <c r="A495" s="51" t="s">
        <v>1207</v>
      </c>
      <c r="B495" s="51" t="s">
        <v>1208</v>
      </c>
      <c r="C495" s="51" t="s">
        <v>170</v>
      </c>
      <c r="D495" s="51" t="s">
        <v>171</v>
      </c>
      <c r="E495" s="51" t="s">
        <v>163</v>
      </c>
      <c r="F495" s="51" t="s">
        <v>160</v>
      </c>
      <c r="G495" s="51" t="s">
        <v>160</v>
      </c>
      <c r="H495" s="51" t="s">
        <v>160</v>
      </c>
      <c r="I495" s="51" t="s">
        <v>160</v>
      </c>
      <c r="J495" s="51" t="s">
        <v>175</v>
      </c>
      <c r="K495" s="51" t="s">
        <v>273</v>
      </c>
    </row>
    <row r="496" spans="1:11" x14ac:dyDescent="0.3">
      <c r="A496" s="51" t="s">
        <v>1209</v>
      </c>
      <c r="B496" s="51" t="s">
        <v>1210</v>
      </c>
      <c r="C496" s="51" t="s">
        <v>170</v>
      </c>
      <c r="D496" s="51" t="s">
        <v>171</v>
      </c>
      <c r="E496" s="51" t="s">
        <v>163</v>
      </c>
      <c r="F496" s="51" t="s">
        <v>160</v>
      </c>
      <c r="G496" s="51" t="s">
        <v>160</v>
      </c>
      <c r="H496" s="51" t="s">
        <v>160</v>
      </c>
      <c r="I496" s="51" t="s">
        <v>160</v>
      </c>
      <c r="J496" s="51" t="s">
        <v>172</v>
      </c>
      <c r="K496" s="51" t="s">
        <v>167</v>
      </c>
    </row>
    <row r="497" spans="1:11" x14ac:dyDescent="0.3">
      <c r="A497" s="51" t="s">
        <v>1211</v>
      </c>
      <c r="B497" s="51" t="s">
        <v>1212</v>
      </c>
      <c r="C497" s="51" t="s">
        <v>170</v>
      </c>
      <c r="D497" s="51" t="s">
        <v>171</v>
      </c>
      <c r="E497" s="51" t="s">
        <v>163</v>
      </c>
      <c r="F497" s="51" t="s">
        <v>160</v>
      </c>
      <c r="G497" s="51" t="s">
        <v>160</v>
      </c>
      <c r="H497" s="51" t="s">
        <v>160</v>
      </c>
      <c r="I497" s="51" t="s">
        <v>160</v>
      </c>
      <c r="J497" s="51" t="s">
        <v>172</v>
      </c>
      <c r="K497" s="51" t="s">
        <v>273</v>
      </c>
    </row>
    <row r="498" spans="1:11" x14ac:dyDescent="0.3">
      <c r="A498" s="51" t="s">
        <v>1213</v>
      </c>
      <c r="B498" s="51" t="s">
        <v>1214</v>
      </c>
      <c r="C498" s="51" t="s">
        <v>170</v>
      </c>
      <c r="D498" s="51" t="s">
        <v>171</v>
      </c>
      <c r="E498" s="51" t="s">
        <v>163</v>
      </c>
      <c r="F498" s="51" t="s">
        <v>160</v>
      </c>
      <c r="G498" s="51" t="s">
        <v>160</v>
      </c>
      <c r="H498" s="51" t="s">
        <v>160</v>
      </c>
      <c r="I498" s="51" t="s">
        <v>160</v>
      </c>
      <c r="J498" s="51" t="s">
        <v>357</v>
      </c>
      <c r="K498" s="51" t="s">
        <v>273</v>
      </c>
    </row>
    <row r="499" spans="1:11" x14ac:dyDescent="0.3">
      <c r="A499" s="51" t="s">
        <v>1215</v>
      </c>
      <c r="B499" s="51" t="s">
        <v>709</v>
      </c>
      <c r="C499" s="51" t="s">
        <v>170</v>
      </c>
      <c r="D499" s="51" t="s">
        <v>171</v>
      </c>
      <c r="E499" s="51" t="s">
        <v>163</v>
      </c>
      <c r="F499" s="51" t="s">
        <v>160</v>
      </c>
      <c r="G499" s="51" t="s">
        <v>160</v>
      </c>
      <c r="H499" s="51" t="s">
        <v>160</v>
      </c>
      <c r="I499" s="51" t="s">
        <v>160</v>
      </c>
      <c r="J499" s="51" t="s">
        <v>175</v>
      </c>
      <c r="K499" s="51" t="s">
        <v>273</v>
      </c>
    </row>
    <row r="500" spans="1:11" x14ac:dyDescent="0.3">
      <c r="A500" s="51" t="s">
        <v>1216</v>
      </c>
      <c r="B500" s="51" t="s">
        <v>1217</v>
      </c>
      <c r="C500" s="51" t="s">
        <v>170</v>
      </c>
      <c r="D500" s="51" t="s">
        <v>171</v>
      </c>
      <c r="E500" s="51" t="s">
        <v>163</v>
      </c>
      <c r="F500" s="51" t="s">
        <v>160</v>
      </c>
      <c r="G500" s="51" t="s">
        <v>160</v>
      </c>
      <c r="H500" s="51" t="s">
        <v>160</v>
      </c>
      <c r="I500" s="51" t="s">
        <v>160</v>
      </c>
      <c r="J500" s="51" t="s">
        <v>172</v>
      </c>
      <c r="K500" s="51" t="s">
        <v>167</v>
      </c>
    </row>
    <row r="501" spans="1:11" x14ac:dyDescent="0.3">
      <c r="A501" s="51" t="s">
        <v>1218</v>
      </c>
      <c r="B501" s="51" t="s">
        <v>1219</v>
      </c>
      <c r="C501" s="51" t="s">
        <v>170</v>
      </c>
      <c r="D501" s="51" t="s">
        <v>171</v>
      </c>
      <c r="E501" s="51" t="s">
        <v>163</v>
      </c>
      <c r="F501" s="51" t="s">
        <v>160</v>
      </c>
      <c r="G501" s="51" t="s">
        <v>160</v>
      </c>
      <c r="H501" s="51" t="s">
        <v>160</v>
      </c>
      <c r="I501" s="51" t="s">
        <v>160</v>
      </c>
      <c r="J501" s="51" t="s">
        <v>175</v>
      </c>
      <c r="K501" s="51" t="s">
        <v>273</v>
      </c>
    </row>
    <row r="502" spans="1:11" x14ac:dyDescent="0.3">
      <c r="A502" s="51" t="s">
        <v>1220</v>
      </c>
      <c r="B502" s="51" t="s">
        <v>1221</v>
      </c>
      <c r="C502" s="51" t="s">
        <v>170</v>
      </c>
      <c r="D502" s="51" t="s">
        <v>171</v>
      </c>
      <c r="E502" s="51" t="s">
        <v>163</v>
      </c>
      <c r="F502" s="51" t="s">
        <v>160</v>
      </c>
      <c r="G502" s="51" t="s">
        <v>160</v>
      </c>
      <c r="H502" s="51" t="s">
        <v>160</v>
      </c>
      <c r="I502" s="51" t="s">
        <v>160</v>
      </c>
      <c r="J502" s="51" t="s">
        <v>175</v>
      </c>
      <c r="K502" s="51" t="s">
        <v>273</v>
      </c>
    </row>
    <row r="503" spans="1:11" x14ac:dyDescent="0.3">
      <c r="A503" s="51" t="s">
        <v>1222</v>
      </c>
      <c r="B503" s="51" t="s">
        <v>1223</v>
      </c>
      <c r="C503" s="51" t="s">
        <v>170</v>
      </c>
      <c r="D503" s="51" t="s">
        <v>171</v>
      </c>
      <c r="E503" s="51" t="s">
        <v>163</v>
      </c>
      <c r="F503" s="51" t="s">
        <v>160</v>
      </c>
      <c r="G503" s="51" t="s">
        <v>160</v>
      </c>
      <c r="H503" s="51" t="s">
        <v>160</v>
      </c>
      <c r="I503" s="51" t="s">
        <v>160</v>
      </c>
      <c r="J503" s="51" t="s">
        <v>175</v>
      </c>
      <c r="K503" s="51" t="s">
        <v>167</v>
      </c>
    </row>
    <row r="504" spans="1:11" x14ac:dyDescent="0.3">
      <c r="A504" s="51" t="s">
        <v>1224</v>
      </c>
      <c r="B504" s="51" t="s">
        <v>1225</v>
      </c>
      <c r="C504" s="51" t="s">
        <v>170</v>
      </c>
      <c r="D504" s="51" t="s">
        <v>171</v>
      </c>
      <c r="E504" s="51" t="s">
        <v>163</v>
      </c>
      <c r="F504" s="51" t="s">
        <v>160</v>
      </c>
      <c r="G504" s="51" t="s">
        <v>160</v>
      </c>
      <c r="H504" s="51" t="s">
        <v>160</v>
      </c>
      <c r="I504" s="51" t="s">
        <v>160</v>
      </c>
      <c r="J504" s="51" t="s">
        <v>175</v>
      </c>
      <c r="K504" s="51" t="s">
        <v>167</v>
      </c>
    </row>
    <row r="505" spans="1:11" x14ac:dyDescent="0.3">
      <c r="A505" s="51" t="s">
        <v>1226</v>
      </c>
      <c r="B505" s="51" t="s">
        <v>1227</v>
      </c>
      <c r="C505" s="51" t="s">
        <v>170</v>
      </c>
      <c r="D505" s="51" t="s">
        <v>171</v>
      </c>
      <c r="E505" s="51" t="s">
        <v>163</v>
      </c>
      <c r="F505" s="51" t="s">
        <v>160</v>
      </c>
      <c r="G505" s="51" t="s">
        <v>160</v>
      </c>
      <c r="H505" s="51" t="s">
        <v>160</v>
      </c>
      <c r="I505" s="51" t="s">
        <v>160</v>
      </c>
      <c r="J505" s="51" t="s">
        <v>172</v>
      </c>
      <c r="K505" s="51" t="s">
        <v>167</v>
      </c>
    </row>
    <row r="506" spans="1:11" x14ac:dyDescent="0.3">
      <c r="A506" s="51" t="s">
        <v>1228</v>
      </c>
      <c r="B506" s="51" t="s">
        <v>1229</v>
      </c>
      <c r="C506" s="51" t="s">
        <v>170</v>
      </c>
      <c r="D506" s="51" t="s">
        <v>171</v>
      </c>
      <c r="E506" s="51" t="s">
        <v>163</v>
      </c>
      <c r="F506" s="51" t="s">
        <v>160</v>
      </c>
      <c r="G506" s="51" t="s">
        <v>160</v>
      </c>
      <c r="H506" s="51" t="s">
        <v>160</v>
      </c>
      <c r="I506" s="51" t="s">
        <v>160</v>
      </c>
      <c r="J506" s="51" t="s">
        <v>175</v>
      </c>
      <c r="K506" s="51" t="s">
        <v>167</v>
      </c>
    </row>
    <row r="507" spans="1:11" x14ac:dyDescent="0.3">
      <c r="A507" s="51" t="s">
        <v>1230</v>
      </c>
      <c r="B507" s="51" t="s">
        <v>1231</v>
      </c>
      <c r="C507" s="51" t="s">
        <v>170</v>
      </c>
      <c r="D507" s="51" t="s">
        <v>171</v>
      </c>
      <c r="E507" s="51" t="s">
        <v>163</v>
      </c>
      <c r="F507" s="51" t="s">
        <v>160</v>
      </c>
      <c r="G507" s="51" t="s">
        <v>160</v>
      </c>
      <c r="H507" s="51" t="s">
        <v>160</v>
      </c>
      <c r="I507" s="51" t="s">
        <v>160</v>
      </c>
      <c r="J507" s="51" t="s">
        <v>172</v>
      </c>
      <c r="K507" s="51" t="s">
        <v>167</v>
      </c>
    </row>
    <row r="508" spans="1:11" x14ac:dyDescent="0.3">
      <c r="A508" s="51" t="s">
        <v>1232</v>
      </c>
      <c r="B508" s="51" t="s">
        <v>1233</v>
      </c>
      <c r="C508" s="51" t="s">
        <v>170</v>
      </c>
      <c r="D508" s="51" t="s">
        <v>171</v>
      </c>
      <c r="E508" s="51" t="s">
        <v>163</v>
      </c>
      <c r="F508" s="51" t="s">
        <v>160</v>
      </c>
      <c r="G508" s="51" t="s">
        <v>160</v>
      </c>
      <c r="H508" s="51" t="s">
        <v>160</v>
      </c>
      <c r="I508" s="51" t="s">
        <v>160</v>
      </c>
      <c r="J508" s="51" t="s">
        <v>172</v>
      </c>
      <c r="K508" s="51" t="s">
        <v>167</v>
      </c>
    </row>
    <row r="509" spans="1:11" x14ac:dyDescent="0.3">
      <c r="A509" s="51" t="s">
        <v>1234</v>
      </c>
      <c r="B509" s="51" t="s">
        <v>1235</v>
      </c>
      <c r="C509" s="51" t="s">
        <v>170</v>
      </c>
      <c r="D509" s="51" t="s">
        <v>171</v>
      </c>
      <c r="E509" s="51" t="s">
        <v>163</v>
      </c>
      <c r="F509" s="51" t="s">
        <v>160</v>
      </c>
      <c r="G509" s="51" t="s">
        <v>160</v>
      </c>
      <c r="H509" s="51" t="s">
        <v>160</v>
      </c>
      <c r="I509" s="51" t="s">
        <v>160</v>
      </c>
      <c r="J509" s="51" t="s">
        <v>166</v>
      </c>
      <c r="K509" s="51" t="s">
        <v>167</v>
      </c>
    </row>
    <row r="510" spans="1:11" x14ac:dyDescent="0.3">
      <c r="A510" s="51" t="s">
        <v>1236</v>
      </c>
      <c r="B510" s="51" t="s">
        <v>1237</v>
      </c>
      <c r="C510" s="51" t="s">
        <v>170</v>
      </c>
      <c r="D510" s="51" t="s">
        <v>171</v>
      </c>
      <c r="E510" s="51" t="s">
        <v>163</v>
      </c>
      <c r="F510" s="51" t="s">
        <v>160</v>
      </c>
      <c r="G510" s="51" t="s">
        <v>160</v>
      </c>
      <c r="H510" s="51" t="s">
        <v>160</v>
      </c>
      <c r="I510" s="51" t="s">
        <v>160</v>
      </c>
      <c r="J510" s="51" t="s">
        <v>175</v>
      </c>
      <c r="K510" s="51" t="s">
        <v>273</v>
      </c>
    </row>
    <row r="511" spans="1:11" x14ac:dyDescent="0.3">
      <c r="A511" s="51" t="s">
        <v>1238</v>
      </c>
      <c r="B511" s="51" t="s">
        <v>635</v>
      </c>
      <c r="C511" s="51" t="s">
        <v>170</v>
      </c>
      <c r="D511" s="51" t="s">
        <v>171</v>
      </c>
      <c r="E511" s="51" t="s">
        <v>163</v>
      </c>
      <c r="F511" s="51" t="s">
        <v>160</v>
      </c>
      <c r="G511" s="51" t="s">
        <v>160</v>
      </c>
      <c r="H511" s="51" t="s">
        <v>160</v>
      </c>
      <c r="I511" s="51" t="s">
        <v>160</v>
      </c>
      <c r="J511" s="51" t="s">
        <v>1194</v>
      </c>
      <c r="K511" s="51" t="s">
        <v>273</v>
      </c>
    </row>
    <row r="512" spans="1:11" x14ac:dyDescent="0.3">
      <c r="A512" s="51" t="s">
        <v>1239</v>
      </c>
      <c r="B512" s="51" t="s">
        <v>1240</v>
      </c>
      <c r="C512" s="51" t="s">
        <v>170</v>
      </c>
      <c r="D512" s="51" t="s">
        <v>171</v>
      </c>
      <c r="E512" s="51" t="s">
        <v>163</v>
      </c>
      <c r="F512" s="51" t="s">
        <v>160</v>
      </c>
      <c r="G512" s="51" t="s">
        <v>160</v>
      </c>
      <c r="H512" s="51" t="s">
        <v>160</v>
      </c>
      <c r="I512" s="51" t="s">
        <v>160</v>
      </c>
      <c r="J512" s="51" t="s">
        <v>172</v>
      </c>
      <c r="K512" s="51" t="s">
        <v>273</v>
      </c>
    </row>
    <row r="513" spans="1:11" x14ac:dyDescent="0.3">
      <c r="A513" s="51" t="s">
        <v>1241</v>
      </c>
      <c r="B513" s="51" t="s">
        <v>1242</v>
      </c>
      <c r="C513" s="51" t="s">
        <v>170</v>
      </c>
      <c r="D513" s="51" t="s">
        <v>171</v>
      </c>
      <c r="E513" s="51" t="s">
        <v>163</v>
      </c>
      <c r="F513" s="51" t="s">
        <v>160</v>
      </c>
      <c r="G513" s="51" t="s">
        <v>160</v>
      </c>
      <c r="H513" s="51" t="s">
        <v>160</v>
      </c>
      <c r="I513" s="51" t="s">
        <v>160</v>
      </c>
      <c r="J513" s="51" t="s">
        <v>172</v>
      </c>
      <c r="K513" s="51" t="s">
        <v>167</v>
      </c>
    </row>
    <row r="514" spans="1:11" x14ac:dyDescent="0.3">
      <c r="A514" s="51" t="s">
        <v>1243</v>
      </c>
      <c r="B514" s="51" t="s">
        <v>1244</v>
      </c>
      <c r="C514" s="51" t="s">
        <v>170</v>
      </c>
      <c r="D514" s="51" t="s">
        <v>171</v>
      </c>
      <c r="E514" s="51" t="s">
        <v>163</v>
      </c>
      <c r="F514" s="51" t="s">
        <v>160</v>
      </c>
      <c r="G514" s="51" t="s">
        <v>160</v>
      </c>
      <c r="H514" s="51" t="s">
        <v>160</v>
      </c>
      <c r="I514" s="51" t="s">
        <v>160</v>
      </c>
      <c r="J514" s="51" t="s">
        <v>172</v>
      </c>
      <c r="K514" s="51" t="s">
        <v>167</v>
      </c>
    </row>
    <row r="515" spans="1:11" x14ac:dyDescent="0.3">
      <c r="A515" s="51" t="s">
        <v>1245</v>
      </c>
      <c r="B515" s="51" t="s">
        <v>1246</v>
      </c>
      <c r="C515" s="51" t="s">
        <v>170</v>
      </c>
      <c r="D515" s="51" t="s">
        <v>171</v>
      </c>
      <c r="E515" s="51" t="s">
        <v>163</v>
      </c>
      <c r="F515" s="51" t="s">
        <v>160</v>
      </c>
      <c r="G515" s="51" t="s">
        <v>160</v>
      </c>
      <c r="H515" s="51" t="s">
        <v>160</v>
      </c>
      <c r="I515" s="51" t="s">
        <v>160</v>
      </c>
      <c r="J515" s="51" t="s">
        <v>175</v>
      </c>
      <c r="K515" s="51" t="s">
        <v>167</v>
      </c>
    </row>
    <row r="516" spans="1:11" x14ac:dyDescent="0.3">
      <c r="A516" s="51" t="s">
        <v>1247</v>
      </c>
      <c r="B516" s="51" t="s">
        <v>1248</v>
      </c>
      <c r="C516" s="51" t="s">
        <v>170</v>
      </c>
      <c r="D516" s="51" t="s">
        <v>171</v>
      </c>
      <c r="E516" s="51" t="s">
        <v>163</v>
      </c>
      <c r="F516" s="51" t="s">
        <v>160</v>
      </c>
      <c r="G516" s="51" t="s">
        <v>160</v>
      </c>
      <c r="H516" s="51" t="s">
        <v>160</v>
      </c>
      <c r="I516" s="51" t="s">
        <v>160</v>
      </c>
      <c r="J516" s="51" t="s">
        <v>175</v>
      </c>
      <c r="K516" s="51" t="s">
        <v>167</v>
      </c>
    </row>
    <row r="517" spans="1:11" x14ac:dyDescent="0.3">
      <c r="A517" s="51" t="s">
        <v>1249</v>
      </c>
      <c r="B517" s="51" t="s">
        <v>1250</v>
      </c>
      <c r="C517" s="51" t="s">
        <v>170</v>
      </c>
      <c r="D517" s="51" t="s">
        <v>171</v>
      </c>
      <c r="E517" s="51" t="s">
        <v>163</v>
      </c>
      <c r="F517" s="51" t="s">
        <v>160</v>
      </c>
      <c r="G517" s="51" t="s">
        <v>160</v>
      </c>
      <c r="H517" s="51" t="s">
        <v>160</v>
      </c>
      <c r="I517" s="51" t="s">
        <v>160</v>
      </c>
      <c r="J517" s="51" t="s">
        <v>175</v>
      </c>
      <c r="K517" s="51" t="s">
        <v>167</v>
      </c>
    </row>
    <row r="518" spans="1:11" x14ac:dyDescent="0.3">
      <c r="A518" s="51" t="s">
        <v>1251</v>
      </c>
      <c r="B518" s="51" t="s">
        <v>1252</v>
      </c>
      <c r="C518" s="51" t="s">
        <v>170</v>
      </c>
      <c r="D518" s="51" t="s">
        <v>171</v>
      </c>
      <c r="E518" s="51" t="s">
        <v>163</v>
      </c>
      <c r="F518" s="51" t="s">
        <v>160</v>
      </c>
      <c r="G518" s="51" t="s">
        <v>160</v>
      </c>
      <c r="H518" s="51" t="s">
        <v>160</v>
      </c>
      <c r="I518" s="51" t="s">
        <v>160</v>
      </c>
      <c r="J518" s="51" t="s">
        <v>172</v>
      </c>
      <c r="K518" s="51" t="s">
        <v>273</v>
      </c>
    </row>
    <row r="519" spans="1:11" x14ac:dyDescent="0.3">
      <c r="A519" s="51" t="s">
        <v>1253</v>
      </c>
      <c r="B519" s="51" t="s">
        <v>1254</v>
      </c>
      <c r="C519" s="51" t="s">
        <v>170</v>
      </c>
      <c r="D519" s="51" t="s">
        <v>171</v>
      </c>
      <c r="E519" s="51" t="s">
        <v>163</v>
      </c>
      <c r="F519" s="51" t="s">
        <v>160</v>
      </c>
      <c r="G519" s="51" t="s">
        <v>160</v>
      </c>
      <c r="H519" s="51" t="s">
        <v>160</v>
      </c>
      <c r="I519" s="51" t="s">
        <v>160</v>
      </c>
      <c r="J519" s="51" t="s">
        <v>166</v>
      </c>
      <c r="K519" s="51" t="s">
        <v>167</v>
      </c>
    </row>
    <row r="520" spans="1:11" x14ac:dyDescent="0.3">
      <c r="A520" s="51" t="s">
        <v>1255</v>
      </c>
      <c r="B520" s="51" t="s">
        <v>1256</v>
      </c>
      <c r="C520" s="51" t="s">
        <v>170</v>
      </c>
      <c r="D520" s="51" t="s">
        <v>171</v>
      </c>
      <c r="E520" s="51" t="s">
        <v>163</v>
      </c>
      <c r="F520" s="51" t="s">
        <v>160</v>
      </c>
      <c r="G520" s="51" t="s">
        <v>160</v>
      </c>
      <c r="H520" s="51" t="s">
        <v>160</v>
      </c>
      <c r="I520" s="51" t="s">
        <v>160</v>
      </c>
      <c r="J520" s="51" t="s">
        <v>1257</v>
      </c>
      <c r="K520" s="51" t="s">
        <v>167</v>
      </c>
    </row>
    <row r="521" spans="1:11" x14ac:dyDescent="0.3">
      <c r="A521" s="51" t="s">
        <v>1258</v>
      </c>
      <c r="B521" s="51" t="s">
        <v>1259</v>
      </c>
      <c r="C521" s="51" t="s">
        <v>170</v>
      </c>
      <c r="D521" s="51" t="s">
        <v>171</v>
      </c>
      <c r="E521" s="51" t="s">
        <v>163</v>
      </c>
      <c r="F521" s="51" t="s">
        <v>160</v>
      </c>
      <c r="G521" s="51" t="s">
        <v>160</v>
      </c>
      <c r="H521" s="51" t="s">
        <v>160</v>
      </c>
      <c r="I521" s="51" t="s">
        <v>160</v>
      </c>
      <c r="J521" s="51" t="s">
        <v>166</v>
      </c>
      <c r="K521" s="51" t="s">
        <v>167</v>
      </c>
    </row>
    <row r="522" spans="1:11" x14ac:dyDescent="0.3">
      <c r="A522" s="51" t="s">
        <v>1260</v>
      </c>
      <c r="B522" s="51" t="s">
        <v>1261</v>
      </c>
      <c r="C522" s="51" t="s">
        <v>170</v>
      </c>
      <c r="D522" s="51" t="s">
        <v>171</v>
      </c>
      <c r="E522" s="51" t="s">
        <v>163</v>
      </c>
      <c r="F522" s="51" t="s">
        <v>160</v>
      </c>
      <c r="G522" s="51" t="s">
        <v>160</v>
      </c>
      <c r="H522" s="51" t="s">
        <v>160</v>
      </c>
      <c r="I522" s="51" t="s">
        <v>160</v>
      </c>
      <c r="J522" s="51" t="s">
        <v>1262</v>
      </c>
      <c r="K522" s="51" t="s">
        <v>167</v>
      </c>
    </row>
    <row r="523" spans="1:11" x14ac:dyDescent="0.3">
      <c r="A523" s="51" t="s">
        <v>1263</v>
      </c>
      <c r="B523" s="51" t="s">
        <v>1264</v>
      </c>
      <c r="C523" s="51" t="s">
        <v>170</v>
      </c>
      <c r="D523" s="51" t="s">
        <v>171</v>
      </c>
      <c r="E523" s="51" t="s">
        <v>163</v>
      </c>
      <c r="F523" s="51" t="s">
        <v>160</v>
      </c>
      <c r="G523" s="51" t="s">
        <v>160</v>
      </c>
      <c r="H523" s="51" t="s">
        <v>160</v>
      </c>
      <c r="I523" s="51" t="s">
        <v>160</v>
      </c>
      <c r="J523" s="51" t="s">
        <v>166</v>
      </c>
      <c r="K523" s="51" t="s">
        <v>167</v>
      </c>
    </row>
    <row r="524" spans="1:11" x14ac:dyDescent="0.3">
      <c r="A524" s="51" t="s">
        <v>1265</v>
      </c>
      <c r="B524" s="51" t="s">
        <v>1266</v>
      </c>
      <c r="C524" s="51" t="s">
        <v>170</v>
      </c>
      <c r="D524" s="51" t="s">
        <v>171</v>
      </c>
      <c r="E524" s="51" t="s">
        <v>163</v>
      </c>
      <c r="F524" s="51" t="s">
        <v>160</v>
      </c>
      <c r="G524" s="51" t="s">
        <v>160</v>
      </c>
      <c r="H524" s="51" t="s">
        <v>160</v>
      </c>
      <c r="I524" s="51" t="s">
        <v>160</v>
      </c>
      <c r="J524" s="51" t="s">
        <v>202</v>
      </c>
      <c r="K524" s="51" t="s">
        <v>167</v>
      </c>
    </row>
    <row r="525" spans="1:11" x14ac:dyDescent="0.3">
      <c r="A525" s="51" t="s">
        <v>1267</v>
      </c>
      <c r="B525" s="51" t="s">
        <v>1268</v>
      </c>
      <c r="C525" s="51" t="s">
        <v>170</v>
      </c>
      <c r="D525" s="51" t="s">
        <v>171</v>
      </c>
      <c r="E525" s="51" t="s">
        <v>163</v>
      </c>
      <c r="F525" s="51" t="s">
        <v>160</v>
      </c>
      <c r="G525" s="51" t="s">
        <v>160</v>
      </c>
      <c r="H525" s="51" t="s">
        <v>160</v>
      </c>
      <c r="I525" s="51" t="s">
        <v>160</v>
      </c>
      <c r="J525" s="51" t="s">
        <v>175</v>
      </c>
      <c r="K525" s="51" t="s">
        <v>273</v>
      </c>
    </row>
    <row r="526" spans="1:11" x14ac:dyDescent="0.3">
      <c r="A526" s="51" t="s">
        <v>1269</v>
      </c>
      <c r="B526" s="51" t="s">
        <v>1270</v>
      </c>
      <c r="C526" s="51" t="s">
        <v>170</v>
      </c>
      <c r="D526" s="51" t="s">
        <v>171</v>
      </c>
      <c r="E526" s="51" t="s">
        <v>163</v>
      </c>
      <c r="F526" s="51" t="s">
        <v>160</v>
      </c>
      <c r="G526" s="51" t="s">
        <v>160</v>
      </c>
      <c r="H526" s="51" t="s">
        <v>160</v>
      </c>
      <c r="I526" s="51" t="s">
        <v>160</v>
      </c>
      <c r="J526" s="51" t="s">
        <v>175</v>
      </c>
      <c r="K526" s="51" t="s">
        <v>167</v>
      </c>
    </row>
    <row r="527" spans="1:11" x14ac:dyDescent="0.3">
      <c r="A527" s="51" t="s">
        <v>1271</v>
      </c>
      <c r="B527" s="51" t="s">
        <v>1272</v>
      </c>
      <c r="C527" s="51" t="s">
        <v>170</v>
      </c>
      <c r="D527" s="51" t="s">
        <v>171</v>
      </c>
      <c r="E527" s="51" t="s">
        <v>163</v>
      </c>
      <c r="F527" s="51" t="s">
        <v>160</v>
      </c>
      <c r="G527" s="51" t="s">
        <v>160</v>
      </c>
      <c r="H527" s="51" t="s">
        <v>160</v>
      </c>
      <c r="I527" s="51" t="s">
        <v>160</v>
      </c>
      <c r="J527" s="51" t="s">
        <v>357</v>
      </c>
      <c r="K527" s="51" t="s">
        <v>273</v>
      </c>
    </row>
    <row r="528" spans="1:11" x14ac:dyDescent="0.3">
      <c r="A528" s="51" t="s">
        <v>1273</v>
      </c>
      <c r="B528" s="51" t="s">
        <v>1274</v>
      </c>
      <c r="C528" s="51" t="s">
        <v>170</v>
      </c>
      <c r="D528" s="51" t="s">
        <v>171</v>
      </c>
      <c r="E528" s="51" t="s">
        <v>163</v>
      </c>
      <c r="F528" s="51" t="s">
        <v>160</v>
      </c>
      <c r="G528" s="51" t="s">
        <v>160</v>
      </c>
      <c r="H528" s="51" t="s">
        <v>160</v>
      </c>
      <c r="I528" s="51" t="s">
        <v>160</v>
      </c>
      <c r="J528" s="51" t="s">
        <v>172</v>
      </c>
      <c r="K528" s="51" t="s">
        <v>167</v>
      </c>
    </row>
    <row r="529" spans="1:11" x14ac:dyDescent="0.3">
      <c r="A529" s="51" t="s">
        <v>1275</v>
      </c>
      <c r="B529" s="51" t="s">
        <v>1276</v>
      </c>
      <c r="C529" s="51" t="s">
        <v>170</v>
      </c>
      <c r="D529" s="51" t="s">
        <v>171</v>
      </c>
      <c r="E529" s="51" t="s">
        <v>163</v>
      </c>
      <c r="F529" s="51" t="s">
        <v>160</v>
      </c>
      <c r="G529" s="51" t="s">
        <v>160</v>
      </c>
      <c r="H529" s="51" t="s">
        <v>160</v>
      </c>
      <c r="I529" s="51" t="s">
        <v>160</v>
      </c>
      <c r="J529" s="51" t="s">
        <v>1277</v>
      </c>
      <c r="K529" s="51" t="s">
        <v>167</v>
      </c>
    </row>
    <row r="530" spans="1:11" x14ac:dyDescent="0.3">
      <c r="A530" s="51" t="s">
        <v>1278</v>
      </c>
      <c r="B530" s="51" t="s">
        <v>1279</v>
      </c>
      <c r="C530" s="51" t="s">
        <v>170</v>
      </c>
      <c r="D530" s="51" t="s">
        <v>171</v>
      </c>
      <c r="E530" s="51" t="s">
        <v>163</v>
      </c>
      <c r="F530" s="51" t="s">
        <v>160</v>
      </c>
      <c r="G530" s="51" t="s">
        <v>160</v>
      </c>
      <c r="H530" s="51" t="s">
        <v>160</v>
      </c>
      <c r="I530" s="51" t="s">
        <v>160</v>
      </c>
      <c r="J530" s="51" t="s">
        <v>175</v>
      </c>
      <c r="K530" s="51" t="s">
        <v>303</v>
      </c>
    </row>
    <row r="531" spans="1:11" x14ac:dyDescent="0.3">
      <c r="A531" s="51" t="s">
        <v>1280</v>
      </c>
      <c r="B531" s="51" t="s">
        <v>1281</v>
      </c>
      <c r="C531" s="51" t="s">
        <v>170</v>
      </c>
      <c r="D531" s="51" t="s">
        <v>171</v>
      </c>
      <c r="E531" s="51" t="s">
        <v>163</v>
      </c>
      <c r="F531" s="51" t="s">
        <v>160</v>
      </c>
      <c r="G531" s="51" t="s">
        <v>160</v>
      </c>
      <c r="H531" s="51" t="s">
        <v>160</v>
      </c>
      <c r="I531" s="51" t="s">
        <v>160</v>
      </c>
      <c r="J531" s="51" t="s">
        <v>1061</v>
      </c>
      <c r="K531" s="51" t="s">
        <v>167</v>
      </c>
    </row>
    <row r="532" spans="1:11" x14ac:dyDescent="0.3">
      <c r="A532" s="51" t="s">
        <v>1282</v>
      </c>
      <c r="B532" s="51" t="s">
        <v>1283</v>
      </c>
      <c r="C532" s="51" t="s">
        <v>170</v>
      </c>
      <c r="D532" s="51" t="s">
        <v>171</v>
      </c>
      <c r="E532" s="51" t="s">
        <v>163</v>
      </c>
      <c r="F532" s="51" t="s">
        <v>160</v>
      </c>
      <c r="G532" s="51" t="s">
        <v>160</v>
      </c>
      <c r="H532" s="51" t="s">
        <v>160</v>
      </c>
      <c r="I532" s="51" t="s">
        <v>160</v>
      </c>
      <c r="J532" s="51" t="s">
        <v>172</v>
      </c>
      <c r="K532" s="51" t="s">
        <v>273</v>
      </c>
    </row>
    <row r="533" spans="1:11" x14ac:dyDescent="0.3">
      <c r="A533" s="51" t="s">
        <v>1284</v>
      </c>
      <c r="B533" s="51" t="s">
        <v>1285</v>
      </c>
      <c r="C533" s="51" t="s">
        <v>170</v>
      </c>
      <c r="D533" s="51" t="s">
        <v>171</v>
      </c>
      <c r="E533" s="51" t="s">
        <v>163</v>
      </c>
      <c r="F533" s="51" t="s">
        <v>160</v>
      </c>
      <c r="G533" s="51" t="s">
        <v>160</v>
      </c>
      <c r="H533" s="51" t="s">
        <v>160</v>
      </c>
      <c r="I533" s="51" t="s">
        <v>160</v>
      </c>
      <c r="J533" s="51" t="s">
        <v>354</v>
      </c>
      <c r="K533" s="51" t="s">
        <v>167</v>
      </c>
    </row>
    <row r="534" spans="1:11" x14ac:dyDescent="0.3">
      <c r="A534" s="51" t="s">
        <v>1286</v>
      </c>
      <c r="B534" s="51" t="s">
        <v>1287</v>
      </c>
      <c r="C534" s="51" t="s">
        <v>170</v>
      </c>
      <c r="D534" s="51" t="s">
        <v>171</v>
      </c>
      <c r="E534" s="51" t="s">
        <v>163</v>
      </c>
      <c r="F534" s="51" t="s">
        <v>160</v>
      </c>
      <c r="G534" s="51" t="s">
        <v>160</v>
      </c>
      <c r="H534" s="51" t="s">
        <v>160</v>
      </c>
      <c r="I534" s="51" t="s">
        <v>160</v>
      </c>
      <c r="J534" s="51" t="s">
        <v>172</v>
      </c>
      <c r="K534" s="51" t="s">
        <v>167</v>
      </c>
    </row>
    <row r="535" spans="1:11" x14ac:dyDescent="0.3">
      <c r="A535" s="51" t="s">
        <v>1288</v>
      </c>
      <c r="B535" s="51" t="s">
        <v>1289</v>
      </c>
      <c r="C535" s="51" t="s">
        <v>170</v>
      </c>
      <c r="D535" s="51" t="s">
        <v>171</v>
      </c>
      <c r="E535" s="51" t="s">
        <v>163</v>
      </c>
      <c r="F535" s="51" t="s">
        <v>160</v>
      </c>
      <c r="G535" s="51" t="s">
        <v>160</v>
      </c>
      <c r="H535" s="51" t="s">
        <v>160</v>
      </c>
      <c r="I535" s="51" t="s">
        <v>160</v>
      </c>
      <c r="J535" s="51" t="s">
        <v>172</v>
      </c>
      <c r="K535" s="51" t="s">
        <v>167</v>
      </c>
    </row>
    <row r="536" spans="1:11" x14ac:dyDescent="0.3">
      <c r="A536" s="51" t="s">
        <v>1290</v>
      </c>
      <c r="B536" s="51" t="s">
        <v>1291</v>
      </c>
      <c r="C536" s="51" t="s">
        <v>170</v>
      </c>
      <c r="D536" s="51" t="s">
        <v>171</v>
      </c>
      <c r="E536" s="51" t="s">
        <v>163</v>
      </c>
      <c r="F536" s="51" t="s">
        <v>160</v>
      </c>
      <c r="G536" s="51" t="s">
        <v>160</v>
      </c>
      <c r="H536" s="51" t="s">
        <v>160</v>
      </c>
      <c r="I536" s="51" t="s">
        <v>160</v>
      </c>
      <c r="J536" s="51" t="s">
        <v>172</v>
      </c>
      <c r="K536" s="51" t="s">
        <v>273</v>
      </c>
    </row>
    <row r="537" spans="1:11" x14ac:dyDescent="0.3">
      <c r="A537" s="51" t="s">
        <v>1292</v>
      </c>
      <c r="B537" s="51" t="s">
        <v>1293</v>
      </c>
      <c r="C537" s="51" t="s">
        <v>170</v>
      </c>
      <c r="D537" s="51" t="s">
        <v>171</v>
      </c>
      <c r="E537" s="51" t="s">
        <v>163</v>
      </c>
      <c r="F537" s="51" t="s">
        <v>160</v>
      </c>
      <c r="G537" s="51" t="s">
        <v>160</v>
      </c>
      <c r="H537" s="51" t="s">
        <v>160</v>
      </c>
      <c r="I537" s="51" t="s">
        <v>160</v>
      </c>
      <c r="J537" s="51" t="s">
        <v>172</v>
      </c>
      <c r="K537" s="51" t="s">
        <v>167</v>
      </c>
    </row>
    <row r="538" spans="1:11" x14ac:dyDescent="0.3">
      <c r="A538" s="51" t="s">
        <v>1294</v>
      </c>
      <c r="B538" s="51" t="s">
        <v>1295</v>
      </c>
      <c r="C538" s="51" t="s">
        <v>170</v>
      </c>
      <c r="D538" s="51" t="s">
        <v>171</v>
      </c>
      <c r="E538" s="51" t="s">
        <v>163</v>
      </c>
      <c r="F538" s="51" t="s">
        <v>160</v>
      </c>
      <c r="G538" s="51" t="s">
        <v>160</v>
      </c>
      <c r="H538" s="51" t="s">
        <v>160</v>
      </c>
      <c r="I538" s="51" t="s">
        <v>160</v>
      </c>
      <c r="J538" s="51" t="s">
        <v>172</v>
      </c>
      <c r="K538" s="51" t="s">
        <v>273</v>
      </c>
    </row>
    <row r="539" spans="1:11" x14ac:dyDescent="0.3">
      <c r="A539" s="51" t="s">
        <v>1296</v>
      </c>
      <c r="B539" s="51" t="s">
        <v>1297</v>
      </c>
      <c r="C539" s="51" t="s">
        <v>170</v>
      </c>
      <c r="D539" s="51" t="s">
        <v>171</v>
      </c>
      <c r="E539" s="51" t="s">
        <v>163</v>
      </c>
      <c r="F539" s="51" t="s">
        <v>160</v>
      </c>
      <c r="G539" s="51" t="s">
        <v>160</v>
      </c>
      <c r="H539" s="51" t="s">
        <v>160</v>
      </c>
      <c r="I539" s="51" t="s">
        <v>160</v>
      </c>
      <c r="J539" s="51" t="s">
        <v>318</v>
      </c>
      <c r="K539" s="51" t="s">
        <v>167</v>
      </c>
    </row>
    <row r="540" spans="1:11" x14ac:dyDescent="0.3">
      <c r="A540" s="51" t="s">
        <v>1298</v>
      </c>
      <c r="B540" s="51" t="s">
        <v>1299</v>
      </c>
      <c r="C540" s="51" t="s">
        <v>170</v>
      </c>
      <c r="D540" s="51" t="s">
        <v>171</v>
      </c>
      <c r="E540" s="51" t="s">
        <v>163</v>
      </c>
      <c r="F540" s="51" t="s">
        <v>160</v>
      </c>
      <c r="G540" s="51" t="s">
        <v>160</v>
      </c>
      <c r="H540" s="51" t="s">
        <v>160</v>
      </c>
      <c r="I540" s="51" t="s">
        <v>160</v>
      </c>
      <c r="J540" s="51" t="s">
        <v>725</v>
      </c>
      <c r="K540" s="51" t="s">
        <v>167</v>
      </c>
    </row>
    <row r="541" spans="1:11" x14ac:dyDescent="0.3">
      <c r="A541" s="51" t="s">
        <v>1300</v>
      </c>
      <c r="B541" s="51" t="s">
        <v>1301</v>
      </c>
      <c r="C541" s="51" t="s">
        <v>170</v>
      </c>
      <c r="D541" s="51" t="s">
        <v>171</v>
      </c>
      <c r="E541" s="51" t="s">
        <v>163</v>
      </c>
      <c r="F541" s="51" t="s">
        <v>160</v>
      </c>
      <c r="G541" s="51" t="s">
        <v>160</v>
      </c>
      <c r="H541" s="51" t="s">
        <v>160</v>
      </c>
      <c r="I541" s="51" t="s">
        <v>160</v>
      </c>
      <c r="J541" s="51" t="s">
        <v>357</v>
      </c>
      <c r="K541" s="51" t="s">
        <v>273</v>
      </c>
    </row>
    <row r="542" spans="1:11" x14ac:dyDescent="0.3">
      <c r="A542" s="51" t="s">
        <v>1302</v>
      </c>
      <c r="B542" s="51" t="s">
        <v>1303</v>
      </c>
      <c r="C542" s="51" t="s">
        <v>170</v>
      </c>
      <c r="D542" s="51" t="s">
        <v>171</v>
      </c>
      <c r="E542" s="51" t="s">
        <v>163</v>
      </c>
      <c r="F542" s="51" t="s">
        <v>160</v>
      </c>
      <c r="G542" s="51" t="s">
        <v>160</v>
      </c>
      <c r="H542" s="51" t="s">
        <v>160</v>
      </c>
      <c r="I542" s="51" t="s">
        <v>160</v>
      </c>
      <c r="J542" s="51" t="s">
        <v>175</v>
      </c>
      <c r="K542" s="51" t="s">
        <v>167</v>
      </c>
    </row>
    <row r="543" spans="1:11" x14ac:dyDescent="0.3">
      <c r="A543" s="51" t="s">
        <v>1304</v>
      </c>
      <c r="B543" s="51" t="s">
        <v>1305</v>
      </c>
      <c r="C543" s="51" t="s">
        <v>170</v>
      </c>
      <c r="D543" s="51" t="s">
        <v>171</v>
      </c>
      <c r="E543" s="51" t="s">
        <v>163</v>
      </c>
      <c r="F543" s="51" t="s">
        <v>160</v>
      </c>
      <c r="G543" s="51" t="s">
        <v>160</v>
      </c>
      <c r="H543" s="51" t="s">
        <v>160</v>
      </c>
      <c r="I543" s="51" t="s">
        <v>160</v>
      </c>
      <c r="J543" s="51" t="s">
        <v>315</v>
      </c>
      <c r="K543" s="51" t="s">
        <v>167</v>
      </c>
    </row>
    <row r="544" spans="1:11" x14ac:dyDescent="0.3">
      <c r="A544" s="51" t="s">
        <v>1306</v>
      </c>
      <c r="B544" s="51" t="s">
        <v>1307</v>
      </c>
      <c r="C544" s="51" t="s">
        <v>170</v>
      </c>
      <c r="D544" s="51" t="s">
        <v>171</v>
      </c>
      <c r="E544" s="51" t="s">
        <v>163</v>
      </c>
      <c r="F544" s="51" t="s">
        <v>160</v>
      </c>
      <c r="G544" s="51" t="s">
        <v>160</v>
      </c>
      <c r="H544" s="51" t="s">
        <v>160</v>
      </c>
      <c r="I544" s="51" t="s">
        <v>160</v>
      </c>
      <c r="J544" s="51" t="s">
        <v>1308</v>
      </c>
      <c r="K544" s="51" t="s">
        <v>167</v>
      </c>
    </row>
    <row r="545" spans="1:11" x14ac:dyDescent="0.3">
      <c r="A545" s="51" t="s">
        <v>1309</v>
      </c>
      <c r="B545" s="51" t="s">
        <v>1310</v>
      </c>
      <c r="C545" s="51" t="s">
        <v>170</v>
      </c>
      <c r="D545" s="51" t="s">
        <v>171</v>
      </c>
      <c r="E545" s="51" t="s">
        <v>163</v>
      </c>
      <c r="F545" s="51" t="s">
        <v>160</v>
      </c>
      <c r="G545" s="51" t="s">
        <v>160</v>
      </c>
      <c r="H545" s="51" t="s">
        <v>160</v>
      </c>
      <c r="I545" s="51" t="s">
        <v>160</v>
      </c>
      <c r="J545" s="51" t="s">
        <v>357</v>
      </c>
      <c r="K545" s="51" t="s">
        <v>273</v>
      </c>
    </row>
    <row r="546" spans="1:11" x14ac:dyDescent="0.3">
      <c r="A546" s="51" t="s">
        <v>1311</v>
      </c>
      <c r="B546" s="51" t="s">
        <v>309</v>
      </c>
      <c r="C546" s="51" t="s">
        <v>170</v>
      </c>
      <c r="D546" s="51" t="s">
        <v>171</v>
      </c>
      <c r="E546" s="51" t="s">
        <v>163</v>
      </c>
      <c r="F546" s="51" t="s">
        <v>160</v>
      </c>
      <c r="G546" s="51" t="s">
        <v>160</v>
      </c>
      <c r="H546" s="51" t="s">
        <v>160</v>
      </c>
      <c r="I546" s="51" t="s">
        <v>160</v>
      </c>
      <c r="J546" s="51" t="s">
        <v>175</v>
      </c>
      <c r="K546" s="51" t="s">
        <v>273</v>
      </c>
    </row>
    <row r="547" spans="1:11" x14ac:dyDescent="0.3">
      <c r="A547" s="51" t="s">
        <v>1312</v>
      </c>
      <c r="B547" s="51" t="s">
        <v>1313</v>
      </c>
      <c r="C547" s="51" t="s">
        <v>170</v>
      </c>
      <c r="D547" s="51" t="s">
        <v>171</v>
      </c>
      <c r="E547" s="51" t="s">
        <v>163</v>
      </c>
      <c r="F547" s="51" t="s">
        <v>160</v>
      </c>
      <c r="G547" s="51" t="s">
        <v>160</v>
      </c>
      <c r="H547" s="51" t="s">
        <v>160</v>
      </c>
      <c r="I547" s="51" t="s">
        <v>160</v>
      </c>
      <c r="J547" s="51" t="s">
        <v>357</v>
      </c>
      <c r="K547" s="51" t="s">
        <v>273</v>
      </c>
    </row>
    <row r="548" spans="1:11" x14ac:dyDescent="0.3">
      <c r="A548" s="51" t="s">
        <v>1314</v>
      </c>
      <c r="B548" s="51" t="s">
        <v>1315</v>
      </c>
      <c r="C548" s="51" t="s">
        <v>170</v>
      </c>
      <c r="D548" s="51" t="s">
        <v>171</v>
      </c>
      <c r="E548" s="51" t="s">
        <v>163</v>
      </c>
      <c r="F548" s="51" t="s">
        <v>160</v>
      </c>
      <c r="G548" s="51" t="s">
        <v>160</v>
      </c>
      <c r="H548" s="51" t="s">
        <v>160</v>
      </c>
      <c r="I548" s="51" t="s">
        <v>160</v>
      </c>
      <c r="J548" s="51" t="s">
        <v>340</v>
      </c>
      <c r="K548" s="51" t="s">
        <v>167</v>
      </c>
    </row>
    <row r="549" spans="1:11" x14ac:dyDescent="0.3">
      <c r="A549" s="51" t="s">
        <v>1316</v>
      </c>
      <c r="B549" s="51" t="s">
        <v>1315</v>
      </c>
      <c r="C549" s="51" t="s">
        <v>170</v>
      </c>
      <c r="D549" s="51" t="s">
        <v>171</v>
      </c>
      <c r="E549" s="51" t="s">
        <v>163</v>
      </c>
      <c r="F549" s="51" t="s">
        <v>160</v>
      </c>
      <c r="G549" s="51" t="s">
        <v>160</v>
      </c>
      <c r="H549" s="51" t="s">
        <v>160</v>
      </c>
      <c r="I549" s="51" t="s">
        <v>160</v>
      </c>
      <c r="J549" s="51" t="s">
        <v>340</v>
      </c>
      <c r="K549" s="51" t="s">
        <v>167</v>
      </c>
    </row>
    <row r="550" spans="1:11" x14ac:dyDescent="0.3">
      <c r="A550" s="51" t="s">
        <v>1317</v>
      </c>
      <c r="B550" s="51" t="s">
        <v>1318</v>
      </c>
      <c r="C550" s="51" t="s">
        <v>170</v>
      </c>
      <c r="D550" s="51" t="s">
        <v>171</v>
      </c>
      <c r="E550" s="51" t="s">
        <v>163</v>
      </c>
      <c r="F550" s="51" t="s">
        <v>160</v>
      </c>
      <c r="G550" s="51" t="s">
        <v>160</v>
      </c>
      <c r="H550" s="51" t="s">
        <v>160</v>
      </c>
      <c r="I550" s="51" t="s">
        <v>160</v>
      </c>
      <c r="J550" s="51" t="s">
        <v>340</v>
      </c>
      <c r="K550" s="51" t="s">
        <v>167</v>
      </c>
    </row>
    <row r="551" spans="1:11" x14ac:dyDescent="0.3">
      <c r="A551" s="51" t="s">
        <v>1319</v>
      </c>
      <c r="B551" s="51" t="s">
        <v>1320</v>
      </c>
      <c r="C551" s="51" t="s">
        <v>170</v>
      </c>
      <c r="D551" s="51" t="s">
        <v>171</v>
      </c>
      <c r="E551" s="51" t="s">
        <v>163</v>
      </c>
      <c r="F551" s="51" t="s">
        <v>160</v>
      </c>
      <c r="G551" s="51" t="s">
        <v>160</v>
      </c>
      <c r="H551" s="51" t="s">
        <v>160</v>
      </c>
      <c r="I551" s="51" t="s">
        <v>160</v>
      </c>
      <c r="J551" s="51" t="s">
        <v>340</v>
      </c>
      <c r="K551" s="51" t="s">
        <v>167</v>
      </c>
    </row>
    <row r="552" spans="1:11" x14ac:dyDescent="0.3">
      <c r="A552" s="51" t="s">
        <v>1321</v>
      </c>
      <c r="B552" s="51" t="s">
        <v>1322</v>
      </c>
      <c r="C552" s="51" t="s">
        <v>170</v>
      </c>
      <c r="D552" s="51" t="s">
        <v>171</v>
      </c>
      <c r="E552" s="51" t="s">
        <v>163</v>
      </c>
      <c r="F552" s="51" t="s">
        <v>160</v>
      </c>
      <c r="G552" s="51" t="s">
        <v>160</v>
      </c>
      <c r="H552" s="51" t="s">
        <v>160</v>
      </c>
      <c r="I552" s="51" t="s">
        <v>160</v>
      </c>
      <c r="J552" s="51" t="s">
        <v>202</v>
      </c>
      <c r="K552" s="51" t="s">
        <v>167</v>
      </c>
    </row>
    <row r="553" spans="1:11" x14ac:dyDescent="0.3">
      <c r="A553" s="51" t="s">
        <v>1323</v>
      </c>
      <c r="B553" s="51" t="s">
        <v>1324</v>
      </c>
      <c r="C553" s="51" t="s">
        <v>170</v>
      </c>
      <c r="D553" s="51" t="s">
        <v>171</v>
      </c>
      <c r="E553" s="51" t="s">
        <v>163</v>
      </c>
      <c r="F553" s="51" t="s">
        <v>160</v>
      </c>
      <c r="G553" s="51" t="s">
        <v>160</v>
      </c>
      <c r="H553" s="51" t="s">
        <v>160</v>
      </c>
      <c r="I553" s="51" t="s">
        <v>160</v>
      </c>
      <c r="J553" s="51" t="s">
        <v>175</v>
      </c>
      <c r="K553" s="51" t="s">
        <v>167</v>
      </c>
    </row>
    <row r="554" spans="1:11" x14ac:dyDescent="0.3">
      <c r="A554" s="51" t="s">
        <v>1325</v>
      </c>
      <c r="B554" s="51" t="s">
        <v>1326</v>
      </c>
      <c r="C554" s="51" t="s">
        <v>170</v>
      </c>
      <c r="D554" s="51" t="s">
        <v>171</v>
      </c>
      <c r="E554" s="51" t="s">
        <v>163</v>
      </c>
      <c r="F554" s="51" t="s">
        <v>160</v>
      </c>
      <c r="G554" s="51" t="s">
        <v>160</v>
      </c>
      <c r="H554" s="51" t="s">
        <v>160</v>
      </c>
      <c r="I554" s="51" t="s">
        <v>160</v>
      </c>
      <c r="J554" s="51" t="s">
        <v>340</v>
      </c>
      <c r="K554" s="51" t="s">
        <v>167</v>
      </c>
    </row>
    <row r="555" spans="1:11" x14ac:dyDescent="0.3">
      <c r="A555" s="51" t="s">
        <v>1327</v>
      </c>
      <c r="B555" s="51" t="s">
        <v>1328</v>
      </c>
      <c r="C555" s="51" t="s">
        <v>170</v>
      </c>
      <c r="D555" s="51" t="s">
        <v>171</v>
      </c>
      <c r="E555" s="51" t="s">
        <v>163</v>
      </c>
      <c r="F555" s="51" t="s">
        <v>160</v>
      </c>
      <c r="G555" s="51" t="s">
        <v>160</v>
      </c>
      <c r="H555" s="51" t="s">
        <v>160</v>
      </c>
      <c r="I555" s="51" t="s">
        <v>160</v>
      </c>
      <c r="J555" s="51" t="s">
        <v>340</v>
      </c>
      <c r="K555" s="51" t="s">
        <v>167</v>
      </c>
    </row>
    <row r="556" spans="1:11" x14ac:dyDescent="0.3">
      <c r="A556" s="51" t="s">
        <v>1329</v>
      </c>
      <c r="B556" s="51" t="s">
        <v>1330</v>
      </c>
      <c r="C556" s="51" t="s">
        <v>170</v>
      </c>
      <c r="D556" s="51" t="s">
        <v>171</v>
      </c>
      <c r="E556" s="51" t="s">
        <v>163</v>
      </c>
      <c r="F556" s="51" t="s">
        <v>160</v>
      </c>
      <c r="G556" s="51" t="s">
        <v>160</v>
      </c>
      <c r="H556" s="51" t="s">
        <v>160</v>
      </c>
      <c r="I556" s="51" t="s">
        <v>160</v>
      </c>
      <c r="J556" s="51" t="s">
        <v>175</v>
      </c>
      <c r="K556" s="51" t="s">
        <v>167</v>
      </c>
    </row>
    <row r="557" spans="1:11" x14ac:dyDescent="0.3">
      <c r="A557" s="51" t="s">
        <v>1331</v>
      </c>
      <c r="B557" s="51" t="s">
        <v>1332</v>
      </c>
      <c r="C557" s="51" t="s">
        <v>170</v>
      </c>
      <c r="D557" s="51" t="s">
        <v>171</v>
      </c>
      <c r="E557" s="51" t="s">
        <v>163</v>
      </c>
      <c r="F557" s="51" t="s">
        <v>160</v>
      </c>
      <c r="G557" s="51" t="s">
        <v>160</v>
      </c>
      <c r="H557" s="51" t="s">
        <v>160</v>
      </c>
      <c r="I557" s="51" t="s">
        <v>160</v>
      </c>
      <c r="J557" s="51" t="s">
        <v>175</v>
      </c>
      <c r="K557" s="51" t="s">
        <v>167</v>
      </c>
    </row>
    <row r="558" spans="1:11" x14ac:dyDescent="0.3">
      <c r="A558" s="51" t="s">
        <v>164</v>
      </c>
      <c r="B558" s="51" t="s">
        <v>1333</v>
      </c>
      <c r="C558" s="51" t="s">
        <v>170</v>
      </c>
      <c r="D558" s="51" t="s">
        <v>171</v>
      </c>
      <c r="E558" s="51" t="s">
        <v>163</v>
      </c>
      <c r="F558" s="51" t="s">
        <v>160</v>
      </c>
      <c r="G558" s="51" t="s">
        <v>160</v>
      </c>
      <c r="H558" s="51" t="s">
        <v>160</v>
      </c>
      <c r="I558" s="51" t="s">
        <v>160</v>
      </c>
      <c r="J558" s="51" t="s">
        <v>166</v>
      </c>
      <c r="K558" s="51" t="s">
        <v>167</v>
      </c>
    </row>
    <row r="559" spans="1:11" x14ac:dyDescent="0.3">
      <c r="A559" s="51" t="s">
        <v>1334</v>
      </c>
      <c r="B559" s="51" t="s">
        <v>1335</v>
      </c>
      <c r="C559" s="51" t="s">
        <v>170</v>
      </c>
      <c r="D559" s="51" t="s">
        <v>171</v>
      </c>
      <c r="E559" s="51" t="s">
        <v>163</v>
      </c>
      <c r="F559" s="51" t="s">
        <v>160</v>
      </c>
      <c r="G559" s="51" t="s">
        <v>160</v>
      </c>
      <c r="H559" s="51" t="s">
        <v>160</v>
      </c>
      <c r="I559" s="51" t="s">
        <v>160</v>
      </c>
      <c r="J559" s="51" t="s">
        <v>1336</v>
      </c>
      <c r="K559" s="51" t="s">
        <v>167</v>
      </c>
    </row>
    <row r="560" spans="1:11" x14ac:dyDescent="0.3">
      <c r="A560" s="51" t="s">
        <v>1337</v>
      </c>
      <c r="B560" s="51" t="s">
        <v>1338</v>
      </c>
      <c r="C560" s="51" t="s">
        <v>170</v>
      </c>
      <c r="D560" s="51" t="s">
        <v>171</v>
      </c>
      <c r="E560" s="51" t="s">
        <v>163</v>
      </c>
      <c r="F560" s="51" t="s">
        <v>160</v>
      </c>
      <c r="G560" s="51" t="s">
        <v>160</v>
      </c>
      <c r="H560" s="51" t="s">
        <v>160</v>
      </c>
      <c r="I560" s="51" t="s">
        <v>160</v>
      </c>
      <c r="J560" s="51" t="s">
        <v>175</v>
      </c>
      <c r="K560" s="51" t="s">
        <v>167</v>
      </c>
    </row>
    <row r="561" spans="1:11" x14ac:dyDescent="0.3">
      <c r="A561" s="51" t="s">
        <v>1339</v>
      </c>
      <c r="B561" s="51" t="s">
        <v>1340</v>
      </c>
      <c r="C561" s="51" t="s">
        <v>170</v>
      </c>
      <c r="D561" s="51" t="s">
        <v>171</v>
      </c>
      <c r="E561" s="51" t="s">
        <v>163</v>
      </c>
      <c r="F561" s="51" t="s">
        <v>160</v>
      </c>
      <c r="G561" s="51" t="s">
        <v>160</v>
      </c>
      <c r="H561" s="51" t="s">
        <v>160</v>
      </c>
      <c r="I561" s="51" t="s">
        <v>160</v>
      </c>
      <c r="J561" s="51" t="s">
        <v>175</v>
      </c>
      <c r="K561" s="51" t="s">
        <v>167</v>
      </c>
    </row>
    <row r="562" spans="1:11" x14ac:dyDescent="0.3">
      <c r="A562" s="51" t="s">
        <v>1341</v>
      </c>
      <c r="B562" s="51" t="s">
        <v>1342</v>
      </c>
      <c r="C562" s="51" t="s">
        <v>170</v>
      </c>
      <c r="D562" s="51" t="s">
        <v>171</v>
      </c>
      <c r="E562" s="51" t="s">
        <v>163</v>
      </c>
      <c r="F562" s="51" t="s">
        <v>160</v>
      </c>
      <c r="G562" s="51" t="s">
        <v>160</v>
      </c>
      <c r="H562" s="51" t="s">
        <v>160</v>
      </c>
      <c r="I562" s="51" t="s">
        <v>160</v>
      </c>
      <c r="J562" s="51" t="s">
        <v>175</v>
      </c>
      <c r="K562" s="51" t="s">
        <v>167</v>
      </c>
    </row>
    <row r="563" spans="1:11" x14ac:dyDescent="0.3">
      <c r="A563" s="51" t="s">
        <v>1343</v>
      </c>
      <c r="B563" s="51" t="s">
        <v>1344</v>
      </c>
      <c r="C563" s="51" t="s">
        <v>170</v>
      </c>
      <c r="D563" s="51" t="s">
        <v>171</v>
      </c>
      <c r="E563" s="51" t="s">
        <v>163</v>
      </c>
      <c r="F563" s="51" t="s">
        <v>160</v>
      </c>
      <c r="G563" s="51" t="s">
        <v>160</v>
      </c>
      <c r="H563" s="51" t="s">
        <v>160</v>
      </c>
      <c r="I563" s="51" t="s">
        <v>160</v>
      </c>
      <c r="J563" s="51" t="s">
        <v>1345</v>
      </c>
      <c r="K563" s="51" t="s">
        <v>167</v>
      </c>
    </row>
    <row r="564" spans="1:11" x14ac:dyDescent="0.3">
      <c r="A564" s="51" t="s">
        <v>1346</v>
      </c>
      <c r="B564" s="51" t="s">
        <v>1347</v>
      </c>
      <c r="C564" s="51" t="s">
        <v>170</v>
      </c>
      <c r="D564" s="51" t="s">
        <v>171</v>
      </c>
      <c r="E564" s="51" t="s">
        <v>163</v>
      </c>
      <c r="F564" s="51" t="s">
        <v>160</v>
      </c>
      <c r="G564" s="51" t="s">
        <v>160</v>
      </c>
      <c r="H564" s="51" t="s">
        <v>160</v>
      </c>
      <c r="I564" s="51" t="s">
        <v>160</v>
      </c>
      <c r="J564" s="51" t="s">
        <v>1345</v>
      </c>
      <c r="K564" s="51" t="s">
        <v>167</v>
      </c>
    </row>
    <row r="565" spans="1:11" x14ac:dyDescent="0.3">
      <c r="A565" s="51" t="s">
        <v>1348</v>
      </c>
      <c r="B565" s="51" t="s">
        <v>1349</v>
      </c>
      <c r="C565" s="51" t="s">
        <v>170</v>
      </c>
      <c r="D565" s="51" t="s">
        <v>171</v>
      </c>
      <c r="E565" s="51" t="s">
        <v>163</v>
      </c>
      <c r="F565" s="51" t="s">
        <v>160</v>
      </c>
      <c r="G565" s="51" t="s">
        <v>160</v>
      </c>
      <c r="H565" s="51" t="s">
        <v>160</v>
      </c>
      <c r="I565" s="51" t="s">
        <v>160</v>
      </c>
      <c r="J565" s="51" t="s">
        <v>1345</v>
      </c>
      <c r="K565" s="51" t="s">
        <v>167</v>
      </c>
    </row>
    <row r="566" spans="1:11" x14ac:dyDescent="0.3">
      <c r="A566" s="51" t="s">
        <v>1350</v>
      </c>
      <c r="B566" s="51" t="s">
        <v>1351</v>
      </c>
      <c r="C566" s="51" t="s">
        <v>170</v>
      </c>
      <c r="D566" s="51" t="s">
        <v>171</v>
      </c>
      <c r="E566" s="51" t="s">
        <v>163</v>
      </c>
      <c r="F566" s="51" t="s">
        <v>160</v>
      </c>
      <c r="G566" s="51" t="s">
        <v>160</v>
      </c>
      <c r="H566" s="51" t="s">
        <v>160</v>
      </c>
      <c r="I566" s="51" t="s">
        <v>160</v>
      </c>
      <c r="J566" s="51" t="s">
        <v>1345</v>
      </c>
      <c r="K566" s="51" t="s">
        <v>167</v>
      </c>
    </row>
    <row r="567" spans="1:11" x14ac:dyDescent="0.3">
      <c r="A567" s="51" t="s">
        <v>1352</v>
      </c>
      <c r="B567" s="51" t="s">
        <v>1353</v>
      </c>
      <c r="C567" s="51" t="s">
        <v>170</v>
      </c>
      <c r="D567" s="51" t="s">
        <v>171</v>
      </c>
      <c r="E567" s="51" t="s">
        <v>163</v>
      </c>
      <c r="F567" s="51" t="s">
        <v>160</v>
      </c>
      <c r="G567" s="51" t="s">
        <v>160</v>
      </c>
      <c r="H567" s="51" t="s">
        <v>160</v>
      </c>
      <c r="I567" s="51" t="s">
        <v>160</v>
      </c>
      <c r="J567" s="51" t="s">
        <v>1345</v>
      </c>
      <c r="K567" s="51" t="s">
        <v>167</v>
      </c>
    </row>
    <row r="568" spans="1:11" x14ac:dyDescent="0.3">
      <c r="A568" s="51" t="s">
        <v>1354</v>
      </c>
      <c r="B568" s="51" t="s">
        <v>1355</v>
      </c>
      <c r="C568" s="51" t="s">
        <v>170</v>
      </c>
      <c r="D568" s="51" t="s">
        <v>171</v>
      </c>
      <c r="E568" s="51" t="s">
        <v>163</v>
      </c>
      <c r="F568" s="51" t="s">
        <v>160</v>
      </c>
      <c r="G568" s="51" t="s">
        <v>160</v>
      </c>
      <c r="H568" s="51" t="s">
        <v>160</v>
      </c>
      <c r="I568" s="51" t="s">
        <v>160</v>
      </c>
      <c r="J568" s="51" t="s">
        <v>1345</v>
      </c>
      <c r="K568" s="51" t="s">
        <v>167</v>
      </c>
    </row>
    <row r="569" spans="1:11" x14ac:dyDescent="0.3">
      <c r="A569" s="51" t="s">
        <v>1356</v>
      </c>
      <c r="B569" s="51" t="s">
        <v>1357</v>
      </c>
      <c r="C569" s="51" t="s">
        <v>170</v>
      </c>
      <c r="D569" s="51" t="s">
        <v>171</v>
      </c>
      <c r="E569" s="51" t="s">
        <v>163</v>
      </c>
      <c r="F569" s="51" t="s">
        <v>160</v>
      </c>
      <c r="G569" s="51" t="s">
        <v>160</v>
      </c>
      <c r="H569" s="51" t="s">
        <v>160</v>
      </c>
      <c r="I569" s="51" t="s">
        <v>160</v>
      </c>
      <c r="J569" s="51" t="s">
        <v>1345</v>
      </c>
      <c r="K569" s="51" t="s">
        <v>167</v>
      </c>
    </row>
    <row r="570" spans="1:11" x14ac:dyDescent="0.3">
      <c r="A570" s="51" t="s">
        <v>1358</v>
      </c>
      <c r="B570" s="51" t="s">
        <v>1359</v>
      </c>
      <c r="C570" s="51" t="s">
        <v>170</v>
      </c>
      <c r="D570" s="51" t="s">
        <v>171</v>
      </c>
      <c r="E570" s="51" t="s">
        <v>163</v>
      </c>
      <c r="F570" s="51" t="s">
        <v>160</v>
      </c>
      <c r="G570" s="51" t="s">
        <v>160</v>
      </c>
      <c r="H570" s="51" t="s">
        <v>160</v>
      </c>
      <c r="I570" s="51" t="s">
        <v>160</v>
      </c>
      <c r="J570" s="51" t="s">
        <v>1345</v>
      </c>
      <c r="K570" s="51" t="s">
        <v>167</v>
      </c>
    </row>
    <row r="571" spans="1:11" x14ac:dyDescent="0.3">
      <c r="A571" s="51" t="s">
        <v>1360</v>
      </c>
      <c r="B571" s="51" t="s">
        <v>1361</v>
      </c>
      <c r="C571" s="51" t="s">
        <v>170</v>
      </c>
      <c r="D571" s="51" t="s">
        <v>171</v>
      </c>
      <c r="E571" s="51" t="s">
        <v>163</v>
      </c>
      <c r="F571" s="51" t="s">
        <v>160</v>
      </c>
      <c r="G571" s="51" t="s">
        <v>160</v>
      </c>
      <c r="H571" s="51" t="s">
        <v>160</v>
      </c>
      <c r="I571" s="51" t="s">
        <v>160</v>
      </c>
      <c r="J571" s="51" t="s">
        <v>1345</v>
      </c>
      <c r="K571" s="51" t="s">
        <v>167</v>
      </c>
    </row>
    <row r="572" spans="1:11" x14ac:dyDescent="0.3">
      <c r="A572" s="51" t="s">
        <v>1362</v>
      </c>
      <c r="B572" s="51" t="s">
        <v>1363</v>
      </c>
      <c r="C572" s="51" t="s">
        <v>170</v>
      </c>
      <c r="D572" s="51" t="s">
        <v>171</v>
      </c>
      <c r="E572" s="51" t="s">
        <v>163</v>
      </c>
      <c r="F572" s="51" t="s">
        <v>160</v>
      </c>
      <c r="G572" s="51" t="s">
        <v>160</v>
      </c>
      <c r="H572" s="51" t="s">
        <v>160</v>
      </c>
      <c r="I572" s="51" t="s">
        <v>160</v>
      </c>
      <c r="J572" s="51" t="s">
        <v>1345</v>
      </c>
      <c r="K572" s="51" t="s">
        <v>167</v>
      </c>
    </row>
    <row r="573" spans="1:11" x14ac:dyDescent="0.3">
      <c r="A573" s="51" t="s">
        <v>1364</v>
      </c>
      <c r="B573" s="51" t="s">
        <v>1365</v>
      </c>
      <c r="C573" s="51" t="s">
        <v>170</v>
      </c>
      <c r="D573" s="51" t="s">
        <v>171</v>
      </c>
      <c r="E573" s="51" t="s">
        <v>163</v>
      </c>
      <c r="F573" s="51" t="s">
        <v>160</v>
      </c>
      <c r="G573" s="51" t="s">
        <v>160</v>
      </c>
      <c r="H573" s="51" t="s">
        <v>160</v>
      </c>
      <c r="I573" s="51" t="s">
        <v>160</v>
      </c>
      <c r="J573" s="51" t="s">
        <v>1345</v>
      </c>
      <c r="K573" s="51" t="s">
        <v>167</v>
      </c>
    </row>
    <row r="574" spans="1:11" x14ac:dyDescent="0.3">
      <c r="A574" s="51" t="s">
        <v>1366</v>
      </c>
      <c r="B574" s="51" t="s">
        <v>1367</v>
      </c>
      <c r="C574" s="51" t="s">
        <v>170</v>
      </c>
      <c r="D574" s="51" t="s">
        <v>171</v>
      </c>
      <c r="E574" s="51" t="s">
        <v>163</v>
      </c>
      <c r="F574" s="51" t="s">
        <v>160</v>
      </c>
      <c r="G574" s="51" t="s">
        <v>160</v>
      </c>
      <c r="H574" s="51" t="s">
        <v>160</v>
      </c>
      <c r="I574" s="51" t="s">
        <v>160</v>
      </c>
      <c r="J574" s="51" t="s">
        <v>1345</v>
      </c>
      <c r="K574" s="51" t="s">
        <v>167</v>
      </c>
    </row>
    <row r="575" spans="1:11" x14ac:dyDescent="0.3">
      <c r="A575" s="51" t="s">
        <v>1368</v>
      </c>
      <c r="B575" s="51" t="s">
        <v>1369</v>
      </c>
      <c r="C575" s="51" t="s">
        <v>170</v>
      </c>
      <c r="D575" s="51" t="s">
        <v>171</v>
      </c>
      <c r="E575" s="51" t="s">
        <v>163</v>
      </c>
      <c r="F575" s="51" t="s">
        <v>160</v>
      </c>
      <c r="G575" s="51" t="s">
        <v>160</v>
      </c>
      <c r="H575" s="51" t="s">
        <v>160</v>
      </c>
      <c r="I575" s="51" t="s">
        <v>160</v>
      </c>
      <c r="J575" s="51" t="s">
        <v>1370</v>
      </c>
      <c r="K575" s="51" t="s">
        <v>167</v>
      </c>
    </row>
    <row r="576" spans="1:11" x14ac:dyDescent="0.3">
      <c r="A576" s="51" t="s">
        <v>1371</v>
      </c>
      <c r="B576" s="51" t="s">
        <v>1372</v>
      </c>
      <c r="C576" s="51" t="s">
        <v>170</v>
      </c>
      <c r="D576" s="51" t="s">
        <v>171</v>
      </c>
      <c r="E576" s="51" t="s">
        <v>163</v>
      </c>
      <c r="F576" s="51" t="s">
        <v>160</v>
      </c>
      <c r="G576" s="51" t="s">
        <v>160</v>
      </c>
      <c r="H576" s="51" t="s">
        <v>160</v>
      </c>
      <c r="I576" s="51" t="s">
        <v>160</v>
      </c>
      <c r="J576" s="51" t="s">
        <v>804</v>
      </c>
      <c r="K576" s="51" t="s">
        <v>167</v>
      </c>
    </row>
    <row r="577" spans="1:11" x14ac:dyDescent="0.3">
      <c r="A577" s="51" t="s">
        <v>1373</v>
      </c>
      <c r="B577" s="51" t="s">
        <v>1374</v>
      </c>
      <c r="C577" s="51" t="s">
        <v>170</v>
      </c>
      <c r="D577" s="51" t="s">
        <v>171</v>
      </c>
      <c r="E577" s="51" t="s">
        <v>163</v>
      </c>
      <c r="F577" s="51" t="s">
        <v>160</v>
      </c>
      <c r="G577" s="51" t="s">
        <v>160</v>
      </c>
      <c r="H577" s="51" t="s">
        <v>160</v>
      </c>
      <c r="I577" s="51" t="s">
        <v>160</v>
      </c>
      <c r="J577" s="51" t="s">
        <v>354</v>
      </c>
      <c r="K577" s="51" t="s">
        <v>167</v>
      </c>
    </row>
    <row r="578" spans="1:11" x14ac:dyDescent="0.3">
      <c r="A578" s="51" t="s">
        <v>1375</v>
      </c>
      <c r="B578" s="51" t="s">
        <v>1376</v>
      </c>
      <c r="C578" s="51" t="s">
        <v>260</v>
      </c>
      <c r="D578" s="51" t="s">
        <v>261</v>
      </c>
      <c r="E578" s="51" t="s">
        <v>163</v>
      </c>
      <c r="F578" s="51" t="s">
        <v>160</v>
      </c>
      <c r="G578" s="51" t="s">
        <v>160</v>
      </c>
      <c r="H578" s="51" t="s">
        <v>160</v>
      </c>
      <c r="I578" s="51" t="s">
        <v>160</v>
      </c>
      <c r="J578" s="51" t="s">
        <v>455</v>
      </c>
      <c r="K578" s="51" t="s">
        <v>167</v>
      </c>
    </row>
    <row r="579" spans="1:11" x14ac:dyDescent="0.3">
      <c r="A579" s="51" t="s">
        <v>1377</v>
      </c>
      <c r="B579" s="51" t="s">
        <v>1378</v>
      </c>
      <c r="C579" s="51" t="s">
        <v>270</v>
      </c>
      <c r="D579" s="51" t="s">
        <v>271</v>
      </c>
      <c r="E579" s="51" t="s">
        <v>163</v>
      </c>
      <c r="F579" s="51" t="s">
        <v>160</v>
      </c>
      <c r="G579" s="51" t="s">
        <v>160</v>
      </c>
      <c r="H579" s="51" t="s">
        <v>160</v>
      </c>
      <c r="I579" s="51" t="s">
        <v>160</v>
      </c>
      <c r="J579" s="51" t="s">
        <v>1379</v>
      </c>
      <c r="K579" s="51" t="s">
        <v>167</v>
      </c>
    </row>
    <row r="580" spans="1:11" x14ac:dyDescent="0.3">
      <c r="A580" s="51" t="s">
        <v>1380</v>
      </c>
      <c r="B580" s="51" t="s">
        <v>1381</v>
      </c>
      <c r="C580" s="51" t="s">
        <v>170</v>
      </c>
      <c r="D580" s="51" t="s">
        <v>171</v>
      </c>
      <c r="E580" s="51" t="s">
        <v>163</v>
      </c>
      <c r="F580" s="51" t="s">
        <v>160</v>
      </c>
      <c r="G580" s="51" t="s">
        <v>160</v>
      </c>
      <c r="H580" s="51" t="s">
        <v>160</v>
      </c>
      <c r="I580" s="51" t="s">
        <v>160</v>
      </c>
      <c r="J580" s="51" t="s">
        <v>172</v>
      </c>
      <c r="K580" s="51" t="s">
        <v>167</v>
      </c>
    </row>
    <row r="581" spans="1:11" x14ac:dyDescent="0.3">
      <c r="A581" s="51" t="s">
        <v>1382</v>
      </c>
      <c r="B581" s="51" t="s">
        <v>1383</v>
      </c>
      <c r="C581" s="51" t="s">
        <v>170</v>
      </c>
      <c r="D581" s="51" t="s">
        <v>171</v>
      </c>
      <c r="E581" s="51" t="s">
        <v>163</v>
      </c>
      <c r="F581" s="51" t="s">
        <v>160</v>
      </c>
      <c r="G581" s="51" t="s">
        <v>160</v>
      </c>
      <c r="H581" s="51" t="s">
        <v>160</v>
      </c>
      <c r="I581" s="51" t="s">
        <v>160</v>
      </c>
      <c r="J581" s="51" t="s">
        <v>172</v>
      </c>
      <c r="K581" s="51" t="s">
        <v>167</v>
      </c>
    </row>
    <row r="582" spans="1:11" x14ac:dyDescent="0.3">
      <c r="A582" s="51" t="s">
        <v>1384</v>
      </c>
      <c r="B582" s="51" t="s">
        <v>1385</v>
      </c>
      <c r="C582" s="51" t="s">
        <v>170</v>
      </c>
      <c r="D582" s="51" t="s">
        <v>171</v>
      </c>
      <c r="E582" s="51" t="s">
        <v>163</v>
      </c>
      <c r="F582" s="51" t="s">
        <v>160</v>
      </c>
      <c r="G582" s="51" t="s">
        <v>160</v>
      </c>
      <c r="H582" s="51" t="s">
        <v>160</v>
      </c>
      <c r="I582" s="51" t="s">
        <v>160</v>
      </c>
      <c r="J582" s="51" t="s">
        <v>172</v>
      </c>
      <c r="K582" s="51" t="s">
        <v>167</v>
      </c>
    </row>
    <row r="583" spans="1:11" x14ac:dyDescent="0.3">
      <c r="A583" s="51" t="s">
        <v>1386</v>
      </c>
      <c r="B583" s="51" t="s">
        <v>1387</v>
      </c>
      <c r="C583" s="51" t="s">
        <v>170</v>
      </c>
      <c r="D583" s="51" t="s">
        <v>171</v>
      </c>
      <c r="E583" s="51" t="s">
        <v>163</v>
      </c>
      <c r="F583" s="51" t="s">
        <v>160</v>
      </c>
      <c r="G583" s="51" t="s">
        <v>160</v>
      </c>
      <c r="H583" s="51" t="s">
        <v>160</v>
      </c>
      <c r="I583" s="51" t="s">
        <v>160</v>
      </c>
      <c r="J583" s="51" t="s">
        <v>172</v>
      </c>
      <c r="K583" s="51" t="s">
        <v>167</v>
      </c>
    </row>
    <row r="584" spans="1:11" x14ac:dyDescent="0.3">
      <c r="A584" s="51" t="s">
        <v>1388</v>
      </c>
      <c r="B584" s="51" t="s">
        <v>1389</v>
      </c>
      <c r="C584" s="51" t="s">
        <v>170</v>
      </c>
      <c r="D584" s="51" t="s">
        <v>171</v>
      </c>
      <c r="E584" s="51" t="s">
        <v>163</v>
      </c>
      <c r="F584" s="51" t="s">
        <v>160</v>
      </c>
      <c r="G584" s="51" t="s">
        <v>160</v>
      </c>
      <c r="H584" s="51" t="s">
        <v>160</v>
      </c>
      <c r="I584" s="51" t="s">
        <v>160</v>
      </c>
      <c r="J584" s="51" t="s">
        <v>172</v>
      </c>
      <c r="K584" s="51" t="s">
        <v>167</v>
      </c>
    </row>
    <row r="585" spans="1:11" x14ac:dyDescent="0.3">
      <c r="A585" s="51" t="s">
        <v>1390</v>
      </c>
      <c r="B585" s="51" t="s">
        <v>1391</v>
      </c>
      <c r="C585" s="51" t="s">
        <v>170</v>
      </c>
      <c r="D585" s="51" t="s">
        <v>171</v>
      </c>
      <c r="E585" s="51" t="s">
        <v>163</v>
      </c>
      <c r="F585" s="51" t="s">
        <v>160</v>
      </c>
      <c r="G585" s="51" t="s">
        <v>160</v>
      </c>
      <c r="H585" s="51" t="s">
        <v>160</v>
      </c>
      <c r="I585" s="51" t="s">
        <v>160</v>
      </c>
      <c r="J585" s="51" t="s">
        <v>166</v>
      </c>
      <c r="K585" s="51" t="s">
        <v>167</v>
      </c>
    </row>
    <row r="586" spans="1:11" x14ac:dyDescent="0.3">
      <c r="A586" s="51" t="s">
        <v>1392</v>
      </c>
      <c r="B586" s="51" t="s">
        <v>1393</v>
      </c>
      <c r="C586" s="51" t="s">
        <v>170</v>
      </c>
      <c r="D586" s="51" t="s">
        <v>171</v>
      </c>
      <c r="E586" s="51" t="s">
        <v>163</v>
      </c>
      <c r="F586" s="51" t="s">
        <v>160</v>
      </c>
      <c r="G586" s="51" t="s">
        <v>160</v>
      </c>
      <c r="H586" s="51" t="s">
        <v>160</v>
      </c>
      <c r="I586" s="51" t="s">
        <v>160</v>
      </c>
      <c r="J586" s="51" t="s">
        <v>172</v>
      </c>
      <c r="K586" s="51" t="s">
        <v>167</v>
      </c>
    </row>
    <row r="587" spans="1:11" x14ac:dyDescent="0.3">
      <c r="A587" s="51" t="s">
        <v>1394</v>
      </c>
      <c r="B587" s="51" t="s">
        <v>1395</v>
      </c>
      <c r="C587" s="51" t="s">
        <v>170</v>
      </c>
      <c r="D587" s="51" t="s">
        <v>171</v>
      </c>
      <c r="E587" s="51" t="s">
        <v>163</v>
      </c>
      <c r="F587" s="51" t="s">
        <v>160</v>
      </c>
      <c r="G587" s="51" t="s">
        <v>160</v>
      </c>
      <c r="H587" s="51" t="s">
        <v>160</v>
      </c>
      <c r="I587" s="51" t="s">
        <v>160</v>
      </c>
      <c r="J587" s="51" t="s">
        <v>166</v>
      </c>
      <c r="K587" s="51" t="s">
        <v>167</v>
      </c>
    </row>
    <row r="588" spans="1:11" x14ac:dyDescent="0.3">
      <c r="A588" s="51" t="s">
        <v>1396</v>
      </c>
      <c r="B588" s="51" t="s">
        <v>1397</v>
      </c>
      <c r="C588" s="51" t="s">
        <v>170</v>
      </c>
      <c r="D588" s="51" t="s">
        <v>171</v>
      </c>
      <c r="E588" s="51" t="s">
        <v>163</v>
      </c>
      <c r="F588" s="51" t="s">
        <v>160</v>
      </c>
      <c r="G588" s="51" t="s">
        <v>160</v>
      </c>
      <c r="H588" s="51" t="s">
        <v>160</v>
      </c>
      <c r="I588" s="51" t="s">
        <v>160</v>
      </c>
      <c r="J588" s="51" t="s">
        <v>166</v>
      </c>
      <c r="K588" s="51" t="s">
        <v>167</v>
      </c>
    </row>
    <row r="589" spans="1:11" x14ac:dyDescent="0.3">
      <c r="A589" s="51" t="s">
        <v>1398</v>
      </c>
      <c r="B589" s="51" t="s">
        <v>1399</v>
      </c>
      <c r="C589" s="51" t="s">
        <v>260</v>
      </c>
      <c r="D589" s="51" t="s">
        <v>261</v>
      </c>
      <c r="E589" s="51" t="s">
        <v>163</v>
      </c>
      <c r="F589" s="51" t="s">
        <v>160</v>
      </c>
      <c r="G589" s="51" t="s">
        <v>160</v>
      </c>
      <c r="H589" s="51" t="s">
        <v>160</v>
      </c>
      <c r="I589" s="51" t="s">
        <v>160</v>
      </c>
      <c r="J589" s="51" t="s">
        <v>455</v>
      </c>
      <c r="K589" s="51" t="s">
        <v>167</v>
      </c>
    </row>
    <row r="590" spans="1:11" x14ac:dyDescent="0.3">
      <c r="A590" s="51" t="s">
        <v>1400</v>
      </c>
      <c r="B590" s="51" t="s">
        <v>1401</v>
      </c>
      <c r="C590" s="51" t="s">
        <v>170</v>
      </c>
      <c r="D590" s="51" t="s">
        <v>171</v>
      </c>
      <c r="E590" s="51" t="s">
        <v>163</v>
      </c>
      <c r="F590" s="51" t="s">
        <v>160</v>
      </c>
      <c r="G590" s="51" t="s">
        <v>160</v>
      </c>
      <c r="H590" s="51" t="s">
        <v>160</v>
      </c>
      <c r="I590" s="51" t="s">
        <v>160</v>
      </c>
      <c r="J590" s="51" t="s">
        <v>172</v>
      </c>
      <c r="K590" s="51" t="s">
        <v>167</v>
      </c>
    </row>
    <row r="591" spans="1:11" x14ac:dyDescent="0.3">
      <c r="A591" s="51" t="s">
        <v>1402</v>
      </c>
      <c r="B591" s="51" t="s">
        <v>1403</v>
      </c>
      <c r="C591" s="51" t="s">
        <v>170</v>
      </c>
      <c r="D591" s="51" t="s">
        <v>171</v>
      </c>
      <c r="E591" s="51" t="s">
        <v>163</v>
      </c>
      <c r="F591" s="51" t="s">
        <v>160</v>
      </c>
      <c r="G591" s="51" t="s">
        <v>160</v>
      </c>
      <c r="H591" s="51" t="s">
        <v>160</v>
      </c>
      <c r="I591" s="51" t="s">
        <v>160</v>
      </c>
      <c r="J591" s="51" t="s">
        <v>172</v>
      </c>
      <c r="K591" s="51" t="s">
        <v>167</v>
      </c>
    </row>
    <row r="592" spans="1:11" x14ac:dyDescent="0.3">
      <c r="A592" s="51" t="s">
        <v>1404</v>
      </c>
      <c r="B592" s="51" t="s">
        <v>1405</v>
      </c>
      <c r="C592" s="51" t="s">
        <v>170</v>
      </c>
      <c r="D592" s="51" t="s">
        <v>171</v>
      </c>
      <c r="E592" s="51" t="s">
        <v>163</v>
      </c>
      <c r="F592" s="51" t="s">
        <v>160</v>
      </c>
      <c r="G592" s="51" t="s">
        <v>160</v>
      </c>
      <c r="H592" s="51" t="s">
        <v>160</v>
      </c>
      <c r="I592" s="51" t="s">
        <v>160</v>
      </c>
      <c r="J592" s="51" t="s">
        <v>172</v>
      </c>
      <c r="K592" s="51" t="s">
        <v>167</v>
      </c>
    </row>
    <row r="593" spans="1:11" x14ac:dyDescent="0.3">
      <c r="A593" s="51" t="s">
        <v>1406</v>
      </c>
      <c r="B593" s="51" t="s">
        <v>1407</v>
      </c>
      <c r="C593" s="51" t="s">
        <v>260</v>
      </c>
      <c r="D593" s="51" t="s">
        <v>261</v>
      </c>
      <c r="E593" s="51" t="s">
        <v>163</v>
      </c>
      <c r="F593" s="51" t="s">
        <v>160</v>
      </c>
      <c r="G593" s="51" t="s">
        <v>160</v>
      </c>
      <c r="H593" s="51" t="s">
        <v>160</v>
      </c>
      <c r="I593" s="51" t="s">
        <v>160</v>
      </c>
      <c r="J593" s="51" t="s">
        <v>455</v>
      </c>
      <c r="K593" s="51" t="s">
        <v>167</v>
      </c>
    </row>
    <row r="594" spans="1:11" x14ac:dyDescent="0.3">
      <c r="A594" s="51" t="s">
        <v>1408</v>
      </c>
      <c r="B594" s="51" t="s">
        <v>1409</v>
      </c>
      <c r="C594" s="51" t="s">
        <v>170</v>
      </c>
      <c r="D594" s="51" t="s">
        <v>171</v>
      </c>
      <c r="E594" s="51" t="s">
        <v>163</v>
      </c>
      <c r="F594" s="51" t="s">
        <v>160</v>
      </c>
      <c r="G594" s="51" t="s">
        <v>160</v>
      </c>
      <c r="H594" s="51" t="s">
        <v>160</v>
      </c>
      <c r="I594" s="51" t="s">
        <v>160</v>
      </c>
      <c r="J594" s="51" t="s">
        <v>166</v>
      </c>
      <c r="K594" s="51" t="s">
        <v>167</v>
      </c>
    </row>
    <row r="595" spans="1:11" x14ac:dyDescent="0.3">
      <c r="A595" s="51" t="s">
        <v>1410</v>
      </c>
      <c r="B595" s="51" t="s">
        <v>1411</v>
      </c>
      <c r="C595" s="51" t="s">
        <v>341</v>
      </c>
      <c r="D595" s="51" t="s">
        <v>1412</v>
      </c>
      <c r="E595" s="51" t="s">
        <v>163</v>
      </c>
      <c r="F595" s="51" t="s">
        <v>160</v>
      </c>
      <c r="G595" s="51" t="s">
        <v>160</v>
      </c>
      <c r="H595" s="51" t="s">
        <v>160</v>
      </c>
      <c r="I595" s="51" t="s">
        <v>160</v>
      </c>
      <c r="J595" s="51" t="s">
        <v>1413</v>
      </c>
      <c r="K595" s="51" t="s">
        <v>167</v>
      </c>
    </row>
    <row r="596" spans="1:11" x14ac:dyDescent="0.3">
      <c r="A596" s="51" t="s">
        <v>165</v>
      </c>
      <c r="B596" s="51" t="s">
        <v>1414</v>
      </c>
      <c r="C596" s="51" t="s">
        <v>1415</v>
      </c>
      <c r="D596" s="51" t="s">
        <v>161</v>
      </c>
      <c r="E596" s="51" t="s">
        <v>163</v>
      </c>
      <c r="F596" s="51" t="s">
        <v>160</v>
      </c>
      <c r="G596" s="51" t="s">
        <v>160</v>
      </c>
      <c r="H596" s="51" t="s">
        <v>160</v>
      </c>
      <c r="I596" s="51" t="s">
        <v>160</v>
      </c>
      <c r="J596" s="51" t="s">
        <v>257</v>
      </c>
      <c r="K596" s="51" t="s">
        <v>167</v>
      </c>
    </row>
    <row r="597" spans="1:11" x14ac:dyDescent="0.3">
      <c r="A597" s="51" t="s">
        <v>1416</v>
      </c>
      <c r="B597" s="51" t="s">
        <v>1417</v>
      </c>
      <c r="C597" s="51" t="s">
        <v>162</v>
      </c>
      <c r="D597" s="51" t="s">
        <v>1412</v>
      </c>
      <c r="E597" s="51" t="s">
        <v>163</v>
      </c>
      <c r="F597" s="51" t="s">
        <v>164</v>
      </c>
      <c r="G597" s="51" t="s">
        <v>1416</v>
      </c>
      <c r="H597" s="51" t="s">
        <v>160</v>
      </c>
      <c r="I597" s="51" t="s">
        <v>160</v>
      </c>
      <c r="J597" s="51" t="s">
        <v>257</v>
      </c>
      <c r="K597" s="51" t="s">
        <v>167</v>
      </c>
    </row>
    <row r="598" spans="1:11" x14ac:dyDescent="0.3">
      <c r="A598" s="51" t="s">
        <v>1418</v>
      </c>
      <c r="B598" s="51" t="s">
        <v>1419</v>
      </c>
      <c r="C598" s="51" t="s">
        <v>1415</v>
      </c>
      <c r="D598" s="51" t="s">
        <v>161</v>
      </c>
      <c r="E598" s="51" t="s">
        <v>1420</v>
      </c>
      <c r="F598" s="51" t="s">
        <v>160</v>
      </c>
      <c r="G598" s="51" t="s">
        <v>160</v>
      </c>
      <c r="H598" s="51" t="s">
        <v>160</v>
      </c>
      <c r="I598" s="51" t="s">
        <v>160</v>
      </c>
      <c r="J598" s="51" t="s">
        <v>257</v>
      </c>
      <c r="K598" s="51" t="s">
        <v>167</v>
      </c>
    </row>
    <row r="599" spans="1:11" x14ac:dyDescent="0.3">
      <c r="A599" s="51" t="s">
        <v>1421</v>
      </c>
      <c r="B599" s="51" t="s">
        <v>1422</v>
      </c>
      <c r="C599" s="51" t="s">
        <v>170</v>
      </c>
      <c r="D599" s="51" t="s">
        <v>171</v>
      </c>
      <c r="E599" s="51" t="s">
        <v>163</v>
      </c>
      <c r="F599" s="51" t="s">
        <v>160</v>
      </c>
      <c r="G599" s="51" t="s">
        <v>160</v>
      </c>
      <c r="H599" s="51" t="s">
        <v>160</v>
      </c>
      <c r="I599" s="51" t="s">
        <v>160</v>
      </c>
      <c r="J599" s="51" t="s">
        <v>1423</v>
      </c>
      <c r="K599" s="51" t="s">
        <v>167</v>
      </c>
    </row>
    <row r="600" spans="1:11" x14ac:dyDescent="0.3">
      <c r="A600" s="51" t="s">
        <v>1424</v>
      </c>
      <c r="B600" s="51" t="s">
        <v>1425</v>
      </c>
      <c r="C600" s="51" t="s">
        <v>170</v>
      </c>
      <c r="D600" s="51" t="s">
        <v>171</v>
      </c>
      <c r="E600" s="51" t="s">
        <v>163</v>
      </c>
      <c r="F600" s="51" t="s">
        <v>160</v>
      </c>
      <c r="G600" s="51" t="s">
        <v>160</v>
      </c>
      <c r="H600" s="51" t="s">
        <v>160</v>
      </c>
      <c r="I600" s="51" t="s">
        <v>160</v>
      </c>
      <c r="J600" s="51" t="s">
        <v>1082</v>
      </c>
      <c r="K600" s="51" t="s">
        <v>167</v>
      </c>
    </row>
    <row r="601" spans="1:11" x14ac:dyDescent="0.3">
      <c r="A601" s="51" t="s">
        <v>1426</v>
      </c>
      <c r="B601" s="51" t="s">
        <v>1427</v>
      </c>
      <c r="C601" s="51" t="s">
        <v>341</v>
      </c>
      <c r="D601" s="51" t="s">
        <v>1412</v>
      </c>
      <c r="E601" s="51" t="s">
        <v>163</v>
      </c>
      <c r="F601" s="51" t="s">
        <v>160</v>
      </c>
      <c r="G601" s="51" t="s">
        <v>160</v>
      </c>
      <c r="H601" s="51" t="s">
        <v>160</v>
      </c>
      <c r="I601" s="51" t="s">
        <v>160</v>
      </c>
      <c r="J601" s="51" t="s">
        <v>257</v>
      </c>
      <c r="K601" s="51" t="s">
        <v>167</v>
      </c>
    </row>
    <row r="602" spans="1:11" x14ac:dyDescent="0.3">
      <c r="A602" s="51" t="s">
        <v>1428</v>
      </c>
      <c r="B602" s="51" t="s">
        <v>1429</v>
      </c>
      <c r="C602" s="51" t="s">
        <v>1430</v>
      </c>
      <c r="D602" s="51" t="s">
        <v>1412</v>
      </c>
      <c r="E602" s="51" t="s">
        <v>163</v>
      </c>
      <c r="F602" s="51" t="s">
        <v>160</v>
      </c>
      <c r="G602" s="51" t="s">
        <v>160</v>
      </c>
      <c r="H602" s="51" t="s">
        <v>160</v>
      </c>
      <c r="I602" s="51" t="s">
        <v>160</v>
      </c>
      <c r="J602" s="51" t="s">
        <v>257</v>
      </c>
      <c r="K602" s="51" t="s">
        <v>167</v>
      </c>
    </row>
    <row r="603" spans="1:11" x14ac:dyDescent="0.3">
      <c r="A603" s="51" t="s">
        <v>1431</v>
      </c>
      <c r="B603" s="51" t="s">
        <v>756</v>
      </c>
      <c r="C603" s="51" t="s">
        <v>170</v>
      </c>
      <c r="D603" s="51" t="s">
        <v>171</v>
      </c>
      <c r="E603" s="51" t="s">
        <v>163</v>
      </c>
      <c r="F603" s="51" t="s">
        <v>160</v>
      </c>
      <c r="G603" s="51" t="s">
        <v>160</v>
      </c>
      <c r="H603" s="51" t="s">
        <v>160</v>
      </c>
      <c r="I603" s="51" t="s">
        <v>160</v>
      </c>
      <c r="J603" s="51" t="s">
        <v>175</v>
      </c>
      <c r="K603" s="51" t="s">
        <v>167</v>
      </c>
    </row>
    <row r="604" spans="1:11" x14ac:dyDescent="0.3">
      <c r="A604" s="51" t="s">
        <v>1432</v>
      </c>
      <c r="B604" s="51" t="s">
        <v>754</v>
      </c>
      <c r="C604" s="51" t="s">
        <v>162</v>
      </c>
      <c r="D604" s="51" t="s">
        <v>754</v>
      </c>
      <c r="E604" s="51" t="s">
        <v>163</v>
      </c>
      <c r="F604" s="51" t="s">
        <v>164</v>
      </c>
      <c r="G604" s="51" t="s">
        <v>1432</v>
      </c>
      <c r="H604" s="51" t="s">
        <v>160</v>
      </c>
      <c r="I604" s="51" t="s">
        <v>160</v>
      </c>
      <c r="J604" s="51" t="s">
        <v>1336</v>
      </c>
      <c r="K604" s="51" t="s">
        <v>167</v>
      </c>
    </row>
    <row r="605" spans="1:11" x14ac:dyDescent="0.3">
      <c r="A605" s="51" t="s">
        <v>1433</v>
      </c>
      <c r="B605" s="51" t="s">
        <v>1434</v>
      </c>
      <c r="C605" s="51" t="s">
        <v>162</v>
      </c>
      <c r="D605" s="51" t="s">
        <v>1434</v>
      </c>
      <c r="E605" s="51" t="s">
        <v>163</v>
      </c>
      <c r="F605" s="51" t="s">
        <v>164</v>
      </c>
      <c r="G605" s="51" t="s">
        <v>1433</v>
      </c>
      <c r="H605" s="51" t="s">
        <v>160</v>
      </c>
      <c r="I605" s="51" t="s">
        <v>160</v>
      </c>
      <c r="J605" s="51" t="s">
        <v>1336</v>
      </c>
      <c r="K605" s="51" t="s">
        <v>167</v>
      </c>
    </row>
    <row r="606" spans="1:11" x14ac:dyDescent="0.3">
      <c r="A606" s="51" t="s">
        <v>1435</v>
      </c>
      <c r="B606" s="51" t="s">
        <v>1436</v>
      </c>
      <c r="C606" s="51" t="s">
        <v>170</v>
      </c>
      <c r="D606" s="51" t="s">
        <v>171</v>
      </c>
      <c r="E606" s="51" t="s">
        <v>163</v>
      </c>
      <c r="F606" s="51" t="s">
        <v>160</v>
      </c>
      <c r="G606" s="51" t="s">
        <v>160</v>
      </c>
      <c r="H606" s="51" t="s">
        <v>160</v>
      </c>
      <c r="I606" s="51" t="s">
        <v>160</v>
      </c>
      <c r="J606" s="51" t="s">
        <v>166</v>
      </c>
      <c r="K606" s="51" t="s">
        <v>167</v>
      </c>
    </row>
    <row r="607" spans="1:11" x14ac:dyDescent="0.3">
      <c r="A607" s="51" t="s">
        <v>1437</v>
      </c>
      <c r="B607" s="51" t="s">
        <v>1438</v>
      </c>
      <c r="C607" s="51" t="s">
        <v>170</v>
      </c>
      <c r="D607" s="51" t="s">
        <v>171</v>
      </c>
      <c r="E607" s="51" t="s">
        <v>163</v>
      </c>
      <c r="F607" s="51" t="s">
        <v>160</v>
      </c>
      <c r="G607" s="51" t="s">
        <v>160</v>
      </c>
      <c r="H607" s="51" t="s">
        <v>160</v>
      </c>
      <c r="I607" s="51" t="s">
        <v>160</v>
      </c>
      <c r="J607" s="51" t="s">
        <v>354</v>
      </c>
      <c r="K607" s="51" t="s">
        <v>167</v>
      </c>
    </row>
    <row r="608" spans="1:11" x14ac:dyDescent="0.3">
      <c r="A608" s="51" t="s">
        <v>1439</v>
      </c>
      <c r="B608" s="51" t="s">
        <v>1440</v>
      </c>
      <c r="C608" s="51" t="s">
        <v>170</v>
      </c>
      <c r="D608" s="51" t="s">
        <v>171</v>
      </c>
      <c r="E608" s="51" t="s">
        <v>163</v>
      </c>
      <c r="F608" s="51" t="s">
        <v>160</v>
      </c>
      <c r="G608" s="51" t="s">
        <v>160</v>
      </c>
      <c r="H608" s="51" t="s">
        <v>160</v>
      </c>
      <c r="I608" s="51" t="s">
        <v>160</v>
      </c>
      <c r="J608" s="51" t="s">
        <v>172</v>
      </c>
      <c r="K608" s="51" t="s">
        <v>167</v>
      </c>
    </row>
    <row r="609" spans="1:11" x14ac:dyDescent="0.3">
      <c r="A609" s="51" t="s">
        <v>1441</v>
      </c>
      <c r="B609" s="51" t="s">
        <v>1442</v>
      </c>
      <c r="C609" s="51" t="s">
        <v>170</v>
      </c>
      <c r="D609" s="51" t="s">
        <v>171</v>
      </c>
      <c r="E609" s="51" t="s">
        <v>163</v>
      </c>
      <c r="F609" s="51" t="s">
        <v>160</v>
      </c>
      <c r="G609" s="51" t="s">
        <v>160</v>
      </c>
      <c r="H609" s="51" t="s">
        <v>160</v>
      </c>
      <c r="I609" s="51" t="s">
        <v>160</v>
      </c>
      <c r="J609" s="51" t="s">
        <v>166</v>
      </c>
      <c r="K609" s="51" t="s">
        <v>167</v>
      </c>
    </row>
    <row r="610" spans="1:11" x14ac:dyDescent="0.3">
      <c r="A610" s="51" t="s">
        <v>1443</v>
      </c>
      <c r="B610" s="51" t="s">
        <v>1444</v>
      </c>
      <c r="C610" s="51" t="s">
        <v>170</v>
      </c>
      <c r="D610" s="51" t="s">
        <v>171</v>
      </c>
      <c r="E610" s="51" t="s">
        <v>163</v>
      </c>
      <c r="F610" s="51" t="s">
        <v>160</v>
      </c>
      <c r="G610" s="51" t="s">
        <v>160</v>
      </c>
      <c r="H610" s="51" t="s">
        <v>160</v>
      </c>
      <c r="I610" s="51" t="s">
        <v>160</v>
      </c>
      <c r="J610" s="51" t="s">
        <v>1445</v>
      </c>
      <c r="K610" s="51" t="s">
        <v>167</v>
      </c>
    </row>
    <row r="611" spans="1:11" x14ac:dyDescent="0.3">
      <c r="A611" s="51" t="s">
        <v>1446</v>
      </c>
      <c r="B611" s="51" t="s">
        <v>1447</v>
      </c>
      <c r="C611" s="51" t="s">
        <v>170</v>
      </c>
      <c r="D611" s="51" t="s">
        <v>171</v>
      </c>
      <c r="E611" s="51" t="s">
        <v>163</v>
      </c>
      <c r="F611" s="51" t="s">
        <v>160</v>
      </c>
      <c r="G611" s="51" t="s">
        <v>160</v>
      </c>
      <c r="H611" s="51" t="s">
        <v>160</v>
      </c>
      <c r="I611" s="51" t="s">
        <v>160</v>
      </c>
      <c r="J611" s="51" t="s">
        <v>725</v>
      </c>
      <c r="K611" s="51" t="s">
        <v>167</v>
      </c>
    </row>
    <row r="612" spans="1:11" x14ac:dyDescent="0.3">
      <c r="A612" s="51" t="s">
        <v>1448</v>
      </c>
      <c r="B612" s="51" t="s">
        <v>1449</v>
      </c>
      <c r="C612" s="51" t="s">
        <v>170</v>
      </c>
      <c r="D612" s="51" t="s">
        <v>171</v>
      </c>
      <c r="E612" s="51" t="s">
        <v>163</v>
      </c>
      <c r="F612" s="51" t="s">
        <v>160</v>
      </c>
      <c r="G612" s="51" t="s">
        <v>160</v>
      </c>
      <c r="H612" s="51" t="s">
        <v>160</v>
      </c>
      <c r="I612" s="51" t="s">
        <v>160</v>
      </c>
      <c r="J612" s="51" t="s">
        <v>172</v>
      </c>
      <c r="K612" s="51" t="s">
        <v>167</v>
      </c>
    </row>
    <row r="613" spans="1:11" x14ac:dyDescent="0.3">
      <c r="A613" s="51" t="s">
        <v>1450</v>
      </c>
      <c r="B613" s="51" t="s">
        <v>1451</v>
      </c>
      <c r="C613" s="51" t="s">
        <v>170</v>
      </c>
      <c r="D613" s="51" t="s">
        <v>171</v>
      </c>
      <c r="E613" s="51" t="s">
        <v>163</v>
      </c>
      <c r="F613" s="51" t="s">
        <v>160</v>
      </c>
      <c r="G613" s="51" t="s">
        <v>160</v>
      </c>
      <c r="H613" s="51" t="s">
        <v>160</v>
      </c>
      <c r="I613" s="51" t="s">
        <v>160</v>
      </c>
      <c r="J613" s="51" t="s">
        <v>172</v>
      </c>
      <c r="K613" s="51" t="s">
        <v>167</v>
      </c>
    </row>
    <row r="614" spans="1:11" x14ac:dyDescent="0.3">
      <c r="A614" s="51" t="s">
        <v>1452</v>
      </c>
      <c r="B614" s="51" t="s">
        <v>1453</v>
      </c>
      <c r="C614" s="51" t="s">
        <v>170</v>
      </c>
      <c r="D614" s="51" t="s">
        <v>171</v>
      </c>
      <c r="E614" s="51" t="s">
        <v>163</v>
      </c>
      <c r="F614" s="51" t="s">
        <v>160</v>
      </c>
      <c r="G614" s="51" t="s">
        <v>160</v>
      </c>
      <c r="H614" s="51" t="s">
        <v>160</v>
      </c>
      <c r="I614" s="51" t="s">
        <v>160</v>
      </c>
      <c r="J614" s="51" t="s">
        <v>175</v>
      </c>
      <c r="K614" s="51" t="s">
        <v>167</v>
      </c>
    </row>
    <row r="615" spans="1:11" x14ac:dyDescent="0.3">
      <c r="A615" s="51" t="s">
        <v>1454</v>
      </c>
      <c r="B615" s="51" t="s">
        <v>1455</v>
      </c>
      <c r="C615" s="51" t="s">
        <v>170</v>
      </c>
      <c r="D615" s="51" t="s">
        <v>171</v>
      </c>
      <c r="E615" s="51" t="s">
        <v>163</v>
      </c>
      <c r="F615" s="51" t="s">
        <v>160</v>
      </c>
      <c r="G615" s="51" t="s">
        <v>160</v>
      </c>
      <c r="H615" s="51" t="s">
        <v>160</v>
      </c>
      <c r="I615" s="51" t="s">
        <v>160</v>
      </c>
      <c r="J615" s="51" t="s">
        <v>172</v>
      </c>
      <c r="K615" s="51" t="s">
        <v>167</v>
      </c>
    </row>
    <row r="616" spans="1:11" x14ac:dyDescent="0.3">
      <c r="A616" s="51" t="s">
        <v>1456</v>
      </c>
      <c r="B616" s="51" t="s">
        <v>1457</v>
      </c>
      <c r="C616" s="51" t="s">
        <v>170</v>
      </c>
      <c r="D616" s="51" t="s">
        <v>171</v>
      </c>
      <c r="E616" s="51" t="s">
        <v>163</v>
      </c>
      <c r="F616" s="51" t="s">
        <v>160</v>
      </c>
      <c r="G616" s="51" t="s">
        <v>160</v>
      </c>
      <c r="H616" s="51" t="s">
        <v>160</v>
      </c>
      <c r="I616" s="51" t="s">
        <v>160</v>
      </c>
      <c r="J616" s="51" t="s">
        <v>1458</v>
      </c>
      <c r="K616" s="51" t="s">
        <v>1459</v>
      </c>
    </row>
    <row r="617" spans="1:11" x14ac:dyDescent="0.3">
      <c r="A617" s="51" t="s">
        <v>1460</v>
      </c>
      <c r="B617" s="51" t="s">
        <v>1461</v>
      </c>
      <c r="C617" s="51" t="s">
        <v>170</v>
      </c>
      <c r="D617" s="51" t="s">
        <v>171</v>
      </c>
      <c r="E617" s="51" t="s">
        <v>163</v>
      </c>
      <c r="F617" s="51" t="s">
        <v>160</v>
      </c>
      <c r="G617" s="51" t="s">
        <v>160</v>
      </c>
      <c r="H617" s="51" t="s">
        <v>160</v>
      </c>
      <c r="I617" s="51" t="s">
        <v>160</v>
      </c>
      <c r="J617" s="51" t="s">
        <v>175</v>
      </c>
      <c r="K617" s="51" t="s">
        <v>167</v>
      </c>
    </row>
    <row r="618" spans="1:11" x14ac:dyDescent="0.3">
      <c r="A618" s="51" t="s">
        <v>1462</v>
      </c>
      <c r="B618" s="51" t="s">
        <v>1463</v>
      </c>
      <c r="C618" s="51" t="s">
        <v>170</v>
      </c>
      <c r="D618" s="51" t="s">
        <v>171</v>
      </c>
      <c r="E618" s="51" t="s">
        <v>163</v>
      </c>
      <c r="F618" s="51" t="s">
        <v>160</v>
      </c>
      <c r="G618" s="51" t="s">
        <v>160</v>
      </c>
      <c r="H618" s="51" t="s">
        <v>160</v>
      </c>
      <c r="I618" s="51" t="s">
        <v>160</v>
      </c>
      <c r="J618" s="51" t="s">
        <v>172</v>
      </c>
      <c r="K618" s="51" t="s">
        <v>167</v>
      </c>
    </row>
    <row r="619" spans="1:11" x14ac:dyDescent="0.3">
      <c r="A619" s="51" t="s">
        <v>1464</v>
      </c>
      <c r="B619" s="51" t="s">
        <v>1465</v>
      </c>
      <c r="C619" s="51" t="s">
        <v>170</v>
      </c>
      <c r="D619" s="51" t="s">
        <v>171</v>
      </c>
      <c r="E619" s="51" t="s">
        <v>163</v>
      </c>
      <c r="F619" s="51" t="s">
        <v>160</v>
      </c>
      <c r="G619" s="51" t="s">
        <v>160</v>
      </c>
      <c r="H619" s="51" t="s">
        <v>160</v>
      </c>
      <c r="I619" s="51" t="s">
        <v>160</v>
      </c>
      <c r="J619" s="51" t="s">
        <v>172</v>
      </c>
      <c r="K619" s="51" t="s">
        <v>167</v>
      </c>
    </row>
    <row r="620" spans="1:11" x14ac:dyDescent="0.3">
      <c r="A620" s="51" t="s">
        <v>1466</v>
      </c>
      <c r="B620" s="51" t="s">
        <v>1467</v>
      </c>
      <c r="C620" s="51" t="s">
        <v>170</v>
      </c>
      <c r="D620" s="51" t="s">
        <v>171</v>
      </c>
      <c r="E620" s="51" t="s">
        <v>163</v>
      </c>
      <c r="F620" s="51" t="s">
        <v>160</v>
      </c>
      <c r="G620" s="51" t="s">
        <v>160</v>
      </c>
      <c r="H620" s="51" t="s">
        <v>160</v>
      </c>
      <c r="I620" s="51" t="s">
        <v>160</v>
      </c>
      <c r="J620" s="51" t="s">
        <v>172</v>
      </c>
      <c r="K620" s="51" t="s">
        <v>167</v>
      </c>
    </row>
    <row r="621" spans="1:11" x14ac:dyDescent="0.3">
      <c r="A621" s="51" t="s">
        <v>1468</v>
      </c>
      <c r="B621" s="51" t="s">
        <v>1469</v>
      </c>
      <c r="C621" s="51" t="s">
        <v>170</v>
      </c>
      <c r="D621" s="51" t="s">
        <v>171</v>
      </c>
      <c r="E621" s="51" t="s">
        <v>163</v>
      </c>
      <c r="F621" s="51" t="s">
        <v>160</v>
      </c>
      <c r="G621" s="51" t="s">
        <v>160</v>
      </c>
      <c r="H621" s="51" t="s">
        <v>160</v>
      </c>
      <c r="I621" s="51" t="s">
        <v>160</v>
      </c>
      <c r="J621" s="51" t="s">
        <v>172</v>
      </c>
      <c r="K621" s="51" t="s">
        <v>167</v>
      </c>
    </row>
    <row r="622" spans="1:11" x14ac:dyDescent="0.3">
      <c r="A622" s="51" t="s">
        <v>1470</v>
      </c>
      <c r="B622" s="51" t="s">
        <v>1471</v>
      </c>
      <c r="C622" s="51" t="s">
        <v>170</v>
      </c>
      <c r="D622" s="51" t="s">
        <v>171</v>
      </c>
      <c r="E622" s="51" t="s">
        <v>163</v>
      </c>
      <c r="F622" s="51" t="s">
        <v>160</v>
      </c>
      <c r="G622" s="51" t="s">
        <v>160</v>
      </c>
      <c r="H622" s="51" t="s">
        <v>160</v>
      </c>
      <c r="I622" s="51" t="s">
        <v>160</v>
      </c>
      <c r="J622" s="51" t="s">
        <v>172</v>
      </c>
      <c r="K622" s="51" t="s">
        <v>167</v>
      </c>
    </row>
    <row r="623" spans="1:11" x14ac:dyDescent="0.3">
      <c r="A623" s="51" t="s">
        <v>1472</v>
      </c>
      <c r="B623" s="51" t="s">
        <v>1473</v>
      </c>
      <c r="C623" s="51" t="s">
        <v>170</v>
      </c>
      <c r="D623" s="51" t="s">
        <v>171</v>
      </c>
      <c r="E623" s="51" t="s">
        <v>163</v>
      </c>
      <c r="F623" s="51" t="s">
        <v>160</v>
      </c>
      <c r="G623" s="51" t="s">
        <v>160</v>
      </c>
      <c r="H623" s="51" t="s">
        <v>160</v>
      </c>
      <c r="I623" s="51" t="s">
        <v>160</v>
      </c>
      <c r="J623" s="51" t="s">
        <v>354</v>
      </c>
      <c r="K623" s="51" t="s">
        <v>167</v>
      </c>
    </row>
    <row r="624" spans="1:11" x14ac:dyDescent="0.3">
      <c r="A624" s="51" t="s">
        <v>1474</v>
      </c>
      <c r="B624" s="51" t="s">
        <v>1475</v>
      </c>
      <c r="C624" s="51" t="s">
        <v>1476</v>
      </c>
      <c r="D624" s="51" t="s">
        <v>1477</v>
      </c>
      <c r="E624" s="51" t="s">
        <v>163</v>
      </c>
      <c r="F624" s="51" t="s">
        <v>160</v>
      </c>
      <c r="G624" s="51" t="s">
        <v>160</v>
      </c>
      <c r="H624" s="51" t="s">
        <v>160</v>
      </c>
      <c r="I624" s="51" t="s">
        <v>160</v>
      </c>
      <c r="J624" s="51" t="s">
        <v>257</v>
      </c>
      <c r="K624" s="51" t="s">
        <v>167</v>
      </c>
    </row>
    <row r="625" spans="1:11" x14ac:dyDescent="0.3">
      <c r="A625" s="51" t="s">
        <v>1478</v>
      </c>
      <c r="B625" s="51" t="s">
        <v>1479</v>
      </c>
      <c r="C625" s="51" t="s">
        <v>170</v>
      </c>
      <c r="D625" s="51" t="s">
        <v>171</v>
      </c>
      <c r="E625" s="51" t="s">
        <v>163</v>
      </c>
      <c r="F625" s="51" t="s">
        <v>160</v>
      </c>
      <c r="G625" s="51" t="s">
        <v>160</v>
      </c>
      <c r="H625" s="51" t="s">
        <v>160</v>
      </c>
      <c r="I625" s="51" t="s">
        <v>160</v>
      </c>
      <c r="J625" s="51" t="s">
        <v>172</v>
      </c>
      <c r="K625" s="51" t="s">
        <v>167</v>
      </c>
    </row>
    <row r="626" spans="1:11" x14ac:dyDescent="0.3">
      <c r="A626" s="51" t="s">
        <v>1480</v>
      </c>
      <c r="B626" s="51" t="s">
        <v>1481</v>
      </c>
      <c r="C626" s="51" t="s">
        <v>170</v>
      </c>
      <c r="D626" s="51" t="s">
        <v>171</v>
      </c>
      <c r="E626" s="51" t="s">
        <v>163</v>
      </c>
      <c r="F626" s="51" t="s">
        <v>160</v>
      </c>
      <c r="G626" s="51" t="s">
        <v>160</v>
      </c>
      <c r="H626" s="51" t="s">
        <v>160</v>
      </c>
      <c r="I626" s="51" t="s">
        <v>160</v>
      </c>
      <c r="J626" s="51" t="s">
        <v>1482</v>
      </c>
      <c r="K626" s="51" t="s">
        <v>167</v>
      </c>
    </row>
    <row r="627" spans="1:11" x14ac:dyDescent="0.3">
      <c r="A627" s="51" t="s">
        <v>1483</v>
      </c>
      <c r="B627" s="51" t="s">
        <v>1484</v>
      </c>
      <c r="C627" s="51" t="s">
        <v>170</v>
      </c>
      <c r="D627" s="51" t="s">
        <v>171</v>
      </c>
      <c r="E627" s="51" t="s">
        <v>163</v>
      </c>
      <c r="F627" s="51" t="s">
        <v>160</v>
      </c>
      <c r="G627" s="51" t="s">
        <v>160</v>
      </c>
      <c r="H627" s="51" t="s">
        <v>160</v>
      </c>
      <c r="I627" s="51" t="s">
        <v>160</v>
      </c>
      <c r="J627" s="51" t="s">
        <v>172</v>
      </c>
      <c r="K627" s="51" t="s">
        <v>167</v>
      </c>
    </row>
    <row r="628" spans="1:11" x14ac:dyDescent="0.3">
      <c r="A628" s="51" t="s">
        <v>1485</v>
      </c>
      <c r="B628" s="51" t="s">
        <v>1486</v>
      </c>
      <c r="C628" s="51" t="s">
        <v>170</v>
      </c>
      <c r="D628" s="51" t="s">
        <v>171</v>
      </c>
      <c r="E628" s="51" t="s">
        <v>163</v>
      </c>
      <c r="F628" s="51" t="s">
        <v>160</v>
      </c>
      <c r="G628" s="51" t="s">
        <v>160</v>
      </c>
      <c r="H628" s="51" t="s">
        <v>160</v>
      </c>
      <c r="I628" s="51" t="s">
        <v>160</v>
      </c>
      <c r="J628" s="51" t="s">
        <v>172</v>
      </c>
      <c r="K628" s="51" t="s">
        <v>167</v>
      </c>
    </row>
    <row r="629" spans="1:11" x14ac:dyDescent="0.3">
      <c r="A629" s="51" t="s">
        <v>1487</v>
      </c>
      <c r="B629" s="51" t="s">
        <v>1488</v>
      </c>
      <c r="C629" s="51" t="s">
        <v>170</v>
      </c>
      <c r="D629" s="51" t="s">
        <v>171</v>
      </c>
      <c r="E629" s="51" t="s">
        <v>163</v>
      </c>
      <c r="F629" s="51" t="s">
        <v>160</v>
      </c>
      <c r="G629" s="51" t="s">
        <v>160</v>
      </c>
      <c r="H629" s="51" t="s">
        <v>160</v>
      </c>
      <c r="I629" s="51" t="s">
        <v>160</v>
      </c>
      <c r="J629" s="51" t="s">
        <v>172</v>
      </c>
      <c r="K629" s="51" t="s">
        <v>167</v>
      </c>
    </row>
    <row r="630" spans="1:11" x14ac:dyDescent="0.3">
      <c r="A630" s="51" t="s">
        <v>1489</v>
      </c>
      <c r="B630" s="51" t="s">
        <v>1490</v>
      </c>
      <c r="C630" s="51" t="s">
        <v>170</v>
      </c>
      <c r="D630" s="51" t="s">
        <v>171</v>
      </c>
      <c r="E630" s="51" t="s">
        <v>163</v>
      </c>
      <c r="F630" s="51" t="s">
        <v>160</v>
      </c>
      <c r="G630" s="51" t="s">
        <v>160</v>
      </c>
      <c r="H630" s="51" t="s">
        <v>160</v>
      </c>
      <c r="I630" s="51" t="s">
        <v>160</v>
      </c>
      <c r="J630" s="51" t="s">
        <v>1491</v>
      </c>
      <c r="K630" s="51" t="s">
        <v>167</v>
      </c>
    </row>
    <row r="631" spans="1:11" x14ac:dyDescent="0.3">
      <c r="A631" s="51" t="s">
        <v>1492</v>
      </c>
      <c r="B631" s="51" t="s">
        <v>1493</v>
      </c>
      <c r="C631" s="51" t="s">
        <v>170</v>
      </c>
      <c r="D631" s="51" t="s">
        <v>171</v>
      </c>
      <c r="E631" s="51" t="s">
        <v>163</v>
      </c>
      <c r="F631" s="51" t="s">
        <v>160</v>
      </c>
      <c r="G631" s="51" t="s">
        <v>160</v>
      </c>
      <c r="H631" s="51" t="s">
        <v>160</v>
      </c>
      <c r="I631" s="51" t="s">
        <v>160</v>
      </c>
      <c r="J631" s="51" t="s">
        <v>166</v>
      </c>
      <c r="K631" s="51" t="s">
        <v>167</v>
      </c>
    </row>
    <row r="632" spans="1:11" x14ac:dyDescent="0.3">
      <c r="A632" s="51" t="s">
        <v>1494</v>
      </c>
      <c r="B632" s="51" t="s">
        <v>1495</v>
      </c>
      <c r="C632" s="51" t="s">
        <v>170</v>
      </c>
      <c r="D632" s="51" t="s">
        <v>171</v>
      </c>
      <c r="E632" s="51" t="s">
        <v>163</v>
      </c>
      <c r="F632" s="51" t="s">
        <v>160</v>
      </c>
      <c r="G632" s="51" t="s">
        <v>160</v>
      </c>
      <c r="H632" s="51" t="s">
        <v>160</v>
      </c>
      <c r="I632" s="51" t="s">
        <v>160</v>
      </c>
      <c r="J632" s="51" t="s">
        <v>172</v>
      </c>
      <c r="K632" s="51" t="s">
        <v>167</v>
      </c>
    </row>
    <row r="633" spans="1:11" x14ac:dyDescent="0.3">
      <c r="A633" s="51" t="s">
        <v>1496</v>
      </c>
      <c r="B633" s="51" t="s">
        <v>1497</v>
      </c>
      <c r="C633" s="51" t="s">
        <v>170</v>
      </c>
      <c r="D633" s="51" t="s">
        <v>171</v>
      </c>
      <c r="E633" s="51" t="s">
        <v>163</v>
      </c>
      <c r="F633" s="51" t="s">
        <v>160</v>
      </c>
      <c r="G633" s="51" t="s">
        <v>160</v>
      </c>
      <c r="H633" s="51" t="s">
        <v>160</v>
      </c>
      <c r="I633" s="51" t="s">
        <v>160</v>
      </c>
      <c r="J633" s="51" t="s">
        <v>1498</v>
      </c>
      <c r="K633" s="51" t="s">
        <v>167</v>
      </c>
    </row>
    <row r="634" spans="1:11" x14ac:dyDescent="0.3">
      <c r="A634" s="51" t="s">
        <v>1499</v>
      </c>
      <c r="B634" s="51" t="s">
        <v>1500</v>
      </c>
      <c r="C634" s="51" t="s">
        <v>170</v>
      </c>
      <c r="D634" s="51" t="s">
        <v>171</v>
      </c>
      <c r="E634" s="51" t="s">
        <v>163</v>
      </c>
      <c r="F634" s="51" t="s">
        <v>160</v>
      </c>
      <c r="G634" s="51" t="s">
        <v>160</v>
      </c>
      <c r="H634" s="51" t="s">
        <v>160</v>
      </c>
      <c r="I634" s="51" t="s">
        <v>160</v>
      </c>
      <c r="J634" s="51" t="s">
        <v>172</v>
      </c>
      <c r="K634" s="51" t="s">
        <v>167</v>
      </c>
    </row>
    <row r="635" spans="1:11" x14ac:dyDescent="0.3">
      <c r="A635" s="51" t="s">
        <v>1501</v>
      </c>
      <c r="B635" s="51" t="s">
        <v>1502</v>
      </c>
      <c r="C635" s="51" t="s">
        <v>170</v>
      </c>
      <c r="D635" s="51" t="s">
        <v>171</v>
      </c>
      <c r="E635" s="51" t="s">
        <v>163</v>
      </c>
      <c r="F635" s="51" t="s">
        <v>160</v>
      </c>
      <c r="G635" s="51" t="s">
        <v>160</v>
      </c>
      <c r="H635" s="51" t="s">
        <v>160</v>
      </c>
      <c r="I635" s="51" t="s">
        <v>160</v>
      </c>
      <c r="J635" s="51" t="s">
        <v>1503</v>
      </c>
      <c r="K635" s="51" t="s">
        <v>167</v>
      </c>
    </row>
    <row r="636" spans="1:11" x14ac:dyDescent="0.3">
      <c r="A636" s="51" t="s">
        <v>1504</v>
      </c>
      <c r="B636" s="51" t="s">
        <v>1505</v>
      </c>
      <c r="C636" s="51" t="s">
        <v>287</v>
      </c>
      <c r="D636" s="51" t="s">
        <v>1506</v>
      </c>
      <c r="E636" s="51" t="s">
        <v>1507</v>
      </c>
      <c r="F636" s="51" t="s">
        <v>160</v>
      </c>
      <c r="G636" s="51" t="s">
        <v>160</v>
      </c>
      <c r="H636" s="51" t="s">
        <v>160</v>
      </c>
      <c r="I636" s="51" t="s">
        <v>160</v>
      </c>
      <c r="J636" s="51" t="s">
        <v>1508</v>
      </c>
      <c r="K636" s="51" t="s">
        <v>167</v>
      </c>
    </row>
    <row r="637" spans="1:11" x14ac:dyDescent="0.3">
      <c r="A637" s="51" t="s">
        <v>1509</v>
      </c>
      <c r="B637" s="51" t="s">
        <v>1510</v>
      </c>
      <c r="C637" s="51" t="s">
        <v>170</v>
      </c>
      <c r="D637" s="51" t="s">
        <v>171</v>
      </c>
      <c r="E637" s="51" t="s">
        <v>163</v>
      </c>
      <c r="F637" s="51" t="s">
        <v>160</v>
      </c>
      <c r="G637" s="51" t="s">
        <v>160</v>
      </c>
      <c r="H637" s="51" t="s">
        <v>160</v>
      </c>
      <c r="I637" s="51" t="s">
        <v>160</v>
      </c>
      <c r="J637" s="51" t="s">
        <v>172</v>
      </c>
      <c r="K637" s="51" t="s">
        <v>167</v>
      </c>
    </row>
    <row r="638" spans="1:11" x14ac:dyDescent="0.3">
      <c r="A638" s="51" t="s">
        <v>1511</v>
      </c>
      <c r="B638" s="51" t="s">
        <v>1512</v>
      </c>
      <c r="C638" s="51" t="s">
        <v>264</v>
      </c>
      <c r="D638" s="51" t="s">
        <v>265</v>
      </c>
      <c r="E638" s="51" t="s">
        <v>163</v>
      </c>
      <c r="F638" s="51" t="s">
        <v>160</v>
      </c>
      <c r="G638" s="51" t="s">
        <v>160</v>
      </c>
      <c r="H638" s="51" t="s">
        <v>160</v>
      </c>
      <c r="I638" s="51" t="s">
        <v>160</v>
      </c>
      <c r="J638" s="51" t="s">
        <v>455</v>
      </c>
      <c r="K638" s="51" t="s">
        <v>167</v>
      </c>
    </row>
    <row r="639" spans="1:11" x14ac:dyDescent="0.3">
      <c r="A639" s="51" t="s">
        <v>1513</v>
      </c>
      <c r="B639" s="51" t="s">
        <v>1514</v>
      </c>
      <c r="C639" s="51" t="s">
        <v>1515</v>
      </c>
      <c r="D639" s="51" t="s">
        <v>1516</v>
      </c>
      <c r="E639" s="51" t="s">
        <v>163</v>
      </c>
      <c r="F639" s="51" t="s">
        <v>160</v>
      </c>
      <c r="G639" s="51" t="s">
        <v>160</v>
      </c>
      <c r="H639" s="51" t="s">
        <v>160</v>
      </c>
      <c r="I639" s="51" t="s">
        <v>160</v>
      </c>
      <c r="J639" s="51" t="s">
        <v>1517</v>
      </c>
      <c r="K639" s="51" t="s">
        <v>167</v>
      </c>
    </row>
    <row r="640" spans="1:11" x14ac:dyDescent="0.3">
      <c r="A640" s="51" t="s">
        <v>1518</v>
      </c>
      <c r="B640" s="51" t="s">
        <v>1519</v>
      </c>
      <c r="C640" s="51" t="s">
        <v>170</v>
      </c>
      <c r="D640" s="51" t="s">
        <v>171</v>
      </c>
      <c r="E640" s="51" t="s">
        <v>163</v>
      </c>
      <c r="F640" s="51" t="s">
        <v>160</v>
      </c>
      <c r="G640" s="51" t="s">
        <v>160</v>
      </c>
      <c r="H640" s="51" t="s">
        <v>160</v>
      </c>
      <c r="I640" s="51" t="s">
        <v>160</v>
      </c>
      <c r="J640" s="51" t="s">
        <v>172</v>
      </c>
      <c r="K640" s="51" t="s">
        <v>167</v>
      </c>
    </row>
    <row r="641" spans="1:11" x14ac:dyDescent="0.3">
      <c r="A641" s="51" t="s">
        <v>1520</v>
      </c>
      <c r="B641" s="51" t="s">
        <v>1521</v>
      </c>
      <c r="C641" s="51" t="s">
        <v>170</v>
      </c>
      <c r="D641" s="51" t="s">
        <v>171</v>
      </c>
      <c r="E641" s="51" t="s">
        <v>163</v>
      </c>
      <c r="F641" s="51" t="s">
        <v>160</v>
      </c>
      <c r="G641" s="51" t="s">
        <v>160</v>
      </c>
      <c r="H641" s="51" t="s">
        <v>160</v>
      </c>
      <c r="I641" s="51" t="s">
        <v>160</v>
      </c>
      <c r="J641" s="51" t="s">
        <v>172</v>
      </c>
      <c r="K641" s="51" t="s">
        <v>167</v>
      </c>
    </row>
    <row r="642" spans="1:11" x14ac:dyDescent="0.3">
      <c r="A642" s="51" t="s">
        <v>1522</v>
      </c>
      <c r="B642" s="51" t="s">
        <v>1523</v>
      </c>
      <c r="C642" s="51" t="s">
        <v>170</v>
      </c>
      <c r="D642" s="51" t="s">
        <v>171</v>
      </c>
      <c r="E642" s="51" t="s">
        <v>163</v>
      </c>
      <c r="F642" s="51" t="s">
        <v>160</v>
      </c>
      <c r="G642" s="51" t="s">
        <v>160</v>
      </c>
      <c r="H642" s="51" t="s">
        <v>160</v>
      </c>
      <c r="I642" s="51" t="s">
        <v>160</v>
      </c>
      <c r="J642" s="51" t="s">
        <v>1524</v>
      </c>
      <c r="K642" s="51" t="s">
        <v>167</v>
      </c>
    </row>
    <row r="643" spans="1:11" x14ac:dyDescent="0.3">
      <c r="A643" s="51" t="s">
        <v>1525</v>
      </c>
      <c r="B643" s="51" t="s">
        <v>1526</v>
      </c>
      <c r="C643" s="51" t="s">
        <v>170</v>
      </c>
      <c r="D643" s="51" t="s">
        <v>171</v>
      </c>
      <c r="E643" s="51" t="s">
        <v>163</v>
      </c>
      <c r="F643" s="51" t="s">
        <v>160</v>
      </c>
      <c r="G643" s="51" t="s">
        <v>160</v>
      </c>
      <c r="H643" s="51" t="s">
        <v>160</v>
      </c>
      <c r="I643" s="51" t="s">
        <v>160</v>
      </c>
      <c r="J643" s="51" t="s">
        <v>172</v>
      </c>
      <c r="K643" s="51" t="s">
        <v>167</v>
      </c>
    </row>
    <row r="644" spans="1:11" x14ac:dyDescent="0.3">
      <c r="A644" s="51" t="s">
        <v>1527</v>
      </c>
      <c r="B644" s="51" t="s">
        <v>1528</v>
      </c>
      <c r="C644" s="51" t="s">
        <v>170</v>
      </c>
      <c r="D644" s="51" t="s">
        <v>171</v>
      </c>
      <c r="E644" s="51" t="s">
        <v>163</v>
      </c>
      <c r="F644" s="51" t="s">
        <v>160</v>
      </c>
      <c r="G644" s="51" t="s">
        <v>160</v>
      </c>
      <c r="H644" s="51" t="s">
        <v>160</v>
      </c>
      <c r="I644" s="51" t="s">
        <v>160</v>
      </c>
      <c r="J644" s="51" t="s">
        <v>172</v>
      </c>
      <c r="K644" s="51" t="s">
        <v>167</v>
      </c>
    </row>
    <row r="645" spans="1:11" x14ac:dyDescent="0.3">
      <c r="A645" s="51" t="s">
        <v>1529</v>
      </c>
      <c r="B645" s="51" t="s">
        <v>1530</v>
      </c>
      <c r="C645" s="51" t="s">
        <v>264</v>
      </c>
      <c r="D645" s="51" t="s">
        <v>265</v>
      </c>
      <c r="E645" s="51" t="s">
        <v>163</v>
      </c>
      <c r="F645" s="51" t="s">
        <v>160</v>
      </c>
      <c r="G645" s="51" t="s">
        <v>160</v>
      </c>
      <c r="H645" s="51" t="s">
        <v>160</v>
      </c>
      <c r="I645" s="51" t="s">
        <v>160</v>
      </c>
      <c r="J645" s="51" t="s">
        <v>455</v>
      </c>
      <c r="K645" s="51" t="s">
        <v>167</v>
      </c>
    </row>
    <row r="646" spans="1:11" x14ac:dyDescent="0.3">
      <c r="A646" s="51" t="s">
        <v>1531</v>
      </c>
      <c r="B646" s="51" t="s">
        <v>1532</v>
      </c>
      <c r="C646" s="51" t="s">
        <v>170</v>
      </c>
      <c r="D646" s="51" t="s">
        <v>171</v>
      </c>
      <c r="E646" s="51" t="s">
        <v>163</v>
      </c>
      <c r="F646" s="51" t="s">
        <v>160</v>
      </c>
      <c r="G646" s="51" t="s">
        <v>160</v>
      </c>
      <c r="H646" s="51" t="s">
        <v>160</v>
      </c>
      <c r="I646" s="51" t="s">
        <v>160</v>
      </c>
      <c r="J646" s="51" t="s">
        <v>172</v>
      </c>
      <c r="K646" s="51" t="s">
        <v>167</v>
      </c>
    </row>
    <row r="647" spans="1:11" x14ac:dyDescent="0.3">
      <c r="A647" s="51" t="s">
        <v>1533</v>
      </c>
      <c r="B647" s="51" t="s">
        <v>1534</v>
      </c>
      <c r="C647" s="51" t="s">
        <v>170</v>
      </c>
      <c r="D647" s="51" t="s">
        <v>171</v>
      </c>
      <c r="E647" s="51" t="s">
        <v>163</v>
      </c>
      <c r="F647" s="51" t="s">
        <v>160</v>
      </c>
      <c r="G647" s="51" t="s">
        <v>160</v>
      </c>
      <c r="H647" s="51" t="s">
        <v>160</v>
      </c>
      <c r="I647" s="51" t="s">
        <v>160</v>
      </c>
      <c r="J647" s="51" t="s">
        <v>166</v>
      </c>
      <c r="K647" s="51" t="s">
        <v>167</v>
      </c>
    </row>
    <row r="648" spans="1:11" x14ac:dyDescent="0.3">
      <c r="A648" s="51" t="s">
        <v>1535</v>
      </c>
      <c r="B648" s="51" t="s">
        <v>1536</v>
      </c>
      <c r="C648" s="51" t="s">
        <v>170</v>
      </c>
      <c r="D648" s="51" t="s">
        <v>171</v>
      </c>
      <c r="E648" s="51" t="s">
        <v>163</v>
      </c>
      <c r="F648" s="51" t="s">
        <v>160</v>
      </c>
      <c r="G648" s="51" t="s">
        <v>160</v>
      </c>
      <c r="H648" s="51" t="s">
        <v>160</v>
      </c>
      <c r="I648" s="51" t="s">
        <v>160</v>
      </c>
      <c r="J648" s="51" t="s">
        <v>1336</v>
      </c>
      <c r="K648" s="51" t="s">
        <v>167</v>
      </c>
    </row>
    <row r="649" spans="1:11" x14ac:dyDescent="0.3">
      <c r="A649" s="51" t="s">
        <v>1537</v>
      </c>
      <c r="B649" s="51" t="s">
        <v>1538</v>
      </c>
      <c r="C649" s="51" t="s">
        <v>170</v>
      </c>
      <c r="D649" s="51" t="s">
        <v>171</v>
      </c>
      <c r="E649" s="51" t="s">
        <v>163</v>
      </c>
      <c r="F649" s="51" t="s">
        <v>160</v>
      </c>
      <c r="G649" s="51" t="s">
        <v>160</v>
      </c>
      <c r="H649" s="51" t="s">
        <v>160</v>
      </c>
      <c r="I649" s="51" t="s">
        <v>160</v>
      </c>
      <c r="J649" s="51" t="s">
        <v>172</v>
      </c>
      <c r="K649" s="51" t="s">
        <v>167</v>
      </c>
    </row>
    <row r="650" spans="1:11" x14ac:dyDescent="0.3">
      <c r="A650" s="51" t="s">
        <v>1539</v>
      </c>
      <c r="B650" s="51" t="s">
        <v>1540</v>
      </c>
      <c r="C650" s="51" t="s">
        <v>170</v>
      </c>
      <c r="D650" s="51" t="s">
        <v>171</v>
      </c>
      <c r="E650" s="51" t="s">
        <v>163</v>
      </c>
      <c r="F650" s="51" t="s">
        <v>160</v>
      </c>
      <c r="G650" s="51" t="s">
        <v>160</v>
      </c>
      <c r="H650" s="51" t="s">
        <v>160</v>
      </c>
      <c r="I650" s="51" t="s">
        <v>160</v>
      </c>
      <c r="J650" s="51" t="s">
        <v>340</v>
      </c>
      <c r="K650" s="51" t="s">
        <v>167</v>
      </c>
    </row>
    <row r="651" spans="1:11" x14ac:dyDescent="0.3">
      <c r="A651" s="51" t="s">
        <v>1541</v>
      </c>
      <c r="B651" s="51" t="s">
        <v>1542</v>
      </c>
      <c r="C651" s="51" t="s">
        <v>170</v>
      </c>
      <c r="D651" s="51" t="s">
        <v>171</v>
      </c>
      <c r="E651" s="51" t="s">
        <v>163</v>
      </c>
      <c r="F651" s="51" t="s">
        <v>160</v>
      </c>
      <c r="G651" s="51" t="s">
        <v>160</v>
      </c>
      <c r="H651" s="51" t="s">
        <v>160</v>
      </c>
      <c r="I651" s="51" t="s">
        <v>160</v>
      </c>
      <c r="J651" s="51" t="s">
        <v>1543</v>
      </c>
      <c r="K651" s="51" t="s">
        <v>167</v>
      </c>
    </row>
    <row r="652" spans="1:11" x14ac:dyDescent="0.3">
      <c r="A652" s="51" t="s">
        <v>1544</v>
      </c>
      <c r="B652" s="51" t="s">
        <v>1545</v>
      </c>
      <c r="C652" s="51" t="s">
        <v>170</v>
      </c>
      <c r="D652" s="51" t="s">
        <v>171</v>
      </c>
      <c r="E652" s="51" t="s">
        <v>163</v>
      </c>
      <c r="F652" s="51" t="s">
        <v>160</v>
      </c>
      <c r="G652" s="51" t="s">
        <v>160</v>
      </c>
      <c r="H652" s="51" t="s">
        <v>160</v>
      </c>
      <c r="I652" s="51" t="s">
        <v>160</v>
      </c>
      <c r="J652" s="51" t="s">
        <v>1482</v>
      </c>
      <c r="K652" s="51" t="s">
        <v>167</v>
      </c>
    </row>
    <row r="653" spans="1:11" x14ac:dyDescent="0.3">
      <c r="A653" s="51" t="s">
        <v>1546</v>
      </c>
      <c r="B653" s="51" t="s">
        <v>1547</v>
      </c>
      <c r="C653" s="51" t="s">
        <v>170</v>
      </c>
      <c r="D653" s="51" t="s">
        <v>171</v>
      </c>
      <c r="E653" s="51" t="s">
        <v>163</v>
      </c>
      <c r="F653" s="51" t="s">
        <v>160</v>
      </c>
      <c r="G653" s="51" t="s">
        <v>160</v>
      </c>
      <c r="H653" s="51" t="s">
        <v>160</v>
      </c>
      <c r="I653" s="51" t="s">
        <v>160</v>
      </c>
      <c r="J653" s="51" t="s">
        <v>172</v>
      </c>
      <c r="K653" s="51" t="s">
        <v>167</v>
      </c>
    </row>
    <row r="654" spans="1:11" x14ac:dyDescent="0.3">
      <c r="A654" s="51" t="s">
        <v>1548</v>
      </c>
      <c r="B654" s="51" t="s">
        <v>1549</v>
      </c>
      <c r="C654" s="51" t="s">
        <v>170</v>
      </c>
      <c r="D654" s="51" t="s">
        <v>171</v>
      </c>
      <c r="E654" s="51" t="s">
        <v>163</v>
      </c>
      <c r="F654" s="51" t="s">
        <v>160</v>
      </c>
      <c r="G654" s="51" t="s">
        <v>160</v>
      </c>
      <c r="H654" s="51" t="s">
        <v>160</v>
      </c>
      <c r="I654" s="51" t="s">
        <v>160</v>
      </c>
      <c r="J654" s="51" t="s">
        <v>1550</v>
      </c>
      <c r="K654" s="51" t="s">
        <v>167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C198E0"/>
  </sheetPr>
  <dimension ref="A1:F22"/>
  <sheetViews>
    <sheetView zoomScale="90" zoomScaleNormal="90" workbookViewId="0">
      <pane ySplit="10" topLeftCell="A11" activePane="bottomLeft" state="frozen"/>
      <selection activeCell="R66" sqref="R66"/>
      <selection pane="bottomLeft" activeCell="K23" sqref="K23"/>
    </sheetView>
  </sheetViews>
  <sheetFormatPr defaultColWidth="8.88671875" defaultRowHeight="13.8" x14ac:dyDescent="0.3"/>
  <cols>
    <col min="1" max="1" width="18.88671875" style="94" customWidth="1"/>
    <col min="2" max="2" width="21.5546875" style="94" customWidth="1"/>
    <col min="3" max="4" width="14.109375" style="94" customWidth="1"/>
    <col min="5" max="5" width="65.6640625" style="94" customWidth="1"/>
    <col min="6" max="6" width="26.33203125" style="94" customWidth="1"/>
    <col min="7" max="16384" width="8.88671875" style="94"/>
  </cols>
  <sheetData>
    <row r="1" spans="1:6" x14ac:dyDescent="0.3">
      <c r="A1" s="104" t="s">
        <v>1646</v>
      </c>
      <c r="B1" s="105"/>
      <c r="C1" s="105"/>
      <c r="D1" s="105"/>
      <c r="E1" s="105"/>
      <c r="F1" s="106"/>
    </row>
    <row r="2" spans="1:6" x14ac:dyDescent="0.3">
      <c r="A2" s="107"/>
      <c r="B2" s="108"/>
      <c r="C2" s="108"/>
      <c r="D2" s="108"/>
      <c r="E2" s="108"/>
      <c r="F2" s="109"/>
    </row>
    <row r="4" spans="1:6" x14ac:dyDescent="0.3">
      <c r="A4" s="95" t="s">
        <v>1598</v>
      </c>
      <c r="B4" s="96" t="s">
        <v>1667</v>
      </c>
    </row>
    <row r="5" spans="1:6" x14ac:dyDescent="0.3">
      <c r="A5" s="95" t="s">
        <v>1599</v>
      </c>
      <c r="B5" s="96" t="s">
        <v>1668</v>
      </c>
    </row>
    <row r="6" spans="1:6" x14ac:dyDescent="0.3">
      <c r="A6" s="95"/>
      <c r="B6" s="96"/>
    </row>
    <row r="7" spans="1:6" x14ac:dyDescent="0.3">
      <c r="A7" s="97" t="s">
        <v>1635</v>
      </c>
      <c r="B7" s="96"/>
    </row>
    <row r="8" spans="1:6" x14ac:dyDescent="0.3">
      <c r="B8" s="98"/>
      <c r="C8" s="96"/>
    </row>
    <row r="9" spans="1:6" x14ac:dyDescent="0.3">
      <c r="A9" s="99" t="s">
        <v>1600</v>
      </c>
    </row>
    <row r="10" spans="1:6" x14ac:dyDescent="0.3">
      <c r="A10" s="100" t="s">
        <v>1601</v>
      </c>
      <c r="B10" s="100" t="s">
        <v>1602</v>
      </c>
      <c r="C10" s="100" t="s">
        <v>1603</v>
      </c>
      <c r="D10" s="100" t="s">
        <v>1604</v>
      </c>
      <c r="E10" s="100" t="s">
        <v>1605</v>
      </c>
      <c r="F10" s="100" t="s">
        <v>1606</v>
      </c>
    </row>
    <row r="11" spans="1:6" ht="55.2" x14ac:dyDescent="0.3">
      <c r="A11" s="94" t="s">
        <v>1640</v>
      </c>
      <c r="B11" s="94" t="s">
        <v>1607</v>
      </c>
      <c r="C11" s="94" t="s">
        <v>1608</v>
      </c>
      <c r="D11" s="94" t="s">
        <v>1608</v>
      </c>
      <c r="E11" s="94" t="s">
        <v>1649</v>
      </c>
      <c r="F11" s="94" t="s">
        <v>1643</v>
      </c>
    </row>
    <row r="12" spans="1:6" ht="27.6" x14ac:dyDescent="0.3">
      <c r="A12" s="94" t="s">
        <v>1640</v>
      </c>
      <c r="B12" s="94" t="s">
        <v>1622</v>
      </c>
      <c r="C12" s="94" t="s">
        <v>1610</v>
      </c>
      <c r="D12" s="94" t="s">
        <v>1617</v>
      </c>
      <c r="E12" s="94" t="s">
        <v>1620</v>
      </c>
      <c r="F12" s="94" t="s">
        <v>1621</v>
      </c>
    </row>
    <row r="13" spans="1:6" ht="55.2" x14ac:dyDescent="0.3">
      <c r="A13" s="94" t="s">
        <v>1640</v>
      </c>
      <c r="B13" s="94" t="s">
        <v>1623</v>
      </c>
      <c r="C13" s="94" t="s">
        <v>1609</v>
      </c>
      <c r="D13" s="94" t="s">
        <v>1610</v>
      </c>
      <c r="E13" s="94" t="s">
        <v>1611</v>
      </c>
      <c r="F13" s="94" t="s">
        <v>1612</v>
      </c>
    </row>
    <row r="14" spans="1:6" ht="27.6" x14ac:dyDescent="0.3">
      <c r="A14" s="94" t="s">
        <v>1640</v>
      </c>
      <c r="B14" s="94" t="s">
        <v>1613</v>
      </c>
      <c r="C14" s="94" t="s">
        <v>1610</v>
      </c>
      <c r="D14" s="94" t="s">
        <v>1618</v>
      </c>
      <c r="E14" s="94" t="s">
        <v>1614</v>
      </c>
      <c r="F14" s="94" t="s">
        <v>1615</v>
      </c>
    </row>
    <row r="15" spans="1:6" ht="41.4" x14ac:dyDescent="0.3">
      <c r="A15" s="94" t="s">
        <v>1640</v>
      </c>
      <c r="B15" s="94" t="s">
        <v>1616</v>
      </c>
      <c r="C15" s="94" t="s">
        <v>1610</v>
      </c>
      <c r="D15" s="94" t="s">
        <v>1619</v>
      </c>
      <c r="E15" s="94" t="s">
        <v>1636</v>
      </c>
      <c r="F15" s="94" t="s">
        <v>1612</v>
      </c>
    </row>
    <row r="16" spans="1:6" ht="27.6" x14ac:dyDescent="0.3">
      <c r="A16" s="94" t="s">
        <v>1640</v>
      </c>
      <c r="B16" s="94" t="s">
        <v>1624</v>
      </c>
      <c r="C16" s="94" t="s">
        <v>1610</v>
      </c>
      <c r="D16" s="94" t="s">
        <v>1644</v>
      </c>
      <c r="E16" s="94" t="s">
        <v>1625</v>
      </c>
      <c r="F16" s="94" t="s">
        <v>1612</v>
      </c>
    </row>
    <row r="17" spans="1:6" ht="82.8" x14ac:dyDescent="0.3">
      <c r="A17" s="94" t="s">
        <v>1640</v>
      </c>
      <c r="B17" s="94" t="s">
        <v>1626</v>
      </c>
      <c r="C17" s="94" t="s">
        <v>1627</v>
      </c>
      <c r="D17" s="94" t="s">
        <v>1628</v>
      </c>
      <c r="E17" s="94" t="s">
        <v>1637</v>
      </c>
      <c r="F17" s="94" t="s">
        <v>1645</v>
      </c>
    </row>
    <row r="18" spans="1:6" ht="96.6" x14ac:dyDescent="0.3">
      <c r="A18" s="94" t="s">
        <v>1640</v>
      </c>
      <c r="B18" s="94" t="s">
        <v>1638</v>
      </c>
      <c r="C18" s="94" t="s">
        <v>1629</v>
      </c>
      <c r="D18" s="94" t="s">
        <v>1659</v>
      </c>
      <c r="E18" s="94" t="s">
        <v>1639</v>
      </c>
      <c r="F18" s="94" t="s">
        <v>1612</v>
      </c>
    </row>
    <row r="19" spans="1:6" ht="27.6" x14ac:dyDescent="0.3">
      <c r="A19" s="94" t="s">
        <v>1640</v>
      </c>
      <c r="B19" s="94" t="s">
        <v>1662</v>
      </c>
      <c r="C19" s="94" t="s">
        <v>1665</v>
      </c>
      <c r="D19" s="94" t="s">
        <v>1663</v>
      </c>
      <c r="E19" s="94" t="s">
        <v>1664</v>
      </c>
      <c r="F19" s="94" t="s">
        <v>1612</v>
      </c>
    </row>
    <row r="20" spans="1:6" ht="27.6" x14ac:dyDescent="0.3">
      <c r="A20" s="94" t="s">
        <v>1640</v>
      </c>
      <c r="B20" s="94" t="s">
        <v>1630</v>
      </c>
      <c r="C20" s="94" t="s">
        <v>1610</v>
      </c>
      <c r="D20" s="94" t="s">
        <v>1660</v>
      </c>
      <c r="E20" s="94" t="s">
        <v>1647</v>
      </c>
      <c r="F20" s="94" t="s">
        <v>1612</v>
      </c>
    </row>
    <row r="21" spans="1:6" ht="110.4" x14ac:dyDescent="0.3">
      <c r="A21" s="94" t="s">
        <v>1641</v>
      </c>
      <c r="B21" s="94" t="s">
        <v>1632</v>
      </c>
      <c r="C21" s="94" t="s">
        <v>1633</v>
      </c>
      <c r="D21" s="94" t="s">
        <v>1633</v>
      </c>
      <c r="E21" s="94" t="s">
        <v>1648</v>
      </c>
      <c r="F21" s="94" t="s">
        <v>1631</v>
      </c>
    </row>
    <row r="22" spans="1:6" ht="41.4" x14ac:dyDescent="0.3">
      <c r="A22" s="94" t="s">
        <v>1641</v>
      </c>
      <c r="B22" s="94" t="s">
        <v>1634</v>
      </c>
      <c r="C22" s="94" t="s">
        <v>1610</v>
      </c>
      <c r="D22" s="94" t="s">
        <v>1618</v>
      </c>
      <c r="E22" s="94" t="s">
        <v>1642</v>
      </c>
      <c r="F22" s="94" t="s">
        <v>1612</v>
      </c>
    </row>
  </sheetData>
  <sheetProtection algorithmName="SHA-512" hashValue="RfF1ehhtIosQT+XYqaGIWdj7EoY4KiXaejBvFkSMtryoZCp+sisLlWQYkfic7wcoFhilAToaxfE7MxlPIW1THw==" saltValue="kiaFNZTnY0/oGdBUrR7qJ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11230-FE05-4404-AE99-C7893BD88546}">
  <sheetPr>
    <tabColor rgb="FFC198E0"/>
    <pageSetUpPr fitToPage="1"/>
  </sheetPr>
  <dimension ref="A1:S169"/>
  <sheetViews>
    <sheetView tabSelected="1" zoomScale="70" zoomScaleNormal="70" workbookViewId="0">
      <selection sqref="A1:K1"/>
    </sheetView>
  </sheetViews>
  <sheetFormatPr defaultColWidth="9.109375" defaultRowHeight="15" x14ac:dyDescent="0.3"/>
  <cols>
    <col min="1" max="7" width="14.33203125" style="5" customWidth="1"/>
    <col min="8" max="8" width="14.33203125" style="21" customWidth="1"/>
    <col min="9" max="9" width="19.6640625" style="5" customWidth="1"/>
    <col min="10" max="11" width="19.88671875" style="5" customWidth="1"/>
    <col min="12" max="12" width="9.109375" style="5"/>
    <col min="13" max="14" width="16" style="5" customWidth="1"/>
    <col min="15" max="15" width="4.6640625" style="5" customWidth="1"/>
    <col min="16" max="17" width="16" style="5" customWidth="1"/>
    <col min="18" max="18" width="5.6640625" style="5" customWidth="1"/>
    <col min="19" max="19" width="15.88671875" style="5" customWidth="1"/>
    <col min="20" max="16384" width="9.109375" style="5"/>
  </cols>
  <sheetData>
    <row r="1" spans="1:19" ht="44.4" customHeight="1" x14ac:dyDescent="0.3">
      <c r="A1" s="117" t="s">
        <v>1582</v>
      </c>
      <c r="B1" s="117"/>
      <c r="C1" s="117"/>
      <c r="D1" s="117"/>
      <c r="E1" s="117"/>
      <c r="F1" s="117"/>
      <c r="G1" s="117"/>
      <c r="H1" s="117"/>
      <c r="I1" s="117"/>
      <c r="J1" s="117"/>
      <c r="K1" s="117"/>
      <c r="L1" s="48"/>
      <c r="M1" s="48"/>
      <c r="N1" s="48"/>
      <c r="O1" s="48"/>
    </row>
    <row r="2" spans="1:19" ht="15" customHeight="1" x14ac:dyDescent="0.3">
      <c r="A2" s="118" t="s">
        <v>0</v>
      </c>
      <c r="B2" s="118"/>
      <c r="C2" s="118"/>
      <c r="D2" s="118"/>
      <c r="E2" s="118"/>
      <c r="F2" s="118"/>
      <c r="G2" s="118"/>
      <c r="H2" s="118"/>
      <c r="I2" s="118"/>
      <c r="J2" s="118"/>
      <c r="K2" s="118"/>
      <c r="L2" s="55"/>
      <c r="M2" s="55"/>
      <c r="N2" s="55"/>
      <c r="O2" s="55"/>
    </row>
    <row r="3" spans="1:19" ht="15.6" x14ac:dyDescent="0.3">
      <c r="A3" s="111" t="s">
        <v>4</v>
      </c>
      <c r="B3" s="111"/>
      <c r="C3" s="111"/>
      <c r="D3" s="111"/>
      <c r="E3" s="111"/>
      <c r="F3" s="119" t="s">
        <v>14</v>
      </c>
      <c r="G3" s="119"/>
      <c r="H3" s="119"/>
      <c r="I3" s="119"/>
    </row>
    <row r="4" spans="1:19" ht="15.6" x14ac:dyDescent="0.25">
      <c r="A4" s="111" t="s">
        <v>148</v>
      </c>
      <c r="B4" s="111"/>
      <c r="C4" s="111"/>
      <c r="D4" s="111"/>
      <c r="E4" s="111"/>
      <c r="F4" s="116" t="s">
        <v>1669</v>
      </c>
      <c r="G4" s="116"/>
      <c r="H4" s="116"/>
      <c r="I4" s="116"/>
      <c r="L4" s="7"/>
      <c r="M4" s="7"/>
      <c r="N4" s="7"/>
      <c r="O4" s="7"/>
      <c r="P4" s="7"/>
      <c r="Q4" s="7"/>
    </row>
    <row r="5" spans="1:19" ht="15.6" x14ac:dyDescent="0.25">
      <c r="A5" s="111" t="s">
        <v>1569</v>
      </c>
      <c r="B5" s="111"/>
      <c r="C5" s="111"/>
      <c r="D5" s="111"/>
      <c r="E5" s="111"/>
      <c r="F5" s="116" t="s">
        <v>858</v>
      </c>
      <c r="G5" s="116"/>
      <c r="H5" s="116"/>
      <c r="I5" s="116"/>
      <c r="L5" s="8"/>
      <c r="M5" s="8"/>
      <c r="N5" s="8"/>
      <c r="O5" s="8"/>
      <c r="P5" s="7"/>
      <c r="Q5" s="7"/>
    </row>
    <row r="6" spans="1:19" ht="17.399999999999999" x14ac:dyDescent="0.3">
      <c r="A6" s="111" t="s">
        <v>1</v>
      </c>
      <c r="B6" s="111"/>
      <c r="C6" s="111"/>
      <c r="D6" s="111"/>
      <c r="E6" s="111"/>
      <c r="F6" s="112">
        <v>1</v>
      </c>
      <c r="G6" s="112"/>
      <c r="H6" s="112"/>
      <c r="I6" s="112"/>
      <c r="K6" s="39"/>
      <c r="L6" s="8"/>
      <c r="M6" s="8"/>
      <c r="N6" s="8"/>
      <c r="O6" s="8"/>
      <c r="P6" s="7"/>
      <c r="Q6" s="7"/>
    </row>
    <row r="7" spans="1:19" ht="17.399999999999999" x14ac:dyDescent="0.3">
      <c r="A7" s="111" t="s">
        <v>2</v>
      </c>
      <c r="B7" s="111"/>
      <c r="C7" s="111"/>
      <c r="D7" s="111"/>
      <c r="E7" s="111"/>
      <c r="F7" s="112" t="s">
        <v>114</v>
      </c>
      <c r="G7" s="112"/>
      <c r="H7" s="112"/>
      <c r="I7" s="112"/>
      <c r="K7" s="39"/>
      <c r="L7" s="8"/>
      <c r="M7" s="8"/>
      <c r="N7" s="8"/>
      <c r="O7" s="8"/>
      <c r="P7" s="7"/>
      <c r="Q7" s="7"/>
    </row>
    <row r="8" spans="1:19" ht="17.399999999999999" x14ac:dyDescent="0.3">
      <c r="A8" s="111" t="s">
        <v>1570</v>
      </c>
      <c r="B8" s="111"/>
      <c r="C8" s="111"/>
      <c r="D8" s="111"/>
      <c r="E8" s="111"/>
      <c r="F8" s="112" t="s">
        <v>131</v>
      </c>
      <c r="G8" s="112"/>
      <c r="H8" s="112"/>
      <c r="I8" s="112"/>
      <c r="K8" s="39"/>
      <c r="L8" s="8"/>
      <c r="M8" s="8"/>
      <c r="N8" s="8"/>
      <c r="O8" s="8"/>
      <c r="P8" s="7"/>
      <c r="Q8" s="7"/>
    </row>
    <row r="9" spans="1:19" ht="15.6" x14ac:dyDescent="0.3">
      <c r="A9" s="111" t="s">
        <v>1568</v>
      </c>
      <c r="B9" s="111"/>
      <c r="C9" s="111"/>
      <c r="D9" s="111"/>
      <c r="E9" s="111"/>
      <c r="F9" s="113" t="str">
        <f>IFERROR(IF(F7="Proprietary","Proprietary Fund",VLOOKUP(F5,[3]qryIndex02a!$A$2:$K$654,4,FALSE)),"Unidentified")</f>
        <v>CORRECTIONS AND REHABILITATION</v>
      </c>
      <c r="G9" s="113"/>
      <c r="H9" s="113"/>
      <c r="I9" s="113"/>
      <c r="J9" s="3"/>
      <c r="K9" s="7"/>
      <c r="L9" s="7"/>
      <c r="M9" s="7"/>
      <c r="N9" s="7"/>
      <c r="O9" s="7"/>
      <c r="P9" s="7"/>
      <c r="Q9" s="7"/>
    </row>
    <row r="10" spans="1:19" ht="15.6" x14ac:dyDescent="0.3">
      <c r="A10" s="6"/>
      <c r="B10" s="6"/>
      <c r="C10" s="6"/>
      <c r="D10" s="6"/>
      <c r="E10" s="6"/>
      <c r="F10" s="7"/>
      <c r="G10" s="7"/>
      <c r="H10" s="9"/>
      <c r="I10" s="7"/>
      <c r="J10" s="7"/>
      <c r="K10" s="7"/>
      <c r="L10" s="7"/>
      <c r="M10" s="7"/>
      <c r="N10" s="7"/>
      <c r="O10" s="7"/>
      <c r="P10" s="7"/>
      <c r="Q10" s="7"/>
    </row>
    <row r="11" spans="1:19" ht="15.6" x14ac:dyDescent="0.3">
      <c r="A11" s="6"/>
      <c r="B11" s="6"/>
      <c r="C11" s="6"/>
      <c r="D11" s="6"/>
      <c r="E11" s="8"/>
      <c r="F11" s="7"/>
      <c r="G11" s="7"/>
      <c r="H11" s="9"/>
      <c r="I11" s="7"/>
      <c r="J11" s="7"/>
      <c r="K11" s="7"/>
      <c r="L11" s="7"/>
      <c r="M11" s="7"/>
      <c r="N11" s="7"/>
      <c r="O11" s="7"/>
      <c r="P11" s="7"/>
      <c r="Q11" s="7"/>
    </row>
    <row r="12" spans="1:19" s="62" customFormat="1" ht="21" customHeight="1" x14ac:dyDescent="0.4">
      <c r="A12" s="56" t="s">
        <v>1651</v>
      </c>
      <c r="B12" s="57"/>
      <c r="C12" s="58"/>
      <c r="D12" s="58"/>
      <c r="E12" s="58"/>
      <c r="F12" s="59"/>
      <c r="G12" s="59"/>
      <c r="H12" s="60"/>
      <c r="I12" s="60"/>
      <c r="J12" s="59"/>
      <c r="K12" s="59"/>
      <c r="L12" s="7"/>
      <c r="M12" s="7"/>
      <c r="N12" s="61"/>
      <c r="O12" s="61"/>
      <c r="P12" s="61"/>
    </row>
    <row r="13" spans="1:19" s="66" customFormat="1" ht="16.5" customHeight="1" x14ac:dyDescent="0.3">
      <c r="A13" s="73" t="s">
        <v>3</v>
      </c>
      <c r="B13" s="74"/>
      <c r="C13" s="67"/>
      <c r="D13" s="67"/>
      <c r="E13" s="67"/>
      <c r="F13" s="68"/>
      <c r="G13" s="68"/>
      <c r="H13" s="63"/>
      <c r="I13" s="63"/>
      <c r="J13" s="65"/>
      <c r="K13" s="65"/>
    </row>
    <row r="14" spans="1:19" s="66" customFormat="1" ht="16.5" customHeight="1" x14ac:dyDescent="0.35">
      <c r="A14" s="64">
        <v>0</v>
      </c>
      <c r="B14" s="76" t="s">
        <v>1653</v>
      </c>
      <c r="C14" s="67"/>
      <c r="D14" s="67"/>
      <c r="E14" s="67"/>
      <c r="F14" s="68"/>
      <c r="G14" s="68"/>
      <c r="H14" s="63"/>
      <c r="I14" s="63"/>
      <c r="J14" s="65"/>
      <c r="K14" s="65"/>
      <c r="M14" s="114" t="s">
        <v>1585</v>
      </c>
      <c r="N14" s="115"/>
      <c r="P14" s="114" t="s">
        <v>1583</v>
      </c>
      <c r="Q14" s="115"/>
      <c r="S14" s="82" t="s">
        <v>1584</v>
      </c>
    </row>
    <row r="15" spans="1:19" ht="16.5" customHeight="1" x14ac:dyDescent="0.3">
      <c r="B15" s="4" t="s">
        <v>140</v>
      </c>
      <c r="C15" s="69"/>
      <c r="D15" s="69"/>
      <c r="E15" s="69"/>
      <c r="F15" s="70"/>
      <c r="G15" s="70"/>
      <c r="H15" s="71"/>
      <c r="I15" s="71"/>
      <c r="J15" s="102">
        <f>M15</f>
        <v>0</v>
      </c>
      <c r="M15" s="72"/>
      <c r="P15" s="72"/>
      <c r="Q15" s="84"/>
      <c r="S15" s="83">
        <f>P15-M15</f>
        <v>0</v>
      </c>
    </row>
    <row r="16" spans="1:19" ht="16.5" customHeight="1" x14ac:dyDescent="0.3">
      <c r="A16" s="40"/>
      <c r="B16" s="4" t="s">
        <v>141</v>
      </c>
      <c r="C16" s="69"/>
      <c r="D16" s="69"/>
      <c r="E16" s="69"/>
      <c r="F16" s="70"/>
      <c r="G16" s="70"/>
      <c r="H16" s="71"/>
      <c r="I16" s="71"/>
      <c r="J16" s="102">
        <f>M16</f>
        <v>2768185</v>
      </c>
      <c r="M16" s="72">
        <v>2768185</v>
      </c>
      <c r="P16" s="72">
        <v>2768185</v>
      </c>
      <c r="Q16" s="84"/>
      <c r="S16" s="83">
        <f>P16-M16</f>
        <v>0</v>
      </c>
    </row>
    <row r="17" spans="1:19" ht="16.5" customHeight="1" x14ac:dyDescent="0.3">
      <c r="A17" s="40"/>
      <c r="B17" s="4" t="s">
        <v>142</v>
      </c>
      <c r="C17" s="69"/>
      <c r="D17" s="69"/>
      <c r="E17" s="69"/>
      <c r="F17" s="70"/>
      <c r="G17" s="70"/>
      <c r="H17" s="71"/>
      <c r="I17" s="71"/>
      <c r="J17" s="102">
        <f>M17</f>
        <v>0</v>
      </c>
      <c r="M17" s="72"/>
      <c r="P17" s="72"/>
      <c r="Q17" s="84"/>
      <c r="S17" s="83">
        <f>P17-M17</f>
        <v>0</v>
      </c>
    </row>
    <row r="18" spans="1:19" ht="16.5" customHeight="1" x14ac:dyDescent="0.3">
      <c r="A18" s="40"/>
      <c r="B18" s="4" t="s">
        <v>132</v>
      </c>
      <c r="C18" s="69"/>
      <c r="D18" s="69"/>
      <c r="E18" s="69"/>
      <c r="F18" s="70"/>
      <c r="G18" s="70"/>
      <c r="H18" s="71"/>
      <c r="I18" s="71"/>
      <c r="J18" s="102">
        <f>P18</f>
        <v>0</v>
      </c>
      <c r="M18" s="72"/>
      <c r="P18" s="103">
        <f>IF(SUM($Q$21:$Q$23)&gt;SUM($P$15:$P$17),SUM($Q$21:$Q$23)-SUM($P$15:$P$17),0)</f>
        <v>0</v>
      </c>
      <c r="Q18" s="84"/>
      <c r="S18" s="83">
        <f>P18-M18</f>
        <v>0</v>
      </c>
    </row>
    <row r="19" spans="1:19" ht="16.5" customHeight="1" x14ac:dyDescent="0.3">
      <c r="A19" s="40"/>
      <c r="B19" s="4" t="s">
        <v>133</v>
      </c>
      <c r="C19" s="69"/>
      <c r="D19" s="69"/>
      <c r="E19" s="69"/>
      <c r="F19" s="70"/>
      <c r="G19" s="70"/>
      <c r="H19" s="71"/>
      <c r="I19" s="71"/>
      <c r="J19" s="102">
        <f>IF(SUM($K$21:$K$24)&gt;SUM($J$15:$J$18),SUM($K$21:$K$24)-SUM($J$15:$J$18),0)</f>
        <v>37377</v>
      </c>
      <c r="M19" s="72"/>
      <c r="P19" s="84"/>
      <c r="Q19" s="84"/>
      <c r="S19" s="83">
        <f>P19-M19</f>
        <v>0</v>
      </c>
    </row>
    <row r="20" spans="1:19" ht="16.5" customHeight="1" x14ac:dyDescent="0.3">
      <c r="A20" s="40"/>
      <c r="B20" s="78"/>
      <c r="C20" s="4" t="s">
        <v>138</v>
      </c>
      <c r="D20" s="69"/>
      <c r="E20" s="69"/>
      <c r="F20" s="79"/>
      <c r="G20" s="79"/>
      <c r="H20" s="71"/>
      <c r="I20" s="71"/>
      <c r="J20" s="75"/>
      <c r="K20" s="101"/>
      <c r="P20" s="84"/>
      <c r="Q20" s="84"/>
    </row>
    <row r="21" spans="1:19" ht="16.5" customHeight="1" x14ac:dyDescent="0.3">
      <c r="A21" s="40"/>
      <c r="B21" s="78"/>
      <c r="C21" s="4" t="s">
        <v>139</v>
      </c>
      <c r="D21" s="69"/>
      <c r="E21" s="69"/>
      <c r="F21" s="79"/>
      <c r="G21" s="79"/>
      <c r="H21" s="71"/>
      <c r="I21" s="71"/>
      <c r="J21" s="75"/>
      <c r="K21" s="102">
        <f>N21</f>
        <v>0</v>
      </c>
      <c r="N21" s="72"/>
      <c r="P21" s="84"/>
      <c r="Q21" s="72"/>
      <c r="S21" s="83">
        <f>Q21-N21</f>
        <v>0</v>
      </c>
    </row>
    <row r="22" spans="1:19" ht="16.5" customHeight="1" x14ac:dyDescent="0.3">
      <c r="A22" s="40"/>
      <c r="B22" s="78"/>
      <c r="C22" s="4" t="s">
        <v>136</v>
      </c>
      <c r="D22" s="69"/>
      <c r="E22" s="69"/>
      <c r="F22" s="79"/>
      <c r="G22" s="79"/>
      <c r="H22" s="71"/>
      <c r="I22" s="71"/>
      <c r="J22" s="75"/>
      <c r="K22" s="102">
        <f>N22</f>
        <v>69205</v>
      </c>
      <c r="N22" s="72">
        <v>69205</v>
      </c>
      <c r="P22" s="84"/>
      <c r="Q22" s="72">
        <v>31828</v>
      </c>
      <c r="S22" s="83">
        <f t="shared" ref="S22:S25" si="0">Q22-N22</f>
        <v>-37377</v>
      </c>
    </row>
    <row r="23" spans="1:19" ht="16.5" customHeight="1" x14ac:dyDescent="0.3">
      <c r="A23" s="40"/>
      <c r="B23" s="78"/>
      <c r="C23" s="4" t="s">
        <v>137</v>
      </c>
      <c r="D23" s="69"/>
      <c r="E23" s="69"/>
      <c r="F23" s="79"/>
      <c r="G23" s="79"/>
      <c r="H23" s="71"/>
      <c r="I23" s="71"/>
      <c r="J23" s="75"/>
      <c r="K23" s="102">
        <f>N23</f>
        <v>971518</v>
      </c>
      <c r="N23" s="72">
        <v>971518</v>
      </c>
      <c r="P23" s="84"/>
      <c r="Q23" s="72">
        <v>971518</v>
      </c>
      <c r="S23" s="83">
        <f t="shared" si="0"/>
        <v>0</v>
      </c>
    </row>
    <row r="24" spans="1:19" ht="16.5" customHeight="1" x14ac:dyDescent="0.3">
      <c r="A24" s="40"/>
      <c r="B24" s="78"/>
      <c r="C24" s="4" t="s">
        <v>134</v>
      </c>
      <c r="D24" s="69"/>
      <c r="E24" s="69"/>
      <c r="F24" s="79"/>
      <c r="G24" s="79"/>
      <c r="H24" s="71"/>
      <c r="I24" s="71"/>
      <c r="J24" s="75"/>
      <c r="K24" s="102">
        <f>Q24</f>
        <v>1764839</v>
      </c>
      <c r="N24" s="72">
        <v>1727462</v>
      </c>
      <c r="P24" s="84"/>
      <c r="Q24" s="103">
        <f>IF(SUM($Q$21:$Q$23)&lt;SUM($P$15:$P$17),-SUM($Q$21:$Q$23)+SUM($P$15:$P$17),0)</f>
        <v>1764839</v>
      </c>
      <c r="S24" s="83">
        <f t="shared" si="0"/>
        <v>37377</v>
      </c>
    </row>
    <row r="25" spans="1:19" ht="16.5" customHeight="1" x14ac:dyDescent="0.3">
      <c r="A25" s="40"/>
      <c r="B25" s="78"/>
      <c r="C25" s="4" t="s">
        <v>135</v>
      </c>
      <c r="D25" s="69"/>
      <c r="E25" s="69"/>
      <c r="F25" s="79"/>
      <c r="G25" s="79"/>
      <c r="H25" s="71"/>
      <c r="I25" s="71"/>
      <c r="J25" s="75"/>
      <c r="K25" s="102">
        <f>IF(SUM($K$21:$K$24)&lt;SUM($J$15:$J$18),-SUM($K$21:$K$24)+SUM($J$15:$J$18),0)</f>
        <v>0</v>
      </c>
      <c r="N25" s="72"/>
      <c r="P25" s="84"/>
      <c r="Q25" s="84"/>
      <c r="S25" s="83">
        <f t="shared" si="0"/>
        <v>0</v>
      </c>
    </row>
    <row r="26" spans="1:19" ht="16.5" customHeight="1" x14ac:dyDescent="0.3">
      <c r="A26" s="40"/>
      <c r="C26" s="15"/>
      <c r="D26" s="15"/>
      <c r="E26" s="15"/>
      <c r="F26" s="16"/>
      <c r="G26" s="16"/>
      <c r="H26" s="17"/>
      <c r="I26" s="17"/>
      <c r="J26" s="49">
        <f>SUM(J15:J25)</f>
        <v>2805562</v>
      </c>
      <c r="K26" s="49">
        <f>SUM(K15:K25)</f>
        <v>2805562</v>
      </c>
      <c r="L26" s="3" t="str">
        <f>IF(J26=K26,"&lt;- Debits and Credits equal each other.","&lt;- Debits and Credits do not equal each other.")</f>
        <v>&lt;- Debits and Credits equal each other.</v>
      </c>
    </row>
    <row r="27" spans="1:19" ht="16.5" customHeight="1" x14ac:dyDescent="0.3">
      <c r="A27" s="1"/>
      <c r="B27" s="4"/>
      <c r="C27" s="18"/>
      <c r="D27" s="15"/>
      <c r="E27" s="15"/>
      <c r="F27" s="16"/>
      <c r="G27" s="16"/>
      <c r="H27" s="17"/>
      <c r="I27" s="17"/>
      <c r="J27" s="49"/>
      <c r="K27" s="49"/>
      <c r="L27" s="3"/>
    </row>
    <row r="28" spans="1:19" ht="16.5" customHeight="1" x14ac:dyDescent="0.3">
      <c r="A28" s="1"/>
      <c r="B28" s="4"/>
      <c r="C28" s="18"/>
      <c r="D28" s="15"/>
      <c r="E28" s="15"/>
      <c r="F28" s="16"/>
      <c r="G28" s="16"/>
      <c r="H28" s="17"/>
      <c r="I28" s="17"/>
      <c r="J28" s="14"/>
      <c r="K28" s="14"/>
      <c r="L28" s="3"/>
    </row>
    <row r="29" spans="1:19" s="62" customFormat="1" ht="21" customHeight="1" x14ac:dyDescent="0.4">
      <c r="A29" s="56" t="s">
        <v>1654</v>
      </c>
      <c r="B29" s="57"/>
      <c r="C29" s="58"/>
      <c r="D29" s="58"/>
      <c r="E29" s="58"/>
      <c r="F29" s="59"/>
      <c r="G29" s="59"/>
      <c r="H29" s="60"/>
      <c r="I29" s="60"/>
      <c r="J29" s="59"/>
      <c r="K29" s="59"/>
      <c r="L29" s="7"/>
      <c r="M29" s="7"/>
      <c r="N29" s="61"/>
      <c r="O29" s="61"/>
      <c r="P29" s="61"/>
    </row>
    <row r="30" spans="1:19" s="66" customFormat="1" ht="16.5" customHeight="1" x14ac:dyDescent="0.35">
      <c r="A30" s="64">
        <v>1</v>
      </c>
      <c r="B30" s="76" t="s">
        <v>1655</v>
      </c>
      <c r="C30" s="67"/>
      <c r="D30" s="67"/>
      <c r="E30" s="67"/>
      <c r="F30" s="68"/>
      <c r="G30" s="68"/>
      <c r="H30" s="63"/>
      <c r="I30" s="63"/>
      <c r="J30" s="65"/>
      <c r="K30" s="65"/>
    </row>
    <row r="31" spans="1:19" ht="16.5" customHeight="1" x14ac:dyDescent="0.3">
      <c r="B31" s="4" t="s">
        <v>143</v>
      </c>
      <c r="C31" s="69"/>
      <c r="D31" s="69"/>
      <c r="E31" s="69"/>
      <c r="F31" s="70"/>
      <c r="G31" s="70"/>
      <c r="H31" s="71"/>
      <c r="I31" s="71"/>
      <c r="J31" s="72"/>
      <c r="K31" s="80"/>
    </row>
    <row r="32" spans="1:19" ht="16.5" customHeight="1" x14ac:dyDescent="0.3">
      <c r="A32" s="40"/>
      <c r="B32" s="69"/>
      <c r="C32" s="4" t="s">
        <v>1657</v>
      </c>
      <c r="D32" s="69"/>
      <c r="E32" s="69"/>
      <c r="F32" s="70"/>
      <c r="G32" s="70"/>
      <c r="H32" s="71"/>
      <c r="I32" s="71"/>
      <c r="J32" s="77"/>
      <c r="K32" s="72"/>
    </row>
    <row r="33" spans="1:16" ht="16.5" customHeight="1" x14ac:dyDescent="0.3">
      <c r="A33" s="40"/>
      <c r="B33" s="69"/>
      <c r="C33" s="4" t="str">
        <f>IF($F$7="Proprietary","Cr: Acct 0870 - SERVICES &amp; CHARGES (MG ADJ)",VLOOKUP($F$9,'[3]Drop Down Menus'!$F$2:$G$10,2,FALSE))</f>
        <v>Cr: Acct 0835 - CORRECTIONS AND REHABILITATION</v>
      </c>
      <c r="D33" s="69"/>
      <c r="E33" s="69"/>
      <c r="F33" s="70"/>
      <c r="G33" s="70"/>
      <c r="H33" s="71"/>
      <c r="I33" s="71"/>
      <c r="J33" s="77"/>
      <c r="K33" s="72"/>
    </row>
    <row r="34" spans="1:16" ht="16.5" customHeight="1" x14ac:dyDescent="0.3">
      <c r="A34" s="40"/>
      <c r="C34" s="11"/>
      <c r="D34" s="11"/>
      <c r="E34" s="11"/>
      <c r="F34" s="12"/>
      <c r="G34" s="12"/>
      <c r="H34" s="13"/>
      <c r="I34" s="13"/>
      <c r="J34" s="49">
        <f>SUM(J31:J33)</f>
        <v>0</v>
      </c>
      <c r="K34" s="49">
        <f>SUM(K31:K33)</f>
        <v>0</v>
      </c>
      <c r="L34" s="3" t="str">
        <f>IF(J34=K34,"&lt;- Debits and Credits equal each other.","&lt;- Debits and Credits do not equal each other.")</f>
        <v>&lt;- Debits and Credits equal each other.</v>
      </c>
    </row>
    <row r="35" spans="1:16" ht="16.5" customHeight="1" x14ac:dyDescent="0.3">
      <c r="A35" s="1"/>
      <c r="B35" s="10"/>
      <c r="C35" s="11"/>
      <c r="D35" s="11"/>
      <c r="E35" s="11"/>
      <c r="F35" s="12"/>
      <c r="G35" s="12"/>
      <c r="H35" s="13"/>
      <c r="I35" s="13"/>
      <c r="J35" s="14"/>
      <c r="K35" s="14"/>
      <c r="L35" s="3"/>
    </row>
    <row r="36" spans="1:16" s="66" customFormat="1" ht="16.5" customHeight="1" x14ac:dyDescent="0.35">
      <c r="A36" s="64">
        <v>2</v>
      </c>
      <c r="B36" s="76" t="s">
        <v>124</v>
      </c>
      <c r="C36" s="67"/>
      <c r="D36" s="67"/>
      <c r="E36" s="67"/>
      <c r="F36" s="68"/>
      <c r="G36" s="68"/>
      <c r="H36" s="63"/>
      <c r="I36" s="63"/>
      <c r="J36" s="65"/>
      <c r="K36" s="65"/>
    </row>
    <row r="37" spans="1:16" ht="16.5" customHeight="1" x14ac:dyDescent="0.3">
      <c r="B37" s="4" t="s">
        <v>140</v>
      </c>
      <c r="C37" s="69"/>
      <c r="D37" s="69"/>
      <c r="E37" s="69"/>
      <c r="F37" s="70"/>
      <c r="G37" s="70"/>
      <c r="H37" s="71"/>
      <c r="I37" s="71"/>
      <c r="J37" s="72"/>
      <c r="K37" s="77"/>
    </row>
    <row r="38" spans="1:16" ht="16.5" customHeight="1" x14ac:dyDescent="0.3">
      <c r="A38" s="40"/>
      <c r="B38" s="4" t="s">
        <v>141</v>
      </c>
      <c r="C38" s="69"/>
      <c r="D38" s="69"/>
      <c r="E38" s="69"/>
      <c r="F38" s="70"/>
      <c r="G38" s="70"/>
      <c r="H38" s="71"/>
      <c r="I38" s="71"/>
      <c r="J38" s="72"/>
      <c r="K38" s="77"/>
    </row>
    <row r="39" spans="1:16" ht="16.5" customHeight="1" x14ac:dyDescent="0.3">
      <c r="A39" s="40"/>
      <c r="B39" s="4" t="s">
        <v>142</v>
      </c>
      <c r="C39" s="69"/>
      <c r="D39" s="69"/>
      <c r="E39" s="69"/>
      <c r="F39" s="70"/>
      <c r="G39" s="70"/>
      <c r="H39" s="71"/>
      <c r="I39" s="71"/>
      <c r="J39" s="72"/>
      <c r="K39" s="77"/>
    </row>
    <row r="40" spans="1:16" ht="16.5" customHeight="1" x14ac:dyDescent="0.3">
      <c r="A40" s="40"/>
      <c r="B40" s="78"/>
      <c r="C40" s="4" t="s">
        <v>144</v>
      </c>
      <c r="D40" s="69"/>
      <c r="E40" s="69"/>
      <c r="F40" s="70"/>
      <c r="G40" s="70"/>
      <c r="H40" s="71"/>
      <c r="I40" s="71"/>
      <c r="J40" s="77"/>
      <c r="K40" s="72"/>
    </row>
    <row r="41" spans="1:16" ht="16.5" customHeight="1" x14ac:dyDescent="0.3">
      <c r="A41" s="40"/>
      <c r="C41" s="15"/>
      <c r="D41" s="15"/>
      <c r="E41" s="15"/>
      <c r="F41" s="16"/>
      <c r="G41" s="16"/>
      <c r="H41" s="17"/>
      <c r="I41" s="17"/>
      <c r="J41" s="49">
        <f>SUM(J37:J40)</f>
        <v>0</v>
      </c>
      <c r="K41" s="49">
        <f>SUM(K37:K40)</f>
        <v>0</v>
      </c>
      <c r="L41" s="3" t="str">
        <f>IF(J41=K41,"&lt;- Debits and Credits equal each other.","&lt;- Debits and Credits do not equal each other.")</f>
        <v>&lt;- Debits and Credits equal each other.</v>
      </c>
    </row>
    <row r="42" spans="1:16" ht="16.5" customHeight="1" x14ac:dyDescent="0.3">
      <c r="A42" s="1"/>
      <c r="B42" s="4"/>
      <c r="C42" s="18"/>
      <c r="D42" s="15"/>
      <c r="E42" s="15"/>
      <c r="F42" s="16"/>
      <c r="G42" s="16"/>
      <c r="H42" s="17"/>
      <c r="I42" s="17"/>
      <c r="J42" s="49"/>
      <c r="K42" s="49"/>
      <c r="L42" s="3"/>
    </row>
    <row r="43" spans="1:16" s="66" customFormat="1" ht="16.5" customHeight="1" x14ac:dyDescent="0.35">
      <c r="A43" s="64">
        <v>3</v>
      </c>
      <c r="B43" s="76" t="s">
        <v>122</v>
      </c>
      <c r="C43" s="67"/>
      <c r="D43" s="67"/>
      <c r="E43" s="67"/>
      <c r="F43" s="68"/>
      <c r="G43" s="68"/>
      <c r="H43" s="63"/>
      <c r="I43" s="63"/>
      <c r="J43" s="65"/>
      <c r="K43" s="65"/>
    </row>
    <row r="44" spans="1:16" ht="16.5" customHeight="1" x14ac:dyDescent="0.3">
      <c r="B44" s="4" t="s">
        <v>1658</v>
      </c>
      <c r="C44" s="69"/>
      <c r="D44" s="69"/>
      <c r="E44" s="69"/>
      <c r="F44" s="70"/>
      <c r="G44" s="70"/>
      <c r="H44" s="71"/>
      <c r="I44" s="71"/>
      <c r="J44" s="72"/>
      <c r="K44" s="77"/>
    </row>
    <row r="45" spans="1:16" ht="16.5" customHeight="1" x14ac:dyDescent="0.3">
      <c r="A45" s="40"/>
      <c r="B45" s="69"/>
      <c r="C45" s="4" t="s">
        <v>1571</v>
      </c>
      <c r="D45" s="69"/>
      <c r="E45" s="69"/>
      <c r="F45" s="70"/>
      <c r="G45" s="70"/>
      <c r="H45" s="71"/>
      <c r="I45" s="71"/>
      <c r="J45" s="77"/>
      <c r="K45" s="72"/>
    </row>
    <row r="46" spans="1:16" ht="16.5" customHeight="1" x14ac:dyDescent="0.3">
      <c r="A46" s="40"/>
      <c r="C46" s="11"/>
      <c r="D46" s="11"/>
      <c r="E46" s="11"/>
      <c r="F46" s="12"/>
      <c r="G46" s="12"/>
      <c r="H46" s="13"/>
      <c r="I46" s="13"/>
      <c r="J46" s="49">
        <f>SUM(J44:J45)</f>
        <v>0</v>
      </c>
      <c r="K46" s="49">
        <f>SUM(K44:K45)</f>
        <v>0</v>
      </c>
      <c r="L46" s="3" t="str">
        <f>IF(J46=K46,"&lt;- Debits and Credits equal each other.","&lt;- Debits and Credits do not equal each other.")</f>
        <v>&lt;- Debits and Credits equal each other.</v>
      </c>
    </row>
    <row r="47" spans="1:16" ht="16.5" customHeight="1" x14ac:dyDescent="0.3">
      <c r="A47" s="1"/>
      <c r="B47" s="4"/>
      <c r="C47" s="11"/>
      <c r="D47" s="11"/>
      <c r="E47" s="11"/>
      <c r="F47" s="12"/>
      <c r="G47" s="12"/>
      <c r="H47" s="13"/>
      <c r="I47" s="13"/>
    </row>
    <row r="48" spans="1:16" s="62" customFormat="1" ht="21" customHeight="1" x14ac:dyDescent="0.4">
      <c r="A48" s="56" t="s">
        <v>1652</v>
      </c>
      <c r="B48" s="57"/>
      <c r="C48" s="58"/>
      <c r="D48" s="58"/>
      <c r="E48" s="58"/>
      <c r="F48" s="59"/>
      <c r="G48" s="59"/>
      <c r="H48" s="60"/>
      <c r="I48" s="60"/>
      <c r="J48" s="59"/>
      <c r="K48" s="59"/>
      <c r="L48" s="7"/>
      <c r="M48" s="7"/>
      <c r="N48" s="61"/>
      <c r="O48" s="61"/>
      <c r="P48" s="61"/>
    </row>
    <row r="49" spans="1:12" s="66" customFormat="1" ht="16.5" customHeight="1" x14ac:dyDescent="0.35">
      <c r="A49" s="64">
        <v>4</v>
      </c>
      <c r="B49" s="76" t="s">
        <v>123</v>
      </c>
      <c r="C49" s="67"/>
      <c r="D49" s="67"/>
      <c r="E49" s="67"/>
      <c r="F49" s="68"/>
      <c r="G49" s="68"/>
      <c r="H49" s="63"/>
      <c r="I49" s="63"/>
      <c r="J49" s="65"/>
      <c r="K49" s="65"/>
    </row>
    <row r="50" spans="1:12" ht="16.5" customHeight="1" x14ac:dyDescent="0.3">
      <c r="A50" s="40"/>
      <c r="B50" s="4" t="s">
        <v>145</v>
      </c>
      <c r="C50" s="20"/>
      <c r="D50" s="69"/>
      <c r="E50" s="69"/>
      <c r="F50" s="70"/>
      <c r="G50" s="70"/>
      <c r="H50" s="71"/>
      <c r="I50" s="71"/>
      <c r="J50" s="72">
        <v>69205</v>
      </c>
      <c r="K50" s="77"/>
    </row>
    <row r="51" spans="1:12" ht="16.5" customHeight="1" x14ac:dyDescent="0.3">
      <c r="A51" s="40"/>
      <c r="B51" s="20"/>
      <c r="C51" s="4" t="s">
        <v>136</v>
      </c>
      <c r="D51" s="69"/>
      <c r="E51" s="69"/>
      <c r="F51" s="70"/>
      <c r="G51" s="70"/>
      <c r="H51" s="71"/>
      <c r="I51" s="71"/>
      <c r="J51" s="80"/>
      <c r="K51" s="72">
        <v>69205</v>
      </c>
    </row>
    <row r="52" spans="1:12" ht="16.5" customHeight="1" x14ac:dyDescent="0.3">
      <c r="A52" s="40"/>
      <c r="B52" s="20"/>
      <c r="C52" s="4" t="s">
        <v>139</v>
      </c>
      <c r="D52" s="69"/>
      <c r="E52" s="69"/>
      <c r="F52" s="70"/>
      <c r="G52" s="70"/>
      <c r="H52" s="71"/>
      <c r="I52" s="71"/>
      <c r="J52" s="80"/>
      <c r="K52" s="72"/>
    </row>
    <row r="53" spans="1:12" ht="16.5" customHeight="1" x14ac:dyDescent="0.3">
      <c r="A53" s="40"/>
      <c r="C53" s="15"/>
      <c r="D53" s="15"/>
      <c r="E53" s="15"/>
      <c r="F53" s="16"/>
      <c r="G53" s="16"/>
      <c r="H53" s="17"/>
      <c r="I53" s="17"/>
      <c r="J53" s="49">
        <f>SUM(J50:J52)</f>
        <v>69205</v>
      </c>
      <c r="K53" s="49">
        <f>SUM(K50:K52)</f>
        <v>69205</v>
      </c>
      <c r="L53" s="3" t="str">
        <f>IF(J53=K53,"&lt;- Debits and Credits equal each other.","&lt;- Debits and Credits do not equal each other.")</f>
        <v>&lt;- Debits and Credits equal each other.</v>
      </c>
    </row>
    <row r="54" spans="1:12" ht="16.5" customHeight="1" x14ac:dyDescent="0.3">
      <c r="A54" s="47"/>
      <c r="B54" s="19"/>
      <c r="C54" s="15"/>
      <c r="D54" s="15"/>
      <c r="E54" s="15"/>
      <c r="F54" s="16"/>
      <c r="G54" s="16"/>
      <c r="H54" s="17"/>
      <c r="I54" s="17"/>
      <c r="J54" s="49"/>
      <c r="K54" s="49"/>
      <c r="L54" s="3"/>
    </row>
    <row r="55" spans="1:12" s="66" customFormat="1" ht="16.5" customHeight="1" x14ac:dyDescent="0.35">
      <c r="A55" s="64">
        <v>5</v>
      </c>
      <c r="B55" s="76" t="s">
        <v>1656</v>
      </c>
      <c r="C55" s="67"/>
      <c r="D55" s="67"/>
      <c r="E55" s="67"/>
      <c r="F55" s="68"/>
      <c r="G55" s="68"/>
      <c r="H55" s="63"/>
      <c r="I55" s="63"/>
      <c r="J55" s="65"/>
      <c r="K55" s="65"/>
    </row>
    <row r="56" spans="1:12" ht="16.5" customHeight="1" x14ac:dyDescent="0.3">
      <c r="B56" s="4" t="s">
        <v>146</v>
      </c>
      <c r="C56" s="69"/>
      <c r="D56" s="69"/>
      <c r="E56" s="69"/>
      <c r="F56" s="70"/>
      <c r="G56" s="70"/>
      <c r="H56" s="71"/>
      <c r="I56" s="71"/>
      <c r="J56" s="72">
        <v>342081</v>
      </c>
      <c r="K56" s="81"/>
    </row>
    <row r="57" spans="1:12" ht="16.5" customHeight="1" x14ac:dyDescent="0.3">
      <c r="A57" s="40"/>
      <c r="B57" s="4" t="str">
        <f>IF(F6="Governmental","Dr: Acct 0851 - DEBT SERVICE - INTEREST LEASES","Dr: Acct 0894 - INTEREST EXPENSE AND FISCAL CHARGES")</f>
        <v>Dr: Acct 0894 - INTEREST EXPENSE AND FISCAL CHARGES</v>
      </c>
      <c r="C57" s="69"/>
      <c r="D57" s="69"/>
      <c r="E57" s="69"/>
      <c r="F57" s="70"/>
      <c r="G57" s="70"/>
      <c r="H57" s="71"/>
      <c r="I57" s="71"/>
      <c r="J57" s="72">
        <v>78433</v>
      </c>
      <c r="K57" s="81"/>
    </row>
    <row r="58" spans="1:12" ht="16.5" customHeight="1" x14ac:dyDescent="0.3">
      <c r="A58" s="40"/>
      <c r="B58" s="69"/>
      <c r="C58" s="4" t="str">
        <f>IF($F$7="Proprietary","Cr: Acct 0870 - SERVICES &amp; CHARGES (MG ADJ)",VLOOKUP($F$9,'[3]Drop Down Menus'!$F$2:$G$10,2,FALSE))</f>
        <v>Cr: Acct 0835 - CORRECTIONS AND REHABILITATION</v>
      </c>
      <c r="D58" s="69"/>
      <c r="E58" s="69"/>
      <c r="F58" s="70"/>
      <c r="G58" s="70"/>
      <c r="H58" s="71"/>
      <c r="I58" s="71"/>
      <c r="J58" s="81"/>
      <c r="K58" s="72">
        <v>420514</v>
      </c>
    </row>
    <row r="59" spans="1:12" ht="16.5" customHeight="1" x14ac:dyDescent="0.3">
      <c r="A59" s="40"/>
      <c r="C59" s="11"/>
      <c r="D59" s="11"/>
      <c r="E59" s="11"/>
      <c r="F59" s="12"/>
      <c r="G59" s="12"/>
      <c r="H59" s="13"/>
      <c r="I59" s="13"/>
      <c r="J59" s="49">
        <f>SUM(J56:J58)</f>
        <v>420514</v>
      </c>
      <c r="K59" s="49">
        <f>SUM(K56:K58)</f>
        <v>420514</v>
      </c>
      <c r="L59" s="3" t="str">
        <f>IF(J59=K59,"&lt;- Debits and Credits equal each other.","&lt;- Debits and Credits do not equal each other.")</f>
        <v>&lt;- Debits and Credits equal each other.</v>
      </c>
    </row>
    <row r="60" spans="1:12" ht="16.5" customHeight="1" x14ac:dyDescent="0.3">
      <c r="A60" s="1"/>
      <c r="B60" s="11"/>
      <c r="C60" s="11"/>
      <c r="D60" s="11"/>
      <c r="E60" s="11"/>
      <c r="F60" s="12"/>
      <c r="G60" s="12"/>
      <c r="H60" s="13"/>
      <c r="I60" s="13"/>
      <c r="J60" s="49"/>
      <c r="K60" s="49"/>
      <c r="L60" s="3"/>
    </row>
    <row r="61" spans="1:12" s="66" customFormat="1" ht="16.5" customHeight="1" x14ac:dyDescent="0.35">
      <c r="A61" s="64">
        <v>6</v>
      </c>
      <c r="B61" s="76" t="s">
        <v>120</v>
      </c>
      <c r="C61" s="67"/>
      <c r="D61" s="67"/>
      <c r="E61" s="67"/>
      <c r="F61" s="68"/>
      <c r="G61" s="68"/>
      <c r="H61" s="63"/>
      <c r="I61" s="63"/>
      <c r="J61" s="65"/>
      <c r="K61" s="65"/>
    </row>
    <row r="62" spans="1:12" ht="16.5" customHeight="1" x14ac:dyDescent="0.3">
      <c r="B62" s="4" t="s">
        <v>1572</v>
      </c>
      <c r="C62" s="69"/>
      <c r="D62" s="69"/>
      <c r="E62" s="69"/>
      <c r="F62" s="70"/>
      <c r="G62" s="70"/>
      <c r="H62" s="71"/>
      <c r="I62" s="71"/>
      <c r="J62" s="72">
        <v>342081</v>
      </c>
      <c r="K62" s="81"/>
    </row>
    <row r="63" spans="1:12" ht="16.5" customHeight="1" x14ac:dyDescent="0.3">
      <c r="A63" s="40"/>
      <c r="B63" s="69"/>
      <c r="C63" s="4" t="s">
        <v>147</v>
      </c>
      <c r="D63" s="69"/>
      <c r="E63" s="69"/>
      <c r="F63" s="70"/>
      <c r="G63" s="70"/>
      <c r="H63" s="71"/>
      <c r="I63" s="71"/>
      <c r="J63" s="81"/>
      <c r="K63" s="72">
        <v>342081</v>
      </c>
    </row>
    <row r="64" spans="1:12" ht="16.5" customHeight="1" x14ac:dyDescent="0.3">
      <c r="A64" s="40"/>
      <c r="C64" s="11"/>
      <c r="D64" s="11"/>
      <c r="E64" s="11"/>
      <c r="F64" s="12"/>
      <c r="G64" s="12"/>
      <c r="H64" s="13"/>
      <c r="I64" s="13"/>
      <c r="J64" s="49">
        <f>SUM(J62:J63)</f>
        <v>342081</v>
      </c>
      <c r="K64" s="49">
        <f>SUM(K62:K63)</f>
        <v>342081</v>
      </c>
      <c r="L64" s="3" t="str">
        <f>IF(J64=K64,"&lt;- Debits and Credits equal each other.","&lt;- Debits and Credits do not equal each other.")</f>
        <v>&lt;- Debits and Credits equal each other.</v>
      </c>
    </row>
    <row r="65" spans="1:12" ht="16.5" customHeight="1" x14ac:dyDescent="0.3">
      <c r="A65" s="1"/>
      <c r="B65" s="11"/>
      <c r="C65" s="11"/>
      <c r="D65" s="11"/>
      <c r="E65" s="11"/>
      <c r="F65" s="12"/>
      <c r="G65" s="12"/>
      <c r="H65" s="13"/>
      <c r="I65" s="13"/>
      <c r="J65" s="49"/>
      <c r="K65" s="49"/>
      <c r="L65" s="3"/>
    </row>
    <row r="66" spans="1:12" s="66" customFormat="1" ht="16.5" customHeight="1" x14ac:dyDescent="0.35">
      <c r="A66" s="64">
        <v>7</v>
      </c>
      <c r="B66" s="76" t="s">
        <v>121</v>
      </c>
      <c r="C66" s="67"/>
      <c r="D66" s="67"/>
      <c r="E66" s="67"/>
      <c r="F66" s="68"/>
      <c r="G66" s="68"/>
      <c r="H66" s="63"/>
      <c r="I66" s="63"/>
      <c r="J66" s="65"/>
      <c r="K66" s="65"/>
    </row>
    <row r="67" spans="1:12" ht="16.5" customHeight="1" x14ac:dyDescent="0.3">
      <c r="B67" s="4" t="s">
        <v>1572</v>
      </c>
      <c r="C67" s="69"/>
      <c r="D67" s="69"/>
      <c r="E67" s="69"/>
      <c r="F67" s="70"/>
      <c r="G67" s="70"/>
      <c r="H67" s="71"/>
      <c r="I67" s="71"/>
      <c r="J67" s="72">
        <v>255669</v>
      </c>
      <c r="K67" s="81"/>
    </row>
    <row r="68" spans="1:12" ht="16.5" customHeight="1" x14ac:dyDescent="0.3">
      <c r="A68" s="40"/>
      <c r="B68" s="69"/>
      <c r="C68" s="4" t="s">
        <v>1661</v>
      </c>
      <c r="D68" s="69"/>
      <c r="E68" s="69"/>
      <c r="F68" s="70"/>
      <c r="G68" s="70"/>
      <c r="H68" s="71"/>
      <c r="I68" s="71"/>
      <c r="J68" s="81"/>
      <c r="K68" s="72">
        <v>255669</v>
      </c>
    </row>
    <row r="69" spans="1:12" ht="16.5" customHeight="1" x14ac:dyDescent="0.25">
      <c r="A69" s="40"/>
      <c r="B69" s="110" t="s">
        <v>1650</v>
      </c>
      <c r="C69" s="110"/>
      <c r="D69" s="110"/>
      <c r="E69" s="110"/>
      <c r="F69" s="110"/>
      <c r="G69" s="110"/>
      <c r="H69" s="110"/>
      <c r="I69" s="110"/>
      <c r="J69" s="49">
        <f>SUM(J67:J68)</f>
        <v>255669</v>
      </c>
      <c r="K69" s="49">
        <f>SUM(K67:K68)</f>
        <v>255669</v>
      </c>
      <c r="L69" s="3" t="str">
        <f>IF(J69=K69,"&lt;- Debits and Credits equal each other.","&lt;- Debits and Credits do not equal each other.")</f>
        <v>&lt;- Debits and Credits equal each other.</v>
      </c>
    </row>
    <row r="70" spans="1:12" ht="19.95" customHeight="1" x14ac:dyDescent="0.3">
      <c r="A70" s="40"/>
      <c r="B70" s="110"/>
      <c r="C70" s="110"/>
      <c r="D70" s="110"/>
      <c r="E70" s="110"/>
      <c r="F70" s="110"/>
      <c r="G70" s="110"/>
      <c r="H70" s="110"/>
      <c r="I70" s="110"/>
    </row>
    <row r="71" spans="1:12" ht="16.5" customHeight="1" x14ac:dyDescent="0.3">
      <c r="A71" s="1"/>
      <c r="B71" s="4"/>
      <c r="C71" s="11"/>
      <c r="D71" s="11"/>
      <c r="E71" s="11"/>
      <c r="F71" s="12"/>
      <c r="G71" s="12"/>
      <c r="H71" s="13"/>
      <c r="I71" s="13"/>
    </row>
    <row r="72" spans="1:12" ht="16.5" customHeight="1" x14ac:dyDescent="0.3">
      <c r="A72" s="1"/>
      <c r="B72" s="4"/>
      <c r="C72" s="11"/>
      <c r="D72" s="11"/>
      <c r="E72" s="11"/>
      <c r="F72" s="12"/>
      <c r="G72" s="12"/>
      <c r="H72" s="13"/>
      <c r="I72" s="13"/>
      <c r="J72" s="14"/>
      <c r="K72" s="14"/>
      <c r="L72" s="3"/>
    </row>
    <row r="73" spans="1:12" x14ac:dyDescent="0.3">
      <c r="H73" s="5"/>
    </row>
    <row r="74" spans="1:12" ht="16.5" customHeight="1" x14ac:dyDescent="0.3">
      <c r="H74" s="5"/>
    </row>
    <row r="75" spans="1:12" ht="21" x14ac:dyDescent="0.4">
      <c r="D75" s="87" t="s">
        <v>1591</v>
      </c>
      <c r="E75" s="88"/>
      <c r="F75" s="89"/>
      <c r="G75" s="89"/>
      <c r="H75" s="89"/>
      <c r="I75" s="90"/>
      <c r="J75" s="90"/>
      <c r="K75" s="91"/>
    </row>
    <row r="76" spans="1:12" ht="16.5" customHeight="1" x14ac:dyDescent="0.3">
      <c r="H76" s="5"/>
      <c r="K76" s="93" t="s">
        <v>1590</v>
      </c>
    </row>
    <row r="77" spans="1:12" ht="16.5" customHeight="1" x14ac:dyDescent="0.3">
      <c r="D77" s="69" t="s">
        <v>1592</v>
      </c>
      <c r="H77" s="5"/>
      <c r="K77" s="92">
        <f>J15+J37</f>
        <v>0</v>
      </c>
    </row>
    <row r="78" spans="1:12" ht="16.5" customHeight="1" x14ac:dyDescent="0.3">
      <c r="D78" s="69" t="s">
        <v>1593</v>
      </c>
      <c r="H78" s="5"/>
      <c r="K78" s="92">
        <f>J16+J38</f>
        <v>2768185</v>
      </c>
    </row>
    <row r="79" spans="1:12" ht="16.5" customHeight="1" x14ac:dyDescent="0.3">
      <c r="D79" s="69" t="s">
        <v>1594</v>
      </c>
      <c r="H79" s="5"/>
      <c r="K79" s="92">
        <f>J17+J39</f>
        <v>0</v>
      </c>
    </row>
    <row r="80" spans="1:12" ht="16.5" customHeight="1" x14ac:dyDescent="0.3">
      <c r="D80" s="69" t="s">
        <v>1595</v>
      </c>
      <c r="H80" s="5"/>
      <c r="K80" s="92">
        <f>-K21-K52</f>
        <v>0</v>
      </c>
    </row>
    <row r="81" spans="4:11" ht="15.6" x14ac:dyDescent="0.3">
      <c r="D81" s="69" t="s">
        <v>1596</v>
      </c>
      <c r="H81" s="5"/>
      <c r="K81" s="92">
        <f>-K22-K51</f>
        <v>-138410</v>
      </c>
    </row>
    <row r="82" spans="4:11" ht="16.5" customHeight="1" x14ac:dyDescent="0.3">
      <c r="D82" s="69" t="s">
        <v>1597</v>
      </c>
      <c r="H82" s="5"/>
      <c r="K82" s="92">
        <f>-K23-K45+J62+J67</f>
        <v>-373768</v>
      </c>
    </row>
    <row r="83" spans="4:11" ht="16.5" customHeight="1" x14ac:dyDescent="0.3">
      <c r="D83" s="69" t="s">
        <v>1666</v>
      </c>
      <c r="H83" s="5"/>
      <c r="K83" s="92">
        <f>-K68</f>
        <v>-255669</v>
      </c>
    </row>
    <row r="84" spans="4:11" ht="16.5" customHeight="1" x14ac:dyDescent="0.3">
      <c r="D84" s="69"/>
      <c r="H84" s="5"/>
    </row>
    <row r="85" spans="4:11" ht="16.5" customHeight="1" x14ac:dyDescent="0.3">
      <c r="H85" s="5"/>
    </row>
    <row r="86" spans="4:11" ht="16.5" customHeight="1" x14ac:dyDescent="0.3">
      <c r="H86" s="5"/>
    </row>
    <row r="87" spans="4:11" ht="16.5" customHeight="1" x14ac:dyDescent="0.3">
      <c r="H87" s="5"/>
    </row>
    <row r="88" spans="4:11" ht="16.5" customHeight="1" x14ac:dyDescent="0.3">
      <c r="H88" s="5"/>
    </row>
    <row r="89" spans="4:11" ht="16.5" customHeight="1" x14ac:dyDescent="0.3">
      <c r="H89" s="5"/>
    </row>
    <row r="90" spans="4:11" ht="16.5" customHeight="1" x14ac:dyDescent="0.3">
      <c r="H90" s="5"/>
    </row>
    <row r="91" spans="4:11" x14ac:dyDescent="0.3">
      <c r="H91" s="5"/>
    </row>
    <row r="92" spans="4:11" ht="16.5" customHeight="1" x14ac:dyDescent="0.3">
      <c r="H92" s="5"/>
    </row>
    <row r="93" spans="4:11" ht="16.5" customHeight="1" x14ac:dyDescent="0.3">
      <c r="H93" s="5"/>
    </row>
    <row r="94" spans="4:11" ht="16.5" customHeight="1" x14ac:dyDescent="0.3">
      <c r="H94" s="5"/>
    </row>
    <row r="95" spans="4:11" ht="16.5" customHeight="1" x14ac:dyDescent="0.3">
      <c r="H95" s="5"/>
    </row>
    <row r="96" spans="4:11" ht="16.5" customHeight="1" x14ac:dyDescent="0.3">
      <c r="H96" s="5"/>
    </row>
    <row r="97" spans="8:8" ht="16.5" customHeight="1" x14ac:dyDescent="0.3">
      <c r="H97" s="5"/>
    </row>
    <row r="98" spans="8:8" ht="16.5" customHeight="1" x14ac:dyDescent="0.3">
      <c r="H98" s="5"/>
    </row>
    <row r="99" spans="8:8" ht="16.5" customHeight="1" x14ac:dyDescent="0.3">
      <c r="H99" s="5"/>
    </row>
    <row r="100" spans="8:8" ht="16.5" customHeight="1" x14ac:dyDescent="0.3">
      <c r="H100" s="5"/>
    </row>
    <row r="101" spans="8:8" ht="16.5" customHeight="1" x14ac:dyDescent="0.3">
      <c r="H101" s="5"/>
    </row>
    <row r="102" spans="8:8" ht="16.5" customHeight="1" x14ac:dyDescent="0.3">
      <c r="H102" s="5"/>
    </row>
    <row r="103" spans="8:8" ht="16.5" customHeight="1" x14ac:dyDescent="0.3">
      <c r="H103" s="5"/>
    </row>
    <row r="104" spans="8:8" ht="16.5" customHeight="1" x14ac:dyDescent="0.3">
      <c r="H104" s="5"/>
    </row>
    <row r="105" spans="8:8" ht="16.5" customHeight="1" x14ac:dyDescent="0.3">
      <c r="H105" s="5"/>
    </row>
    <row r="106" spans="8:8" ht="16.5" customHeight="1" x14ac:dyDescent="0.3">
      <c r="H106" s="5"/>
    </row>
    <row r="107" spans="8:8" ht="16.5" customHeight="1" x14ac:dyDescent="0.3">
      <c r="H107" s="5"/>
    </row>
    <row r="108" spans="8:8" x14ac:dyDescent="0.3">
      <c r="H108" s="5"/>
    </row>
    <row r="109" spans="8:8" ht="16.5" customHeight="1" x14ac:dyDescent="0.3">
      <c r="H109" s="5"/>
    </row>
    <row r="110" spans="8:8" ht="16.5" customHeight="1" x14ac:dyDescent="0.3">
      <c r="H110" s="5"/>
    </row>
    <row r="111" spans="8:8" ht="16.5" customHeight="1" x14ac:dyDescent="0.3">
      <c r="H111" s="5"/>
    </row>
    <row r="112" spans="8:8" ht="16.5" customHeight="1" x14ac:dyDescent="0.3">
      <c r="H112" s="5"/>
    </row>
    <row r="113" spans="8:8" ht="16.5" customHeight="1" x14ac:dyDescent="0.3">
      <c r="H113" s="5"/>
    </row>
    <row r="114" spans="8:8" s="20" customFormat="1" ht="16.5" customHeight="1" x14ac:dyDescent="0.3"/>
    <row r="115" spans="8:8" ht="16.5" customHeight="1" x14ac:dyDescent="0.3">
      <c r="H115" s="5"/>
    </row>
    <row r="116" spans="8:8" ht="16.5" customHeight="1" x14ac:dyDescent="0.3">
      <c r="H116" s="5"/>
    </row>
    <row r="117" spans="8:8" ht="32.25" customHeight="1" x14ac:dyDescent="0.3">
      <c r="H117" s="5"/>
    </row>
    <row r="118" spans="8:8" ht="16.5" customHeight="1" x14ac:dyDescent="0.3">
      <c r="H118" s="5"/>
    </row>
    <row r="119" spans="8:8" ht="16.5" customHeight="1" x14ac:dyDescent="0.3">
      <c r="H119" s="5"/>
    </row>
    <row r="120" spans="8:8" ht="16.5" customHeight="1" x14ac:dyDescent="0.3">
      <c r="H120" s="5"/>
    </row>
    <row r="121" spans="8:8" ht="16.5" customHeight="1" x14ac:dyDescent="0.3">
      <c r="H121" s="5"/>
    </row>
    <row r="122" spans="8:8" ht="16.5" customHeight="1" x14ac:dyDescent="0.3">
      <c r="H122" s="5"/>
    </row>
    <row r="123" spans="8:8" ht="16.5" customHeight="1" x14ac:dyDescent="0.3">
      <c r="H123" s="5"/>
    </row>
    <row r="124" spans="8:8" ht="16.5" customHeight="1" x14ac:dyDescent="0.3">
      <c r="H124" s="5"/>
    </row>
    <row r="125" spans="8:8" ht="16.5" customHeight="1" x14ac:dyDescent="0.3">
      <c r="H125" s="5"/>
    </row>
    <row r="126" spans="8:8" ht="16.5" customHeight="1" x14ac:dyDescent="0.3">
      <c r="H126" s="5"/>
    </row>
    <row r="127" spans="8:8" ht="16.5" customHeight="1" x14ac:dyDescent="0.3">
      <c r="H127" s="5"/>
    </row>
    <row r="128" spans="8:8" ht="16.5" customHeight="1" x14ac:dyDescent="0.3">
      <c r="H128" s="5"/>
    </row>
    <row r="129" spans="8:8" ht="16.5" customHeight="1" x14ac:dyDescent="0.3">
      <c r="H129" s="5"/>
    </row>
    <row r="130" spans="8:8" ht="16.5" customHeight="1" x14ac:dyDescent="0.3">
      <c r="H130" s="5"/>
    </row>
    <row r="131" spans="8:8" ht="16.5" customHeight="1" x14ac:dyDescent="0.3">
      <c r="H131" s="5"/>
    </row>
    <row r="132" spans="8:8" ht="16.5" customHeight="1" x14ac:dyDescent="0.3">
      <c r="H132" s="5"/>
    </row>
    <row r="133" spans="8:8" ht="16.5" customHeight="1" x14ac:dyDescent="0.3">
      <c r="H133" s="5"/>
    </row>
    <row r="134" spans="8:8" ht="16.5" customHeight="1" x14ac:dyDescent="0.3">
      <c r="H134" s="5"/>
    </row>
    <row r="135" spans="8:8" ht="16.5" customHeight="1" x14ac:dyDescent="0.3">
      <c r="H135" s="5"/>
    </row>
    <row r="136" spans="8:8" ht="16.5" customHeight="1" x14ac:dyDescent="0.3">
      <c r="H136" s="5"/>
    </row>
    <row r="137" spans="8:8" ht="16.5" customHeight="1" x14ac:dyDescent="0.3">
      <c r="H137" s="5"/>
    </row>
    <row r="138" spans="8:8" ht="16.5" customHeight="1" x14ac:dyDescent="0.3">
      <c r="H138" s="5"/>
    </row>
    <row r="139" spans="8:8" ht="16.5" customHeight="1" x14ac:dyDescent="0.3">
      <c r="H139" s="5"/>
    </row>
    <row r="140" spans="8:8" ht="16.5" customHeight="1" x14ac:dyDescent="0.3">
      <c r="H140" s="5"/>
    </row>
    <row r="141" spans="8:8" ht="16.5" customHeight="1" x14ac:dyDescent="0.3">
      <c r="H141" s="5"/>
    </row>
    <row r="142" spans="8:8" ht="16.5" customHeight="1" x14ac:dyDescent="0.3">
      <c r="H142" s="5"/>
    </row>
    <row r="143" spans="8:8" ht="16.5" customHeight="1" x14ac:dyDescent="0.3">
      <c r="H143" s="5"/>
    </row>
    <row r="144" spans="8:8" ht="34.5" customHeight="1" x14ac:dyDescent="0.3">
      <c r="H144" s="5"/>
    </row>
    <row r="145" spans="8:8" ht="16.5" customHeight="1" x14ac:dyDescent="0.3">
      <c r="H145" s="5"/>
    </row>
    <row r="146" spans="8:8" ht="16.5" customHeight="1" x14ac:dyDescent="0.3">
      <c r="H146" s="5"/>
    </row>
    <row r="147" spans="8:8" ht="16.5" customHeight="1" x14ac:dyDescent="0.3">
      <c r="H147" s="5"/>
    </row>
    <row r="148" spans="8:8" s="20" customFormat="1" ht="16.5" customHeight="1" x14ac:dyDescent="0.3"/>
    <row r="149" spans="8:8" ht="16.5" customHeight="1" x14ac:dyDescent="0.3">
      <c r="H149" s="5"/>
    </row>
    <row r="150" spans="8:8" ht="16.5" customHeight="1" x14ac:dyDescent="0.3">
      <c r="H150" s="5"/>
    </row>
    <row r="151" spans="8:8" ht="32.25" customHeight="1" x14ac:dyDescent="0.3">
      <c r="H151" s="5"/>
    </row>
    <row r="152" spans="8:8" ht="16.5" customHeight="1" x14ac:dyDescent="0.3">
      <c r="H152" s="5"/>
    </row>
    <row r="153" spans="8:8" ht="16.5" customHeight="1" x14ac:dyDescent="0.3">
      <c r="H153" s="5"/>
    </row>
    <row r="154" spans="8:8" ht="16.5" customHeight="1" x14ac:dyDescent="0.3">
      <c r="H154" s="5"/>
    </row>
    <row r="155" spans="8:8" ht="16.5" customHeight="1" x14ac:dyDescent="0.3">
      <c r="H155" s="5"/>
    </row>
    <row r="156" spans="8:8" ht="16.5" customHeight="1" x14ac:dyDescent="0.3">
      <c r="H156" s="5"/>
    </row>
    <row r="157" spans="8:8" ht="16.5" customHeight="1" x14ac:dyDescent="0.3">
      <c r="H157" s="5"/>
    </row>
    <row r="158" spans="8:8" s="20" customFormat="1" ht="16.5" customHeight="1" x14ac:dyDescent="0.3"/>
    <row r="159" spans="8:8" ht="16.5" customHeight="1" x14ac:dyDescent="0.3">
      <c r="H159" s="5"/>
    </row>
    <row r="160" spans="8:8" ht="34.5" customHeight="1" x14ac:dyDescent="0.3">
      <c r="H160" s="5"/>
    </row>
    <row r="161" spans="8:8" ht="16.5" customHeight="1" x14ac:dyDescent="0.3">
      <c r="H161" s="5"/>
    </row>
    <row r="162" spans="8:8" ht="16.5" customHeight="1" x14ac:dyDescent="0.3">
      <c r="H162" s="5"/>
    </row>
    <row r="163" spans="8:8" ht="16.5" customHeight="1" x14ac:dyDescent="0.3">
      <c r="H163" s="5"/>
    </row>
    <row r="164" spans="8:8" ht="16.5" customHeight="1" x14ac:dyDescent="0.3">
      <c r="H164" s="5"/>
    </row>
    <row r="165" spans="8:8" ht="16.5" customHeight="1" x14ac:dyDescent="0.3">
      <c r="H165" s="5"/>
    </row>
    <row r="166" spans="8:8" ht="16.5" customHeight="1" x14ac:dyDescent="0.3">
      <c r="H166" s="5"/>
    </row>
    <row r="167" spans="8:8" ht="16.5" customHeight="1" x14ac:dyDescent="0.3">
      <c r="H167" s="5"/>
    </row>
    <row r="168" spans="8:8" ht="16.5" customHeight="1" x14ac:dyDescent="0.3">
      <c r="H168" s="5"/>
    </row>
    <row r="169" spans="8:8" ht="16.5" customHeight="1" x14ac:dyDescent="0.3">
      <c r="H169" s="5"/>
    </row>
  </sheetData>
  <sheetProtection algorithmName="SHA-512" hashValue="zqNBcO8iOueuiP7b3huY3d9GFA/prXFiEMMv4kaQV3Ayizfr0lGR4riADtY6xBNtjYsWU9/TiyviFmR03MGArA==" saltValue="99EtBbxE/zRbrvkATb5+1g==" spinCount="100000" sheet="1" objects="1" scenarios="1"/>
  <mergeCells count="19">
    <mergeCell ref="A1:K1"/>
    <mergeCell ref="A2:K2"/>
    <mergeCell ref="A3:E3"/>
    <mergeCell ref="F3:I3"/>
    <mergeCell ref="A4:E4"/>
    <mergeCell ref="F4:I4"/>
    <mergeCell ref="M14:N14"/>
    <mergeCell ref="P14:Q14"/>
    <mergeCell ref="A5:E5"/>
    <mergeCell ref="F5:I5"/>
    <mergeCell ref="A6:E6"/>
    <mergeCell ref="F6:I6"/>
    <mergeCell ref="A7:E7"/>
    <mergeCell ref="F7:I7"/>
    <mergeCell ref="B69:I70"/>
    <mergeCell ref="A8:E8"/>
    <mergeCell ref="F8:I8"/>
    <mergeCell ref="A9:E9"/>
    <mergeCell ref="F9:I9"/>
  </mergeCells>
  <dataValidations count="4">
    <dataValidation type="textLength" operator="equal" allowBlank="1" showInputMessage="1" showErrorMessage="1" errorTitle="4-Digit Org Code" error="Enter the Org Code/BU as 4 digits." sqref="F5" xr:uid="{6FC7921C-573C-4276-8DAF-471502269395}">
      <formula1>4</formula1>
    </dataValidation>
    <dataValidation operator="lessThan" allowBlank="1" showInputMessage="1" showErrorMessage="1" sqref="A7:A8 A3:A5" xr:uid="{2CEA4ED2-476D-46AD-AB2B-D9BD55106BF0}"/>
    <dataValidation type="textLength" operator="lessThan" allowBlank="1" showInputMessage="1" showErrorMessage="1" sqref="A6" xr:uid="{2A54FD55-37BC-4057-9AB3-C0F72FB325CC}">
      <formula1>0</formula1>
    </dataValidation>
    <dataValidation type="whole" operator="greaterThanOrEqual" allowBlank="1" showErrorMessage="1" errorTitle="Whole Numbers Only" error="Enter amounts as whole numbers only." promptTitle="Whole Numbers" prompt="Enter whole numbers only." sqref="N21:N25 J15:J19 J31 K32:K33 J37:J39 K40 J44 K45 K51:K52 J56:J57 K58 J62 K63 J67 K68 K20:K25 M15:M19 J50" xr:uid="{AC6197F5-BA2D-457B-8B2B-36C6863CBF9D}">
      <formula1>0</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21D2F-A585-4CA9-964D-F19834C362A7}">
  <sheetPr>
    <tabColor rgb="FFC198E0"/>
  </sheetPr>
  <dimension ref="B1:Q20"/>
  <sheetViews>
    <sheetView zoomScale="90" zoomScaleNormal="90" workbookViewId="0">
      <selection activeCell="P10" sqref="P10"/>
    </sheetView>
  </sheetViews>
  <sheetFormatPr defaultColWidth="9.109375" defaultRowHeight="18" x14ac:dyDescent="0.35"/>
  <cols>
    <col min="1" max="1" width="9.109375" style="22"/>
    <col min="2" max="3" width="3.6640625" style="22" customWidth="1"/>
    <col min="4" max="4" width="35.6640625" style="22" customWidth="1"/>
    <col min="5" max="5" width="3.6640625" style="22" customWidth="1"/>
    <col min="6" max="6" width="16.88671875" style="23" customWidth="1"/>
    <col min="7" max="7" width="3.6640625" style="22" customWidth="1"/>
    <col min="8" max="8" width="16.88671875" style="23" customWidth="1"/>
    <col min="9" max="9" width="3.6640625" style="22" customWidth="1"/>
    <col min="10" max="10" width="16.88671875" style="23" customWidth="1"/>
    <col min="11" max="11" width="3.6640625" style="22" customWidth="1"/>
    <col min="12" max="12" width="16.88671875" style="23" customWidth="1"/>
    <col min="13" max="13" width="3.6640625" style="22" customWidth="1"/>
    <col min="14" max="14" width="16.88671875" style="23" customWidth="1"/>
    <col min="15" max="15" width="3.6640625" style="22" customWidth="1"/>
    <col min="16" max="16" width="17.6640625" style="23" bestFit="1" customWidth="1"/>
    <col min="17" max="17" width="3.6640625" style="22" customWidth="1"/>
    <col min="18" max="16384" width="9.109375" style="22"/>
  </cols>
  <sheetData>
    <row r="1" spans="2:17" ht="18.600000000000001" thickBot="1" x14ac:dyDescent="0.4"/>
    <row r="2" spans="2:17" x14ac:dyDescent="0.35">
      <c r="B2" s="24"/>
      <c r="C2" s="25"/>
      <c r="D2" s="25"/>
      <c r="E2" s="25"/>
      <c r="F2" s="26"/>
      <c r="G2" s="25"/>
      <c r="H2" s="26"/>
      <c r="I2" s="25"/>
      <c r="J2" s="26"/>
      <c r="K2" s="25"/>
      <c r="L2" s="26"/>
      <c r="M2" s="25"/>
      <c r="N2" s="26"/>
      <c r="O2" s="25"/>
      <c r="P2" s="26"/>
      <c r="Q2" s="27"/>
    </row>
    <row r="3" spans="2:17" ht="20.399999999999999" x14ac:dyDescent="0.35">
      <c r="B3" s="28"/>
      <c r="D3" s="2"/>
      <c r="E3" s="2"/>
      <c r="F3" s="2"/>
      <c r="G3" s="2"/>
      <c r="H3" s="2"/>
      <c r="I3" s="2"/>
      <c r="J3" s="29" t="s">
        <v>5</v>
      </c>
      <c r="K3" s="2"/>
      <c r="L3" s="2"/>
      <c r="M3" s="2"/>
      <c r="N3" s="2"/>
      <c r="O3" s="2"/>
      <c r="P3" s="2"/>
      <c r="Q3" s="30"/>
    </row>
    <row r="4" spans="2:17" ht="20.399999999999999" x14ac:dyDescent="0.35">
      <c r="B4" s="28"/>
      <c r="D4" s="2"/>
      <c r="E4" s="2"/>
      <c r="F4" s="2"/>
      <c r="G4" s="2"/>
      <c r="H4" s="2"/>
      <c r="I4" s="2"/>
      <c r="J4" s="29" t="str">
        <f>CONCATENATE("FY ",'FP-Fund 5225 Journal Entries'!F3)</f>
        <v>FY 2022–2023</v>
      </c>
      <c r="K4" s="2"/>
      <c r="L4" s="2"/>
      <c r="M4" s="2"/>
      <c r="N4" s="2"/>
      <c r="O4" s="2"/>
      <c r="P4" s="2"/>
      <c r="Q4" s="30"/>
    </row>
    <row r="5" spans="2:17" ht="20.399999999999999" x14ac:dyDescent="0.35">
      <c r="B5" s="28"/>
      <c r="D5" s="2"/>
      <c r="E5" s="2"/>
      <c r="F5" s="2"/>
      <c r="G5" s="2"/>
      <c r="H5" s="2"/>
      <c r="I5" s="2"/>
      <c r="J5" s="41" t="str">
        <f>CONCATENATE("Business Unit ",'FP-Fund 5225 Journal Entries'!F5," - ",'FP-Fund 5225 Journal Entries'!F4)</f>
        <v>Business Unit 5225 - Department of Corrections and Rehabilitation</v>
      </c>
      <c r="K5" s="2"/>
      <c r="L5" s="2"/>
      <c r="M5" s="2"/>
      <c r="N5" s="2"/>
      <c r="O5" s="2"/>
      <c r="P5" s="2"/>
      <c r="Q5" s="30"/>
    </row>
    <row r="6" spans="2:17" x14ac:dyDescent="0.35">
      <c r="B6" s="28"/>
      <c r="Q6" s="30"/>
    </row>
    <row r="7" spans="2:17" ht="36.6" thickBot="1" x14ac:dyDescent="0.4">
      <c r="B7" s="28"/>
      <c r="F7" s="31" t="str">
        <f>CONCATENATE("Balance          July 1, ",MID(J4,4,4))</f>
        <v>Balance          July 1, 2022</v>
      </c>
      <c r="G7" s="32"/>
      <c r="H7" s="33" t="s">
        <v>6</v>
      </c>
      <c r="I7" s="32"/>
      <c r="J7" s="33" t="s">
        <v>7</v>
      </c>
      <c r="K7" s="32"/>
      <c r="L7" s="31" t="str">
        <f>CONCATENATE("Balance        June 30, ",RIGHT(J4,4))</f>
        <v>Balance        June 30, 2023</v>
      </c>
      <c r="M7" s="32"/>
      <c r="N7" s="31" t="s">
        <v>8</v>
      </c>
      <c r="O7" s="32"/>
      <c r="P7" s="31" t="s">
        <v>9</v>
      </c>
      <c r="Q7" s="30"/>
    </row>
    <row r="8" spans="2:17" x14ac:dyDescent="0.35">
      <c r="B8" s="28"/>
      <c r="F8" s="86" t="s">
        <v>1586</v>
      </c>
      <c r="G8" s="32"/>
      <c r="H8" s="86" t="s">
        <v>1588</v>
      </c>
      <c r="I8" s="32"/>
      <c r="J8" s="86" t="s">
        <v>1589</v>
      </c>
      <c r="K8" s="32"/>
      <c r="L8" s="85"/>
      <c r="M8" s="32"/>
      <c r="N8" s="86" t="s">
        <v>1587</v>
      </c>
      <c r="O8" s="32"/>
      <c r="P8" s="85"/>
      <c r="Q8" s="30"/>
    </row>
    <row r="9" spans="2:17" x14ac:dyDescent="0.35">
      <c r="B9" s="28"/>
      <c r="C9" s="32" t="s">
        <v>10</v>
      </c>
      <c r="Q9" s="30"/>
    </row>
    <row r="10" spans="2:17" ht="36.6" thickBot="1" x14ac:dyDescent="0.4">
      <c r="B10" s="28"/>
      <c r="D10" s="34" t="s">
        <v>11</v>
      </c>
      <c r="F10" s="43">
        <f>'FP-Fund 5225 Journal Entries'!N23</f>
        <v>971518</v>
      </c>
      <c r="G10" s="42"/>
      <c r="H10" s="43">
        <f>'FP-Fund 5225 Journal Entries'!J44</f>
        <v>0</v>
      </c>
      <c r="I10" s="42"/>
      <c r="J10" s="43">
        <f>'FP-Fund 5225 Journal Entries'!J62</f>
        <v>342081</v>
      </c>
      <c r="K10" s="42"/>
      <c r="L10" s="42">
        <f>SUM(F10+H10-J10)</f>
        <v>629437</v>
      </c>
      <c r="M10" s="42"/>
      <c r="N10" s="43">
        <f>'FP-Fund 5225 Journal Entries'!K68</f>
        <v>255669</v>
      </c>
      <c r="O10" s="42"/>
      <c r="P10" s="42">
        <f>L10-N10</f>
        <v>373768</v>
      </c>
      <c r="Q10" s="30"/>
    </row>
    <row r="11" spans="2:17" ht="19.2" thickTop="1" thickBot="1" x14ac:dyDescent="0.4">
      <c r="B11" s="28"/>
      <c r="C11" s="32" t="s">
        <v>12</v>
      </c>
      <c r="F11" s="46">
        <f>SUM(F10:F10)</f>
        <v>971518</v>
      </c>
      <c r="G11" s="42"/>
      <c r="H11" s="46">
        <f>SUM(H10:H10)</f>
        <v>0</v>
      </c>
      <c r="I11" s="42"/>
      <c r="J11" s="46">
        <f>SUM(J10:J10)</f>
        <v>342081</v>
      </c>
      <c r="K11" s="42"/>
      <c r="L11" s="46">
        <f>SUM(L10:L10)</f>
        <v>629437</v>
      </c>
      <c r="M11" s="42"/>
      <c r="N11" s="46">
        <f>SUM(N10:N10)</f>
        <v>255669</v>
      </c>
      <c r="O11" s="42"/>
      <c r="P11" s="46">
        <f>SUM(P10:P10)</f>
        <v>373768</v>
      </c>
      <c r="Q11" s="30"/>
    </row>
    <row r="12" spans="2:17" ht="18.600000000000001" thickTop="1" x14ac:dyDescent="0.35">
      <c r="B12" s="28"/>
      <c r="F12" s="42"/>
      <c r="G12" s="44"/>
      <c r="H12" s="42"/>
      <c r="I12" s="42"/>
      <c r="J12" s="42"/>
      <c r="K12" s="42"/>
      <c r="L12" s="42"/>
      <c r="M12" s="42"/>
      <c r="N12" s="42"/>
      <c r="O12" s="42"/>
      <c r="P12" s="42"/>
      <c r="Q12" s="30"/>
    </row>
    <row r="13" spans="2:17" x14ac:dyDescent="0.35">
      <c r="B13" s="28"/>
      <c r="C13" s="32" t="s">
        <v>127</v>
      </c>
      <c r="F13" s="42"/>
      <c r="G13" s="42"/>
      <c r="H13" s="42"/>
      <c r="I13" s="42"/>
      <c r="J13" s="42"/>
      <c r="K13" s="42"/>
      <c r="L13" s="42"/>
      <c r="M13" s="42"/>
      <c r="N13" s="42"/>
      <c r="O13" s="42"/>
      <c r="P13" s="42"/>
      <c r="Q13" s="30"/>
    </row>
    <row r="14" spans="2:17" ht="36.6" thickBot="1" x14ac:dyDescent="0.4">
      <c r="B14" s="28"/>
      <c r="D14" s="34" t="s">
        <v>11</v>
      </c>
      <c r="F14" s="43"/>
      <c r="G14" s="42"/>
      <c r="H14" s="43"/>
      <c r="I14" s="42"/>
      <c r="J14" s="43"/>
      <c r="K14" s="42"/>
      <c r="L14" s="42">
        <f>SUM(F14+H14-J14)</f>
        <v>0</v>
      </c>
      <c r="M14" s="42"/>
      <c r="N14" s="43"/>
      <c r="O14" s="42"/>
      <c r="P14" s="42">
        <f>L14-N14</f>
        <v>0</v>
      </c>
      <c r="Q14" s="30"/>
    </row>
    <row r="15" spans="2:17" ht="19.2" thickTop="1" thickBot="1" x14ac:dyDescent="0.4">
      <c r="B15" s="28"/>
      <c r="C15" s="32" t="s">
        <v>128</v>
      </c>
      <c r="F15" s="46">
        <f>SUM(F14:F14)</f>
        <v>0</v>
      </c>
      <c r="G15" s="42"/>
      <c r="H15" s="46">
        <f>SUM(H14:H14)</f>
        <v>0</v>
      </c>
      <c r="I15" s="42"/>
      <c r="J15" s="46">
        <f>SUM(J14:J14)</f>
        <v>0</v>
      </c>
      <c r="K15" s="42"/>
      <c r="L15" s="46">
        <f>SUM(L14:L14)</f>
        <v>0</v>
      </c>
      <c r="M15" s="42"/>
      <c r="N15" s="46">
        <f>SUM(N14:N14)</f>
        <v>0</v>
      </c>
      <c r="O15" s="42"/>
      <c r="P15" s="46">
        <f>SUM(P14:P14)</f>
        <v>0</v>
      </c>
      <c r="Q15" s="30"/>
    </row>
    <row r="16" spans="2:17" ht="18.600000000000001" thickTop="1" x14ac:dyDescent="0.35">
      <c r="B16" s="28"/>
      <c r="C16" s="32"/>
      <c r="F16" s="45"/>
      <c r="G16" s="42"/>
      <c r="H16" s="45"/>
      <c r="I16" s="42"/>
      <c r="J16" s="45"/>
      <c r="K16" s="42"/>
      <c r="L16" s="45"/>
      <c r="M16" s="42"/>
      <c r="N16" s="45"/>
      <c r="O16" s="42"/>
      <c r="P16" s="45"/>
      <c r="Q16" s="30"/>
    </row>
    <row r="17" spans="2:17" x14ac:dyDescent="0.35">
      <c r="B17" s="28"/>
      <c r="C17" s="32" t="s">
        <v>129</v>
      </c>
      <c r="F17" s="42"/>
      <c r="G17" s="42"/>
      <c r="H17" s="42"/>
      <c r="I17" s="42"/>
      <c r="J17" s="42"/>
      <c r="K17" s="42"/>
      <c r="L17" s="42"/>
      <c r="M17" s="42"/>
      <c r="N17" s="42"/>
      <c r="O17" s="42"/>
      <c r="P17" s="42"/>
      <c r="Q17" s="30"/>
    </row>
    <row r="18" spans="2:17" ht="36.6" thickBot="1" x14ac:dyDescent="0.4">
      <c r="B18" s="28"/>
      <c r="D18" s="34" t="s">
        <v>11</v>
      </c>
      <c r="F18" s="43"/>
      <c r="G18" s="42"/>
      <c r="H18" s="43"/>
      <c r="I18" s="42"/>
      <c r="J18" s="43"/>
      <c r="K18" s="42"/>
      <c r="L18" s="42">
        <f>SUM(F18+H18-J18)</f>
        <v>0</v>
      </c>
      <c r="M18" s="42"/>
      <c r="N18" s="43"/>
      <c r="O18" s="42"/>
      <c r="P18" s="42">
        <f>L18-N18</f>
        <v>0</v>
      </c>
      <c r="Q18" s="30"/>
    </row>
    <row r="19" spans="2:17" ht="19.2" thickTop="1" thickBot="1" x14ac:dyDescent="0.4">
      <c r="B19" s="28"/>
      <c r="C19" s="32" t="s">
        <v>130</v>
      </c>
      <c r="F19" s="46">
        <f>SUM(F18:F18)</f>
        <v>0</v>
      </c>
      <c r="G19" s="42"/>
      <c r="H19" s="46">
        <f>SUM(H18:H18)</f>
        <v>0</v>
      </c>
      <c r="I19" s="42"/>
      <c r="J19" s="46">
        <f>SUM(J18:J18)</f>
        <v>0</v>
      </c>
      <c r="K19" s="42"/>
      <c r="L19" s="46">
        <f>SUM(L18:L18)</f>
        <v>0</v>
      </c>
      <c r="M19" s="42"/>
      <c r="N19" s="46">
        <f>SUM(N18:N18)</f>
        <v>0</v>
      </c>
      <c r="O19" s="42"/>
      <c r="P19" s="46">
        <f>SUM(P18:P18)</f>
        <v>0</v>
      </c>
      <c r="Q19" s="30"/>
    </row>
    <row r="20" spans="2:17" ht="19.2" thickTop="1" thickBot="1" x14ac:dyDescent="0.4">
      <c r="B20" s="35"/>
      <c r="C20" s="36"/>
      <c r="D20" s="36"/>
      <c r="E20" s="36"/>
      <c r="F20" s="37"/>
      <c r="G20" s="36"/>
      <c r="H20" s="37"/>
      <c r="I20" s="36"/>
      <c r="J20" s="37"/>
      <c r="K20" s="36"/>
      <c r="L20" s="37"/>
      <c r="M20" s="36"/>
      <c r="N20" s="37"/>
      <c r="O20" s="36"/>
      <c r="P20" s="37"/>
      <c r="Q20" s="38"/>
    </row>
  </sheetData>
  <sheetProtection algorithmName="SHA-512" hashValue="89ypz74CLTYF9GFAgkOpzz2hwHH1vkzIOblHDBCNlfk361hr+zlP0JnAJQWdsU098fv+l3hCTXuS0nhi2SVMjg==" saltValue="+sABU+f1KdWy1HMioldf0Q==" spinCount="100000" sheet="1" objects="1" scenarios="1"/>
  <dataValidations count="1">
    <dataValidation type="whole" operator="greaterThanOrEqual" allowBlank="1" showErrorMessage="1" errorTitle="Invalid Entry" error="Do not enter any negative values._x000a_Only enter whole numbers." sqref="N10 J10 H10 F10 N14 J14 H14 F14 N18 J18 H18 F18" xr:uid="{FE5FAD25-16BE-4A19-843D-79084E62552B}">
      <formula1>0</formula1>
    </dataValidation>
  </dataValidations>
  <pageMargins left="0.7" right="0.7" top="0.75" bottom="0.75" header="0.3" footer="0.3"/>
  <pageSetup scale="57"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D7DF5CF-A688-48D3-A7D1-577678EED9B4}">
  <ds:schemaRefs>
    <ds:schemaRef ds:uri="http://schemas.microsoft.com/office/2006/metadata/properties"/>
    <ds:schemaRef ds:uri="http://schemas.microsoft.com/office/infopath/2007/PartnerControls"/>
    <ds:schemaRef ds:uri="34c91bc0-47e8-459a-859a-0a8b02681609"/>
    <ds:schemaRef ds:uri="93acb6f5-a267-438f-a085-1cd1a6c988ea"/>
  </ds:schemaRefs>
</ds:datastoreItem>
</file>

<file path=customXml/itemProps2.xml><?xml version="1.0" encoding="utf-8"?>
<ds:datastoreItem xmlns:ds="http://schemas.openxmlformats.org/officeDocument/2006/customXml" ds:itemID="{A7BF07B5-7CEB-45AB-97AB-9820D6F001C8}">
  <ds:schemaRefs>
    <ds:schemaRef ds:uri="http://schemas.microsoft.com/sharepoint/v3/contenttype/forms"/>
  </ds:schemaRefs>
</ds:datastoreItem>
</file>

<file path=customXml/itemProps3.xml><?xml version="1.0" encoding="utf-8"?>
<ds:datastoreItem xmlns:ds="http://schemas.openxmlformats.org/officeDocument/2006/customXml" ds:itemID="{2E84DDEC-80EA-4F11-A021-3A3789C0941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3acb6f5-a267-438f-a085-1cd1a6c988ea"/>
    <ds:schemaRef ds:uri="34c91bc0-47e8-459a-859a-0a8b0268160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Drop Down Menus</vt:lpstr>
      <vt:lpstr>qryIndex02a</vt:lpstr>
      <vt:lpstr>FP-Version Changes</vt:lpstr>
      <vt:lpstr>FP-Fund 5225 Journal Entries</vt:lpstr>
      <vt:lpstr>FP-Lease Liabilities</vt:lpstr>
      <vt:lpstr>'FP-Fund 5225 Journal Entries'!Print_Area</vt:lpstr>
      <vt:lpstr>'FP-Lease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Christian Bennett</cp:lastModifiedBy>
  <dcterms:created xsi:type="dcterms:W3CDTF">2023-03-08T17:19:33Z</dcterms:created>
  <dcterms:modified xsi:type="dcterms:W3CDTF">2025-02-12T16:23:21Z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3403400</vt:r8>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ies>
</file>