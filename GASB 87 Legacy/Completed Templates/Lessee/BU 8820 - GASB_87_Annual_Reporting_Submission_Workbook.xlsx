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5CE2578B-DB88-43BE-B4D9-1AE0654FBB80}"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2" l="1"/>
  <c r="J62" i="2"/>
  <c r="K69" i="2"/>
  <c r="J68" i="2"/>
  <c r="J63" i="2"/>
  <c r="K58" i="2"/>
  <c r="J55" i="2"/>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<sst xmlns="http://schemas.openxmlformats.org/spreadsheetml/2006/main" count="7785" uniqueCount="1762">
  <si>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</si>
  <si>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</si>
  <si>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</si>
  <si>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</si>
  <si>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</si>
  <si>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</si>
  <si>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</si>
  <si>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</si>
  <si>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</si>
  <si>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</si>
  <si>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</si>
  <si>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</si>
  <si>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</si>
  <si>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</si>
  <si>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</si>
  <si>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</si>
  <si>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</si>
  <si>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</si>
  <si>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</si>
  <si>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</si>
  <si>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</si>
  <si>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</si>
  <si>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</si>
  <si>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</si>
  <si>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</si>
  <si>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</si>
  <si>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</si>
  <si>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</si>
  <si>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</si>
  <si>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</si>
  <si>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</si>
  <si>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</si>
  <si>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</si>
  <si>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</si>
  <si>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</si>
  <si>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</si>
  <si>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</si>
  <si>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</si>
  <si>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</si>
  <si>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</si>
  <si>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</si>
  <si>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</si>
  <si>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</si>
  <si>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</si>
  <si>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</si>
  <si>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</si>
  <si>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</si>
  <si>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</si>
  <si>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</si>
  <si>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</si>
  <si>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</si>
  <si>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</si>
  <si>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</si>
  <si>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</si>
  <si>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</si>
  <si>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</si>
  <si>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</si>
  <si>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</si>
  <si>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</si>
  <si>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</si>
  <si>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</si>
  <si>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</si>
  <si>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</si>
  <si>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</si>
  <si>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</si>
  <si>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</si>
  <si>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</si>
  <si>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</si>
  <si>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</si>
  <si>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</si>
  <si>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</si>
  <si>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</si>
  <si>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</si>
  <si>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</si>
  <si>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</si>
  <si>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</si>
  <si>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</si>
  <si>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</si>
  <si>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</si>
  <si>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</si>
  <si>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</si>
  <si>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</si>
  <si>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</si>
  <si>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</si>
  <si>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</si>
  <si>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</si>
  <si>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</si>
  <si>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</si>
  <si>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</si>
  <si>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</si>
  <si>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</si>
  <si>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</si>
  <si>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</si>
  <si>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</si>
  <si>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</si>
  <si>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</si>
  <si>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</si>
  <si>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</si>
  <si>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</si>
  <si>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</si>
  <si>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</si>
  <si>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</si>
  <si>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</si>
  <si>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</si>
  <si>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</si>
  <si>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</si>
  <si>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</si>
  <si>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</si>
  <si>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</si>
  <si>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</si>
  <si>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</si>
  <si>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</si>
  <si>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</si>
  <si>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</si>
  <si>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</si>
  <si>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</si>
  <si>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</si>
  <si>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</si>
  <si>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</si>
  <si>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</si>
  <si>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</si>
  <si>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</si>
  <si>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</si>
  <si>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</si>
  <si>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</si>
  <si>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</si>
  <si>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</si>
  <si>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</si>
  <si>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</si>
  <si>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</si>
  <si>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</si>
  <si>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</si>
  <si>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</si>
  <si>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</si>
  <si>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</si>
  <si>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</si>
  <si>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</si>
  <si>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</si>
  <si>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</si>
  <si>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</si>
  <si>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</si>
  <si>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</si>
  <si>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</si>
  <si>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</si>
  <si>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</si>
  <si>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</si>
  <si>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</si>
  <si>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</si>
  <si>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</si>
  <si>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</si>
  <si>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</si>
  <si>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</si>
  <si>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</si>
  <si>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</si>
  <si>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</si>
  <si>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</si>
  <si>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</si>
  <si>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</si>
  <si>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</si>
  <si>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</si>
  <si>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</si>
  <si>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</si>
  <si>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</si>
  <si>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</si>
  <si>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</si>
  <si>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</si>
  <si>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</si>
  <si>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</si>
  <si>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</si>
  <si>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</si>
  <si>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</si>
  <si>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</si>
  <si>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</si>
  <si>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</si>
  <si>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</si>
  <si>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</si>
  <si>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</si>
  <si>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</si>
  <si>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</si>
  <si>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</si>
  <si>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</si>
  <si>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</si>
  <si>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</si>
  <si>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</si>
  <si>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</si>
  <si>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</si>
  <si>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</si>
  <si>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</si>
  <si>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</si>
  <si>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</si>
  <si>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</si>
  <si>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</si>
  <si>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</si>
  <si>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</si>
  <si>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</si>
  <si>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</si>
  <si>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</si>
  <si>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</si>
  <si>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</si>
  <si>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</si>
  <si>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</si>
  <si>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</si>
  <si>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</si>
  <si>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</si>
  <si>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</si>
  <si>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</si>
  <si>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</si>
  <si>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</si>
  <si>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</si>
  <si>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</si>
  <si>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</si>
  <si>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</si>
  <si>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</si>
  <si>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</si>
  <si>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</si>
  <si>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</si>
  <si>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</si>
  <si>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</si>
  <si>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</si>
  <si>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</si>
  <si>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</si>
  <si>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</si>
  <si>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</si>
  <si>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</si>
  <si>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</si>
  <si>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</si>
  <si>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</si>
  <si>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</si>
  <si>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</si>
  <si>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</si>
  <si>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</si>
  <si>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</si>
  <si>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</si>
  <si>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</si>
  <si>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</si>
  <si>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</si>
  <si>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</si>
  <si>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</si>
  <si>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</si>
  <si>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</si>
  <si>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</si>
  <si>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</si>
  <si>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</si>
  <si>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</si>
  <si>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</si>
  <si>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</si>
  <si>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</si>
  <si>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</si>
  <si>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</si>
  <si>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</si>
  <si>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</si>
  <si>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</si>
  <si>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</si>
  <si>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</si>
  <si>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</si>
  <si>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</si>
  <si>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</si>
  <si>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</si>
  <si>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</si>
  <si>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</si>
  <si>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</si>
  <si>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</si>
  <si>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</si>
  <si>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</si>
  <si>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</si>
  <si>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</si>
  <si>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</si>
  <si>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</si>
  <si>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</si>
  <si>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</si>
  <si>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</si>
  <si>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</si>
  <si>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</si>
  <si>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</si>
  <si>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</si>
  <si>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</si>
  <si>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</si>
  <si>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</si>
  <si>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</si>
  <si>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</si>
  <si>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</si>
  <si>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</si>
  <si>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</si>
  <si>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</si>
  <si>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</si>
  <si>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</si>
  <si>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</si>
  <si>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</si>
  <si>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</si>
  <si>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</si>
  <si>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</si>
  <si>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</si>
  <si>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</si>
  <si>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</si>
  <si>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</si>
  <si>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</si>
  <si>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</si>
  <si>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</si>
  <si>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</si>
  <si>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</si>
  <si>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</si>
  <si>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</si>
  <si>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</si>
  <si>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</si>
  <si>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</si>
  <si>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</si>
  <si>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</si>
  <si>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</si>
  <si>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</si>
  <si>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</si>
  <si>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</si>
  <si>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</si>
  <si>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</si>
  <si>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</si>
  <si>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</si>
  <si>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</si>
  <si>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</si>
  <si>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</si>
  <si>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</si>
  <si>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</si>
  <si>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</si>
  <si>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</si>
  <si>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</si>
  <si>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</si>
  <si>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</si>
  <si>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</si>
  <si>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</si>
  <si>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</si>
  <si>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</si>
  <si>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</si>
  <si>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</si>
  <si>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</si>
  <si>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</si>
  <si>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</si>
  <si>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</si>
  <si>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</si>
  <si>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</si>
  <si>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</si>
  <si>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</si>
  <si>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</si>
  <si>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</si>
  <si>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</si>
  <si>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</si>
  <si>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</si>
  <si>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</si>
  <si>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</si>
  <si>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</si>
  <si>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</si>
  <si>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</si>
  <si>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</si>
  <si>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</si>
  <si>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</si>
  <si>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</si>
  <si>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</si>
  <si>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</si>
  <si>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</si>
  <si>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</si>
  <si>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</si>
  <si>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</si>
  <si>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</si>
  <si>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</si>
  <si>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</si>
  <si>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</si>
  <si>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</si>
  <si>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</si>
  <si>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</si>
  <si>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</si>
  <si>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</si>
  <si>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</si>
  <si>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</si>
  <si>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</si>
  <si>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</si>
  <si>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</si>
  <si>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</si>
  <si>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</si>
  <si>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</si>
  <si>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</si>
  <si>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</si>
  <si>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</si>
  <si>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</si>
  <si>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</si>
  <si>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</si>
  <si>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</si>
  <si>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</si>
  <si>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</si>
  <si>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</si>
  <si>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</si>
  <si>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</si>
  <si>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</si>
  <si>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</si>
  <si>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</si>
  <si>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</si>
  <si>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</si>
  <si>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</si>
  <si>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</si>
  <si>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</si>
  <si>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</si>
  <si>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</si>
  <si>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</si>
  <si>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</si>
  <si>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</si>
  <si>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</si>
  <si>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</si>
  <si>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</si>
  <si>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</si>
  <si>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</si>
  <si>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</si>
  <si>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</si>
  <si>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</si>
  <si>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</si>
  <si>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</si>
  <si>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</si>
  <si>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</si>
  <si>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</si>
  <si>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</si>
  <si>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</si>
  <si>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</si>
  <si>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</si>
  <si>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</si>
  <si>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</si>
  <si>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</si>
  <si>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</si>
  <si>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</si>
  <si>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</si>
  <si>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</si>
  <si>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</si>
  <si>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</si>
  <si>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</si>
  <si>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</si>
  <si>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</si>
  <si>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</si>
  <si>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</si>
  <si>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</si>
  <si>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</si>
  <si>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</si>
  <si>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</si>
  <si>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</si>
  <si>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</si>
  <si>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</si>
  <si>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</si>
  <si>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</si>
  <si>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</si>
  <si>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</si>
  <si>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</si>
  <si>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</si>
  <si>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</si>
  <si>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</si>
  <si>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</si>
  <si>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</si>
  <si>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</si>
  <si>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</si>
  <si>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</si>
  <si>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</si>
  <si>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</si>
  <si>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</si>
  <si>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</si>
  <si>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</si>
  <si>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</si>
  <si>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</si>
  <si>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</si>
  <si>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</si>
  <si>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</si>
  <si>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</si>
  <si>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</si>
  <si>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</si>
  <si>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</si>
  <si>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</si>
  <si>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</si>
  <si>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</si>
  <si>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</si>
  <si>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</si>
  <si>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</si>
  <si>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</si>
  <si>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</si>
  <si>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</si>
  <si>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</si>
  <si>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</si>
  <si>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</si>
  <si>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</si>
  <si>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</si>
  <si>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</si>
  <si>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</si>
  <si>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</si>
  <si>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</si>
  <si>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</si>
  <si>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</si>
  <si>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</si>
  <si>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</si>
  <si>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</si>
  <si>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</si>
  <si>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</si>
  <si>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</si>
  <si>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</si>
  <si>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</si>
  <si>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</si>
  <si>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</si>
  <si>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</si>
  <si>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</si>
  <si>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</si>
  <si>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</si>
  <si>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</si>
  <si>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</si>
  <si>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</si>
  <si>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</si>
  <si>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</si>
  <si>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</si>
  <si>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</si>
  <si>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</si>
  <si>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</si>
  <si>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</si>
  <si>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</si>
  <si>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</si>
  <si>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</si>
  <si>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</si>
  <si>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</si>
  <si>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</si>
  <si>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</si>
  <si>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</si>
  <si>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</si>
  <si>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</si>
  <si>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</si>
  <si>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</si>
  <si>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</si>
  <si>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</si>
  <si>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</si>
  <si>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</si>
  <si>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</si>
  <si>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</si>
  <si>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</si>
  <si>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</si>
  <si>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</si>
  <si>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</si>
  <si>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</si>
  <si>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</si>
  <si>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</si>
  <si>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</si>
  <si>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</si>
  <si>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</si>
  <si>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</si>
  <si>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</si>
  <si>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</si>
  <si>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</si>
  <si>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</si>
  <si>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</si>
  <si>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</si>
  <si>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</si>
  <si>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</si>
  <si>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</si>
  <si>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</si>
  <si>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</si>
  <si>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</si>
  <si>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</si>
  <si>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</si>
  <si>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</si>
  <si>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</si>
  <si>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</si>
  <si>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</si>
  <si>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</si>
  <si>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</si>
  <si>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</si>
  <si>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</si>
  <si>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</si>
  <si>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</si>
  <si>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</si>
  <si>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</si>
  <si>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</si>
  <si>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</si>
  <si>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</si>
  <si>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</si>
  <si>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</si>
  <si>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</si>
  <si>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</si>
  <si>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</si>
  <si>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</si>
  <si>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</si>
  <si>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</si>
  <si>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</si>
  <si>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</si>
  <si>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</si>
  <si>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</si>
  <si>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</si>
  <si>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</si>
  <si>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</si>
  <si>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</si>
  <si>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</si>
  <si>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</si>
  <si>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</si>
  <si>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</si>
  <si>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</si>
  <si>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</si>
  <si>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</si>
  <si>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</si>
  <si>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</si>
  <si>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</si>
  <si>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</si>
  <si>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</si>
  <si>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</si>
  <si>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</si>
  <si>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</si>
  <si>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</si>
  <si>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</si>
  <si>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</si>
  <si>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</si>
  <si>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</si>
  <si>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</si>
  <si>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</si>
  <si>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</si>
  <si>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</si>
  <si>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</si>
  <si>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</si>
  <si>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</si>
  <si>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</si>
  <si>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</si>
  <si>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</si>
  <si>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</si>
  <si>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</si>
  <si>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</si>
  <si>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</si>
  <si>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</si>
  <si>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</si>
  <si>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</si>
  <si>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</si>
  <si>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</si>
  <si>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</si>
  <si>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</si>
  <si>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</si>
  <si>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</si>
  <si>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</si>
  <si>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</si>
  <si>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</si>
  <si>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</si>
  <si>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</si>
  <si>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</si>
  <si>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</si>
  <si>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</si>
  <si>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</si>
  <si>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</si>
  <si>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</si>
  <si>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</si>
  <si>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</si>
  <si>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</si>
  <si>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</si>
  <si>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</si>
  <si>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</si>
  <si>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</si>
  <si>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</si>
  <si>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</si>
  <si>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</si>
  <si>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</si>
  <si>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</si>
  <si>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</si>
  <si>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</si>
  <si>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</si>
  <si>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</si>
  <si>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</si>
  <si>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</si>
  <si>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</si>
  <si>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</si>
  <si>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</si>
  <si>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</si>
  <si>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</si>
  <si>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</si>
  <si>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</si>
  <si>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</si>
  <si>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</si>
  <si>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</si>
  <si>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</si>
  <si>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</si>
  <si>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</si>
  <si>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</si>
  <si>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</si>
  <si>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</si>
  <si>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</si>
  <si>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</si>
  <si>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</si>
  <si>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</si>
  <si>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</si>
  <si>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</si>
  <si>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</si>
  <si>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</si>
  <si>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</si>
  <si>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</si>
  <si>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</si>
  <si>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</si>
  <si>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</si>
  <si>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</si>
  <si>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</si>
  <si>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</si>
  <si>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</si>
  <si>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</si>
  <si>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</si>
  <si>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</si>
  <si>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</si>
  <si>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</si>
  <si>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</si>
  <si>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</si>
  <si>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</si>
  <si>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</si>
  <si>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</si>
  <si>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</si>
  <si>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</si>
  <si>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</si>
  <si>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</si>
  <si>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</si>
  <si>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</si>
  <si>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</si>
  <si>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</si>
  <si>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</si>
  <si>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</si>
  <si>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</si>
  <si>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</si>
  <si>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</si>
  <si>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</si>
  <si>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</si>
  <si>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</si>
  <si>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</si>
  <si>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</si>
  <si>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</si>
  <si>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</si>
  <si>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</si>
  <si>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</si>
  <si>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</si>
  <si>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</si>
  <si>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</si>
  <si>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</si>
  <si>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</si>
  <si>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</si>
  <si>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</si>
  <si>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</si>
  <si>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</si>
  <si>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</si>
  <si>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</si>
  <si>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</si>
  <si>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</si>
  <si>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</si>
  <si>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</si>
  <si>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</si>
  <si>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</si>
  <si>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</si>
  <si>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</si>
  <si>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</si>
  <si>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</si>
  <si>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</si>
  <si>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</si>
  <si>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</si>
  <si>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</si>
  <si>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</si>
  <si>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</si>
  <si>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</si>
  <si>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</si>
  <si>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</si>
  <si>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</si>
  <si>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</si>
  <si>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</si>
  <si>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</si>
  <si>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</si>
  <si>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</si>
  <si>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</si>
  <si>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</si>
  <si>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</si>
  <si>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</si>
  <si>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</si>
  <si>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</si>
  <si>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</si>
  <si>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</si>
  <si>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</si>
  <si>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</si>
  <si>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</si>
  <si>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</si>
  <si>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</si>
  <si>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</si>
  <si>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</si>
  <si>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</si>
  <si>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</si>
  <si>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</si>
  <si>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</si>
  <si>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</si>
  <si>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</si>
  <si>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</si>
  <si>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</si>
  <si>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</si>
  <si>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</si>
  <si>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</si>
  <si>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</si>
  <si>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</si>
  <si>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</si>
  <si>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</si>
  <si>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</si>
  <si>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</si>
  <si>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</si>
  <si>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</si>
  <si>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</si>
  <si>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</si>
  <si>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</si>
  <si>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</si>
  <si>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</si>
  <si>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</si>
  <si>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</si>
  <si>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</si>
  <si>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</si>
  <si>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</si>
  <si>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</si>
  <si>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</si>
  <si>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</si>
  <si>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</si>
  <si>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</si>
  <si>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</si>
  <si>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</si>
  <si>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</si>
  <si>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</si>
  <si>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</si>
  <si>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</si>
  <si>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</si>
  <si>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</si>
  <si>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</si>
  <si>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</si>
  <si>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</si>
  <si>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</si>
  <si>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</si>
  <si>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</si>
  <si>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</si>
  <si>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</si>
  <si>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</si>
  <si>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</si>
  <si>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</si>
  <si>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</si>
  <si>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</si>
  <si>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</si>
  <si>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</si>
  <si>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</si>
  <si>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</si>
  <si>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</si>
  <si>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</si>
  <si>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</si>
  <si>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</si>
  <si>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</si>
  <si>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</si>
  <si>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</si>
  <si>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</si>
  <si>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</si>
  <si>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</si>
  <si>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</si>
  <si>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</si>
  <si>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</si>
  <si>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</si>
  <si>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</si>
  <si>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</si>
  <si>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</si>
  <si>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</si>
  <si>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</si>
  <si>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</si>
  <si>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</si>
  <si>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</si>
  <si>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</si>
  <si>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</si>
  <si>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</si>
  <si>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</si>
  <si>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</si>
  <si>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</si>
  <si>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</si>
  <si>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</si>
  <si>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</si>
  <si>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</si>
  <si>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</si>
  <si>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</si>
  <si>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</si>
  <si>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</si>
  <si>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</si>
  <si>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</si>
  <si>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</si>
  <si>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</si>
  <si>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</si>
  <si>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</si>
  <si>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</si>
  <si>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</si>
  <si>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</si>
  <si>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</si>
  <si>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</si>
  <si>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</si>
  <si>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</si>
  <si>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</si>
  <si>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</si>
  <si>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</si>
  <si>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</si>
  <si>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</si>
  <si>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</si>
  <si>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</si>
  <si>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</si>
  <si>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</si>
  <si>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</si>
  <si>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</si>
  <si>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</si>
  <si>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</si>
  <si>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</si>
  <si>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</si>
  <si>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</si>
  <si>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</si>
  <si>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</si>
  <si>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</si>
  <si>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</si>
  <si>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</si>
  <si>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</si>
  <si>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</si>
  <si>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</si>
  <si>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</si>
  <si>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</si>
  <si>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</si>
  <si>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</si>
  <si>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</si>
  <si>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</si>
  <si>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</si>
  <si>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</si>
  <si>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</si>
  <si>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</si>
  <si>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</si>
  <si>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</si>
  <si>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</si>
  <si>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</si>
  <si>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</si>
  <si>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</si>
  <si>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</si>
  <si>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</si>
  <si>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</si>
  <si>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</si>
  <si>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</si>
  <si>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</si>
  <si>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</si>
  <si>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</si>
  <si>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</si>
  <si>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</si>
  <si>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</si>
  <si>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</si>
  <si>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</si>
  <si>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</si>
  <si>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</si>
  <si>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</si>
  <si>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</si>
  <si>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</si>
  <si>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</si>
  <si>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</si>
  <si>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</si>
  <si>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</si>
  <si>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</si>
  <si>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</si>
  <si>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</si>
  <si>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</si>
  <si>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</si>
  <si>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</si>
  <si>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</si>
  <si>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</si>
  <si>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</si>
  <si>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</si>
  <si>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</si>
  <si>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</si>
  <si>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</si>
  <si>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</si>
  <si>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</si>
  <si>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</si>
  <si>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</si>
  <si>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</si>
  <si>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</si>
  <si>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</si>
  <si>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</si>
  <si>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</si>
  <si>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</si>
  <si>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</si>
  <si>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</si>
  <si>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</si>
  <si>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</si>
  <si>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</si>
  <si>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</si>
  <si>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</si>
  <si>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</si>
  <si>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</si>
  <si>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</si>
  <si>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</si>
  <si>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</si>
  <si>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</si>
  <si>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</si>
  <si>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</si>
  <si>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</si>
  <si>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</si>
  <si>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</si>
  <si>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</si>
  <si>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</si>
  <si>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</si>
  <si>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</si>
  <si>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</si>
  <si>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</si>
  <si>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</si>
  <si>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</si>
  <si>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</si>
  <si>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</si>
  <si>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</si>
  <si>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</si>
  <si>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</si>
  <si>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</si>
  <si>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</si>
  <si>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</si>
  <si>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</si>
  <si>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</si>
  <si>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</si>
  <si>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</si>
  <si>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</si>
  <si>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</si>
  <si>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</si>
  <si>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</si>
  <si>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</si>
  <si>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</si>
  <si>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</si>
  <si>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</si>
  <si>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</si>
  <si>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</si>
  <si>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</si>
  <si>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</si>
  <si>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</si>
  <si>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</si>
  <si>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</si>
  <si>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</si>
  <si>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</si>
  <si>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</si>
  <si>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</si>
  <si>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</si>
  <si>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</si>
  <si>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</si>
  <si>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</si>
  <si>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</si>
  <si>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</si>
  <si>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</si>
  <si>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</si>
  <si>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</si>
  <si>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</si>
  <si>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</si>
  <si>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</si>
  <si>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</si>
  <si>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</si>
  <si>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</si>
  <si>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</si>
  <si>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</si>
  <si>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</si>
  <si>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</si>
  <si>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</si>
  <si>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</si>
  <si>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</si>
  <si>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</si>
  <si>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</si>
  <si>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</si>
  <si>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</si>
  <si>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</si>
  <si>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</si>
  <si>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</si>
  <si>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</si>
  <si>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</si>
  <si>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</si>
  <si>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</si>
  <si>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</si>
  <si>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</si>
  <si>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</si>
  <si>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</si>
  <si>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</si>
  <si>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</si>
  <si>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</si>
  <si>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</si>
  <si>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</si>
  <si>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</si>
  <si>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</si>
  <si>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</si>
  <si>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</si>
  <si>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</si>
  <si>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</si>
  <si>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</si>
  <si>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</si>
  <si>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</si>
  <si>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</si>
  <si>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</si>
  <si>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</si>
  <si>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</si>
  <si>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</si>
  <si>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</si>
  <si>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</si>
  <si>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</si>
  <si>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</si>
  <si>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</si>
  <si>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</si>
  <si>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</si>
  <si>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</si>
  <si>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</si>
  <si>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</si>
  <si>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</si>
  <si>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</si>
  <si>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</si>
  <si>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</si>
  <si>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</si>
  <si>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</si>
  <si>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</si>
  <si>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</si>
  <si>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</si>
  <si>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</si>
  <si>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</si>
  <si>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</si>
  <si>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</si>
  <si>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</si>
  <si>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</si>
  <si>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</si>
  <si>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</si>
  <si>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</si>
  <si>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</si>
  <si>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</si>
  <si>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</si>
  <si>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</si>
  <si>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</si>
  <si>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</si>
  <si>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</si>
  <si>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</si>
  <si>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</si>
  <si>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</si>
  <si>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</si>
  <si>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</si>
  <si>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</si>
  <si>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</si>
  <si>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</si>
  <si>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</si>
  <si>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</si>
  <si>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</si>
  <si>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</si>
  <si>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</si>
  <si>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</si>
  <si>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</si>
  <si>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</si>
  <si>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</si>
  <si>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</si>
  <si>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</si>
  <si>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</si>
  <si>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</si>
  <si>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</si>
  <si>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</si>
  <si>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</si>
  <si>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</si>
  <si>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</si>
  <si>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</si>
  <si>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</si>
  <si>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</si>
  <si>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</si>
  <si>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</si>
  <si>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</si>
  <si>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</si>
  <si>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</si>
  <si>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</si>
  <si>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</si>
  <si>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</si>
  <si>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</si>
  <si>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</si>
  <si>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</si>
  <si>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</si>
  <si>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</si>
  <si>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</si>
  <si>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</si>
  <si>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</si>
  <si>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</si>
  <si>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</si>
  <si>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</si>
  <si>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</si>
  <si>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</si>
  <si>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</si>
  <si>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</si>
  <si>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</si>
  <si>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</si>
  <si>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</si>
  <si>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</si>
  <si>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</si>
  <si>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</si>
  <si>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</si>
  <si>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</si>
  <si>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</si>
  <si>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</si>
  <si>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</si>
  <si>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</si>
  <si>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</si>
  <si>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</si>
  <si>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</si>
  <si>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</si>
  <si>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</si>
  <si>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</si>
  <si>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</si>
  <si>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</si>
  <si>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</si>
  <si>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</si>
  <si>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</si>
  <si>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</si>
  <si>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</si>
  <si>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</si>
  <si>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</si>
  <si>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</si>
  <si>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</si>
  <si>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</si>
  <si>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</si>
  <si>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</si>
  <si>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</si>
  <si>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</si>
  <si>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</si>
  <si>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</si>
  <si>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</si>
  <si>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</si>
  <si>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</si>
  <si>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</si>
  <si>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</si>
  <si>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</si>
  <si>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</si>
  <si>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</si>
  <si>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</si>
  <si>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</si>
  <si>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</si>
  <si>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</si>
  <si>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</si>
  <si>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</si>
  <si>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</si>
  <si>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</si>
  <si>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</si>
  <si>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</si>
  <si>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</si>
  <si>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</si>
  <si>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</si>
  <si>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</si>
  <si>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</si>
  <si>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</si>
  <si>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</si>
  <si>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</si>
  <si>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</si>
  <si>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</si>
  <si>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</si>
  <si>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</si>
  <si>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</si>
  <si>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</si>
  <si>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</si>
  <si>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</si>
  <si>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</si>
  <si>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</si>
  <si>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</si>
  <si>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</si>
  <si>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</si>
  <si>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</si>
  <si>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</si>
  <si>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</si>
  <si>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</si>
  <si>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</si>
  <si>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</si>
  <si>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</si>
  <si>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</si>
  <si>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</si>
  <si>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</si>
  <si>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</si>
  <si>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</si>
  <si>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</si>
  <si>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</si>
  <si>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</si>
  <si>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</si>
  <si>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</si>
  <si>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</si>
  <si>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</si>
  <si>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</si>
  <si>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</si>
  <si>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</si>
  <si>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</si>
  <si>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</si>
  <si>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</si>
  <si>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</si>
  <si>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</si>
  <si>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</si>
  <si>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</si>
  <si>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</si>
  <si>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</si>
  <si>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</si>
  <si>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</si>
  <si>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</si>
  <si>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</si>
  <si>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</si>
  <si>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</si>
  <si>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</si>
  <si>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</si>
  <si>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</si>
  <si>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</si>
  <si>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</si>
  <si>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</si>
  <si>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</si>
  <si>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</si>
  <si>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</si>
  <si>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</si>
  <si>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</si>
  <si>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</si>
  <si>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</si>
  <si>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</si>
  <si>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</si>
  <si>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</si>
  <si>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</si>
  <si>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</si>
  <si>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</si>
  <si>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</si>
  <si>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</si>
  <si>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</si>
  <si>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</si>
  <si>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</si>
  <si>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</si>
  <si>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</si>
  <si>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</si>
  <si>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</si>
  <si>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</si>
  <si>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</si>
  <si>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</si>
  <si>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</si>
  <si>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</si>
  <si>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</si>
  <si>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</si>
  <si>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</si>
  <si>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</si>
  <si>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</si>
  <si>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</si>
  <si>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</si>
  <si>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</si>
  <si>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</si>
  <si>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</si>
  <si>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</si>
  <si>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</si>
  <si>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</si>
  <si>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</si>
  <si>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</si>
  <si>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</si>
  <si>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</si>
  <si>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</si>
  <si>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</si>
  <si>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</si>
  <si>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</si>
  <si>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</si>
  <si>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</si>
  <si>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</si>
  <si>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</si>
  <si>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</si>
  <si>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</si>
  <si>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</si>
  <si>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</si>
  <si>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</si>
  <si>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</si>
  <si>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</si>
  <si>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</si>
  <si>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</si>
  <si>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</si>
  <si>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</si>
  <si>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</si>
  <si>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</si>
  <si>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</si>
  <si>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</si>
  <si>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</si>
  <si>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</si>
  <si>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</si>
  <si>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</si>
  <si>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</si>
  <si>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</si>
  <si>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</si>
  <si>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</si>
  <si>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</si>
  <si>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</si>
  <si>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</si>
  <si>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</si>
  <si>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</si>
  <si>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</si>
  <si>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</si>
  <si>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</si>
  <si>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</si>
  <si>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</si>
  <si>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</si>
  <si>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</si>
  <si>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</si>
  <si>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</si>
  <si>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</si>
  <si>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</si>
  <si>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</si>
  <si>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</si>
  <si>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</si>
  <si>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</si>
  <si>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</si>
  <si>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</si>
  <si>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</si>
  <si>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</si>
  <si>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</si>
  <si>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</si>
  <si>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</si>
  <si>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</si>
  <si>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</si>
  <si>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</si>
  <si>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</si>
  <si>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</si>
  <si>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</si>
  <si>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</si>
  <si>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</si>
  <si>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</si>
  <si>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</si>
  <si>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</si>
  <si>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</si>
  <si>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</si>
  <si>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</si>
  <si>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</si>
  <si>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</si>
  <si>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</si>
  <si>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</si>
  <si>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</si>
  <si>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</si>
  <si>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</si>
  <si>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</si>
  <si>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</si>
  <si>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</si>
  <si>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</si>
  <si>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</si>
  <si>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</si>
  <si>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</si>
  <si>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</si>
  <si>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</si>
  <si>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</si>
  <si>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</si>
  <si>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</si>
  <si>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</si>
  <si>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</si>
  <si>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</si>
  <si>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</si>
  <si>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</si>
  <si>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</si>
  <si>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</si>
  <si>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</si>
  <si>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</si>
  <si>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</si>
  <si>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</si>
  <si>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</si>
  <si>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</si>
  <si>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</si>
  <si>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</si>
  <si>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</si>
  <si>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</si>
  <si>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</si>
  <si>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</si>
  <si>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</si>
  <si>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</si>
  <si>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</si>
  <si>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</si>
  <si>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</si>
  <si>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</si>
  <si>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</si>
  <si>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</si>
  <si>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</si>
  <si>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</si>
  <si>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</si>
  <si>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</si>
  <si>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</si>
  <si>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</si>
  <si>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</si>
  <si>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</si>
  <si>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</si>
  <si>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</si>
  <si>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</si>
  <si>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</si>
  <si>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</si>
  <si>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</si>
  <si>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</si>
  <si>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</si>
  <si>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</si>
  <si>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</si>
  <si>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</si>
  <si>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</si>
  <si>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</si>
  <si>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</si>
  <si>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</si>
  <si>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</si>
  <si>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</si>
  <si>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</si>
  <si>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</si>
  <si>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</si>
  <si>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</si>
  <si>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</si>
  <si>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</si>
  <si>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</si>
  <si>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</si>
  <si>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</si>
  <si>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</si>
  <si>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</si>
  <si>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</si>
  <si>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</si>
  <si>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</si>
  <si>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</si>
  <si>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</si>
  <si>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</si>
  <si>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</si>
  <si>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</si>
  <si>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</si>
  <si>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</si>
  <si>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</si>
  <si>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</si>
  <si>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</si>
  <si>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</si>
  <si>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</si>
  <si>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</si>
  <si>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</si>
  <si>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</si>
  <si>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</si>
  <si>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</si>
  <si>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</si>
  <si>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</si>
  <si>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</si>
  <si>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</si>
  <si>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</si>
  <si>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</si>
  <si>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</si>
  <si>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</si>
  <si>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</si>
  <si>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</si>
  <si>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</si>
  <si>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</si>
  <si>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</si>
  <si>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</si>
  <si>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</si>
  <si>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</si>
  <si>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</si>
  <si>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</si>
  <si>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</si>
  <si>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</si>
  <si>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</si>
  <si>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</si>
  <si>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</si>
  <si>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</si>
  <si>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</si>
  <si>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</si>
  <si>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</si>
  <si>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</si>
  <si>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</si>
  <si>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</si>
  <si>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</si>
  <si>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</si>
  <si>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</si>
  <si>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</si>
  <si>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</si>
  <si>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</si>
  <si>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</si>
  <si>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</si>
  <si>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</si>
  <si>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</si>
  <si>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</si>
  <si>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</si>
  <si>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</si>
  <si>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</si>
  <si>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</si>
  <si>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</si>
  <si>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</si>
  <si>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</si>
  <si>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</si>
  <si>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</si>
  <si>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</si>
  <si>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</si>
  <si>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</si>
  <si>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</si>
  <si>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</si>
  <si>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</si>
  <si>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</si>
  <si>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</si>
  <si>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</si>
  <si>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</si>
  <si>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</si>
  <si>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</si>
  <si>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</si>
  <si>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</si>
  <si>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</si>
  <si>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</si>
  <si>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</si>
  <si>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</si>
  <si>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</si>
  <si>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</si>
  <si>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</si>
  <si>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</si>
  <si>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</si>
  <si>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</si>
  <si>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</si>
  <si>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</si>
  <si>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</si>
  <si>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</si>
  <si>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</si>
  <si>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</si>
  <si>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</si>
  <si>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</si>
  <si>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</si>
  <si>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</si>
  <si>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</si>
  <si>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</si>
  <si>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</si>
  <si>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</si>
  <si>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</si>
  <si>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</si>
  <si>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</si>
  <si>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</si>
  <si>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</si>
  <si>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</si>
  <si>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</si>
  <si>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</si>
  <si>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</si>
  <si>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</si>
  <si>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</si>
  <si>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</si>
  <si>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</si>
  <si>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</si>
  <si>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</si>
  <si>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</si>
  <si>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</si>
  <si>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</si>
  <si>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</si>
  <si>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</si>
  <si>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</si>
  <si>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</si>
  <si>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</si>
  <si>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</si>
  <si>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</si>
  <si>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</si>
  <si>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</si>
  <si>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</si>
  <si>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</si>
  <si>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</si>
  <si>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</si>
  <si>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</si>
  <si>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</si>
  <si>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</si>
  <si>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</si>
  <si>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</si>
  <si>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</si>
  <si>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</si>
  <si>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</si>
  <si>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</si>
  <si>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</si>
  <si>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</si>
  <si>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</si>
  <si>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</si>
  <si>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</si>
  <si>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</si>
  <si>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</si>
  <si>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</si>
  <si>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</si>
  <si>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</si>
  <si>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</si>
  <si>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</si>
  <si>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</si>
  <si>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</si>
  <si>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</si>
  <si>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</si>
  <si>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</si>
  <si>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</si>
  <si>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</si>
  <si>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</si>
  <si>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</si>
  <si>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</si>
  <si>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</si>
  <si>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</si>
  <si>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</si>
  <si>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</si>
  <si>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</si>
  <si>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</si>
  <si>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</si>
  <si>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</si>
  <si>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</si>
  <si>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</si>
  <si>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</si>
  <si>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</si>
  <si>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</si>
  <si>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</si>
  <si>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</si>
  <si>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</si>
  <si>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</si>
  <si>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</si>
  <si>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</si>
  <si>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</si>
  <si>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</si>
  <si>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</si>
  <si>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</si>
  <si>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</si>
  <si>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</si>
  <si>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</si>
  <si>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</si>
  <si>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</si>
  <si>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</si>
  <si>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</si>
  <si>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</si>
  <si>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</si>
  <si>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</si>
  <si>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</si>
  <si>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</si>
  <si>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</si>
  <si>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</si>
  <si>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</si>
  <si>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</si>
  <si>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</si>
  <si>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</si>
  <si>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</si>
  <si>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</si>
  <si>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</si>
  <si>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</si>
  <si>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</si>
  <si>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</si>
  <si>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</si>
  <si>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</si>
  <si>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</si>
  <si>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</si>
  <si>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</si>
  <si>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</si>
  <si>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</si>
  <si>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</si>
  <si>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</si>
  <si>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</si>
  <si>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</si>
  <si>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</si>
  <si>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</si>
  <si>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</si>
  <si>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</si>
  <si>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</si>
  <si>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</si>
  <si>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</si>
  <si>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</si>
  <si>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</si>
  <si>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</si>
  <si>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</si>
  <si>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</si>
  <si>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</si>
  <si>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</si>
  <si>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</si>
  <si>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</si>
  <si>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</si>
  <si>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</si>
  <si>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</si>
  <si>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</si>
  <si>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</si>
  <si>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</si>
  <si>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</si>
  <si>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</si>
  <si>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</si>
  <si>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</si>
  <si>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</si>
  <si>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</si>
  <si>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</si>
  <si>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</si>
  <si>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</si>
  <si>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</si>
  <si>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</si>
  <si>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</si>
  <si>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</si>
  <si>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</si>
  <si>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</si>
  <si>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</si>
  <si>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</si>
  <si>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</si>
  <si>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</si>
  <si>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</si>
  <si>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</si>
  <si>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</si>
  <si>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</si>
  <si>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</si>
  <si>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</si>
  <si>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</si>
  <si>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</si>
  <si>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</si>
  <si>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</si>
  <si>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Commision on the Status of Women and Girls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</si>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</sst>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21875" style="1" bestFit="1" customWidth="1"/>
    <col min="6" max="6" width="31.77734375" style="1" bestFit="1" customWidth="1"/>
    <col min="7" max="8" width="44.5546875" style="1" bestFit="1" customWidth="1"/>
    <col min="9" max="16384" width="9.218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21875" bestFit="1" customWidth="1"/>
    <col min="2" max="2" width="34.77734375" bestFit="1" customWidth="1"/>
    <col min="3" max="3" width="5.21875" bestFit="1" customWidth="1"/>
    <col min="4" max="4" width="33.44140625" bestFit="1" customWidth="1"/>
    <col min="5" max="5" width="8.77734375" customWidth="1"/>
    <col min="6" max="9" width="5.21875" bestFit="1" customWidth="1"/>
    <col min="10" max="10" width="12.2187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77734375" defaultRowHeight="13.8" x14ac:dyDescent="0.3"/>
  <cols>
    <col min="1" max="1" width="18.77734375" style="171" customWidth="1"/>
    <col min="2" max="2" width="21.5546875" style="171" customWidth="1"/>
    <col min="3" max="4" width="14.21875" style="171" customWidth="1"/>
    <col min="5" max="5" width="65.77734375" style="171" customWidth="1"/>
    <col min="6" max="6" width="26.21875" style="171" customWidth="1"/>
    <col min="7" max="16384" width="8.777343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102" zoomScale="70" zoomScaleNormal="70" workbookViewId="0">
      <selection activeCell="J42" sqref="J42"/>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1337</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100702</v>
      </c>
      <c r="M17" s="143">
        <v>100702</v>
      </c>
      <c r="P17" s="143">
        <v>100702</v>
      </c>
      <c r="Q17" s="155"/>
      <c r="S17" s="154">
        <f t="shared" si="0"/>
        <v>0</v>
      </c>
    </row>
    <row r="18" spans="1:19" ht="16.5" customHeight="1" x14ac:dyDescent="0.3">
      <c r="A18" s="54"/>
      <c r="B18" s="9" t="s">
        <v>169</v>
      </c>
      <c r="C18" s="9"/>
      <c r="D18" s="9"/>
      <c r="E18" s="140"/>
      <c r="F18" s="141"/>
      <c r="G18" s="141"/>
      <c r="H18" s="142"/>
      <c r="I18" s="142"/>
      <c r="J18" s="178">
        <f>P18</f>
        <v>173</v>
      </c>
      <c r="M18" s="143">
        <v>173</v>
      </c>
      <c r="P18" s="152">
        <f>IF(SUM($Q$20:$Q$23)&gt;SUM($P$15:$P$17),SUM($Q$20:$Q$23)-SUM($P$15:$P$17),0)</f>
        <v>173</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80561</v>
      </c>
      <c r="N22" s="143">
        <v>80561</v>
      </c>
      <c r="P22" s="155"/>
      <c r="Q22" s="143">
        <v>80561</v>
      </c>
      <c r="S22" s="154">
        <f t="shared" ref="S22:S25" si="1">Q22-N22</f>
        <v>0</v>
      </c>
    </row>
    <row r="23" spans="1:19" ht="16.5" customHeight="1" x14ac:dyDescent="0.3">
      <c r="A23" s="165" t="s">
        <v>1646</v>
      </c>
      <c r="B23" s="9"/>
      <c r="C23" s="9" t="s">
        <v>174</v>
      </c>
      <c r="D23" s="9"/>
      <c r="E23" s="140"/>
      <c r="F23" s="141"/>
      <c r="G23" s="141"/>
      <c r="H23" s="142"/>
      <c r="I23" s="142"/>
      <c r="J23" s="150"/>
      <c r="K23" s="178">
        <f>N23</f>
        <v>20314</v>
      </c>
      <c r="N23" s="143">
        <v>20314</v>
      </c>
      <c r="P23" s="155"/>
      <c r="Q23" s="143">
        <v>20314</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100875</v>
      </c>
      <c r="K26" s="107">
        <f>SUM(K15:K25)</f>
        <v>100875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185794</v>
      </c>
      <c r="K33" s="144"/>
    </row>
    <row r="34" spans="1:12" ht="16.5" customHeight="1" x14ac:dyDescent="0.3">
      <c r="A34" s="54"/>
      <c r="B34" s="9"/>
      <c r="C34" s="9" t="s">
        <v>1748</v>
      </c>
      <c r="D34" s="140"/>
      <c r="E34" s="140"/>
      <c r="F34" s="141"/>
      <c r="G34" s="141"/>
      <c r="H34" s="142"/>
      <c r="I34" s="142"/>
      <c r="J34" s="144"/>
      <c r="K34" s="143">
        <v>185794</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185794</v>
      </c>
      <c r="K36" s="107">
        <f>SUM(K33:K35)</f>
        <v>185794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185794</v>
      </c>
      <c r="K41" s="144"/>
    </row>
    <row r="42" spans="1:12" ht="16.5" customHeight="1" x14ac:dyDescent="0.3">
      <c r="A42" s="54"/>
      <c r="B42" s="9"/>
      <c r="C42" s="9" t="s">
        <v>181</v>
      </c>
      <c r="D42" s="140"/>
      <c r="E42" s="140"/>
      <c r="F42" s="141"/>
      <c r="G42" s="141"/>
      <c r="H42" s="142"/>
      <c r="I42" s="142"/>
      <c r="J42" s="144"/>
      <c r="K42" s="143">
        <v>185794</v>
      </c>
    </row>
    <row r="43" spans="1:12" ht="16.5" customHeight="1" x14ac:dyDescent="0.3">
      <c r="A43" s="54"/>
      <c r="B43" s="130" t="s">
        <v>1640</v>
      </c>
      <c r="C43" s="16"/>
      <c r="D43" s="16"/>
      <c r="E43" s="16"/>
      <c r="F43" s="17"/>
      <c r="G43" s="17"/>
      <c r="H43" s="18"/>
      <c r="I43" s="18"/>
      <c r="J43" s="107">
        <f>SUM(J39:J42)</f>
        <v>185794</v>
      </c>
      <c r="K43" s="107">
        <f>SUM(K39:K42)</f>
        <v>185794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185794</v>
      </c>
      <c r="K47" s="144"/>
    </row>
    <row r="48" spans="1:12" ht="16.5" customHeight="1" x14ac:dyDescent="0.3">
      <c r="A48" s="165" t="s">
        <v>1646</v>
      </c>
      <c r="B48" s="9"/>
      <c r="C48" s="9" t="s">
        <v>174</v>
      </c>
      <c r="D48" s="140"/>
      <c r="E48" s="140"/>
      <c r="F48" s="141"/>
      <c r="G48" s="141"/>
      <c r="H48" s="142"/>
      <c r="I48" s="142"/>
      <c r="J48" s="144"/>
      <c r="K48" s="143">
        <v>185794</v>
      </c>
    </row>
    <row r="49" spans="1:16" ht="16.5" customHeight="1" x14ac:dyDescent="0.3">
      <c r="A49" s="54"/>
      <c r="C49" s="16"/>
      <c r="D49" s="16"/>
      <c r="E49" s="16"/>
      <c r="F49" s="17"/>
      <c r="G49" s="17"/>
      <c r="H49" s="18"/>
      <c r="I49" s="18"/>
      <c r="J49" s="107">
        <f>SUM(J47:J48)</f>
        <v>185794</v>
      </c>
      <c r="K49" s="107">
        <f>SUM(K47:K48)</f>
        <v>185794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20140+61931</f>
        <v>82071</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20140+61931</f>
        <v>82071</v>
      </c>
    </row>
    <row r="59" spans="1:16" ht="16.5" customHeight="1" x14ac:dyDescent="0.3">
      <c r="A59" s="54"/>
      <c r="C59" s="16"/>
      <c r="D59" s="16"/>
      <c r="E59" s="16"/>
      <c r="F59" s="17"/>
      <c r="G59" s="17"/>
      <c r="H59" s="18"/>
      <c r="I59" s="18"/>
      <c r="J59" s="107">
        <f>SUM(J55:J58)</f>
        <v>82071</v>
      </c>
      <c r="K59" s="107">
        <f>SUM(K55:K58)</f>
        <v>82071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20314+60417+1</f>
        <v>80732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7+2494</f>
        <v>2501</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20321+62911+1</f>
        <v>83233</v>
      </c>
    </row>
    <row r="65" spans="1:12" ht="16.5" customHeight="1" x14ac:dyDescent="0.3">
      <c r="A65" s="54"/>
      <c r="C65" s="16"/>
      <c r="D65" s="16"/>
      <c r="E65" s="16"/>
      <c r="F65" s="17"/>
      <c r="G65" s="17"/>
      <c r="H65" s="18"/>
      <c r="I65" s="18"/>
      <c r="J65" s="107">
        <f>SUM(J62:J64)</f>
        <v>83233</v>
      </c>
      <c r="K65" s="107">
        <f>SUM(K62:K64)</f>
        <v>83233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20314+60417+1</f>
        <v>80732</v>
      </c>
      <c r="K68" s="144"/>
    </row>
    <row r="69" spans="1:12" ht="16.5" customHeight="1" x14ac:dyDescent="0.3">
      <c r="A69" s="54"/>
      <c r="B69" s="9"/>
      <c r="C69" s="9" t="s">
        <v>186</v>
      </c>
      <c r="D69" s="140"/>
      <c r="E69" s="140"/>
      <c r="F69" s="141"/>
      <c r="G69" s="141"/>
      <c r="H69" s="142"/>
      <c r="I69" s="142"/>
      <c r="J69" s="144"/>
      <c r="K69" s="143">
        <f>20314+60417+1</f>
        <v>80732</v>
      </c>
    </row>
    <row r="70" spans="1:12" ht="16.5" customHeight="1" x14ac:dyDescent="0.3">
      <c r="A70" s="54"/>
      <c r="C70" s="16"/>
      <c r="D70" s="16"/>
      <c r="E70" s="16"/>
      <c r="F70" s="17"/>
      <c r="G70" s="17"/>
      <c r="H70" s="18"/>
      <c r="I70" s="18"/>
      <c r="J70" s="107">
        <f>SUM(J68:J69)</f>
        <v>80732</v>
      </c>
      <c r="K70" s="107">
        <f>SUM(K68:K69)</f>
        <v>80732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83082</v>
      </c>
      <c r="K75" s="144"/>
    </row>
    <row r="76" spans="1:12" ht="16.5" customHeight="1" x14ac:dyDescent="0.3">
      <c r="A76" s="54"/>
      <c r="B76" s="9"/>
      <c r="C76" s="9" t="s">
        <v>194</v>
      </c>
      <c r="D76" s="140"/>
      <c r="E76" s="140"/>
      <c r="F76" s="141"/>
      <c r="G76" s="141"/>
      <c r="H76" s="142"/>
      <c r="I76" s="142"/>
      <c r="J76" s="144"/>
      <c r="K76" s="143">
        <v>83082</v>
      </c>
    </row>
    <row r="77" spans="1:12" ht="16.5" customHeight="1" x14ac:dyDescent="0.25">
      <c r="A77" s="54"/>
      <c r="B77" s="193" t="s">
        <v>1735</v>
      </c>
      <c r="C77" s="193"/>
      <c r="D77" s="193"/>
      <c r="E77" s="193"/>
      <c r="F77" s="193"/>
      <c r="G77" s="193"/>
      <c r="H77" s="193"/>
      <c r="I77" s="193"/>
      <c r="J77" s="107">
        <f>SUM(J75:J76)</f>
        <v>83082</v>
      </c>
      <c r="K77" s="107">
        <f>SUM(K75:K76)</f>
        <v>83082</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100702</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100702</v>
      </c>
    </row>
    <row r="91" spans="1:16" ht="16.5" customHeight="1" x14ac:dyDescent="0.3">
      <c r="B91" s="130" t="s">
        <v>1641</v>
      </c>
      <c r="H91" s="10"/>
      <c r="J91" s="108">
        <f>SUM(J85:J90)</f>
        <v>100702</v>
      </c>
      <c r="K91" s="108">
        <f>SUM(K85:K90)</f>
        <v>100702</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185794</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-61930</v>
      </c>
    </row>
    <row r="128" spans="1:12" ht="16.5" customHeight="1" x14ac:dyDescent="0.3">
      <c r="D128" s="140" t="s">
        <v>1657</v>
      </c>
      <c r="H128" s="10"/>
      <c r="K128" s="169">
        <f>-K23-K48+J68+J75+J96-K113</f>
        <v>-42294</v>
      </c>
    </row>
    <row r="129" spans="4:11" ht="16.5" customHeight="1" x14ac:dyDescent="0.3">
      <c r="D129" s="140" t="s">
        <v>1658</v>
      </c>
      <c r="H129" s="10"/>
      <c r="K129" s="169">
        <f>-K76</f>
        <v>-83082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G28" sqref="G28"/>
    </sheetView>
  </sheetViews>
  <sheetFormatPr defaultColWidth="9.21875" defaultRowHeight="15" x14ac:dyDescent="0.25"/>
  <cols>
    <col min="1" max="1" width="37.44140625" style="1" customWidth="1"/>
    <col min="2" max="3" width="33.21875" style="1" customWidth="1"/>
    <col min="4" max="4" width="86.77734375" style="1" customWidth="1"/>
    <col min="5" max="5" width="9.21875" style="1"/>
    <col min="6" max="6" width="19.21875" style="1" customWidth="1"/>
    <col min="7" max="16384" width="9.218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8820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83082</v>
      </c>
      <c r="C13" s="55">
        <v>2099</v>
      </c>
      <c r="D13" s="199" t="s">
        <v>4</v>
      </c>
      <c r="E13" s="200"/>
      <c r="F13" s="200"/>
      <c r="G13" s="29"/>
      <c r="H13" s="29"/>
      <c r="I13" s="29"/>
      <c r="J13" s="29"/>
      <c r="K13" s="29"/>
      <c r="L13" s="29"/>
      <c r="M13" s="29"/>
    </row>
    <row r="14" spans="1:13" x14ac:dyDescent="0.25">
      <c r="A14" s="51" t="str">
        <f>LEFT(A13,4)+1&amp;"–"&amp;RIGHT(A13,4)+1</f>
        <v>2024–2025</v>
      </c>
      <c r="B14" s="55">
        <v>42294</v>
      </c>
      <c r="C14" s="55">
        <v>297</v>
      </c>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1761</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8820</v>
      </c>
      <c r="C40" s="209"/>
      <c r="E40" s="32"/>
    </row>
    <row r="41" spans="1:13" ht="15.6" x14ac:dyDescent="0.3">
      <c r="A41" s="5" t="s">
        <v>192</v>
      </c>
      <c r="B41" s="194" t="str">
        <f>B10</f>
        <v>California Commision on the Status of Women and Girls</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8820</v>
      </c>
      <c r="C71" s="209"/>
    </row>
    <row r="72" spans="1:13" ht="15.6" x14ac:dyDescent="0.3">
      <c r="A72" s="5" t="s">
        <v>192</v>
      </c>
      <c r="B72" s="194" t="str">
        <f>B10</f>
        <v>California Commision on the Status of Women and Girls</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21875" defaultRowHeight="18" x14ac:dyDescent="0.35"/>
  <cols>
    <col min="1" max="1" width="9.21875" style="35"/>
    <col min="2" max="3" width="3.77734375" style="35" customWidth="1"/>
    <col min="4" max="4" width="35.77734375" style="35" customWidth="1"/>
    <col min="5" max="5" width="3.77734375" style="35" customWidth="1"/>
    <col min="6" max="6" width="16.77734375" style="36" customWidth="1"/>
    <col min="7" max="7" width="3.77734375" style="35" customWidth="1"/>
    <col min="8" max="8" width="16.77734375" style="36" customWidth="1"/>
    <col min="9" max="9" width="3.77734375" style="35" customWidth="1"/>
    <col min="10" max="10" width="16.77734375" style="36" customWidth="1"/>
    <col min="11" max="11" width="3.77734375" style="35" customWidth="1"/>
    <col min="12" max="12" width="16.77734375" style="36" customWidth="1"/>
    <col min="13" max="13" width="3.77734375" style="35" customWidth="1"/>
    <col min="14" max="14" width="16.77734375" style="36" customWidth="1"/>
    <col min="15" max="15" width="3.77734375" style="35" customWidth="1"/>
    <col min="16" max="16" width="17.77734375" style="36" bestFit="1" customWidth="1"/>
    <col min="17" max="17" width="3.77734375" style="35" customWidth="1"/>
    <col min="18" max="16384" width="9.218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8820 - California Commision on the Status of Women and Girls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20314</v>
      </c>
      <c r="G10" s="58"/>
      <c r="H10" s="61">
        <v>185794</v>
      </c>
      <c r="I10" s="58"/>
      <c r="J10" s="61">
        <v>80732</v>
      </c>
      <c r="K10" s="58"/>
      <c r="L10" s="63">
        <f>SUM(F10+H10-J10)</f>
        <v>125376</v>
      </c>
      <c r="M10" s="58"/>
      <c r="N10" s="61">
        <v>83082</v>
      </c>
      <c r="O10" s="58"/>
      <c r="P10" s="63">
        <f>L10-N10</f>
        <v>42294</v>
      </c>
      <c r="Q10" s="43"/>
    </row>
    <row r="11" spans="2:17" ht="19.2" thickTop="1" thickBot="1" x14ac:dyDescent="0.4">
      <c r="B11" s="41"/>
      <c r="C11" s="45" t="s">
        <v>19</v>
      </c>
      <c r="F11" s="62">
        <f>SUM(F10:F10)</f>
        <v>20314</v>
      </c>
      <c r="G11" s="58"/>
      <c r="H11" s="62">
        <f>SUM(H10:H10)</f>
        <v>185794</v>
      </c>
      <c r="I11" s="58"/>
      <c r="J11" s="62">
        <f>SUM(J10:J10)</f>
        <v>80732</v>
      </c>
      <c r="K11" s="58"/>
      <c r="L11" s="62">
        <f>SUM(L10:L10)</f>
        <v>125376</v>
      </c>
      <c r="M11" s="58"/>
      <c r="N11" s="62">
        <f>SUM(N10:N10)</f>
        <v>83082</v>
      </c>
      <c r="O11" s="58"/>
      <c r="P11" s="62">
        <f>SUM(P10:P10)</f>
        <v>42294</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77734375" style="74" customWidth="1"/>
    <col min="2" max="2" width="13.77734375" style="74" customWidth="1"/>
    <col min="3" max="3" width="2.77734375" style="96" customWidth="1"/>
    <col min="4" max="4" width="13.77734375" style="74" customWidth="1"/>
    <col min="5" max="5" width="2.77734375" style="96" customWidth="1"/>
    <col min="6" max="6" width="13.77734375" style="74" customWidth="1"/>
    <col min="7" max="7" width="2.77734375" style="74" customWidth="1"/>
    <col min="8" max="8" width="13.77734375" style="74" customWidth="1"/>
    <col min="9" max="9" width="2.77734375" style="74" customWidth="1"/>
    <col min="10" max="10" width="13.77734375" style="74" customWidth="1"/>
    <col min="11" max="11" width="2.77734375" style="96" customWidth="1"/>
    <col min="12" max="12" width="19.21875" style="74" customWidth="1"/>
    <col min="13" max="13" width="2.77734375" style="96" customWidth="1"/>
    <col min="14" max="14" width="25.77734375" style="74" customWidth="1"/>
    <col min="15" max="15" width="2.77734375" style="74" customWidth="1"/>
    <col min="16" max="16" width="13.77734375" style="74" customWidth="1"/>
    <col min="17" max="17" width="2.77734375" style="74" customWidth="1"/>
    <col min="18" max="19" width="0" style="74" hidden="1" customWidth="1"/>
    <col min="20" max="16384" width="9.218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20314</v>
      </c>
      <c r="C16" s="116" t="s">
        <v>146</v>
      </c>
      <c r="D16" s="84">
        <f>IF('LS-Fund 0001 Journal Entries'!$F$8="Governmental Fund",'LS-Fund 0001 Journal Entries'!$K$48,0)</f>
        <v>185794</v>
      </c>
      <c r="E16" s="118" t="s">
        <v>147</v>
      </c>
      <c r="F16" s="84">
        <f>IF('LS-Fund 0001 Journal Entries'!$F$8="Governmental Fund",'LS-Fund 0001 Journal Entries'!$J$68,0)</f>
        <v>80732</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125376</v>
      </c>
      <c r="M16" s="86"/>
      <c r="N16" s="88">
        <f>SUM('LS-Department Note Disclosure'!B13:B36)</f>
        <v>125376</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83082</v>
      </c>
      <c r="C42" s="92"/>
      <c r="E42" s="92"/>
      <c r="G42" s="115"/>
      <c r="H42" s="115"/>
      <c r="I42" s="115"/>
      <c r="J42" s="115"/>
      <c r="K42" s="92"/>
      <c r="L42" s="92"/>
      <c r="M42" s="93"/>
      <c r="N42" s="88">
        <f>'LS-Department Note Disclosure'!B13</f>
        <v>83082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20314</v>
      </c>
      <c r="J66" s="97">
        <f>SUM(D66)</f>
        <v>20314</v>
      </c>
      <c r="L66" s="98" t="str">
        <f>CONCATENATE("Balance July 1, ",LEFT('LS-Department Note Disclosure'!$B$8,4))</f>
        <v>Balance July 1, 2022</v>
      </c>
      <c r="N66" s="97">
        <f>'LS-Lease Liabilities'!F10</f>
        <v>20314</v>
      </c>
      <c r="P66" s="89">
        <f>J66-N66</f>
        <v>0</v>
      </c>
    </row>
    <row r="67" spans="1:17" x14ac:dyDescent="0.3">
      <c r="B67" s="79" t="s">
        <v>157</v>
      </c>
      <c r="D67" s="97">
        <f>$D$16</f>
        <v>185794</v>
      </c>
      <c r="E67" s="119" t="s">
        <v>146</v>
      </c>
      <c r="F67" s="79" t="s">
        <v>1756</v>
      </c>
      <c r="H67" s="97">
        <f>$J$16</f>
        <v>0</v>
      </c>
      <c r="J67" s="97">
        <f>SUM(D67,H67)</f>
        <v>185794</v>
      </c>
      <c r="L67" s="98" t="s">
        <v>13</v>
      </c>
      <c r="N67" s="97">
        <f>'LS-Lease Liabilities'!H10</f>
        <v>185794</v>
      </c>
      <c r="P67" s="89">
        <f t="shared" ref="P67:P69" si="0">J67-N67</f>
        <v>0</v>
      </c>
    </row>
    <row r="68" spans="1:17" x14ac:dyDescent="0.3">
      <c r="B68" s="79" t="s">
        <v>152</v>
      </c>
      <c r="D68" s="97">
        <f>$F$16</f>
        <v>80732</v>
      </c>
      <c r="E68" s="119" t="s">
        <v>146</v>
      </c>
      <c r="F68" s="79" t="s">
        <v>1753</v>
      </c>
      <c r="H68" s="97">
        <f>$H$16</f>
        <v>0</v>
      </c>
      <c r="J68" s="97">
        <f>SUM(D68,H68)</f>
        <v>80732</v>
      </c>
      <c r="L68" s="98" t="s">
        <v>14</v>
      </c>
      <c r="N68" s="97">
        <f>'LS-Lease Liabilities'!J10</f>
        <v>80732</v>
      </c>
      <c r="P68" s="89">
        <f t="shared" si="0"/>
        <v>0</v>
      </c>
    </row>
    <row r="69" spans="1:17" x14ac:dyDescent="0.3">
      <c r="B69" s="79" t="s">
        <v>156</v>
      </c>
      <c r="D69" s="97">
        <f>$B$42</f>
        <v>83082</v>
      </c>
      <c r="J69" s="97">
        <f>SUM(D69)</f>
        <v>83082</v>
      </c>
      <c r="L69" s="98" t="s">
        <v>15</v>
      </c>
      <c r="N69" s="97">
        <f>'LS-Lease Liabilities'!N10</f>
        <v>83082</v>
      </c>
      <c r="P69" s="89">
        <f t="shared" si="0"/>
        <v>0</v>
      </c>
    </row>
    <row r="70" spans="1:17" x14ac:dyDescent="0.3">
      <c r="D70" s="99"/>
    </row>
    <row r="71" spans="1:17" ht="16.05"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2E68DA3-A135-470D-ACF4-5646BFE1B166}"/>
</file>

<file path=customXml/itemProps2.xml><?xml version="1.0" encoding="utf-8"?>
<ds:datastoreItem xmlns:ds="http://schemas.openxmlformats.org/officeDocument/2006/customXml" ds:itemID="{4BF6B032-DA0D-4546-852F-D74EA5D9C891}"/>
</file>

<file path=customXml/itemProps3.xml><?xml version="1.0" encoding="utf-8"?>
<ds:datastoreItem xmlns:ds="http://schemas.openxmlformats.org/officeDocument/2006/customXml" ds:itemID="{A5CCA017-93AD-418D-8BF7-16514A8893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2024-04-30T17:00:21Z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