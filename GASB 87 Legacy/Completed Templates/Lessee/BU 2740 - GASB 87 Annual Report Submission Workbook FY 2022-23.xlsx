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2740\"/>
    </mc:Choice>
  </mc:AlternateContent>
  <xr:revisionPtr revIDLastSave="0" documentId="13_ncr:1_{02D1033F-FC78-475D-B54B-324B2DA08382}" xr6:coauthVersionLast="47" xr6:coauthVersionMax="47" xr10:uidLastSave="{00000000-0000-0000-0000-000000000000}"/>
  <bookViews>
    <workbookView xWindow="22932" yWindow="-108" windowWidth="23256" windowHeight="12576" tabRatio="921" firstSheet="2" activeTab="2" xr2:uid="{00000000-000D-0000-FFFF-FFFF00000000}"/>
  </bookViews>
  <sheets>
    <sheet name="Drop Down Menus" sheetId="1" state="hidden" r:id="rId1"/>
    <sheet name="qryIndex02a" sheetId="11" state="hidden" r:id="rId2"/>
    <sheet name="LS-Version Changes" sheetId="13" r:id="rId3"/>
    <sheet name="LS-Fund 0044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0044 Journal Entries'!$A$1:$R$129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4" i="2" l="1"/>
  <c r="M18" i="2" l="1"/>
  <c r="K58" i="2"/>
  <c r="M17" i="2" l="1"/>
  <c r="N22" i="2"/>
  <c r="N10" i="4" l="1"/>
  <c r="J10" i="4"/>
  <c r="H10" i="4"/>
  <c r="F10" i="4"/>
  <c r="D17" i="3" l="1"/>
  <c r="B16" i="3" l="1"/>
  <c r="K76" i="2"/>
  <c r="J75" i="2"/>
  <c r="B13" i="3"/>
  <c r="J63" i="2"/>
  <c r="J16" i="7" l="1"/>
  <c r="H16" i="7"/>
  <c r="F16" i="7"/>
  <c r="D16" i="7"/>
  <c r="B16" i="7"/>
  <c r="B42" i="7"/>
  <c r="N23" i="2" l="1"/>
  <c r="C18" i="3" l="1"/>
  <c r="C17" i="3"/>
  <c r="C16" i="3"/>
  <c r="C15" i="3"/>
  <c r="C14" i="3"/>
  <c r="C13" i="3"/>
  <c r="B18" i="3"/>
  <c r="B17" i="3"/>
  <c r="B15" i="3"/>
  <c r="B14" i="3"/>
  <c r="K69" i="2" l="1"/>
  <c r="J68" i="2"/>
  <c r="J62" i="2"/>
  <c r="J55" i="2"/>
  <c r="K90" i="2" l="1"/>
  <c r="Q24" i="2" l="1"/>
  <c r="P18" i="2"/>
  <c r="K129" i="2" l="1"/>
  <c r="S20" i="2"/>
  <c r="K20" i="2"/>
  <c r="K125" i="2" s="1"/>
  <c r="J18" i="2" l="1"/>
  <c r="S25" i="2"/>
  <c r="S24" i="2"/>
  <c r="S23" i="2"/>
  <c r="K23" i="2"/>
  <c r="K128" i="2" s="1"/>
  <c r="S22" i="2"/>
  <c r="K22" i="2"/>
  <c r="K127" i="2" s="1"/>
  <c r="S21" i="2"/>
  <c r="K21" i="2"/>
  <c r="K126" i="2" s="1"/>
  <c r="S19" i="2"/>
  <c r="S17" i="2"/>
  <c r="J17" i="2"/>
  <c r="K124" i="2" s="1"/>
  <c r="S16" i="2"/>
  <c r="J16" i="2"/>
  <c r="K123" i="2" s="1"/>
  <c r="S15" i="2"/>
  <c r="J15" i="2"/>
  <c r="K122"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<sst xmlns="http://schemas.openxmlformats.org/spreadsheetml/2006/main" count="7783" uniqueCount="1761">
  <si>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</si>
  <si>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</si>
  <si>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</si>
  <si>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</si>
  <si>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</si>
  <si>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</si>
  <si>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</si>
  <si>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</si>
  <si>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</si>
  <si>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</si>
  <si>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</si>
  <si>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</si>
  <si>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</si>
  <si>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</si>
  <si>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</si>
  <si>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</si>
  <si>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</si>
  <si>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</si>
  <si>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</si>
  <si>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</si>
  <si>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</si>
  <si>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</si>
  <si>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</si>
  <si>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</si>
  <si>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</si>
  <si>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</si>
  <si>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</si>
  <si>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</si>
  <si>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</si>
  <si>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</si>
  <si>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</si>
  <si>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</si>
  <si>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</si>
  <si>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</si>
  <si>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</si>
  <si>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</si>
  <si>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</si>
  <si>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</si>
  <si>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</si>
  <si>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</si>
  <si>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</si>
  <si>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</si>
  <si>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</si>
  <si>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</si>
  <si>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</si>
  <si>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</si>
  <si>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</si>
  <si>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</si>
  <si>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</si>
  <si>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</si>
  <si>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</si>
  <si>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</si>
  <si>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</si>
  <si>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</si>
  <si>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</si>
  <si>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</si>
  <si>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</si>
  <si>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</si>
  <si>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</si>
  <si>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</si>
  <si>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</si>
  <si>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</si>
  <si>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</si>
  <si>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</si>
  <si>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</si>
  <si>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</si>
  <si>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</si>
  <si>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</si>
  <si>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</si>
  <si>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</si>
  <si>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</si>
  <si>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</si>
  <si>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</si>
  <si>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</si>
  <si>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</si>
  <si>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</si>
  <si>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</si>
  <si>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</si>
  <si>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</si>
  <si>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</si>
  <si>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</si>
  <si>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</si>
  <si>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</si>
  <si>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</si>
  <si>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</si>
  <si>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</si>
  <si>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</si>
  <si>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</si>
  <si>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</si>
  <si>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</si>
  <si>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</si>
  <si>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</si>
  <si>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</si>
  <si>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</si>
  <si>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</si>
  <si>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</si>
  <si>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</si>
  <si>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</si>
  <si>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</si>
  <si>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</si>
  <si>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</si>
  <si>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</si>
  <si>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</si>
  <si>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</si>
  <si>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</si>
  <si>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</si>
  <si>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</si>
  <si>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</si>
  <si>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</si>
  <si>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</si>
  <si>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</si>
  <si>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</si>
  <si>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</si>
  <si>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</si>
  <si>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</si>
  <si>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</si>
  <si>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</si>
  <si>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</si>
  <si>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</si>
  <si>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</si>
  <si>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</si>
  <si>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</si>
  <si>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</si>
  <si>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</si>
  <si>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</si>
  <si>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</si>
  <si>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</si>
  <si>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</si>
  <si>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</si>
  <si>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</si>
  <si>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</si>
  <si>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</si>
  <si>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</si>
  <si>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</si>
  <si>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</si>
  <si>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</si>
  <si>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</si>
  <si>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</si>
  <si>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</si>
  <si>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</si>
  <si>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</si>
  <si>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</si>
  <si>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</si>
  <si>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</si>
  <si>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</si>
  <si>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</si>
  <si>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</si>
  <si>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</si>
  <si>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</si>
  <si>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</si>
  <si>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</si>
  <si>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</si>
  <si>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</si>
  <si>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</si>
  <si>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</si>
  <si>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</si>
  <si>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</si>
  <si>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</si>
  <si>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</si>
  <si>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</si>
  <si>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</si>
  <si>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</si>
  <si>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</si>
  <si>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</si>
  <si>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</si>
  <si>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</si>
  <si>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</si>
  <si>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</si>
  <si>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</si>
  <si>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</si>
  <si>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</si>
  <si>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</si>
  <si>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</si>
  <si>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</si>
  <si>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</si>
  <si>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</si>
  <si>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</si>
  <si>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</si>
  <si>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</si>
  <si>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</si>
  <si>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</si>
  <si>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</si>
  <si>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</si>
  <si>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</si>
  <si>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</si>
  <si>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</si>
  <si>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</si>
  <si>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</si>
  <si>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</si>
  <si>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</si>
  <si>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</si>
  <si>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</si>
  <si>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</si>
  <si>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</si>
  <si>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</si>
  <si>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</si>
  <si>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</si>
  <si>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</si>
  <si>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</si>
  <si>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</si>
  <si>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</si>
  <si>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</si>
  <si>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</si>
  <si>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</si>
  <si>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</si>
  <si>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</si>
  <si>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</si>
  <si>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</si>
  <si>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</si>
  <si>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</si>
  <si>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</si>
  <si>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</si>
  <si>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</si>
  <si>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</si>
  <si>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</si>
  <si>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</si>
  <si>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</si>
  <si>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</si>
  <si>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</si>
  <si>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</si>
  <si>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</si>
  <si>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</si>
  <si>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</si>
  <si>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</si>
  <si>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</si>
  <si>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</si>
  <si>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</si>
  <si>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</si>
  <si>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</si>
  <si>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</si>
  <si>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</si>
  <si>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</si>
  <si>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</si>
  <si>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</si>
  <si>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</si>
  <si>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</si>
  <si>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</si>
  <si>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</si>
  <si>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</si>
  <si>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</si>
  <si>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</si>
  <si>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</si>
  <si>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</si>
  <si>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</si>
  <si>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</si>
  <si>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</si>
  <si>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</si>
  <si>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</si>
  <si>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</si>
  <si>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</si>
  <si>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</si>
  <si>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</si>
  <si>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</si>
  <si>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</si>
  <si>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</si>
  <si>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</si>
  <si>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</si>
  <si>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</si>
  <si>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</si>
  <si>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</si>
  <si>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</si>
  <si>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</si>
  <si>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</si>
  <si>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</si>
  <si>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</si>
  <si>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</si>
  <si>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</si>
  <si>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</si>
  <si>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</si>
  <si>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</si>
  <si>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</si>
  <si>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</si>
  <si>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</si>
  <si>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</si>
  <si>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</si>
  <si>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</si>
  <si>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</si>
  <si>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</si>
  <si>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</si>
  <si>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</si>
  <si>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</si>
  <si>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</si>
  <si>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</si>
  <si>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</si>
  <si>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</si>
  <si>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</si>
  <si>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</si>
  <si>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</si>
  <si>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</si>
  <si>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</si>
  <si>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</si>
  <si>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</si>
  <si>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</si>
  <si>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</si>
  <si>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</si>
  <si>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</si>
  <si>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</si>
  <si>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</si>
  <si>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</si>
  <si>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</si>
  <si>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</si>
  <si>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</si>
  <si>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</si>
  <si>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</si>
  <si>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</si>
  <si>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</si>
  <si>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</si>
  <si>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</si>
  <si>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</si>
  <si>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</si>
  <si>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</si>
  <si>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</si>
  <si>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</si>
  <si>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</si>
  <si>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</si>
  <si>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</si>
  <si>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</si>
  <si>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</si>
  <si>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</si>
  <si>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</si>
  <si>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</si>
  <si>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</si>
  <si>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</si>
  <si>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</si>
  <si>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</si>
  <si>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</si>
  <si>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</si>
  <si>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</si>
  <si>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</si>
  <si>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</si>
  <si>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</si>
  <si>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</si>
  <si>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</si>
  <si>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</si>
  <si>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</si>
  <si>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</si>
  <si>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</si>
  <si>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</si>
  <si>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</si>
  <si>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</si>
  <si>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</si>
  <si>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</si>
  <si>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</si>
  <si>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</si>
  <si>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</si>
  <si>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</si>
  <si>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</si>
  <si>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</si>
  <si>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</si>
  <si>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</si>
  <si>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</si>
  <si>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</si>
  <si>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</si>
  <si>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</si>
  <si>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</si>
  <si>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</si>
  <si>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</si>
  <si>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</si>
  <si>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</si>
  <si>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</si>
  <si>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</si>
  <si>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</si>
  <si>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</si>
  <si>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</si>
  <si>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</si>
  <si>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</si>
  <si>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</si>
  <si>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</si>
  <si>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</si>
  <si>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</si>
  <si>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</si>
  <si>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</si>
  <si>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</si>
  <si>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</si>
  <si>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</si>
  <si>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</si>
  <si>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</si>
  <si>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</si>
  <si>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</si>
  <si>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</si>
  <si>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</si>
  <si>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</si>
  <si>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</si>
  <si>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</si>
  <si>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</si>
  <si>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</si>
  <si>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</si>
  <si>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</si>
  <si>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</si>
  <si>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</si>
  <si>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</si>
  <si>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</si>
  <si>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</si>
  <si>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</si>
  <si>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</si>
  <si>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</si>
  <si>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</si>
  <si>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</si>
  <si>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</si>
  <si>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</si>
  <si>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</si>
  <si>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</si>
  <si>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</si>
  <si>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</si>
  <si>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</si>
  <si>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</si>
  <si>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</si>
  <si>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</si>
  <si>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</si>
  <si>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</si>
  <si>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</si>
  <si>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</si>
  <si>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</si>
  <si>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</si>
  <si>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</si>
  <si>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</si>
  <si>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</si>
  <si>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</si>
  <si>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</si>
  <si>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</si>
  <si>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</si>
  <si>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</si>
  <si>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</si>
  <si>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</si>
  <si>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</si>
  <si>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</si>
  <si>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</si>
  <si>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</si>
  <si>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</si>
  <si>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</si>
  <si>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</si>
  <si>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</si>
  <si>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</si>
  <si>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</si>
  <si>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</si>
  <si>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</si>
  <si>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</si>
  <si>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</si>
  <si>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</si>
  <si>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</si>
  <si>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</si>
  <si>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</si>
  <si>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</si>
  <si>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</si>
  <si>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</si>
  <si>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</si>
  <si>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</si>
  <si>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</si>
  <si>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</si>
  <si>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</si>
  <si>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</si>
  <si>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</si>
  <si>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</si>
  <si>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</si>
  <si>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</si>
  <si>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</si>
  <si>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</si>
  <si>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</si>
  <si>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</si>
  <si>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</si>
  <si>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</si>
  <si>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</si>
  <si>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</si>
  <si>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</si>
  <si>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</si>
  <si>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</si>
  <si>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</si>
  <si>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</si>
  <si>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</si>
  <si>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</si>
  <si>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</si>
  <si>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</si>
  <si>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</si>
  <si>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</si>
  <si>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</si>
  <si>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</si>
  <si>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</si>
  <si>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</si>
  <si>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</si>
  <si>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</si>
  <si>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</si>
  <si>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</si>
  <si>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</si>
  <si>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</si>
  <si>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</si>
  <si>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</si>
  <si>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</si>
  <si>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</si>
  <si>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</si>
  <si>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</si>
  <si>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</si>
  <si>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</si>
  <si>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</si>
  <si>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</si>
  <si>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</si>
  <si>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</si>
  <si>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</si>
  <si>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</si>
  <si>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</si>
  <si>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</si>
  <si>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</si>
  <si>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</si>
  <si>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</si>
  <si>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</si>
  <si>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</si>
  <si>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</si>
  <si>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</si>
  <si>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</si>
  <si>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</si>
  <si>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</si>
  <si>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</si>
  <si>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</si>
  <si>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</si>
  <si>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</si>
  <si>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</si>
  <si>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</si>
  <si>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</si>
  <si>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</si>
  <si>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</si>
  <si>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</si>
  <si>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</si>
  <si>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</si>
  <si>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</si>
  <si>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</si>
  <si>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</si>
  <si>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</si>
  <si>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</si>
  <si>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</si>
  <si>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</si>
  <si>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</si>
  <si>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</si>
  <si>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</si>
  <si>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</si>
  <si>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</si>
  <si>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</si>
  <si>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</si>
  <si>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</si>
  <si>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</si>
  <si>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</si>
  <si>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</si>
  <si>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</si>
  <si>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</si>
  <si>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</si>
  <si>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</si>
  <si>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</si>
  <si>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</si>
  <si>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</si>
  <si>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</si>
  <si>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</si>
  <si>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</si>
  <si>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</si>
  <si>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</si>
  <si>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</si>
  <si>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</si>
  <si>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</si>
  <si>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</si>
  <si>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</si>
  <si>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</si>
  <si>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</si>
  <si>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</si>
  <si>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</si>
  <si>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</si>
  <si>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</si>
  <si>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</si>
  <si>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</si>
  <si>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</si>
  <si>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</si>
  <si>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</si>
  <si>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</si>
  <si>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</si>
  <si>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</si>
  <si>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</si>
  <si>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</si>
  <si>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</si>
  <si>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</si>
  <si>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</si>
  <si>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</si>
  <si>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</si>
  <si>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</si>
  <si>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</si>
  <si>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</si>
  <si>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</si>
  <si>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</si>
  <si>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</si>
  <si>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</si>
  <si>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</si>
  <si>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</si>
  <si>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</si>
  <si>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</si>
  <si>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</si>
  <si>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</si>
  <si>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</si>
  <si>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</si>
  <si>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</si>
  <si>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</si>
  <si>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</si>
  <si>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</si>
  <si>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</si>
  <si>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</si>
  <si>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</si>
  <si>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</si>
  <si>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</si>
  <si>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</si>
  <si>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</si>
  <si>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</si>
  <si>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</si>
  <si>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</si>
  <si>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</si>
  <si>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</si>
  <si>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</si>
  <si>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</si>
  <si>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</si>
  <si>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</si>
  <si>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</si>
  <si>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</si>
  <si>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</si>
  <si>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</si>
  <si>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</si>
  <si>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</si>
  <si>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</si>
  <si>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</si>
  <si>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</si>
  <si>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</si>
  <si>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</si>
  <si>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</si>
  <si>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</si>
  <si>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</si>
  <si>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</si>
  <si>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</si>
  <si>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</si>
  <si>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</si>
  <si>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</si>
  <si>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</si>
  <si>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</si>
  <si>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</si>
  <si>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</si>
  <si>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</si>
  <si>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</si>
  <si>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</si>
  <si>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</si>
  <si>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</si>
  <si>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</si>
  <si>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</si>
  <si>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</si>
  <si>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</si>
  <si>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</si>
  <si>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</si>
  <si>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</si>
  <si>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</si>
  <si>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</si>
  <si>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</si>
  <si>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</si>
  <si>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</si>
  <si>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</si>
  <si>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</si>
  <si>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</si>
  <si>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</si>
  <si>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</si>
  <si>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</si>
  <si>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</si>
  <si>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</si>
  <si>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</si>
  <si>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</si>
  <si>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</si>
  <si>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</si>
  <si>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</si>
  <si>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</si>
  <si>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</si>
  <si>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</si>
  <si>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</si>
  <si>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</si>
  <si>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</si>
  <si>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</si>
  <si>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</si>
  <si>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</si>
  <si>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</si>
  <si>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</si>
  <si>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</si>
  <si>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</si>
  <si>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</si>
  <si>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</si>
  <si>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</si>
  <si>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</si>
  <si>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</si>
  <si>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</si>
  <si>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</si>
  <si>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</si>
  <si>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</si>
  <si>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</si>
  <si>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</si>
  <si>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</si>
  <si>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</si>
  <si>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</si>
  <si>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</si>
  <si>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</si>
  <si>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</si>
  <si>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</si>
  <si>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</si>
  <si>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</si>
  <si>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</si>
  <si>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</si>
  <si>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</si>
  <si>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</si>
  <si>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</si>
  <si>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</si>
  <si>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</si>
  <si>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</si>
  <si>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</si>
  <si>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</si>
  <si>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</si>
  <si>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</si>
  <si>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</si>
  <si>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</si>
  <si>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</si>
  <si>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</si>
  <si>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</si>
  <si>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</si>
  <si>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</si>
  <si>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</si>
  <si>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</si>
  <si>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</si>
  <si>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</si>
  <si>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</si>
  <si>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</si>
  <si>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</si>
  <si>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</si>
  <si>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</si>
  <si>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</si>
  <si>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</si>
  <si>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</si>
  <si>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</si>
  <si>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</si>
  <si>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</si>
  <si>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</si>
  <si>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</si>
  <si>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</si>
  <si>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</si>
  <si>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</si>
  <si>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</si>
  <si>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</si>
  <si>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</si>
  <si>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</si>
  <si>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</si>
  <si>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</si>
  <si>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</si>
  <si>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</si>
  <si>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</si>
  <si>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</si>
  <si>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</si>
  <si>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</si>
  <si>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</si>
  <si>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</si>
  <si>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</si>
  <si>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</si>
  <si>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</si>
  <si>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</si>
  <si>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</si>
  <si>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</si>
  <si>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</si>
  <si>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</si>
  <si>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</si>
  <si>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</si>
  <si>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</si>
  <si>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</si>
  <si>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</si>
  <si>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</si>
  <si>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</si>
  <si>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</si>
  <si>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</si>
  <si>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</si>
  <si>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</si>
  <si>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</si>
  <si>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</si>
  <si>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</si>
  <si>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</si>
  <si>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</si>
  <si>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</si>
  <si>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</si>
  <si>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</si>
  <si>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</si>
  <si>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</si>
  <si>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</si>
  <si>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</si>
  <si>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</si>
  <si>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</si>
  <si>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</si>
  <si>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</si>
  <si>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</si>
  <si>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</si>
  <si>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</si>
  <si>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</si>
  <si>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</si>
  <si>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</si>
  <si>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</si>
  <si>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</si>
  <si>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</si>
  <si>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</si>
  <si>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</si>
  <si>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</si>
  <si>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</si>
  <si>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</si>
  <si>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</si>
  <si>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</si>
  <si>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</si>
  <si>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</si>
  <si>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</si>
  <si>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</si>
  <si>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</si>
  <si>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</si>
  <si>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</si>
  <si>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</si>
  <si>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</si>
  <si>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</si>
  <si>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</si>
  <si>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</si>
  <si>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</si>
  <si>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</si>
  <si>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</si>
  <si>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</si>
  <si>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</si>
  <si>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</si>
  <si>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</si>
  <si>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</si>
  <si>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</si>
  <si>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</si>
  <si>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</si>
  <si>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</si>
  <si>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</si>
  <si>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</si>
  <si>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</si>
  <si>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</si>
  <si>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</si>
  <si>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</si>
  <si>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</si>
  <si>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</si>
  <si>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</si>
  <si>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</si>
  <si>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</si>
  <si>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</si>
  <si>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</si>
  <si>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</si>
  <si>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</si>
  <si>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</si>
  <si>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</si>
  <si>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</si>
  <si>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</si>
  <si>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</si>
  <si>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</si>
  <si>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</si>
  <si>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</si>
  <si>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</si>
  <si>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</si>
  <si>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</si>
  <si>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</si>
  <si>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</si>
  <si>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</si>
  <si>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</si>
  <si>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</si>
  <si>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</si>
  <si>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</si>
  <si>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</si>
  <si>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</si>
  <si>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</si>
  <si>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</si>
  <si>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</si>
  <si>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</si>
  <si>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</si>
  <si>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</si>
  <si>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</si>
  <si>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</si>
  <si>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</si>
  <si>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</si>
  <si>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</si>
  <si>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</si>
  <si>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</si>
  <si>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</si>
  <si>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</si>
  <si>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</si>
  <si>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</si>
  <si>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</si>
  <si>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</si>
  <si>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</si>
  <si>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</si>
  <si>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</si>
  <si>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</si>
  <si>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</si>
  <si>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</si>
  <si>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</si>
  <si>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</si>
  <si>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</si>
  <si>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</si>
  <si>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</si>
  <si>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</si>
  <si>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</si>
  <si>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</si>
  <si>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</si>
  <si>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</si>
  <si>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</si>
  <si>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</si>
  <si>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</si>
  <si>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</si>
  <si>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</si>
  <si>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</si>
  <si>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</si>
  <si>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</si>
  <si>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</si>
  <si>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</si>
  <si>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</si>
  <si>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</si>
  <si>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</si>
  <si>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</si>
  <si>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</si>
  <si>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</si>
  <si>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</si>
  <si>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</si>
  <si>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</si>
  <si>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</si>
  <si>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</si>
  <si>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</si>
  <si>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</si>
  <si>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</si>
  <si>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</si>
  <si>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</si>
  <si>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</si>
  <si>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</si>
  <si>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</si>
  <si>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</si>
  <si>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</si>
  <si>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</si>
  <si>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</si>
  <si>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</si>
  <si>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</si>
  <si>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</si>
  <si>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</si>
  <si>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</si>
  <si>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</si>
  <si>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</si>
  <si>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</si>
  <si>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</si>
  <si>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</si>
  <si>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</si>
  <si>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</si>
  <si>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</si>
  <si>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</si>
  <si>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</si>
  <si>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</si>
  <si>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</si>
  <si>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</si>
  <si>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</si>
  <si>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</si>
  <si>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</si>
  <si>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</si>
  <si>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</si>
  <si>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</si>
  <si>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</si>
  <si>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</si>
  <si>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</si>
  <si>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</si>
  <si>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</si>
  <si>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</si>
  <si>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</si>
  <si>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</si>
  <si>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</si>
  <si>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</si>
  <si>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</si>
  <si>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</si>
  <si>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</si>
  <si>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</si>
  <si>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</si>
  <si>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</si>
  <si>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</si>
  <si>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</si>
  <si>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</si>
  <si>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</si>
  <si>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</si>
  <si>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</si>
  <si>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</si>
  <si>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</si>
  <si>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</si>
  <si>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</si>
  <si>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</si>
  <si>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</si>
  <si>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</si>
  <si>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</si>
  <si>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</si>
  <si>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</si>
  <si>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</si>
  <si>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</si>
  <si>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</si>
  <si>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</si>
  <si>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</si>
  <si>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</si>
  <si>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</si>
  <si>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</si>
  <si>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</si>
  <si>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</si>
  <si>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</si>
  <si>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</si>
  <si>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</si>
  <si>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</si>
  <si>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</si>
  <si>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</si>
  <si>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</si>
  <si>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</si>
  <si>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</si>
  <si>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</si>
  <si>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</si>
  <si>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</si>
  <si>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</si>
  <si>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</si>
  <si>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</si>
  <si>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</si>
  <si>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</si>
  <si>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</si>
  <si>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</si>
  <si>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</si>
  <si>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</si>
  <si>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</si>
  <si>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</si>
  <si>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</si>
  <si>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</si>
  <si>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</si>
  <si>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</si>
  <si>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</si>
  <si>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</si>
  <si>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</si>
  <si>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</si>
  <si>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</si>
  <si>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</si>
  <si>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</si>
  <si>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</si>
  <si>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</si>
  <si>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</si>
  <si>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</si>
  <si>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</si>
  <si>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</si>
  <si>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</si>
  <si>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</si>
  <si>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</si>
  <si>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</si>
  <si>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</si>
  <si>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</si>
  <si>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</si>
  <si>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</si>
  <si>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</si>
  <si>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</si>
  <si>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</si>
  <si>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</si>
  <si>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</si>
  <si>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</si>
  <si>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</si>
  <si>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</si>
  <si>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</si>
  <si>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</si>
  <si>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</si>
  <si>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</si>
  <si>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</si>
  <si>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</si>
  <si>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</si>
  <si>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</si>
  <si>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</si>
  <si>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</si>
  <si>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</si>
  <si>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</si>
  <si>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</si>
  <si>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</si>
  <si>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</si>
  <si>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</si>
  <si>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</si>
  <si>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</si>
  <si>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</si>
  <si>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</si>
  <si>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</si>
  <si>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</si>
  <si>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</si>
  <si>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</si>
  <si>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</si>
  <si>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</si>
  <si>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</si>
  <si>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</si>
  <si>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</si>
  <si>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</si>
  <si>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</si>
  <si>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</si>
  <si>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</si>
  <si>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</si>
  <si>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</si>
  <si>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</si>
  <si>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</si>
  <si>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</si>
  <si>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</si>
  <si>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</si>
  <si>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</si>
  <si>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</si>
  <si>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</si>
  <si>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</si>
  <si>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</si>
  <si>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</si>
  <si>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</si>
  <si>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</si>
  <si>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</si>
  <si>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</si>
  <si>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</si>
  <si>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</si>
  <si>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</si>
  <si>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</si>
  <si>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</si>
  <si>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</si>
  <si>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</si>
  <si>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</si>
  <si>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</si>
  <si>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</si>
  <si>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</si>
  <si>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</si>
  <si>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</si>
  <si>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</si>
  <si>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</si>
  <si>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</si>
  <si>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</si>
  <si>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</si>
  <si>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</si>
  <si>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</si>
  <si>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</si>
  <si>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</si>
  <si>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</si>
  <si>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</si>
  <si>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</si>
  <si>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</si>
  <si>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</si>
  <si>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</si>
  <si>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</si>
  <si>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</si>
  <si>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</si>
  <si>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</si>
  <si>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</si>
  <si>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</si>
  <si>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</si>
  <si>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</si>
  <si>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</si>
  <si>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</si>
  <si>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</si>
  <si>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</si>
  <si>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</si>
  <si>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</si>
  <si>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</si>
  <si>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</si>
  <si>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</si>
  <si>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</si>
  <si>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</si>
  <si>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</si>
  <si>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</si>
  <si>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</si>
  <si>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</si>
  <si>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</si>
  <si>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</si>
  <si>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</si>
  <si>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</si>
  <si>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</si>
  <si>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</si>
  <si>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</si>
  <si>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</si>
  <si>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</si>
  <si>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</si>
  <si>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</si>
  <si>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</si>
  <si>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</si>
  <si>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</si>
  <si>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</si>
  <si>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</si>
  <si>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</si>
  <si>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</si>
  <si>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</si>
  <si>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</si>
  <si>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</si>
  <si>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</si>
  <si>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</si>
  <si>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</si>
  <si>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</si>
  <si>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</si>
  <si>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</si>
  <si>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</si>
  <si>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</si>
  <si>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</si>
  <si>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</si>
  <si>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</si>
  <si>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</si>
  <si>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</si>
  <si>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</si>
  <si>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</si>
  <si>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</si>
  <si>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</si>
  <si>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</si>
  <si>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</si>
  <si>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</si>
  <si>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</si>
  <si>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</si>
  <si>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</si>
  <si>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</si>
  <si>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</si>
  <si>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</si>
  <si>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</si>
  <si>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</si>
  <si>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</si>
  <si>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</si>
  <si>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</si>
  <si>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</si>
  <si>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</si>
  <si>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</si>
  <si>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</si>
  <si>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</si>
  <si>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</si>
  <si>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</si>
  <si>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</si>
  <si>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</si>
  <si>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</si>
  <si>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</si>
  <si>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</si>
  <si>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</si>
  <si>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</si>
  <si>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</si>
  <si>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</si>
  <si>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</si>
  <si>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</si>
  <si>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</si>
  <si>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</si>
  <si>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</si>
  <si>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</si>
  <si>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</si>
  <si>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</si>
  <si>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</si>
  <si>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</si>
  <si>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</si>
  <si>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</si>
  <si>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</si>
  <si>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</si>
  <si>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</si>
  <si>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</si>
  <si>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</si>
  <si>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</si>
  <si>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</si>
  <si>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</si>
  <si>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</si>
  <si>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</si>
  <si>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</si>
  <si>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</si>
  <si>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</si>
  <si>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</si>
  <si>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</si>
  <si>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</si>
  <si>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</si>
  <si>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</si>
  <si>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</si>
  <si>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</si>
  <si>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</si>
  <si>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</si>
  <si>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</si>
  <si>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</si>
  <si>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</si>
  <si>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</si>
  <si>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</si>
  <si>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</si>
  <si>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</si>
  <si>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</si>
  <si>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</si>
  <si>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</si>
  <si>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</si>
  <si>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</si>
  <si>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</si>
  <si>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</si>
  <si>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</si>
  <si>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</si>
  <si>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</si>
  <si>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</si>
  <si>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</si>
  <si>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</si>
  <si>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</si>
  <si>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</si>
  <si>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</si>
  <si>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</si>
  <si>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</si>
  <si>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</si>
  <si>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</si>
  <si>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</si>
  <si>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</si>
  <si>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</si>
  <si>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</si>
  <si>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</si>
  <si>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</si>
  <si>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</si>
  <si>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</si>
  <si>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</si>
  <si>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</si>
  <si>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</si>
  <si>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</si>
  <si>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</si>
  <si>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</si>
  <si>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</si>
  <si>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</si>
  <si>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</si>
  <si>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</si>
  <si>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</si>
  <si>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</si>
  <si>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</si>
  <si>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</si>
  <si>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</si>
  <si>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</si>
  <si>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</si>
  <si>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</si>
  <si>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</si>
  <si>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</si>
  <si>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</si>
  <si>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</si>
  <si>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</si>
  <si>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</si>
  <si>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</si>
  <si>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</si>
  <si>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</si>
  <si>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</si>
  <si>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</si>
  <si>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</si>
  <si>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</si>
  <si>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</si>
  <si>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</si>
  <si>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</si>
  <si>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</si>
  <si>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</si>
  <si>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</si>
  <si>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</si>
  <si>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</si>
  <si>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</si>
  <si>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</si>
  <si>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</si>
  <si>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</si>
  <si>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</si>
  <si>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</si>
  <si>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</si>
  <si>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</si>
  <si>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</si>
  <si>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</si>
  <si>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</si>
  <si>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</si>
  <si>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</si>
  <si>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</si>
  <si>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</si>
  <si>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</si>
  <si>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</si>
  <si>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</si>
  <si>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</si>
  <si>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</si>
  <si>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</si>
  <si>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</si>
  <si>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</si>
  <si>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</si>
  <si>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</si>
  <si>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</si>
  <si>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</si>
  <si>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</si>
  <si>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</si>
  <si>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</si>
  <si>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</si>
  <si>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</si>
  <si>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</si>
  <si>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</si>
  <si>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</si>
  <si>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</si>
  <si>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</si>
  <si>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</si>
  <si>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</si>
  <si>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</si>
  <si>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</si>
  <si>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</si>
  <si>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</si>
  <si>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</si>
  <si>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</si>
  <si>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</si>
  <si>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</si>
  <si>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</si>
  <si>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</si>
  <si>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</si>
  <si>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</si>
  <si>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</si>
  <si>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</si>
  <si>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</si>
  <si>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</si>
  <si>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</si>
  <si>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</si>
  <si>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</si>
  <si>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</si>
  <si>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</si>
  <si>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</si>
  <si>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</si>
  <si>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</si>
  <si>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</si>
  <si>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</si>
  <si>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</si>
  <si>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</si>
  <si>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</si>
  <si>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</si>
  <si>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</si>
  <si>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</si>
  <si>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</si>
  <si>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</si>
  <si>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</si>
  <si>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</si>
  <si>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</si>
  <si>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</si>
  <si>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</si>
  <si>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</si>
  <si>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</si>
  <si>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</si>
  <si>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</si>
  <si>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</si>
  <si>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</si>
  <si>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</si>
  <si>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</si>
  <si>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</si>
  <si>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</si>
  <si>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</si>
  <si>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</si>
  <si>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</si>
  <si>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</si>
  <si>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</si>
  <si>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</si>
  <si>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</si>
  <si>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</si>
  <si>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</si>
  <si>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</si>
  <si>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</si>
  <si>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</si>
  <si>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</si>
  <si>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</si>
  <si>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</si>
  <si>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</si>
  <si>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</si>
  <si>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</si>
  <si>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</si>
  <si>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</si>
  <si>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</si>
  <si>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</si>
  <si>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</si>
  <si>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</si>
  <si>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</si>
  <si>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</si>
  <si>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</si>
  <si>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</si>
  <si>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</si>
  <si>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</si>
  <si>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</si>
  <si>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</si>
  <si>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</si>
  <si>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</si>
  <si>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</si>
  <si>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</si>
  <si>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</si>
  <si>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</si>
  <si>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</si>
  <si>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</si>
  <si>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</si>
  <si>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</si>
  <si>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</si>
  <si>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</si>
  <si>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</si>
  <si>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</si>
  <si>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</si>
  <si>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</si>
  <si>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</si>
  <si>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</si>
  <si>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</si>
  <si>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</si>
  <si>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</si>
  <si>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</si>
  <si>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</si>
  <si>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</si>
  <si>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</si>
  <si>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</si>
  <si>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</si>
  <si>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</si>
  <si>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</si>
  <si>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</si>
  <si>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</si>
  <si>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</si>
  <si>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</si>
  <si>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</si>
  <si>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</si>
  <si>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</si>
  <si>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</si>
  <si>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</si>
  <si>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</si>
  <si>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</si>
  <si>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</si>
  <si>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</si>
  <si>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</si>
  <si>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</si>
  <si>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</si>
  <si>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</si>
  <si>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</si>
  <si>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</si>
  <si>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</si>
  <si>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</si>
  <si>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</si>
  <si>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</si>
  <si>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</si>
  <si>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</si>
  <si>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</si>
  <si>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</si>
  <si>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</si>
  <si>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</si>
  <si>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</si>
  <si>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</si>
  <si>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</si>
  <si>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</si>
  <si>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</si>
  <si>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</si>
  <si>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</si>
  <si>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</si>
  <si>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</si>
  <si>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</si>
  <si>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</si>
  <si>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</si>
  <si>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</si>
  <si>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</si>
  <si>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</si>
  <si>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</si>
  <si>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</si>
  <si>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</si>
  <si>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</si>
  <si>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</si>
  <si>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</si>
  <si>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</si>
  <si>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</si>
  <si>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</si>
  <si>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</si>
  <si>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</si>
  <si>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</si>
  <si>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</si>
  <si>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</si>
  <si>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</si>
  <si>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</si>
  <si>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</si>
  <si>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</si>
  <si>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</si>
  <si>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</si>
  <si>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</si>
  <si>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</si>
  <si>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</si>
  <si>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</si>
  <si>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</si>
  <si>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</si>
  <si>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</si>
  <si>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</si>
  <si>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</si>
  <si>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</si>
  <si>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</si>
  <si>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</si>
  <si>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</si>
  <si>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</si>
  <si>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</si>
  <si>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</si>
  <si>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</si>
  <si>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</si>
  <si>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</si>
  <si>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</si>
  <si>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</si>
  <si>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</si>
  <si>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</si>
  <si>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</si>
  <si>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</si>
  <si>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</si>
  <si>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</si>
  <si>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</si>
  <si>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</si>
  <si>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</si>
  <si>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</si>
  <si>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</si>
  <si>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</si>
  <si>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</si>
  <si>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</si>
  <si>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</si>
  <si>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</si>
  <si>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</si>
  <si>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</si>
  <si>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</si>
  <si>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</si>
  <si>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</si>
  <si>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</si>
  <si>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</si>
  <si>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</si>
  <si>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</si>
  <si>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</si>
  <si>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</si>
  <si>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</si>
  <si>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</si>
  <si>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</si>
  <si>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</si>
  <si>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</si>
  <si>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</si>
  <si>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</si>
  <si>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</si>
  <si>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</si>
  <si>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</si>
  <si>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</si>
  <si>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</si>
  <si>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</si>
  <si>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</si>
  <si>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</si>
  <si>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</si>
  <si>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</si>
  <si>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</si>
  <si>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</si>
  <si>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</si>
  <si>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</si>
  <si>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</si>
  <si>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</si>
  <si>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</si>
  <si>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</si>
  <si>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</si>
  <si>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</si>
  <si>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</si>
  <si>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</si>
  <si>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</si>
  <si>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</si>
  <si>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</si>
  <si>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</si>
  <si>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</si>
  <si>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</si>
  <si>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</si>
  <si>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</si>
  <si>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</si>
  <si>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</si>
  <si>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</si>
  <si>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</si>
  <si>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</si>
  <si>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</si>
  <si>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</si>
  <si>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</si>
  <si>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</si>
  <si>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</si>
  <si>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</si>
  <si>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</si>
  <si>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</si>
  <si>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</si>
  <si>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</si>
  <si>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</si>
  <si>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</si>
  <si>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</si>
  <si>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</si>
  <si>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</si>
  <si>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</si>
  <si>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</si>
  <si>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</si>
  <si>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</si>
  <si>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</si>
  <si>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</si>
  <si>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</si>
  <si>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</si>
  <si>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</si>
  <si>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</si>
  <si>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</si>
  <si>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</si>
  <si>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</si>
  <si>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</si>
  <si>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</si>
  <si>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</si>
  <si>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</si>
  <si>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</si>
  <si>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</si>
  <si>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</si>
  <si>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</si>
  <si>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</si>
  <si>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</si>
  <si>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</si>
  <si>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</si>
  <si>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</si>
  <si>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</si>
  <si>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</si>
  <si>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</si>
  <si>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</si>
  <si>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</si>
  <si>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</si>
  <si>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</si>
  <si>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</si>
  <si>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</si>
  <si>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</si>
  <si>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</si>
  <si>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</si>
  <si>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</si>
  <si>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</si>
  <si>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</si>
  <si>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</si>
  <si>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</si>
  <si>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</si>
  <si>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</si>
  <si>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</si>
  <si>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</si>
  <si>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</si>
  <si>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</si>
  <si>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</si>
  <si>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</si>
  <si>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</si>
  <si>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</si>
  <si>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</si>
  <si>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</si>
  <si>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</si>
  <si>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</si>
  <si>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</si>
  <si>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</si>
  <si>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</si>
  <si>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</si>
  <si>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</si>
  <si>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</si>
  <si>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</si>
  <si>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</si>
  <si>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</si>
  <si>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</si>
  <si>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</si>
  <si>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</si>
  <si>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</si>
  <si>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</si>
  <si>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</si>
  <si>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</si>
  <si>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</si>
  <si>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</si>
  <si>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</si>
  <si>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</si>
  <si>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</si>
  <si>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</si>
  <si>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</si>
  <si>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</si>
  <si>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</si>
  <si>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</si>
  <si>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</si>
  <si>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</si>
  <si>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</si>
  <si>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</si>
  <si>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</si>
  <si>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</si>
  <si>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</si>
  <si>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</si>
  <si>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</si>
  <si>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</si>
  <si>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</si>
  <si>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</si>
  <si>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</si>
  <si>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</si>
  <si>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</si>
  <si>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</si>
  <si>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</si>
  <si>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</si>
  <si>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</si>
  <si>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</si>
  <si>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</si>
  <si>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</si>
  <si>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</si>
  <si>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</si>
  <si>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</si>
  <si>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</si>
  <si>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</si>
  <si>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</si>
  <si>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</si>
  <si>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</si>
  <si>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Motor Vehicles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</si>
</sst>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tabSelected="1" zoomScale="90" zoomScaleNormal="90" workbookViewId="0">
      <pane ySplit="10" topLeftCell="A11" activePane="bottomLeft" state="frozen"/>
      <selection activeCell="H56" sqref="H56"/>
      <selection pane="bottomLeft" activeCell="H14" sqref="H14"/>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sheetPr>
  <dimension ref="A1:S193"/>
  <sheetViews>
    <sheetView zoomScale="70" zoomScaleNormal="70" workbookViewId="0">
      <selection activeCell="I22" sqref="I22"/>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8" t="s">
        <v>1630</v>
      </c>
      <c r="B1" s="188"/>
      <c r="C1" s="188"/>
      <c r="D1" s="188"/>
      <c r="E1" s="188"/>
      <c r="F1" s="188"/>
      <c r="G1" s="188"/>
      <c r="H1" s="188"/>
      <c r="I1" s="188"/>
      <c r="J1" s="188"/>
      <c r="K1" s="188"/>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9" t="s">
        <v>11</v>
      </c>
      <c r="B3" s="189"/>
      <c r="C3" s="189"/>
      <c r="D3" s="189"/>
      <c r="E3" s="189"/>
      <c r="F3" s="190" t="s">
        <v>21</v>
      </c>
      <c r="G3" s="190"/>
      <c r="H3" s="190"/>
      <c r="I3" s="190"/>
    </row>
    <row r="4" spans="1:19" ht="16.5" customHeight="1" x14ac:dyDescent="0.25">
      <c r="A4" s="189" t="s">
        <v>192</v>
      </c>
      <c r="B4" s="189"/>
      <c r="C4" s="189"/>
      <c r="D4" s="189"/>
      <c r="E4" s="189"/>
      <c r="F4" s="191" t="s">
        <v>1760</v>
      </c>
      <c r="G4" s="191"/>
      <c r="H4" s="191"/>
      <c r="I4" s="191"/>
    </row>
    <row r="5" spans="1:19" ht="16.5" customHeight="1" x14ac:dyDescent="0.25">
      <c r="A5" s="189" t="s">
        <v>1616</v>
      </c>
      <c r="B5" s="189"/>
      <c r="C5" s="189"/>
      <c r="D5" s="189"/>
      <c r="E5" s="189"/>
      <c r="F5" s="191" t="s">
        <v>690</v>
      </c>
      <c r="G5" s="191"/>
      <c r="H5" s="191"/>
      <c r="I5" s="191"/>
      <c r="L5" s="12"/>
      <c r="M5" s="12"/>
      <c r="N5" s="12"/>
      <c r="O5" s="12"/>
      <c r="P5" s="12"/>
      <c r="Q5" s="12"/>
    </row>
    <row r="6" spans="1:19" ht="16.5" customHeight="1" x14ac:dyDescent="0.3">
      <c r="A6" s="189" t="s">
        <v>1635</v>
      </c>
      <c r="B6" s="189"/>
      <c r="C6" s="189"/>
      <c r="D6" s="189"/>
      <c r="E6" s="189"/>
      <c r="F6" s="192">
        <v>44</v>
      </c>
      <c r="G6" s="192"/>
      <c r="H6" s="192"/>
      <c r="I6" s="192"/>
      <c r="L6" s="13"/>
      <c r="M6" s="13"/>
      <c r="N6" s="13"/>
      <c r="O6" s="13"/>
      <c r="P6" s="12"/>
      <c r="Q6" s="12"/>
    </row>
    <row r="7" spans="1:19" ht="16.5" customHeight="1" x14ac:dyDescent="0.3">
      <c r="A7" s="189" t="s">
        <v>1</v>
      </c>
      <c r="B7" s="189"/>
      <c r="C7" s="189"/>
      <c r="D7" s="189"/>
      <c r="E7" s="189"/>
      <c r="F7" s="192" t="s">
        <v>121</v>
      </c>
      <c r="G7" s="192"/>
      <c r="H7" s="192"/>
      <c r="I7" s="192"/>
      <c r="K7" s="53"/>
      <c r="L7" s="13"/>
      <c r="M7" s="13"/>
      <c r="N7" s="13"/>
      <c r="O7" s="13"/>
      <c r="P7" s="12"/>
      <c r="Q7" s="12"/>
    </row>
    <row r="8" spans="1:19" ht="16.5" customHeight="1" x14ac:dyDescent="0.3">
      <c r="A8" s="189" t="s">
        <v>1617</v>
      </c>
      <c r="B8" s="189"/>
      <c r="C8" s="189"/>
      <c r="D8" s="189"/>
      <c r="E8" s="189"/>
      <c r="F8" s="192" t="s">
        <v>155</v>
      </c>
      <c r="G8" s="192"/>
      <c r="H8" s="192"/>
      <c r="I8" s="192"/>
      <c r="K8" s="53"/>
      <c r="L8" s="13"/>
      <c r="M8" s="13"/>
      <c r="N8" s="13"/>
      <c r="O8" s="13"/>
      <c r="P8" s="12"/>
      <c r="Q8" s="12"/>
    </row>
    <row r="9" spans="1:19" ht="16.5" customHeight="1" x14ac:dyDescent="0.3">
      <c r="A9" s="189" t="s">
        <v>1615</v>
      </c>
      <c r="B9" s="189"/>
      <c r="C9" s="189"/>
      <c r="D9" s="189"/>
      <c r="E9" s="189"/>
      <c r="F9" s="193" t="str">
        <f>IFERROR(IF(F7="Proprietary","Proprietary Fund",VLOOKUP(F5,qryIndex02a!$A$2:$K$654,4,FALSE)),"Unidentified")</f>
        <v>TRANSPORTATION</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3">
      <c r="A15" s="159" t="s">
        <v>1638</v>
      </c>
      <c r="B15" s="9" t="s">
        <v>171</v>
      </c>
      <c r="C15" s="9"/>
      <c r="D15" s="9"/>
      <c r="E15" s="140"/>
      <c r="F15" s="141"/>
      <c r="G15" s="141"/>
      <c r="H15" s="142"/>
      <c r="I15" s="142"/>
      <c r="J15" s="178">
        <f>M15</f>
        <v>923155</v>
      </c>
      <c r="M15" s="143">
        <v>923155</v>
      </c>
      <c r="P15" s="143">
        <v>923155</v>
      </c>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307554050</v>
      </c>
      <c r="M17" s="143">
        <f>294165771+13388279</f>
        <v>307554050</v>
      </c>
      <c r="P17" s="143">
        <v>307763792</v>
      </c>
      <c r="Q17" s="155"/>
      <c r="S17" s="154">
        <f t="shared" si="0"/>
        <v>209742</v>
      </c>
    </row>
    <row r="18" spans="1:19" ht="16.5" customHeight="1" x14ac:dyDescent="0.3">
      <c r="A18" s="54"/>
      <c r="B18" s="9" t="s">
        <v>169</v>
      </c>
      <c r="C18" s="9"/>
      <c r="D18" s="9"/>
      <c r="E18" s="140"/>
      <c r="F18" s="141"/>
      <c r="G18" s="141"/>
      <c r="H18" s="142"/>
      <c r="I18" s="142"/>
      <c r="J18" s="178">
        <f>P18</f>
        <v>3518116</v>
      </c>
      <c r="M18" s="143">
        <f>3961809-821849</f>
        <v>3139960</v>
      </c>
      <c r="P18" s="152">
        <f>IF(SUM($Q$20:$Q$23)&gt;SUM($P$15:$P$17),SUM($Q$20:$Q$23)-SUM($P$15:$P$17),0)</f>
        <v>3518116</v>
      </c>
      <c r="Q18" s="155"/>
      <c r="S18" s="154">
        <f t="shared" si="0"/>
        <v>378156</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200048</v>
      </c>
      <c r="N20" s="143">
        <v>200048</v>
      </c>
      <c r="P20" s="155"/>
      <c r="Q20" s="143">
        <v>200048</v>
      </c>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37379461</v>
      </c>
      <c r="N22" s="143">
        <f>37037157+342304</f>
        <v>37379461</v>
      </c>
      <c r="P22" s="155"/>
      <c r="Q22" s="143">
        <v>38106053</v>
      </c>
      <c r="S22" s="154">
        <f t="shared" ref="S22:S25" si="1">Q22-N22</f>
        <v>726592</v>
      </c>
    </row>
    <row r="23" spans="1:19" ht="16.5" customHeight="1" x14ac:dyDescent="0.3">
      <c r="A23" s="165" t="s">
        <v>1646</v>
      </c>
      <c r="B23" s="9"/>
      <c r="C23" s="9" t="s">
        <v>174</v>
      </c>
      <c r="D23" s="9"/>
      <c r="E23" s="140"/>
      <c r="F23" s="141"/>
      <c r="G23" s="141"/>
      <c r="H23" s="142"/>
      <c r="I23" s="142"/>
      <c r="J23" s="150"/>
      <c r="K23" s="178">
        <f>N23</f>
        <v>274037655</v>
      </c>
      <c r="N23" s="143">
        <f>261813529+12224126</f>
        <v>274037655</v>
      </c>
      <c r="P23" s="155"/>
      <c r="Q23" s="143">
        <v>273898962</v>
      </c>
      <c r="S23" s="154">
        <f t="shared" si="1"/>
        <v>-138693</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378157</v>
      </c>
      <c r="N25" s="143"/>
      <c r="P25" s="155"/>
      <c r="Q25" s="155"/>
      <c r="S25" s="154">
        <f t="shared" si="1"/>
        <v>0</v>
      </c>
    </row>
    <row r="26" spans="1:19" ht="16.5" customHeight="1" x14ac:dyDescent="0.3">
      <c r="A26" s="54"/>
      <c r="C26" s="20"/>
      <c r="D26" s="20"/>
      <c r="E26" s="20"/>
      <c r="F26" s="127"/>
      <c r="G26" s="127"/>
      <c r="H26" s="22"/>
      <c r="I26" s="22"/>
      <c r="J26" s="107">
        <f>SUM(J15:J25)</f>
        <v>311995321</v>
      </c>
      <c r="K26" s="107">
        <f>SUM(K15:K25)</f>
        <v>311995321</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33166451</v>
      </c>
      <c r="K33" s="144"/>
    </row>
    <row r="34" spans="1:12" ht="16.5" customHeight="1" x14ac:dyDescent="0.3">
      <c r="A34" s="54"/>
      <c r="B34" s="9"/>
      <c r="C34" s="9" t="s">
        <v>1748</v>
      </c>
      <c r="D34" s="140"/>
      <c r="E34" s="140"/>
      <c r="F34" s="141"/>
      <c r="G34" s="141"/>
      <c r="H34" s="142"/>
      <c r="I34" s="142"/>
      <c r="J34" s="144"/>
      <c r="K34" s="143">
        <v>33166451</v>
      </c>
    </row>
    <row r="35" spans="1:12" ht="16.5" customHeight="1" x14ac:dyDescent="0.3">
      <c r="A35" s="54"/>
      <c r="B35" s="9"/>
      <c r="C35" s="9" t="str">
        <f>IF($F$7="Proprietary","Cr: Acct 0870 - SERVICES &amp; CHARGES (MG ADJ)",VLOOKUP($F$9,'Drop Down Menus'!$F$2:$G$10,2,FALSE))</f>
        <v>Cr: Acct 0830 - TRANSPORTATION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33166451</v>
      </c>
      <c r="K36" s="107">
        <f>SUM(K33:K35)</f>
        <v>33166451</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v>104104</v>
      </c>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33062347</v>
      </c>
      <c r="K41" s="144"/>
    </row>
    <row r="42" spans="1:12" ht="16.5" customHeight="1" x14ac:dyDescent="0.3">
      <c r="A42" s="54"/>
      <c r="B42" s="9"/>
      <c r="C42" s="9" t="s">
        <v>181</v>
      </c>
      <c r="D42" s="140"/>
      <c r="E42" s="140"/>
      <c r="F42" s="141"/>
      <c r="G42" s="141"/>
      <c r="H42" s="142"/>
      <c r="I42" s="142"/>
      <c r="J42" s="144"/>
      <c r="K42" s="143">
        <v>33166451</v>
      </c>
    </row>
    <row r="43" spans="1:12" ht="16.5" customHeight="1" x14ac:dyDescent="0.3">
      <c r="A43" s="54"/>
      <c r="B43" s="130" t="s">
        <v>1640</v>
      </c>
      <c r="C43" s="16"/>
      <c r="D43" s="16"/>
      <c r="E43" s="16"/>
      <c r="F43" s="17"/>
      <c r="G43" s="17"/>
      <c r="H43" s="18"/>
      <c r="I43" s="18"/>
      <c r="J43" s="107">
        <f>SUM(J39:J42)</f>
        <v>33166451</v>
      </c>
      <c r="K43" s="107">
        <f>SUM(K39:K42)</f>
        <v>33166451</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33166451</v>
      </c>
      <c r="K47" s="144"/>
    </row>
    <row r="48" spans="1:12" ht="16.5" customHeight="1" x14ac:dyDescent="0.3">
      <c r="A48" s="165" t="s">
        <v>1646</v>
      </c>
      <c r="B48" s="9"/>
      <c r="C48" s="9" t="s">
        <v>174</v>
      </c>
      <c r="D48" s="140"/>
      <c r="E48" s="140"/>
      <c r="F48" s="141"/>
      <c r="G48" s="141"/>
      <c r="H48" s="142"/>
      <c r="I48" s="142"/>
      <c r="J48" s="144"/>
      <c r="K48" s="143">
        <v>33166451</v>
      </c>
    </row>
    <row r="49" spans="1:16" ht="16.5" customHeight="1" x14ac:dyDescent="0.3">
      <c r="A49" s="54"/>
      <c r="C49" s="16"/>
      <c r="D49" s="16"/>
      <c r="E49" s="16"/>
      <c r="F49" s="17"/>
      <c r="G49" s="17"/>
      <c r="H49" s="18"/>
      <c r="I49" s="18"/>
      <c r="J49" s="107">
        <f>SUM(J47:J48)</f>
        <v>33166451</v>
      </c>
      <c r="K49" s="107">
        <f>SUM(K47:K48)</f>
        <v>33166451</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f>40794762+1509926</f>
        <v>42304688</v>
      </c>
      <c r="K55" s="144"/>
    </row>
    <row r="56" spans="1:16" ht="16.5" customHeight="1" x14ac:dyDescent="0.3">
      <c r="A56" s="54"/>
      <c r="B56" s="25"/>
      <c r="C56" s="9" t="s">
        <v>178</v>
      </c>
      <c r="D56" s="140"/>
      <c r="E56" s="140"/>
      <c r="F56" s="141"/>
      <c r="G56" s="141"/>
      <c r="H56" s="142"/>
      <c r="I56" s="142"/>
      <c r="J56" s="145"/>
      <c r="K56" s="143">
        <v>252126</v>
      </c>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f>40542636+1509926</f>
        <v>42052562</v>
      </c>
    </row>
    <row r="59" spans="1:16" ht="16.5" customHeight="1" x14ac:dyDescent="0.3">
      <c r="A59" s="54"/>
      <c r="C59" s="16"/>
      <c r="D59" s="16"/>
      <c r="E59" s="16"/>
      <c r="F59" s="17"/>
      <c r="G59" s="17"/>
      <c r="H59" s="18"/>
      <c r="I59" s="18"/>
      <c r="J59" s="107">
        <f>SUM(J55:J58)</f>
        <v>42304688</v>
      </c>
      <c r="K59" s="107">
        <f>SUM(K55:K58)</f>
        <v>42304688</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f>37730476+1241298</f>
        <v>38971774</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3273383+257147</f>
        <v>3530530</v>
      </c>
      <c r="K63" s="147"/>
    </row>
    <row r="64" spans="1:16" ht="16.5" customHeight="1" x14ac:dyDescent="0.3">
      <c r="A64" s="54"/>
      <c r="B64" s="9"/>
      <c r="C64" s="9" t="str">
        <f>IF($F$7="Proprietary","Cr: Acct 0870 - SERVICES &amp; CHARGES (MG ADJ)",VLOOKUP($F$9,'Drop Down Menus'!$F$2:$G$10,2,FALSE))</f>
        <v>Cr: Acct 0830 - TRANSPORTATION (GAAP ADJ)</v>
      </c>
      <c r="D64" s="140"/>
      <c r="E64" s="140"/>
      <c r="F64" s="141"/>
      <c r="G64" s="141"/>
      <c r="H64" s="142"/>
      <c r="I64" s="142"/>
      <c r="J64" s="147"/>
      <c r="K64" s="143">
        <f>41003860+1498445-1</f>
        <v>42502304</v>
      </c>
    </row>
    <row r="65" spans="1:12" ht="16.5" customHeight="1" x14ac:dyDescent="0.3">
      <c r="A65" s="54"/>
      <c r="C65" s="16"/>
      <c r="D65" s="16"/>
      <c r="E65" s="16"/>
      <c r="F65" s="17"/>
      <c r="G65" s="17"/>
      <c r="H65" s="18"/>
      <c r="I65" s="18"/>
      <c r="J65" s="107">
        <f>SUM(J62:J64)</f>
        <v>42502304</v>
      </c>
      <c r="K65" s="107">
        <f>SUM(K62:K64)</f>
        <v>42502304</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37730476+1241298</f>
        <v>38971774</v>
      </c>
      <c r="K68" s="144"/>
    </row>
    <row r="69" spans="1:12" ht="16.5" customHeight="1" x14ac:dyDescent="0.3">
      <c r="A69" s="54"/>
      <c r="B69" s="9"/>
      <c r="C69" s="9" t="s">
        <v>186</v>
      </c>
      <c r="D69" s="140"/>
      <c r="E69" s="140"/>
      <c r="F69" s="141"/>
      <c r="G69" s="141"/>
      <c r="H69" s="142"/>
      <c r="I69" s="142"/>
      <c r="J69" s="144"/>
      <c r="K69" s="143">
        <f>37730476+1241298</f>
        <v>38971774</v>
      </c>
    </row>
    <row r="70" spans="1:12" ht="16.5" customHeight="1" x14ac:dyDescent="0.3">
      <c r="A70" s="54"/>
      <c r="C70" s="16"/>
      <c r="D70" s="16"/>
      <c r="E70" s="16"/>
      <c r="F70" s="17"/>
      <c r="G70" s="17"/>
      <c r="H70" s="18"/>
      <c r="I70" s="18"/>
      <c r="J70" s="107">
        <f>SUM(J68:J69)</f>
        <v>38971774</v>
      </c>
      <c r="K70" s="107">
        <f>SUM(K68:K69)</f>
        <v>38971774</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f>35114796+1228937</f>
        <v>36343733</v>
      </c>
      <c r="K75" s="144"/>
    </row>
    <row r="76" spans="1:12" ht="16.5" customHeight="1" x14ac:dyDescent="0.3">
      <c r="A76" s="54"/>
      <c r="B76" s="9"/>
      <c r="C76" s="9" t="s">
        <v>194</v>
      </c>
      <c r="D76" s="140"/>
      <c r="E76" s="140"/>
      <c r="F76" s="141"/>
      <c r="G76" s="141"/>
      <c r="H76" s="142"/>
      <c r="I76" s="142"/>
      <c r="J76" s="144"/>
      <c r="K76" s="143">
        <f>35114796+1228937</f>
        <v>36343733</v>
      </c>
    </row>
    <row r="77" spans="1:12" ht="16.5" customHeight="1" x14ac:dyDescent="0.25">
      <c r="A77" s="54"/>
      <c r="B77" s="187" t="s">
        <v>1735</v>
      </c>
      <c r="C77" s="187"/>
      <c r="D77" s="187"/>
      <c r="E77" s="187"/>
      <c r="F77" s="187"/>
      <c r="G77" s="187"/>
      <c r="H77" s="187"/>
      <c r="I77" s="187"/>
      <c r="J77" s="107">
        <f>SUM(J75:J76)</f>
        <v>36343733</v>
      </c>
      <c r="K77" s="107">
        <f>SUM(K75:K76)</f>
        <v>36343733</v>
      </c>
      <c r="L77" s="8" t="str">
        <f>IF(J77=K77,"&lt;- Debits and Credits equal each other.","&lt;- Debits and Credits do not equal each other.")</f>
        <v>&lt;- Debits and Credits equal each other.</v>
      </c>
    </row>
    <row r="78" spans="1:12" ht="16.5" customHeight="1" x14ac:dyDescent="0.25">
      <c r="A78" s="54"/>
      <c r="B78" s="187"/>
      <c r="C78" s="187"/>
      <c r="D78" s="187"/>
      <c r="E78" s="187"/>
      <c r="F78" s="187"/>
      <c r="G78" s="187"/>
      <c r="H78" s="187"/>
      <c r="I78" s="187"/>
      <c r="J78" s="107"/>
      <c r="K78" s="107"/>
      <c r="L78" s="8"/>
    </row>
    <row r="79" spans="1:12" ht="24.6" customHeight="1" x14ac:dyDescent="0.25">
      <c r="A79" s="54"/>
      <c r="B79" s="187"/>
      <c r="C79" s="187"/>
      <c r="D79" s="187"/>
      <c r="E79" s="187"/>
      <c r="F79" s="187"/>
      <c r="G79" s="187"/>
      <c r="H79" s="187"/>
      <c r="I79" s="187"/>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v>217727</v>
      </c>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8907007</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f>9124734</f>
        <v>9124734</v>
      </c>
    </row>
    <row r="91" spans="1:16" ht="16.5" customHeight="1" x14ac:dyDescent="0.3">
      <c r="B91" s="130" t="s">
        <v>1641</v>
      </c>
      <c r="H91" s="10"/>
      <c r="J91" s="108">
        <f>SUM(J85:J90)</f>
        <v>9124734</v>
      </c>
      <c r="K91" s="108">
        <f>SUM(K85:K90)</f>
        <v>9124734</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248249</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234852</v>
      </c>
      <c r="K99" s="25"/>
    </row>
    <row r="100" spans="1:12" ht="16.5" customHeight="1" x14ac:dyDescent="0.25">
      <c r="B100" s="9" t="str">
        <f>IF($F$7="Proprietary","Dr: Acct 0870 - SERVICES &amp; CHARGES (MG ADJ)",VLOOKUP($F$9,'Drop Down Menus'!$F$2:$H$10,3,FALSE))</f>
        <v>Dr: Acct 0830 - TRANSPORTATION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v>482853</v>
      </c>
    </row>
    <row r="104" spans="1:12" ht="16.5" customHeight="1" x14ac:dyDescent="0.25">
      <c r="B104" s="25"/>
      <c r="C104" s="9" t="str">
        <f>IF($F$7="Proprietary","Dr: Acct 0870 - SERVICES &amp; CHARGES (MG ADJ)",VLOOKUP($F$9,'Drop Down Menus'!$F$2:$G$10,2,FALSE))</f>
        <v>Cr: Acct 0830 - TRANSPORTATION (GAAP ADJ)</v>
      </c>
      <c r="D104" s="25"/>
      <c r="E104" s="25"/>
      <c r="F104" s="25"/>
      <c r="G104" s="25"/>
      <c r="H104" s="25"/>
      <c r="I104" s="25"/>
      <c r="J104" s="25"/>
      <c r="K104" s="143">
        <v>248</v>
      </c>
    </row>
    <row r="105" spans="1:12" ht="16.5" customHeight="1" x14ac:dyDescent="0.3">
      <c r="B105" s="130" t="s">
        <v>1641</v>
      </c>
      <c r="H105" s="10"/>
      <c r="J105" s="108">
        <f>SUM(J96:J104)</f>
        <v>483101</v>
      </c>
      <c r="K105" s="108">
        <f>SUM(K96:K104)</f>
        <v>483101</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v>495677</v>
      </c>
      <c r="K112" s="25"/>
    </row>
    <row r="113" spans="1:12" ht="16.5" customHeight="1" x14ac:dyDescent="0.25">
      <c r="A113" s="165" t="s">
        <v>1646</v>
      </c>
      <c r="B113" s="9"/>
      <c r="C113" s="9" t="s">
        <v>174</v>
      </c>
      <c r="D113" s="7"/>
      <c r="E113" s="25"/>
      <c r="F113" s="25"/>
      <c r="G113" s="25"/>
      <c r="H113" s="25"/>
      <c r="I113" s="25"/>
      <c r="J113" s="25"/>
      <c r="K113" s="143">
        <v>495677</v>
      </c>
    </row>
    <row r="114" spans="1:12" ht="16.5" customHeight="1" x14ac:dyDescent="0.3">
      <c r="A114" s="6"/>
      <c r="B114" s="130" t="s">
        <v>1640</v>
      </c>
      <c r="C114" s="114"/>
      <c r="D114" s="114"/>
      <c r="H114" s="10"/>
      <c r="J114" s="108">
        <f>SUM(J110:J113)</f>
        <v>495677</v>
      </c>
      <c r="K114" s="108">
        <f>SUM(K110:K113)</f>
        <v>495677</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1027259</v>
      </c>
    </row>
    <row r="123" spans="1:12" ht="16.5" customHeight="1" x14ac:dyDescent="0.3">
      <c r="D123" s="140" t="s">
        <v>1652</v>
      </c>
      <c r="H123" s="10"/>
      <c r="K123" s="169">
        <f>J16+J40-K89-K102+J111</f>
        <v>0</v>
      </c>
    </row>
    <row r="124" spans="1:12" ht="16.5" customHeight="1" x14ac:dyDescent="0.3">
      <c r="D124" s="140" t="s">
        <v>1653</v>
      </c>
      <c r="H124" s="10"/>
      <c r="K124" s="169">
        <f>J17+J41-K90-K103+J112</f>
        <v>331504487</v>
      </c>
    </row>
    <row r="125" spans="1:12" ht="16.5" customHeight="1" x14ac:dyDescent="0.3">
      <c r="D125" s="140" t="s">
        <v>1654</v>
      </c>
      <c r="H125" s="10"/>
      <c r="K125" s="169">
        <f>-K20-K56+J85+J97</f>
        <v>-234447</v>
      </c>
    </row>
    <row r="126" spans="1:12" ht="16.5" customHeight="1" x14ac:dyDescent="0.3">
      <c r="D126" s="140" t="s">
        <v>1655</v>
      </c>
      <c r="H126" s="10"/>
      <c r="K126" s="169">
        <f>-K21-K57+J86+J98</f>
        <v>0</v>
      </c>
    </row>
    <row r="127" spans="1:12" ht="16.5" customHeight="1" x14ac:dyDescent="0.3">
      <c r="D127" s="140" t="s">
        <v>1656</v>
      </c>
      <c r="H127" s="10"/>
      <c r="K127" s="169">
        <f>-K22-K58+J87+J99</f>
        <v>-70290164</v>
      </c>
    </row>
    <row r="128" spans="1:12" ht="16.5" customHeight="1" x14ac:dyDescent="0.3">
      <c r="D128" s="140" t="s">
        <v>1657</v>
      </c>
      <c r="H128" s="10"/>
      <c r="K128" s="169">
        <f>-K23-K48+J68+J75+J96-K113</f>
        <v>-232136027</v>
      </c>
    </row>
    <row r="129" spans="4:11" ht="16.5" customHeight="1" x14ac:dyDescent="0.3">
      <c r="D129" s="140" t="s">
        <v>1658</v>
      </c>
      <c r="H129" s="10"/>
      <c r="K129" s="169">
        <f>-K76</f>
        <v>-36343733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3" fitToHeight="0" orientation="landscape"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9" zoomScale="80" zoomScaleNormal="80" workbookViewId="0">
      <selection activeCell="D12" sqref="D12:F12"/>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2740</v>
      </c>
      <c r="C9" s="206"/>
      <c r="D9" s="3"/>
      <c r="E9" s="3"/>
      <c r="F9" s="3"/>
    </row>
    <row r="10" spans="1:13" ht="15.6" x14ac:dyDescent="0.3">
      <c r="A10" s="5" t="s">
        <v>192</v>
      </c>
      <c r="B10" s="207" t="s">
        <v>691</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f>35114796+1228937</f>
        <v>36343733</v>
      </c>
      <c r="C13" s="55">
        <f>3220510+304248</f>
        <v>3524758</v>
      </c>
      <c r="D13" s="199" t="s">
        <v>4</v>
      </c>
      <c r="E13" s="200"/>
      <c r="F13" s="200"/>
      <c r="G13" s="29"/>
      <c r="H13" s="29"/>
      <c r="I13" s="29"/>
      <c r="J13" s="29"/>
      <c r="K13" s="29"/>
      <c r="L13" s="29"/>
      <c r="M13" s="29"/>
    </row>
    <row r="14" spans="1:13" x14ac:dyDescent="0.25">
      <c r="A14" s="51" t="str">
        <f>LEFT(A13,4)+1&amp;"–"&amp;RIGHT(A13,4)+1</f>
        <v>2024–2025</v>
      </c>
      <c r="B14" s="55">
        <f>32184237+1311019</f>
        <v>33495256</v>
      </c>
      <c r="C14" s="55">
        <f>2856381+268162</f>
        <v>3124543</v>
      </c>
      <c r="D14" s="199"/>
      <c r="E14" s="200"/>
      <c r="F14" s="200"/>
    </row>
    <row r="15" spans="1:13" ht="15.6" x14ac:dyDescent="0.25">
      <c r="A15" s="51" t="str">
        <f>LEFT(A14,4)+1&amp;"–"&amp;RIGHT(A14,4)+1</f>
        <v>2025–2026</v>
      </c>
      <c r="B15" s="55">
        <f>26864409+1396869</f>
        <v>28261278</v>
      </c>
      <c r="C15" s="55">
        <f>2505528+229687</f>
        <v>2735215</v>
      </c>
      <c r="D15" s="195" t="s">
        <v>126</v>
      </c>
      <c r="E15" s="195"/>
      <c r="F15" s="195"/>
      <c r="G15" s="30"/>
      <c r="H15" s="30"/>
      <c r="I15" s="30"/>
      <c r="J15" s="30"/>
      <c r="K15" s="30"/>
      <c r="L15" s="30"/>
      <c r="M15" s="30"/>
    </row>
    <row r="16" spans="1:13" x14ac:dyDescent="0.25">
      <c r="A16" s="51" t="str">
        <f>LEFT(A15,4)+1&amp;"–"&amp;RIGHT(A15,4)+1</f>
        <v>2026–2027</v>
      </c>
      <c r="B16" s="55">
        <f>25733854+1486639</f>
        <v>27220493</v>
      </c>
      <c r="C16" s="55">
        <f>2157469+188714</f>
        <v>2346183</v>
      </c>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f>24186264+1580483</f>
        <v>25766747</v>
      </c>
      <c r="C17" s="55">
        <f>1822882+145131</f>
        <v>1968013</v>
      </c>
      <c r="D17" s="195">
        <f>2007+7936</f>
        <v>9943</v>
      </c>
      <c r="E17" s="195"/>
      <c r="F17" s="195"/>
      <c r="G17" s="31"/>
      <c r="H17" s="31"/>
      <c r="I17" s="31"/>
      <c r="J17" s="31"/>
      <c r="K17" s="31"/>
    </row>
    <row r="18" spans="1:13" ht="15" customHeight="1" x14ac:dyDescent="0.3">
      <c r="A18" s="51" t="str">
        <f>LEFT(A17,4)+1&amp;"–"&amp;RIGHT(A17,4)+5</f>
        <v>2028–2033</v>
      </c>
      <c r="B18" s="55">
        <f>86669174+4226308</f>
        <v>90895482</v>
      </c>
      <c r="C18" s="55">
        <f>4673341+153941</f>
        <v>4827282</v>
      </c>
      <c r="D18" s="199" t="s">
        <v>6</v>
      </c>
      <c r="E18" s="200"/>
      <c r="F18" s="200"/>
      <c r="G18" s="29"/>
      <c r="H18" s="29"/>
      <c r="I18" s="29"/>
      <c r="J18" s="29"/>
      <c r="K18" s="29"/>
      <c r="L18" s="29"/>
      <c r="M18" s="29"/>
    </row>
    <row r="19" spans="1:13" x14ac:dyDescent="0.25">
      <c r="A19" s="51" t="str">
        <f t="shared" ref="A19:A32" si="0">LEFT(A18,4)+5&amp;"–"&amp;RIGHT(A18,4)+5</f>
        <v>2033–2038</v>
      </c>
      <c r="B19" s="55">
        <v>24316055</v>
      </c>
      <c r="C19" s="55">
        <v>738920</v>
      </c>
      <c r="D19" s="199"/>
      <c r="E19" s="200"/>
      <c r="F19" s="200"/>
    </row>
    <row r="20" spans="1:13" ht="15.6" x14ac:dyDescent="0.25">
      <c r="A20" s="51" t="str">
        <f t="shared" si="0"/>
        <v>2038–2043</v>
      </c>
      <c r="B20" s="55">
        <v>2180716</v>
      </c>
      <c r="C20" s="55">
        <v>57720</v>
      </c>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126</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v>97930</v>
      </c>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2740</v>
      </c>
      <c r="C40" s="209"/>
      <c r="E40" s="32"/>
    </row>
    <row r="41" spans="1:13" ht="15.6" x14ac:dyDescent="0.3">
      <c r="A41" s="5" t="s">
        <v>192</v>
      </c>
      <c r="B41" s="194" t="str">
        <f>B10</f>
        <v>DEPARTMENT OF MOTOR VEHICLES</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2740</v>
      </c>
      <c r="C71" s="209"/>
    </row>
    <row r="72" spans="1:13" ht="15.6" x14ac:dyDescent="0.3">
      <c r="A72" s="5" t="s">
        <v>192</v>
      </c>
      <c r="B72" s="194" t="str">
        <f>B10</f>
        <v>DEPARTMENT OF MOTOR VEHICLES</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H10" sqref="H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0044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2740 - DEPARTMENT OF MOTOR VEHICLES</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'LS-Fund 0044 Journal Entries'!N23</f>
        <v>274037655</v>
      </c>
      <c r="G10" s="58"/>
      <c r="H10" s="61">
        <f>'LS-Fund 0044 Journal Entries'!K48+'LS-Fund 0044 Journal Entries'!K113</f>
        <v>33662128</v>
      </c>
      <c r="I10" s="58"/>
      <c r="J10" s="61">
        <f>'LS-Fund 0044 Journal Entries'!J68+'LS-Fund 0044 Journal Entries'!J96</f>
        <v>39220023</v>
      </c>
      <c r="K10" s="58"/>
      <c r="L10" s="63">
        <f>SUM(F10+H10-J10)</f>
        <v>268479760</v>
      </c>
      <c r="M10" s="58"/>
      <c r="N10" s="61">
        <f>'LS-Fund 0044 Journal Entries'!J75</f>
        <v>36343733</v>
      </c>
      <c r="O10" s="58"/>
      <c r="P10" s="63">
        <f>L10-N10</f>
        <v>232136027</v>
      </c>
      <c r="Q10" s="43"/>
    </row>
    <row r="11" spans="2:17" ht="19.2" thickTop="1" thickBot="1" x14ac:dyDescent="0.4">
      <c r="B11" s="41"/>
      <c r="C11" s="45" t="s">
        <v>19</v>
      </c>
      <c r="F11" s="62">
        <f>SUM(F10:F10)</f>
        <v>274037655</v>
      </c>
      <c r="G11" s="58"/>
      <c r="H11" s="62">
        <f>SUM(H10:H10)</f>
        <v>33662128</v>
      </c>
      <c r="I11" s="58"/>
      <c r="J11" s="62">
        <f>SUM(J10:J10)</f>
        <v>39220023</v>
      </c>
      <c r="K11" s="58"/>
      <c r="L11" s="62">
        <f>SUM(L10:L10)</f>
        <v>268479760</v>
      </c>
      <c r="M11" s="58"/>
      <c r="N11" s="62">
        <f>SUM(N10:N10)</f>
        <v>36343733</v>
      </c>
      <c r="O11" s="58"/>
      <c r="P11" s="62">
        <f>SUM(P10:P10)</f>
        <v>232136027</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J16" sqref="J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'LS-Fund 0044 Journal Entries'!N23</f>
        <v>274037655</v>
      </c>
      <c r="C16" s="116" t="s">
        <v>146</v>
      </c>
      <c r="D16" s="84">
        <f>'LS-Fund 0044 Journal Entries'!K48</f>
        <v>33166451</v>
      </c>
      <c r="E16" s="118" t="s">
        <v>147</v>
      </c>
      <c r="F16" s="84">
        <f>'LS-Fund 0044 Journal Entries'!J68</f>
        <v>38971774</v>
      </c>
      <c r="G16" s="117" t="s">
        <v>147</v>
      </c>
      <c r="H16" s="84">
        <f>'LS-Fund 0044 Journal Entries'!J96</f>
        <v>248249</v>
      </c>
      <c r="I16" s="117"/>
      <c r="J16" s="84">
        <f>'LS-Fund 0044 Journal Entries'!K113</f>
        <v>495677</v>
      </c>
      <c r="K16" s="118" t="s">
        <v>150</v>
      </c>
      <c r="L16" s="87">
        <f>+B16+D16-F16-H16+J16</f>
        <v>268479760</v>
      </c>
      <c r="M16" s="86"/>
      <c r="N16" s="88">
        <f>SUM('LS-Department Note Disclosure'!B13:B36)</f>
        <v>268479760</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0044 Journal Entries'!$F$8="Proprietary - Internal Service Fund",'LS-Fund 0044 Journal Entries'!$K$23,0)</f>
        <v>0</v>
      </c>
      <c r="C24" s="116" t="s">
        <v>146</v>
      </c>
      <c r="D24" s="84">
        <f>IF('LS-Fund 0044 Journal Entries'!$F$8="Proprietary - Internal Service Fund",'LS-Fund 0044 Journal Entries'!$K$48,0)</f>
        <v>0</v>
      </c>
      <c r="E24" s="118" t="s">
        <v>147</v>
      </c>
      <c r="F24" s="84">
        <f>IF('LS-Fund 0044 Journal Entries'!$F$8="Proprietary - Internal Service Fund",'LS-Fund 0044 Journal Entries'!$J$68,0)</f>
        <v>0</v>
      </c>
      <c r="G24" s="117" t="s">
        <v>147</v>
      </c>
      <c r="H24" s="84">
        <f>IF('LS-Fund 0044 Journal Entries'!$F$8="Proprietary - Internal Service Fund",'LS-Fund 0044 Journal Entries'!$J$96,0)</f>
        <v>0</v>
      </c>
      <c r="I24" s="117" t="s">
        <v>146</v>
      </c>
      <c r="J24" s="84">
        <f>IF('LS-Fund 0044 Journal Entries'!$F$8="Proprietary - Internal Service Fund",'LS-Fund 0044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0044 Journal Entries'!$F$8="Proprietary - Enterprise Fund",'LS-Fund 0044 Journal Entries'!$K$23,0)</f>
        <v>0</v>
      </c>
      <c r="C33" s="116" t="s">
        <v>146</v>
      </c>
      <c r="D33" s="84">
        <f>IF('LS-Fund 0044 Journal Entries'!$F$8="Proprietary - Enterprise Fund",'LS-Fund 0044 Journal Entries'!$K$48,0)</f>
        <v>0</v>
      </c>
      <c r="E33" s="118" t="s">
        <v>147</v>
      </c>
      <c r="F33" s="84">
        <f>IF('LS-Fund 0044 Journal Entries'!$F$8="Proprietary - Enterprise Fund",'LS-Fund 0044 Journal Entries'!$J$68,0)</f>
        <v>0</v>
      </c>
      <c r="G33" s="117" t="s">
        <v>147</v>
      </c>
      <c r="H33" s="84">
        <f>IF('LS-Fund 0044 Journal Entries'!$F$8="Proprietary - Enterprise Fund",'LS-Fund 0044 Journal Entries'!$J$96,0)</f>
        <v>0</v>
      </c>
      <c r="I33" s="117" t="s">
        <v>146</v>
      </c>
      <c r="J33" s="84">
        <f>IF('LS-Fund 0044 Journal Entries'!$F$8="Proprietary - Enterprise Fund",'LS-Fund 0044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'LS-Fund 0044 Journal Entries'!J75</f>
        <v>36343733</v>
      </c>
      <c r="C42" s="92"/>
      <c r="E42" s="92"/>
      <c r="G42" s="115"/>
      <c r="H42" s="115"/>
      <c r="I42" s="115"/>
      <c r="J42" s="115"/>
      <c r="K42" s="92"/>
      <c r="L42" s="92"/>
      <c r="M42" s="93"/>
      <c r="N42" s="88">
        <f>'LS-Department Note Disclosure'!B13</f>
        <v>36343733</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0044 Journal Entries'!$F$8="Proprietary - Internal Service Fund",'LS-Fund 0044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0044 Journal Entries'!$F$8="Proprietary - Enterprise Fund",'LS-Fund 0044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274037655</v>
      </c>
      <c r="J66" s="97">
        <f>SUM(D66)</f>
        <v>274037655</v>
      </c>
      <c r="L66" s="98" t="str">
        <f>CONCATENATE("Balance July 1, ",LEFT('LS-Department Note Disclosure'!$B$8,4))</f>
        <v>Balance July 1, 2022</v>
      </c>
      <c r="N66" s="97">
        <f>'LS-Lease Liabilities'!F10</f>
        <v>274037655</v>
      </c>
      <c r="P66" s="89">
        <f>J66-N66</f>
        <v>0</v>
      </c>
    </row>
    <row r="67" spans="1:17" x14ac:dyDescent="0.3">
      <c r="B67" s="79" t="s">
        <v>157</v>
      </c>
      <c r="D67" s="97">
        <f>$D$16</f>
        <v>33166451</v>
      </c>
      <c r="E67" s="119" t="s">
        <v>146</v>
      </c>
      <c r="F67" s="79" t="s">
        <v>1756</v>
      </c>
      <c r="H67" s="97">
        <f>$J$16</f>
        <v>495677</v>
      </c>
      <c r="J67" s="97">
        <f>SUM(D67,H67)</f>
        <v>33662128</v>
      </c>
      <c r="L67" s="98" t="s">
        <v>13</v>
      </c>
      <c r="N67" s="97">
        <f>'LS-Lease Liabilities'!H10</f>
        <v>33662128</v>
      </c>
      <c r="P67" s="89">
        <f t="shared" ref="P67:P69" si="0">J67-N67</f>
        <v>0</v>
      </c>
    </row>
    <row r="68" spans="1:17" x14ac:dyDescent="0.3">
      <c r="B68" s="79" t="s">
        <v>152</v>
      </c>
      <c r="D68" s="97">
        <f>$F$16</f>
        <v>38971774</v>
      </c>
      <c r="E68" s="119" t="s">
        <v>146</v>
      </c>
      <c r="F68" s="79" t="s">
        <v>1753</v>
      </c>
      <c r="H68" s="97">
        <f>$H$16</f>
        <v>248249</v>
      </c>
      <c r="J68" s="97">
        <f>SUM(D68,H68)</f>
        <v>39220023</v>
      </c>
      <c r="L68" s="98" t="s">
        <v>14</v>
      </c>
      <c r="N68" s="97">
        <f>'LS-Lease Liabilities'!J10</f>
        <v>39220023</v>
      </c>
      <c r="P68" s="89">
        <f t="shared" si="0"/>
        <v>0</v>
      </c>
    </row>
    <row r="69" spans="1:17" x14ac:dyDescent="0.3">
      <c r="B69" s="79" t="s">
        <v>156</v>
      </c>
      <c r="D69" s="97">
        <f>$B$42</f>
        <v>36343733</v>
      </c>
      <c r="J69" s="97">
        <f>SUM(D69)</f>
        <v>36343733</v>
      </c>
      <c r="L69" s="98" t="s">
        <v>15</v>
      </c>
      <c r="N69" s="97">
        <f>'LS-Lease Liabilities'!N10</f>
        <v>36343733</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29828462-3773-4E75-8518-F196857D0823}"/>
</file>

<file path=customXml/itemProps2.xml><?xml version="1.0" encoding="utf-8"?>
<ds:datastoreItem xmlns:ds="http://schemas.openxmlformats.org/officeDocument/2006/customXml" ds:itemID="{D4A1736E-B8D7-414F-B2BA-C43EED11AD52}"/>
</file>

<file path=customXml/itemProps3.xml><?xml version="1.0" encoding="utf-8"?>
<ds:datastoreItem xmlns:ds="http://schemas.openxmlformats.org/officeDocument/2006/customXml" ds:itemID="{59DDA7B1-17B7-4F46-9DEA-F61B81C867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0044 Journal Entries</vt:lpstr>
      <vt:lpstr>LS-Department Note Disclosure</vt:lpstr>
      <vt:lpstr>LS-Lease Liabilities</vt:lpstr>
      <vt:lpstr>LS-Check Figures  </vt:lpstr>
      <vt:lpstr>'LS-Department Note Disclosure'!Print_Area</vt:lpstr>
      <vt:lpstr>'LS-Fund 0044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cp:lastPrinted>2024-05-29T20:03:33Z</cp:lastPrinted>
  <dcterms:created xsi:type="dcterms:W3CDTF">2023-03-08T17:19:33Z</dcterms:created>
  <dcterms:modified xsi:type="dcterms:W3CDTF">2024-05-31T18:42:44Z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3419700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