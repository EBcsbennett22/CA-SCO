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600\"/>
    </mc:Choice>
  </mc:AlternateContent>
  <xr:revisionPtr revIDLastSave="0" documentId="13_ncr:1_{8D4BA6DB-5AEF-450A-8B96-81B5AB1272D4}" xr6:coauthVersionLast="47" xr6:coauthVersionMax="47" xr10:uidLastSave="{00000000-0000-0000-0000-000000000000}"/>
  <bookViews>
    <workbookView xWindow="-120" yWindow="-120" windowWidth="20730" windowHeight="11160" tabRatio="921" firstSheet="2" activeTab="6" xr2:uid="{00000000-000D-0000-FFFF-FFFF00000000}"/>
  </bookViews>
  <sheets>
    <sheet name="Drop Down Menus" sheetId="1" state="hidden" r:id="rId1"/>
    <sheet name="qryIndex02a" sheetId="11" state="hidden" r:id="rId2"/>
    <sheet name="LS-Version Changes" sheetId="13" r:id="rId3"/>
    <sheet name="LS-Fund 0200 Journal Entries" sheetId="2" r:id="rId4"/>
    <sheet name="LS-Department Note Disclosure" sheetId="3" r:id="rId5"/>
    <sheet name="LS-Lease Liabilities" sheetId="4" r:id="rId6"/>
    <sheet name="LS-Check Figures  " sheetId="7" r:id="rId7"/>
    <sheet name="LR-Version Changes" sheetId="15" state="hidden" r:id="rId8"/>
    <sheet name="LR-Fund 0447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0447 Journal Entries'!$B$1:$K$67</definedName>
    <definedName name="_xlnm.Print_Area" localSheetId="4">'LS-Department Note Disclosure'!$A$1:$C$85</definedName>
    <definedName name="_xlnm.Print_Area" localSheetId="3">'LS-Fund 0200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H10" i="4" l="1"/>
  <c r="K48" i="2" l="1"/>
  <c r="K42" i="2"/>
  <c r="K34" i="2"/>
  <c r="J47" i="2"/>
  <c r="J41" i="2"/>
  <c r="J33" i="2"/>
  <c r="Q24" i="2" l="1"/>
  <c r="P18" i="2"/>
  <c r="H16" i="12"/>
  <c r="B57" i="12"/>
  <c r="B49" i="12"/>
  <c r="B42" i="12"/>
  <c r="J33" i="12"/>
  <c r="H33" i="12"/>
  <c r="F33" i="12"/>
  <c r="D33" i="12"/>
  <c r="J24" i="12"/>
  <c r="H24" i="12"/>
  <c r="F24" i="12"/>
  <c r="D24" i="12"/>
  <c r="B24" i="12"/>
  <c r="J16" i="12"/>
  <c r="F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S22" i="8"/>
  <c r="S25" i="8"/>
  <c r="S19" i="8"/>
  <c r="Q24" i="8"/>
  <c r="K24" i="8" s="1"/>
  <c r="P18" i="8"/>
  <c r="J18" i="8" s="1"/>
  <c r="K124" i="2" l="1"/>
  <c r="K24" i="2"/>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<sst xmlns="http://schemas.openxmlformats.org/spreadsheetml/2006/main" count="8232" uniqueCount="1884">
  <si>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</si>
  <si>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</si>
  <si>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</si>
  <si>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</si>
  <si>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</si>
  <si>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</si>
  <si>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</si>
  <si>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</si>
  <si>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</si>
  <si>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</si>
  <si>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</si>
  <si>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</si>
  <si>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</si>
  <si>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</si>
  <si>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</si>
  <si>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</si>
  <si>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</si>
  <si>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</si>
  <si>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</si>
  <si>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</si>
  <si>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</si>
  <si>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</si>
  <si>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</si>
  <si>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</si>
  <si>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</si>
  <si>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</si>
  <si>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</si>
  <si>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</si>
  <si>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</si>
  <si>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</si>
  <si>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</si>
  <si>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</si>
  <si>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</si>
  <si>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</si>
  <si>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</si>
  <si>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</si>
  <si>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</si>
  <si>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</si>
  <si>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</si>
  <si>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</si>
  <si>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</si>
  <si>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</si>
  <si>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</si>
  <si>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</si>
  <si>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</si>
  <si>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</si>
  <si>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</si>
  <si>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</si>
  <si>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</si>
  <si>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</si>
  <si>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</si>
  <si>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</si>
  <si>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</si>
  <si>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</si>
  <si>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</si>
  <si>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</si>
  <si>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</si>
  <si>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</si>
  <si>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</si>
  <si>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</si>
  <si>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</si>
  <si>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</si>
  <si>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</si>
  <si>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</si>
  <si>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</si>
  <si>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</si>
  <si>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</si>
  <si>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</si>
  <si>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</si>
  <si>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</si>
  <si>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</si>
  <si>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</si>
  <si>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</si>
  <si>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</si>
  <si>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</si>
  <si>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</si>
  <si>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</si>
  <si>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</si>
  <si>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</si>
  <si>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</si>
  <si>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</si>
  <si>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</si>
  <si>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</si>
  <si>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</si>
  <si>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</si>
  <si>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</si>
  <si>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</si>
  <si>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</si>
  <si>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</si>
  <si>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</si>
  <si>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</si>
  <si>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</si>
  <si>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</si>
  <si>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</si>
  <si>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</si>
  <si>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</si>
  <si>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</si>
  <si>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</si>
  <si>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</si>
  <si>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</si>
  <si>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</si>
  <si>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</si>
  <si>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</si>
  <si>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</si>
  <si>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</si>
  <si>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</si>
  <si>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</si>
  <si>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</si>
  <si>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</si>
  <si>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</si>
  <si>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</si>
  <si>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</si>
  <si>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</si>
  <si>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</si>
  <si>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</si>
  <si>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</si>
  <si>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</si>
  <si>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</si>
  <si>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</si>
  <si>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</si>
  <si>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</si>
  <si>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</si>
  <si>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</si>
  <si>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</si>
  <si>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</si>
  <si>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</si>
  <si>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</si>
  <si>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</si>
  <si>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</si>
  <si>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</si>
  <si>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</si>
  <si>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</si>
  <si>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</si>
  <si>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</si>
  <si>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</si>
  <si>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</si>
  <si>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</si>
  <si>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</si>
  <si>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</si>
  <si>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</si>
  <si>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</si>
  <si>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</si>
  <si>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</si>
  <si>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</si>
  <si>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</si>
  <si>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</si>
  <si>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</si>
  <si>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</si>
  <si>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</si>
  <si>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</si>
  <si>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</si>
  <si>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</si>
  <si>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</si>
  <si>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</si>
  <si>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</si>
  <si>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</si>
  <si>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</si>
  <si>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</si>
  <si>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</si>
  <si>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</si>
  <si>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</si>
  <si>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</si>
  <si>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</si>
  <si>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</si>
  <si>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</si>
  <si>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</si>
  <si>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</si>
  <si>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</si>
  <si>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</si>
  <si>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</si>
  <si>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</si>
  <si>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</si>
  <si>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</si>
  <si>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</si>
  <si>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</si>
  <si>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</si>
  <si>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</si>
  <si>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</si>
  <si>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</si>
  <si>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</si>
  <si>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</si>
  <si>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</si>
  <si>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</si>
  <si>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</si>
  <si>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</si>
  <si>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</si>
  <si>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</si>
  <si>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</si>
  <si>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</si>
  <si>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</si>
  <si>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</si>
  <si>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</si>
  <si>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</si>
  <si>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</si>
  <si>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</si>
  <si>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</si>
  <si>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</si>
  <si>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</si>
  <si>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</si>
  <si>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</si>
  <si>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</si>
  <si>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</si>
  <si>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</si>
  <si>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</si>
  <si>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</si>
  <si>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</si>
  <si>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</si>
  <si>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</si>
  <si>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</si>
  <si>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</si>
  <si>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</si>
  <si>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</si>
  <si>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</si>
  <si>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</si>
  <si>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</si>
  <si>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</si>
  <si>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</si>
  <si>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</si>
  <si>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</si>
  <si>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</si>
  <si>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</si>
  <si>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</si>
  <si>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</si>
  <si>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</si>
  <si>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</si>
  <si>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</si>
  <si>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</si>
  <si>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</si>
  <si>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</si>
  <si>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</si>
  <si>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</si>
  <si>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</si>
  <si>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</si>
  <si>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</si>
  <si>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</si>
  <si>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</si>
  <si>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</si>
  <si>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</si>
  <si>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</si>
  <si>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</si>
  <si>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</si>
  <si>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</si>
  <si>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</si>
  <si>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</si>
  <si>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</si>
  <si>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</si>
  <si>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</si>
  <si>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</si>
  <si>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</si>
  <si>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</si>
  <si>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</si>
  <si>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</si>
  <si>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</si>
  <si>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</si>
  <si>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</si>
  <si>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</si>
  <si>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</si>
  <si>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</si>
  <si>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</si>
  <si>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</si>
  <si>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</si>
  <si>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</si>
  <si>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</si>
  <si>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</si>
  <si>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</si>
  <si>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</si>
  <si>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</si>
  <si>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</si>
  <si>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</si>
  <si>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</si>
  <si>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</si>
  <si>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</si>
  <si>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</si>
  <si>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</si>
  <si>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</si>
  <si>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</si>
  <si>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</si>
  <si>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</si>
  <si>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</si>
  <si>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</si>
  <si>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</si>
  <si>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</si>
  <si>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</si>
  <si>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</si>
  <si>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</si>
  <si>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</si>
  <si>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</si>
  <si>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</si>
  <si>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</si>
  <si>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</si>
  <si>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</si>
  <si>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</si>
  <si>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</si>
  <si>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</si>
  <si>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</si>
  <si>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</si>
  <si>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</si>
  <si>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</si>
  <si>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</si>
  <si>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</si>
  <si>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</si>
  <si>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</si>
  <si>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</si>
  <si>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</si>
  <si>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</si>
  <si>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</si>
  <si>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</si>
  <si>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</si>
  <si>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</si>
  <si>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</si>
  <si>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</si>
  <si>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</si>
  <si>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</si>
  <si>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</si>
  <si>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</si>
  <si>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</si>
  <si>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</si>
  <si>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</si>
  <si>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</si>
  <si>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</si>
  <si>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</si>
  <si>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</si>
  <si>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</si>
  <si>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</si>
  <si>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</si>
  <si>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</si>
  <si>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</si>
  <si>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</si>
  <si>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</si>
  <si>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</si>
  <si>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</si>
  <si>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</si>
  <si>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</si>
  <si>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</si>
  <si>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</si>
  <si>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</si>
  <si>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</si>
  <si>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</si>
  <si>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</si>
  <si>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</si>
  <si>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</si>
  <si>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</si>
  <si>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</si>
  <si>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</si>
  <si>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</si>
  <si>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</si>
  <si>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</si>
  <si>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</si>
  <si>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</si>
  <si>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</si>
  <si>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</si>
  <si>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</si>
  <si>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</si>
  <si>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</si>
  <si>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</si>
  <si>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</si>
  <si>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</si>
  <si>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</si>
  <si>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</si>
  <si>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</si>
  <si>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</si>
  <si>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</si>
  <si>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</si>
  <si>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</si>
  <si>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</si>
  <si>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</si>
  <si>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</si>
  <si>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</si>
  <si>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</si>
  <si>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</si>
  <si>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</si>
  <si>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</si>
  <si>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</si>
  <si>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</si>
  <si>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</si>
  <si>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</si>
  <si>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</si>
  <si>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</si>
  <si>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</si>
  <si>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</si>
  <si>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</si>
  <si>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</si>
  <si>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</si>
  <si>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</si>
  <si>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</si>
  <si>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</si>
  <si>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</si>
  <si>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</si>
  <si>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</si>
  <si>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</si>
  <si>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</si>
  <si>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</si>
  <si>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</si>
  <si>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</si>
  <si>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</si>
  <si>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</si>
  <si>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</si>
  <si>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</si>
  <si>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</si>
  <si>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</si>
  <si>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</si>
  <si>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</si>
  <si>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</si>
  <si>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</si>
  <si>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</si>
  <si>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</si>
  <si>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</si>
  <si>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</si>
  <si>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</si>
  <si>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</si>
  <si>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</si>
  <si>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</si>
  <si>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</si>
  <si>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</si>
  <si>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</si>
  <si>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</si>
  <si>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</si>
  <si>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</si>
  <si>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</si>
  <si>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</si>
  <si>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</si>
  <si>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</si>
  <si>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</si>
  <si>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</si>
  <si>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</si>
  <si>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</si>
  <si>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</si>
  <si>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</si>
  <si>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</si>
  <si>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</si>
  <si>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</si>
  <si>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</si>
  <si>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</si>
  <si>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</si>
  <si>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</si>
  <si>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</si>
  <si>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</si>
  <si>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</si>
  <si>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</si>
  <si>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</si>
  <si>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</si>
  <si>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</si>
  <si>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</si>
  <si>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</si>
  <si>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</si>
  <si>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</si>
  <si>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</si>
  <si>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</si>
  <si>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</si>
  <si>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</si>
  <si>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</si>
  <si>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</si>
  <si>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</si>
  <si>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</si>
  <si>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</si>
  <si>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</si>
  <si>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</si>
  <si>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</si>
  <si>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</si>
  <si>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</si>
  <si>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</si>
  <si>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</si>
  <si>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</si>
  <si>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</si>
  <si>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</si>
  <si>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</si>
  <si>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</si>
  <si>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</si>
  <si>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</si>
  <si>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</si>
  <si>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</si>
  <si>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</si>
  <si>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</si>
  <si>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</si>
  <si>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</si>
  <si>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</si>
  <si>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</si>
  <si>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</si>
  <si>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</si>
  <si>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</si>
  <si>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</si>
  <si>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</si>
  <si>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</si>
  <si>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</si>
  <si>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</si>
  <si>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</si>
  <si>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</si>
  <si>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</si>
  <si>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</si>
  <si>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</si>
  <si>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</si>
  <si>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</si>
  <si>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</si>
  <si>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</si>
  <si>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</si>
  <si>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</si>
  <si>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</si>
  <si>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</si>
  <si>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</si>
  <si>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</si>
  <si>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</si>
  <si>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</si>
  <si>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</si>
  <si>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</si>
  <si>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</si>
  <si>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</si>
  <si>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</si>
  <si>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</si>
  <si>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</si>
  <si>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</si>
  <si>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</si>
  <si>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</si>
  <si>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</si>
  <si>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</si>
  <si>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</si>
  <si>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</si>
  <si>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</si>
  <si>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</si>
  <si>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</si>
  <si>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</si>
  <si>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</si>
  <si>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</si>
  <si>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</si>
  <si>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</si>
  <si>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</si>
  <si>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</si>
  <si>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</si>
  <si>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</si>
  <si>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</si>
  <si>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</si>
  <si>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</si>
  <si>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</si>
  <si>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</si>
  <si>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</si>
  <si>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</si>
  <si>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</si>
  <si>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</si>
  <si>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</si>
  <si>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</si>
  <si>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</si>
  <si>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</si>
  <si>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</si>
  <si>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</si>
  <si>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</si>
  <si>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</si>
  <si>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</si>
  <si>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</si>
  <si>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</si>
  <si>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</si>
  <si>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</si>
  <si>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</si>
  <si>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</si>
  <si>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</si>
  <si>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</si>
  <si>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</si>
  <si>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</si>
  <si>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</si>
  <si>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</si>
  <si>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</si>
  <si>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</si>
  <si>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</si>
  <si>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</si>
  <si>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</si>
  <si>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</si>
  <si>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</si>
  <si>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</si>
  <si>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</si>
  <si>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</si>
  <si>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</si>
  <si>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</si>
  <si>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</si>
  <si>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</si>
  <si>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</si>
  <si>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</si>
  <si>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</si>
  <si>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</si>
  <si>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</si>
  <si>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</si>
  <si>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</si>
  <si>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</si>
  <si>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</si>
  <si>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</si>
  <si>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</si>
  <si>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</si>
  <si>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</si>
  <si>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</si>
  <si>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</si>
  <si>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</si>
  <si>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</si>
  <si>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</si>
  <si>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</si>
  <si>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</si>
  <si>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</si>
  <si>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</si>
  <si>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</si>
  <si>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</si>
  <si>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</si>
  <si>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</si>
  <si>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</si>
  <si>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</si>
  <si>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</si>
  <si>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</si>
  <si>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</si>
  <si>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</si>
  <si>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</si>
  <si>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</si>
  <si>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</si>
  <si>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</si>
  <si>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</si>
  <si>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</si>
  <si>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</si>
  <si>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</si>
  <si>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</si>
  <si>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</si>
  <si>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</si>
  <si>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</si>
  <si>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</si>
  <si>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</si>
  <si>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</si>
  <si>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</si>
  <si>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</si>
  <si>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</si>
  <si>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</si>
  <si>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</si>
  <si>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</si>
  <si>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</si>
  <si>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</si>
  <si>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</si>
  <si>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</si>
  <si>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</si>
  <si>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</si>
  <si>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</si>
  <si>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</si>
  <si>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</si>
  <si>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</si>
  <si>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</si>
  <si>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</si>
  <si>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</si>
  <si>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</si>
  <si>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</si>
  <si>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</si>
  <si>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</si>
  <si>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</si>
  <si>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</si>
  <si>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</si>
  <si>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</si>
  <si>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</si>
  <si>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</si>
  <si>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</si>
  <si>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</si>
  <si>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</si>
  <si>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</si>
  <si>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</si>
  <si>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</si>
  <si>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</si>
  <si>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</si>
  <si>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</si>
  <si>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</si>
  <si>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</si>
  <si>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</si>
  <si>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</si>
  <si>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</si>
  <si>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</si>
  <si>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</si>
  <si>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</si>
  <si>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</si>
  <si>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</si>
  <si>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</si>
  <si>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</si>
  <si>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</si>
  <si>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</si>
  <si>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</si>
  <si>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</si>
  <si>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</si>
  <si>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</si>
  <si>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</si>
  <si>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</si>
  <si>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</si>
  <si>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</si>
  <si>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</si>
  <si>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</si>
  <si>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</si>
  <si>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</si>
  <si>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</si>
  <si>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</si>
  <si>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</si>
  <si>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</si>
  <si>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</si>
  <si>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</si>
  <si>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</si>
  <si>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</si>
  <si>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</si>
  <si>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</si>
  <si>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</si>
  <si>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</si>
  <si>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</si>
  <si>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</si>
  <si>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</si>
  <si>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</si>
  <si>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</si>
  <si>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</si>
  <si>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</si>
  <si>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</si>
  <si>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</si>
  <si>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</si>
  <si>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</si>
  <si>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</si>
  <si>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</si>
  <si>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</si>
  <si>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</si>
  <si>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</si>
  <si>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</si>
  <si>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</si>
  <si>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</si>
  <si>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</si>
  <si>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</si>
  <si>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</si>
  <si>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</si>
  <si>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</si>
  <si>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</si>
  <si>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</si>
  <si>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</si>
  <si>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</si>
  <si>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</si>
  <si>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</si>
  <si>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</si>
  <si>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</si>
  <si>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</si>
  <si>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</si>
  <si>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</si>
  <si>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</si>
  <si>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</si>
  <si>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</si>
  <si>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</si>
  <si>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</si>
  <si>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</si>
  <si>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</si>
  <si>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</si>
  <si>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</si>
  <si>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</si>
  <si>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</si>
  <si>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</si>
  <si>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</si>
  <si>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</si>
  <si>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</si>
  <si>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</si>
  <si>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</si>
  <si>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</si>
  <si>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</si>
  <si>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</si>
  <si>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</si>
  <si>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</si>
  <si>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</si>
  <si>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</si>
  <si>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</si>
  <si>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</si>
  <si>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</si>
  <si>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</si>
  <si>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</si>
  <si>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</si>
  <si>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</si>
  <si>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</si>
  <si>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</si>
  <si>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</si>
  <si>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</si>
  <si>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</si>
  <si>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</si>
  <si>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</si>
  <si>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</si>
  <si>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</si>
  <si>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</si>
  <si>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</si>
  <si>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</si>
  <si>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</si>
  <si>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</si>
  <si>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</si>
  <si>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</si>
  <si>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</si>
  <si>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</si>
  <si>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</si>
  <si>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</si>
  <si>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</si>
  <si>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</si>
  <si>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</si>
  <si>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</si>
  <si>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</si>
  <si>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</si>
  <si>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</si>
  <si>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</si>
  <si>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</si>
  <si>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</si>
  <si>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</si>
  <si>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</si>
  <si>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</si>
  <si>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</si>
  <si>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</si>
  <si>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</si>
  <si>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</si>
  <si>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</si>
  <si>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</si>
  <si>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</si>
  <si>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</si>
  <si>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</si>
  <si>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</si>
  <si>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</si>
  <si>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</si>
  <si>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</si>
  <si>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</si>
  <si>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</si>
  <si>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</si>
  <si>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</si>
  <si>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</si>
  <si>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</si>
  <si>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</si>
  <si>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</si>
  <si>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</si>
  <si>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</si>
  <si>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</si>
  <si>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</si>
  <si>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</si>
  <si>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</si>
  <si>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</si>
  <si>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</si>
  <si>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</si>
  <si>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</si>
  <si>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</si>
  <si>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</si>
  <si>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</si>
  <si>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</si>
  <si>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</si>
  <si>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</si>
  <si>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</si>
  <si>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</si>
  <si>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</si>
  <si>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</si>
  <si>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</si>
  <si>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</si>
  <si>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</si>
  <si>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</si>
  <si>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</si>
  <si>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</si>
  <si>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</si>
  <si>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</si>
  <si>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</si>
  <si>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</si>
  <si>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</si>
  <si>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</si>
  <si>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</si>
  <si>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</si>
  <si>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</si>
  <si>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</si>
  <si>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</si>
  <si>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</si>
  <si>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</si>
  <si>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</si>
  <si>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</si>
  <si>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</si>
  <si>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</si>
  <si>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</si>
  <si>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</si>
  <si>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</si>
  <si>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</si>
  <si>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</si>
  <si>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</si>
  <si>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</si>
  <si>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</si>
  <si>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</si>
  <si>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</si>
  <si>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</si>
  <si>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</si>
  <si>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</si>
  <si>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</si>
  <si>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</si>
  <si>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</si>
  <si>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</si>
  <si>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</si>
  <si>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</si>
  <si>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</si>
  <si>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</si>
  <si>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</si>
  <si>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</si>
  <si>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</si>
  <si>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</si>
  <si>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</si>
  <si>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</si>
  <si>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</si>
  <si>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</si>
  <si>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</si>
  <si>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</si>
  <si>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</si>
  <si>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</si>
  <si>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</si>
  <si>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</si>
  <si>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</si>
  <si>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</si>
  <si>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</si>
  <si>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</si>
  <si>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</si>
  <si>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</si>
  <si>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</si>
  <si>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</si>
  <si>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</si>
  <si>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</si>
  <si>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</si>
  <si>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</si>
  <si>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</si>
  <si>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</si>
  <si>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</si>
  <si>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</si>
  <si>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</si>
  <si>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</si>
  <si>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</si>
  <si>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</si>
  <si>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</si>
  <si>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</si>
  <si>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</si>
  <si>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</si>
  <si>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</si>
  <si>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</si>
  <si>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</si>
  <si>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</si>
  <si>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</si>
  <si>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</si>
  <si>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</si>
  <si>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</si>
  <si>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</si>
  <si>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</si>
  <si>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</si>
  <si>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</si>
  <si>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</si>
  <si>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</si>
  <si>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</si>
  <si>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</si>
  <si>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</si>
  <si>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</si>
  <si>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</si>
  <si>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</si>
  <si>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</si>
  <si>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</si>
  <si>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</si>
  <si>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</si>
  <si>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</si>
  <si>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</si>
  <si>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</si>
  <si>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</si>
  <si>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</si>
  <si>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</si>
  <si>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</si>
  <si>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</si>
  <si>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</si>
  <si>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</si>
  <si>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</si>
  <si>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</si>
  <si>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</si>
  <si>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</si>
  <si>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</si>
  <si>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</si>
  <si>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</si>
  <si>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</si>
  <si>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</si>
  <si>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</si>
  <si>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</si>
  <si>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</si>
  <si>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</si>
  <si>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</si>
  <si>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</si>
  <si>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</si>
  <si>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</si>
  <si>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</si>
  <si>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</si>
  <si>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</si>
  <si>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</si>
  <si>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</si>
  <si>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</si>
  <si>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</si>
  <si>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</si>
  <si>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</si>
  <si>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</si>
  <si>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</si>
  <si>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</si>
  <si>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</si>
  <si>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</si>
  <si>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</si>
  <si>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</si>
  <si>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</si>
  <si>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</si>
  <si>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</si>
  <si>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</si>
  <si>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</si>
  <si>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</si>
  <si>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</si>
  <si>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</si>
  <si>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</si>
  <si>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</si>
  <si>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</si>
  <si>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</si>
  <si>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</si>
  <si>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</si>
  <si>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</si>
  <si>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</si>
  <si>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</si>
  <si>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</si>
  <si>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</si>
  <si>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</si>
  <si>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</si>
  <si>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</si>
  <si>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</si>
  <si>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</si>
  <si>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</si>
  <si>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</si>
  <si>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</si>
  <si>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</si>
  <si>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</si>
  <si>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</si>
  <si>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</si>
  <si>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</si>
  <si>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</si>
  <si>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</si>
  <si>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</si>
  <si>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</si>
  <si>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</si>
  <si>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</si>
  <si>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</si>
  <si>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</si>
  <si>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</si>
  <si>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</si>
  <si>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</si>
  <si>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</si>
  <si>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</si>
  <si>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</si>
  <si>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</si>
  <si>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</si>
  <si>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</si>
  <si>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</si>
  <si>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</si>
  <si>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</si>
  <si>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</si>
  <si>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</si>
  <si>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</si>
  <si>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</si>
  <si>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</si>
  <si>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</si>
  <si>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</si>
  <si>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</si>
  <si>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</si>
  <si>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</si>
  <si>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</si>
  <si>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</si>
  <si>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</si>
  <si>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</si>
  <si>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</si>
  <si>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</si>
  <si>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</si>
  <si>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</si>
  <si>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</si>
  <si>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</si>
  <si>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</si>
  <si>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</si>
  <si>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</si>
  <si>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</si>
  <si>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</si>
  <si>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</si>
  <si>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</si>
  <si>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</si>
  <si>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</si>
  <si>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</si>
  <si>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</si>
  <si>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</si>
  <si>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</si>
  <si>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</si>
  <si>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</si>
  <si>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</si>
  <si>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</si>
  <si>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</si>
  <si>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</si>
  <si>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</si>
  <si>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</si>
  <si>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</si>
  <si>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</si>
  <si>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</si>
  <si>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</si>
  <si>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</si>
  <si>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</si>
  <si>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</si>
  <si>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</si>
  <si>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</si>
  <si>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</si>
  <si>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</si>
  <si>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</si>
  <si>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</si>
  <si>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</si>
  <si>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</si>
  <si>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</si>
  <si>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</si>
  <si>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</si>
  <si>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</si>
  <si>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</si>
  <si>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</si>
  <si>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</si>
  <si>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</si>
  <si>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</si>
  <si>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</si>
  <si>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</si>
  <si>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</si>
  <si>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</si>
  <si>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</si>
  <si>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</si>
  <si>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</si>
  <si>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</si>
  <si>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</si>
  <si>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</si>
  <si>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</si>
  <si>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</si>
  <si>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</si>
  <si>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</si>
  <si>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</si>
  <si>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</si>
  <si>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</si>
  <si>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</si>
  <si>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</si>
  <si>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</si>
  <si>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</si>
  <si>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</si>
  <si>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</si>
  <si>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</si>
  <si>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</si>
  <si>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</si>
  <si>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</si>
  <si>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</si>
  <si>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</si>
  <si>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</si>
  <si>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</si>
  <si>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</si>
  <si>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</si>
  <si>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</si>
  <si>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</si>
  <si>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</si>
  <si>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</si>
  <si>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</si>
  <si>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</si>
  <si>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</si>
  <si>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</si>
  <si>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</si>
  <si>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</si>
  <si>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</si>
  <si>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</si>
  <si>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</si>
  <si>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</si>
  <si>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</si>
  <si>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</si>
  <si>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</si>
  <si>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</si>
  <si>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</si>
  <si>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</si>
  <si>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</si>
  <si>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</si>
  <si>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</si>
  <si>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</si>
  <si>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</si>
  <si>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</si>
  <si>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</si>
  <si>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</si>
  <si>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</si>
  <si>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</si>
  <si>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</si>
  <si>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</si>
  <si>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</si>
  <si>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</si>
  <si>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</si>
  <si>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</si>
  <si>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</si>
  <si>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</si>
  <si>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</si>
  <si>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</si>
  <si>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</si>
  <si>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</si>
  <si>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</si>
  <si>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</si>
  <si>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</si>
  <si>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</si>
  <si>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</si>
  <si>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</si>
  <si>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</si>
  <si>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</si>
  <si>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</si>
  <si>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</si>
  <si>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</si>
  <si>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</si>
  <si>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</si>
  <si>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</si>
  <si>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</si>
  <si>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</si>
  <si>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</si>
  <si>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</si>
  <si>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</si>
  <si>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</si>
  <si>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</si>
  <si>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</si>
  <si>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</si>
  <si>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</si>
  <si>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</si>
  <si>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</si>
  <si>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</si>
  <si>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</si>
  <si>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</si>
  <si>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</si>
  <si>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</si>
  <si>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</si>
  <si>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</si>
  <si>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</si>
  <si>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</si>
  <si>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</si>
  <si>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</si>
  <si>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</si>
  <si>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</si>
  <si>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</si>
  <si>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</si>
  <si>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</si>
  <si>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</si>
  <si>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</si>
  <si>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</si>
  <si>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</si>
  <si>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</si>
  <si>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</si>
  <si>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</si>
  <si>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</si>
  <si>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</si>
  <si>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</si>
  <si>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</si>
  <si>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</si>
  <si>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</si>
  <si>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</si>
  <si>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</si>
  <si>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</si>
  <si>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</si>
  <si>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</si>
  <si>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</si>
  <si>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</si>
  <si>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</si>
  <si>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</si>
  <si>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</si>
  <si>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</si>
  <si>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</si>
  <si>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</si>
  <si>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</si>
  <si>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</si>
  <si>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</si>
  <si>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</si>
  <si>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</si>
  <si>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</si>
  <si>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</si>
  <si>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</si>
  <si>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</si>
  <si>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</si>
  <si>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</si>
  <si>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</si>
  <si>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</si>
  <si>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</si>
  <si>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</si>
  <si>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</si>
  <si>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</si>
  <si>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</si>
  <si>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</si>
  <si>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</si>
  <si>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</si>
  <si>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</si>
  <si>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</si>
  <si>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</si>
  <si>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</si>
  <si>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</si>
  <si>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</si>
  <si>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</si>
  <si>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</si>
  <si>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</si>
  <si>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</si>
  <si>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</si>
  <si>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</si>
  <si>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</si>
  <si>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</si>
  <si>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</si>
  <si>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</si>
  <si>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</si>
  <si>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</si>
  <si>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</si>
  <si>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</si>
  <si>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</si>
  <si>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</si>
  <si>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</si>
  <si>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</si>
  <si>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</si>
  <si>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</si>
  <si>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</si>
  <si>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</si>
  <si>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</si>
  <si>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</si>
  <si>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</si>
  <si>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</si>
  <si>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</si>
  <si>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</si>
  <si>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</si>
  <si>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</si>
  <si>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</si>
  <si>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</si>
  <si>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</si>
  <si>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</si>
  <si>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</si>
  <si>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</si>
  <si>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</si>
  <si>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</si>
  <si>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</si>
  <si>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</si>
  <si>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</si>
  <si>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</si>
  <si>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</si>
  <si>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</si>
  <si>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</si>
  <si>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</si>
  <si>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</si>
  <si>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</si>
  <si>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</si>
  <si>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</si>
  <si>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</si>
  <si>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</si>
  <si>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</si>
  <si>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</si>
  <si>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</si>
  <si>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</si>
  <si>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</si>
  <si>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</si>
  <si>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</si>
  <si>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</si>
  <si>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</si>
  <si>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</si>
  <si>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</si>
  <si>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</si>
  <si>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</si>
  <si>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</si>
  <si>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</si>
  <si>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</si>
  <si>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</si>
  <si>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</si>
  <si>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</si>
  <si>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</si>
  <si>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</si>
  <si>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</si>
  <si>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</si>
  <si>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</si>
  <si>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</si>
  <si>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</si>
  <si>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</si>
  <si>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</si>
  <si>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</si>
  <si>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</si>
  <si>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</si>
  <si>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</si>
  <si>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</si>
  <si>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</si>
  <si>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</si>
  <si>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</si>
  <si>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</si>
  <si>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</si>
  <si>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</si>
  <si>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</si>
  <si>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</si>
  <si>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</si>
  <si>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</si>
  <si>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</si>
  <si>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</si>
  <si>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</si>
  <si>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</si>
  <si>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</si>
  <si>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</si>
  <si>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</si>
  <si>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</si>
  <si>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</si>
  <si>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</si>
  <si>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</si>
  <si>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</si>
  <si>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</si>
  <si>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</si>
  <si>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</si>
  <si>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</si>
  <si>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</si>
  <si>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</si>
  <si>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</si>
  <si>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</si>
  <si>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</si>
  <si>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</si>
  <si>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</si>
  <si>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</si>
  <si>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</si>
  <si>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</si>
  <si>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</si>
  <si>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</si>
  <si>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</si>
  <si>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</si>
  <si>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</si>
  <si>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</si>
  <si>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</si>
  <si>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</si>
  <si>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</si>
  <si>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</si>
  <si>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</si>
  <si>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</si>
  <si>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</si>
  <si>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</si>
  <si>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</si>
  <si>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</si>
  <si>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</si>
  <si>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</si>
  <si>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</si>
  <si>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</si>
  <si>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</si>
  <si>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</si>
  <si>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</si>
  <si>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</si>
  <si>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</si>
  <si>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</si>
  <si>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</si>
  <si>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</si>
  <si>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</si>
  <si>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</si>
  <si>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</si>
  <si>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</si>
  <si>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</si>
  <si>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</si>
  <si>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</si>
  <si>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</si>
  <si>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</si>
  <si>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</si>
  <si>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</si>
  <si>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</si>
  <si>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</si>
  <si>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</si>
  <si>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</si>
  <si>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</si>
  <si>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</si>
  <si>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</si>
  <si>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</si>
  <si>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</si>
  <si>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</si>
  <si>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</si>
  <si>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</si>
  <si>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</si>
  <si>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</si>
  <si>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</si>
  <si>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</si>
  <si>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</si>
  <si>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</si>
  <si>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</si>
  <si>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</si>
  <si>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</si>
  <si>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</si>
  <si>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</si>
  <si>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</si>
  <si>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</si>
  <si>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</si>
  <si>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</si>
  <si>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</si>
  <si>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</si>
  <si>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</si>
  <si>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</si>
  <si>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</si>
  <si>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</si>
  <si>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</si>
  <si>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</si>
  <si>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</si>
  <si>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</si>
  <si>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</si>
  <si>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</si>
  <si>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</si>
  <si>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</si>
  <si>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</si>
  <si>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</si>
  <si>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</si>
  <si>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</si>
  <si>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</si>
  <si>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</si>
  <si>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</si>
  <si>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</si>
  <si>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</si>
  <si>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</si>
  <si>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</si>
  <si>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</si>
  <si>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</si>
  <si>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</si>
  <si>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</si>
  <si>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</si>
  <si>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</si>
  <si>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</si>
  <si>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</si>
  <si>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</si>
  <si>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</si>
  <si>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</si>
  <si>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</si>
  <si>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</si>
  <si>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</si>
  <si>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</si>
  <si>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</si>
  <si>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</si>
  <si>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</si>
  <si>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</si>
  <si>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</si>
  <si>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</si>
  <si>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</si>
  <si>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</si>
  <si>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</si>
  <si>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</si>
  <si>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</si>
  <si>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</si>
  <si>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</si>
  <si>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</si>
  <si>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</si>
  <si>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</si>
  <si>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</si>
  <si>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</si>
  <si>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</si>
  <si>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</si>
  <si>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</si>
  <si>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</si>
  <si>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</si>
  <si>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</si>
  <si>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</si>
  <si>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</si>
  <si>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</si>
  <si>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</si>
  <si>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</si>
  <si>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</si>
  <si>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</si>
  <si>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</si>
  <si>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</si>
  <si>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</si>
  <si>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</si>
  <si>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</si>
  <si>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</si>
  <si>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</si>
  <si>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</si>
  <si>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</si>
  <si>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</si>
  <si>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</si>
  <si>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</si>
  <si>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</si>
  <si>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</si>
  <si>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</si>
  <si>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</si>
  <si>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</si>
  <si>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</si>
  <si>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</si>
  <si>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</si>
  <si>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</si>
  <si>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</si>
  <si>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</si>
  <si>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</si>
  <si>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</si>
  <si>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</si>
  <si>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</si>
  <si>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</si>
  <si>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</si>
  <si>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</si>
  <si>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</si>
  <si>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</si>
  <si>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</si>
  <si>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</si>
  <si>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</si>
  <si>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</si>
  <si>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</si>
  <si>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</si>
  <si>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</si>
  <si>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</si>
  <si>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</si>
  <si>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</si>
  <si>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</si>
  <si>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</si>
  <si>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</si>
  <si>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</si>
  <si>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</si>
  <si>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</si>
  <si>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</si>
  <si>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</si>
  <si>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</si>
  <si>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</si>
  <si>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</si>
  <si>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</si>
  <si>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</si>
  <si>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</si>
  <si>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</si>
  <si>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</si>
  <si>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</si>
  <si>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</si>
  <si>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</si>
  <si>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</si>
  <si>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</si>
  <si>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</si>
  <si>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</si>
  <si>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</si>
  <si>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</si>
  <si>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</si>
  <si>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</si>
  <si>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</si>
  <si>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</si>
  <si>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</si>
  <si>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</si>
  <si>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</si>
  <si>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</si>
  <si>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</si>
  <si>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</si>
  <si>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</si>
  <si>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</si>
  <si>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</si>
  <si>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</si>
  <si>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</si>
  <si>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</si>
  <si>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</si>
  <si>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</si>
  <si>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</si>
  <si>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</si>
  <si>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</si>
  <si>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</si>
  <si>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</si>
  <si>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</si>
  <si>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</si>
  <si>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</si>
  <si>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</si>
  <si>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</si>
  <si>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</si>
  <si>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</si>
  <si>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</si>
  <si>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</si>
  <si>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</si>
  <si>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</si>
  <si>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</si>
  <si>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</si>
  <si>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</si>
  <si>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</si>
  <si>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</si>
  <si>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</si>
  <si>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</si>
  <si>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</si>
  <si>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</si>
  <si>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</si>
  <si>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</si>
  <si>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</si>
  <si>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</si>
  <si>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</si>
  <si>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</si>
  <si>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</si>
  <si>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</si>
  <si>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</si>
  <si>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</si>
  <si>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</si>
  <si>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</si>
  <si>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</si>
  <si>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</si>
  <si>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</si>
  <si>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</si>
  <si>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</si>
  <si>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</si>
  <si>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</si>
  <si>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</si>
  <si>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</si>
  <si>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</si>
  <si>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</si>
  <si>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</si>
  <si>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</si>
  <si>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</si>
  <si>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</si>
  <si>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</si>
  <si>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</si>
  <si>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</si>
  <si>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</si>
  <si>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</si>
  <si>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</si>
  <si>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</si>
  <si>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</si>
  <si>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</si>
  <si>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</si>
  <si>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</si>
  <si>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</si>
  <si>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</si>
  <si>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</si>
  <si>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</si>
  <si>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</si>
  <si>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</si>
  <si>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</si>
  <si>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</si>
  <si>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</si>
  <si>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</si>
  <si>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</si>
  <si>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</si>
  <si>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</si>
  <si>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</si>
  <si>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</si>
  <si>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</si>
  <si>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</si>
  <si>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</si>
  <si>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</si>
  <si>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</si>
  <si>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</si>
  <si>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</si>
  <si>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</si>
  <si>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</si>
  <si>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</si>
  <si>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</si>
  <si>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</si>
  <si>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</si>
  <si>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</si>
  <si>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</si>
  <si>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</si>
  <si>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</si>
  <si>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</si>
  <si>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</si>
  <si>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</si>
  <si>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</si>
  <si>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</si>
  <si>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</si>
  <si>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</si>
  <si>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</si>
  <si>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</si>
  <si>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</si>
  <si>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</si>
  <si>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</si>
  <si>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</si>
  <si>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</si>
  <si>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</si>
  <si>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</si>
  <si>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</si>
  <si>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</si>
  <si>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</si>
  <si>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</si>
  <si>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</si>
  <si>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</si>
  <si>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</si>
  <si>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</si>
  <si>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</si>
  <si>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</si>
  <si>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</si>
  <si>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</si>
  <si>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</si>
  <si>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</si>
  <si>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</si>
  <si>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</si>
  <si>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</si>
  <si>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</si>
  <si>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</si>
  <si>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</si>
  <si>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</si>
  <si>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</si>
  <si>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</si>
  <si>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</si>
  <si>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</si>
  <si>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</si>
  <si>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</si>
  <si>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</si>
  <si>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</si>
  <si>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</si>
  <si>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</si>
  <si>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</si>
  <si>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</si>
  <si>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</si>
  <si>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</si>
  <si>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</si>
  <si>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</si>
  <si>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</si>
  <si>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</si>
  <si>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</si>
  <si>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</si>
  <si>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</si>
  <si>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</si>
  <si>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</si>
  <si>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</si>
  <si>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</si>
  <si>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</si>
  <si>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</si>
  <si>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</si>
  <si>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</si>
  <si>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</si>
  <si>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</si>
  <si>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</si>
  <si>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</si>
  <si>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</si>
  <si>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</si>
  <si>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</si>
  <si>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</si>
  <si>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</si>
  <si>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</si>
  <si>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</si>
  <si>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</si>
  <si>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</si>
  <si>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</si>
  <si>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</si>
  <si>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</si>
  <si>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</si>
  <si>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</si>
  <si>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</si>
  <si>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</si>
  <si>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</si>
  <si>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</si>
  <si>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</si>
  <si>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</si>
  <si>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</si>
  <si>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</si>
  <si>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</si>
  <si>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</si>
  <si>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</si>
  <si>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</si>
  <si>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</si>
  <si>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</si>
  <si>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</si>
  <si>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</si>
  <si>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</si>
  <si>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</si>
  <si>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</si>
  <si>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</si>
  <si>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</si>
  <si>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</si>
  <si>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</si>
  <si>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</si>
  <si>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</si>
  <si>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</si>
  <si>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</si>
  <si>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</si>
  <si>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</si>
  <si>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</si>
  <si>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</si>
  <si>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</si>
  <si>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</si>
  <si>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</si>
  <si>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</si>
  <si>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</si>
  <si>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</si>
  <si>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</si>
  <si>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</si>
  <si>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</si>
  <si>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</si>
  <si>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</si>
  <si>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</si>
  <si>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</si>
  <si>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</si>
  <si>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</si>
  <si>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</si>
  <si>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</si>
  <si>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</si>
  <si>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</si>
  <si>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</si>
  <si>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</si>
  <si>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</si>
  <si>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</si>
  <si>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</si>
  <si>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</si>
  <si>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</si>
  <si>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</si>
  <si>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</si>
  <si>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</si>
  <si>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</si>
  <si>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</si>
  <si>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</si>
  <si>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</si>
  <si>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</si>
  <si>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</si>
  <si>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</si>
  <si>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</si>
  <si>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</si>
  <si>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</si>
  <si>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</si>
  <si>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</si>
  <si>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</si>
  <si>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</si>
  <si>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</si>
  <si>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</si>
  <si>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</si>
  <si>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</si>
  <si>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</si>
  <si>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</si>
  <si>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</si>
  <si>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</si>
  <si>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</si>
  <si>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</si>
  <si>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</si>
  <si>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</si>
  <si>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</si>
  <si>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</si>
  <si>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</si>
  <si>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</si>
  <si>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Fish and Wildlife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</si>
</sst>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J17" sqref="J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paperSize="3"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33" zoomScaleNormal="100" workbookViewId="0">
      <selection activeCell="J129" sqref="J12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t="s">
        <v>1883</v>
      </c>
      <c r="G4" s="259"/>
      <c r="H4" s="259"/>
      <c r="I4" s="259"/>
    </row>
    <row r="5" spans="1:19" ht="16.5" customHeight="1" x14ac:dyDescent="0.2">
      <c r="A5" s="257" t="s">
        <v>1640</v>
      </c>
      <c r="B5" s="257"/>
      <c r="C5" s="257"/>
      <c r="D5" s="257"/>
      <c r="E5" s="257"/>
      <c r="F5" s="259" t="s">
        <v>770</v>
      </c>
      <c r="G5" s="259"/>
      <c r="H5" s="259"/>
      <c r="I5" s="259"/>
      <c r="L5" s="39"/>
      <c r="M5" s="39"/>
      <c r="N5" s="39"/>
      <c r="O5" s="39"/>
      <c r="P5" s="39"/>
      <c r="Q5" s="39"/>
    </row>
    <row r="6" spans="1:19" ht="16.5" customHeight="1" x14ac:dyDescent="0.25">
      <c r="A6" s="257" t="s">
        <v>1683</v>
      </c>
      <c r="B6" s="257"/>
      <c r="C6" s="257"/>
      <c r="D6" s="257"/>
      <c r="E6" s="257"/>
      <c r="F6" s="260">
        <v>200</v>
      </c>
      <c r="G6" s="260"/>
      <c r="H6" s="260"/>
      <c r="I6" s="260"/>
      <c r="L6" s="40"/>
      <c r="M6" s="40"/>
      <c r="N6" s="40"/>
      <c r="O6" s="40"/>
      <c r="P6" s="39"/>
      <c r="Q6" s="39"/>
    </row>
    <row r="7" spans="1:19" ht="16.5" customHeight="1" x14ac:dyDescent="0.25">
      <c r="A7" s="257" t="s">
        <v>3</v>
      </c>
      <c r="B7" s="257"/>
      <c r="C7" s="257"/>
      <c r="D7" s="257"/>
      <c r="E7" s="257"/>
      <c r="F7" s="260" t="s">
        <v>124</v>
      </c>
      <c r="G7" s="260"/>
      <c r="H7" s="260"/>
      <c r="I7" s="260"/>
      <c r="K7" s="96"/>
      <c r="L7" s="40"/>
      <c r="M7" s="40"/>
      <c r="N7" s="40"/>
      <c r="O7" s="40"/>
      <c r="P7" s="39"/>
      <c r="Q7" s="39"/>
    </row>
    <row r="8" spans="1:19" ht="16.5" customHeight="1" x14ac:dyDescent="0.25">
      <c r="A8" s="257" t="s">
        <v>1641</v>
      </c>
      <c r="B8" s="257"/>
      <c r="C8" s="257"/>
      <c r="D8" s="257"/>
      <c r="E8" s="257"/>
      <c r="F8" s="260" t="s">
        <v>165</v>
      </c>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RESOURCES</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49520341</v>
      </c>
      <c r="M17" s="196">
        <v>49520341</v>
      </c>
      <c r="P17" s="196">
        <v>48770975</v>
      </c>
      <c r="Q17" s="224"/>
      <c r="S17" s="223">
        <f t="shared" si="0"/>
        <v>-749366</v>
      </c>
    </row>
    <row r="18" spans="1:19" ht="16.5" customHeight="1" x14ac:dyDescent="0.25">
      <c r="A18" s="99"/>
      <c r="B18" s="26" t="s">
        <v>179</v>
      </c>
      <c r="C18" s="26"/>
      <c r="D18" s="26"/>
      <c r="E18" s="193"/>
      <c r="F18" s="194"/>
      <c r="G18" s="194"/>
      <c r="H18" s="195"/>
      <c r="I18" s="195"/>
      <c r="J18" s="248">
        <f>P18</f>
        <v>0</v>
      </c>
      <c r="M18" s="196">
        <v>210626</v>
      </c>
      <c r="P18" s="221">
        <f>IF(SUM($Q$20:$Q$23)&gt;SUM($P$15:$P$17),SUM($Q$20:$Q$23)-SUM($P$15:$P$17),0)</f>
        <v>0</v>
      </c>
      <c r="Q18" s="224"/>
      <c r="S18" s="223">
        <f t="shared" si="0"/>
        <v>-210626</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8965707</v>
      </c>
      <c r="N22" s="196">
        <v>8965707</v>
      </c>
      <c r="P22" s="224"/>
      <c r="Q22" s="196">
        <v>9409058</v>
      </c>
      <c r="S22" s="223">
        <f t="shared" ref="S22:S25" si="1">Q22-N22</f>
        <v>443351</v>
      </c>
    </row>
    <row r="23" spans="1:19" ht="16.5" customHeight="1" x14ac:dyDescent="0.25">
      <c r="A23" s="234" t="s">
        <v>1698</v>
      </c>
      <c r="B23" s="26"/>
      <c r="C23" s="26" t="s">
        <v>184</v>
      </c>
      <c r="D23" s="26"/>
      <c r="E23" s="193"/>
      <c r="F23" s="194"/>
      <c r="G23" s="194"/>
      <c r="H23" s="195"/>
      <c r="I23" s="195"/>
      <c r="J23" s="213"/>
      <c r="K23" s="248">
        <f>N23</f>
        <v>40378864</v>
      </c>
      <c r="N23" s="196">
        <v>40378864</v>
      </c>
      <c r="P23" s="224"/>
      <c r="Q23" s="196">
        <v>39266934</v>
      </c>
      <c r="S23" s="223">
        <f t="shared" si="1"/>
        <v>-1111930</v>
      </c>
    </row>
    <row r="24" spans="1:19" ht="16.5" customHeight="1" x14ac:dyDescent="0.25">
      <c r="A24" s="99"/>
      <c r="B24" s="26"/>
      <c r="C24" s="26" t="s">
        <v>186</v>
      </c>
      <c r="D24" s="26"/>
      <c r="E24" s="193"/>
      <c r="F24" s="194"/>
      <c r="G24" s="194"/>
      <c r="H24" s="195"/>
      <c r="I24" s="195"/>
      <c r="J24" s="213"/>
      <c r="K24" s="248">
        <f>Q24</f>
        <v>94983</v>
      </c>
      <c r="N24" s="196">
        <v>386396</v>
      </c>
      <c r="P24" s="224"/>
      <c r="Q24" s="221">
        <f>IF(SUM($Q$20:$Q$23)&lt;SUM($P$15:$P$17),-SUM($Q$20:$Q$23)+SUM($P$15:$P$17),0)</f>
        <v>94983</v>
      </c>
      <c r="S24" s="223">
        <f t="shared" si="1"/>
        <v>-291413</v>
      </c>
    </row>
    <row r="25" spans="1:19" ht="16.5" customHeight="1" x14ac:dyDescent="0.25">
      <c r="A25" s="99"/>
      <c r="B25" s="26"/>
      <c r="C25" s="26" t="s">
        <v>187</v>
      </c>
      <c r="D25" s="26"/>
      <c r="E25" s="193"/>
      <c r="F25" s="194"/>
      <c r="G25" s="194"/>
      <c r="H25" s="195"/>
      <c r="I25" s="195"/>
      <c r="J25" s="213"/>
      <c r="K25" s="248">
        <f>IF(SUM($K$20:$K$24)&lt;SUM($J$15:$J$18),-SUM($K$20:$K$24)+SUM($J$15:$J$18),0)</f>
        <v>80787</v>
      </c>
      <c r="N25" s="196"/>
      <c r="P25" s="224"/>
      <c r="Q25" s="224"/>
      <c r="S25" s="223">
        <f t="shared" si="1"/>
        <v>0</v>
      </c>
    </row>
    <row r="26" spans="1:19" ht="16.5" customHeight="1" x14ac:dyDescent="0.25">
      <c r="A26" s="99"/>
      <c r="C26" s="47"/>
      <c r="D26" s="47"/>
      <c r="E26" s="47"/>
      <c r="F26" s="179"/>
      <c r="G26" s="179"/>
      <c r="H26" s="49"/>
      <c r="I26" s="49"/>
      <c r="J26" s="155">
        <f>SUM(J15:J25)</f>
        <v>49520341</v>
      </c>
      <c r="K26" s="155">
        <f>SUM(K15:K25)</f>
        <v>49520341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f>6041370+502318+1566754</f>
        <v>8110442</v>
      </c>
      <c r="K33" s="197"/>
    </row>
    <row r="34" spans="1:12" ht="16.5" customHeight="1" x14ac:dyDescent="0.25">
      <c r="A34" s="99"/>
      <c r="B34" s="26"/>
      <c r="C34" s="26" t="s">
        <v>1861</v>
      </c>
      <c r="D34" s="193"/>
      <c r="E34" s="193"/>
      <c r="F34" s="194"/>
      <c r="G34" s="194"/>
      <c r="H34" s="195"/>
      <c r="I34" s="195"/>
      <c r="J34" s="197"/>
      <c r="K34" s="196">
        <f>6041370+502318+1566754</f>
        <v>8110442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8110442</v>
      </c>
      <c r="K36" s="155">
        <f>SUM(K33:K35)</f>
        <v>8110442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f>6041370+502318+1566754</f>
        <v>8110442</v>
      </c>
      <c r="K41" s="197"/>
    </row>
    <row r="42" spans="1:12" ht="16.5" customHeight="1" x14ac:dyDescent="0.25">
      <c r="A42" s="99"/>
      <c r="B42" s="26"/>
      <c r="C42" s="26" t="s">
        <v>198</v>
      </c>
      <c r="D42" s="193"/>
      <c r="E42" s="193"/>
      <c r="F42" s="194"/>
      <c r="G42" s="194"/>
      <c r="H42" s="195"/>
      <c r="I42" s="195"/>
      <c r="J42" s="197"/>
      <c r="K42" s="196">
        <f>6041370+502318+1566754</f>
        <v>8110442</v>
      </c>
    </row>
    <row r="43" spans="1:12" ht="16.5" customHeight="1" x14ac:dyDescent="0.25">
      <c r="A43" s="99"/>
      <c r="B43" s="182" t="s">
        <v>1692</v>
      </c>
      <c r="C43" s="43"/>
      <c r="D43" s="43"/>
      <c r="E43" s="43"/>
      <c r="F43" s="44"/>
      <c r="G43" s="44"/>
      <c r="H43" s="45"/>
      <c r="I43" s="45"/>
      <c r="J43" s="155">
        <f>SUM(J39:J42)</f>
        <v>8110442</v>
      </c>
      <c r="K43" s="155">
        <f>SUM(K39:K42)</f>
        <v>8110442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f>6041370+502318+1566754</f>
        <v>8110442</v>
      </c>
      <c r="K47" s="197"/>
    </row>
    <row r="48" spans="1:12" ht="16.5" customHeight="1" x14ac:dyDescent="0.25">
      <c r="A48" s="234" t="s">
        <v>1698</v>
      </c>
      <c r="B48" s="26"/>
      <c r="C48" s="26" t="s">
        <v>184</v>
      </c>
      <c r="D48" s="193"/>
      <c r="E48" s="193"/>
      <c r="F48" s="194"/>
      <c r="G48" s="194"/>
      <c r="H48" s="195"/>
      <c r="I48" s="195"/>
      <c r="J48" s="197"/>
      <c r="K48" s="196">
        <f>6041370+502318+1566754</f>
        <v>8110442</v>
      </c>
    </row>
    <row r="49" spans="1:16" ht="16.5" customHeight="1" x14ac:dyDescent="0.25">
      <c r="A49" s="99"/>
      <c r="C49" s="43"/>
      <c r="D49" s="43"/>
      <c r="E49" s="43"/>
      <c r="F49" s="44"/>
      <c r="G49" s="44"/>
      <c r="H49" s="45"/>
      <c r="I49" s="45"/>
      <c r="J49" s="155">
        <f>SUM(J47:J48)</f>
        <v>8110442</v>
      </c>
      <c r="K49" s="155">
        <f>SUM(K47:K48)</f>
        <v>8110442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9774092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9774092</v>
      </c>
    </row>
    <row r="59" spans="1:16" ht="16.5" customHeight="1" x14ac:dyDescent="0.25">
      <c r="A59" s="99"/>
      <c r="C59" s="43"/>
      <c r="D59" s="43"/>
      <c r="E59" s="43"/>
      <c r="F59" s="44"/>
      <c r="G59" s="44"/>
      <c r="H59" s="45"/>
      <c r="I59" s="45"/>
      <c r="J59" s="155">
        <f>SUM(J55:J58)</f>
        <v>9774092</v>
      </c>
      <c r="K59" s="155">
        <f>SUM(K55:K58)</f>
        <v>9774092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9861136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300227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10161362</v>
      </c>
    </row>
    <row r="65" spans="1:12" ht="16.5" customHeight="1" x14ac:dyDescent="0.25">
      <c r="A65" s="99"/>
      <c r="C65" s="43"/>
      <c r="D65" s="43"/>
      <c r="E65" s="43"/>
      <c r="F65" s="44"/>
      <c r="G65" s="44"/>
      <c r="H65" s="45"/>
      <c r="I65" s="45"/>
      <c r="J65" s="155">
        <f>SUM(J62:J64)</f>
        <v>10161363</v>
      </c>
      <c r="K65" s="155">
        <f>SUM(K62:K64)</f>
        <v>10161362</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9861136</v>
      </c>
      <c r="K68" s="197"/>
    </row>
    <row r="69" spans="1:12" ht="16.5" customHeight="1" x14ac:dyDescent="0.25">
      <c r="A69" s="99"/>
      <c r="B69" s="26"/>
      <c r="C69" s="26" t="s">
        <v>203</v>
      </c>
      <c r="D69" s="193"/>
      <c r="E69" s="193"/>
      <c r="F69" s="194"/>
      <c r="G69" s="194"/>
      <c r="H69" s="195"/>
      <c r="I69" s="195"/>
      <c r="J69" s="197"/>
      <c r="K69" s="196">
        <v>9861136</v>
      </c>
    </row>
    <row r="70" spans="1:12" ht="16.5" customHeight="1" x14ac:dyDescent="0.25">
      <c r="A70" s="99"/>
      <c r="C70" s="43"/>
      <c r="D70" s="43"/>
      <c r="E70" s="43"/>
      <c r="F70" s="44"/>
      <c r="G70" s="44"/>
      <c r="H70" s="45"/>
      <c r="I70" s="45"/>
      <c r="J70" s="155">
        <f>SUM(J68:J69)</f>
        <v>9861136</v>
      </c>
      <c r="K70" s="155">
        <f>SUM(K68:K69)</f>
        <v>9861136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9783698</v>
      </c>
      <c r="K75" s="197"/>
    </row>
    <row r="76" spans="1:12" ht="16.5" customHeight="1" x14ac:dyDescent="0.25">
      <c r="A76" s="99"/>
      <c r="B76" s="26"/>
      <c r="C76" s="26" t="s">
        <v>211</v>
      </c>
      <c r="D76" s="193"/>
      <c r="E76" s="193"/>
      <c r="F76" s="194"/>
      <c r="G76" s="194"/>
      <c r="H76" s="195"/>
      <c r="I76" s="195"/>
      <c r="J76" s="197"/>
      <c r="K76" s="196">
        <v>9783698</v>
      </c>
    </row>
    <row r="77" spans="1:12" ht="16.5" customHeight="1" x14ac:dyDescent="0.2">
      <c r="A77" s="99"/>
      <c r="B77" s="264" t="s">
        <v>1841</v>
      </c>
      <c r="C77" s="264"/>
      <c r="D77" s="264"/>
      <c r="E77" s="264"/>
      <c r="F77" s="264"/>
      <c r="G77" s="264"/>
      <c r="H77" s="264"/>
      <c r="I77" s="264"/>
      <c r="J77" s="155">
        <f>SUM(J75:J76)</f>
        <v>9783698</v>
      </c>
      <c r="K77" s="155">
        <f>SUM(K75:K76)</f>
        <v>9783698</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57630783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-18739799</v>
      </c>
    </row>
    <row r="128" spans="1:12" ht="16.5" customHeight="1" x14ac:dyDescent="0.25">
      <c r="D128" s="193" t="s">
        <v>1709</v>
      </c>
      <c r="H128" s="37"/>
      <c r="K128" s="238">
        <f>-K23-K48+J68+J75+J96-K113</f>
        <v>-28844472</v>
      </c>
    </row>
    <row r="129" spans="4:11" ht="16.5" customHeight="1" x14ac:dyDescent="0.25">
      <c r="D129" s="193" t="s">
        <v>1710</v>
      </c>
      <c r="H129" s="37"/>
      <c r="K129" s="238">
        <f>-K76</f>
        <v>-9783698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Normal="100" workbookViewId="0">
      <selection activeCell="C38" sqref="C3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67" t="s">
        <v>212</v>
      </c>
      <c r="B3" s="267"/>
      <c r="C3" s="267"/>
      <c r="D3" s="52"/>
      <c r="E3" s="5"/>
      <c r="F3" s="5"/>
      <c r="G3" s="5"/>
      <c r="H3" s="5"/>
      <c r="I3" s="5"/>
      <c r="J3" s="5"/>
      <c r="K3" s="5"/>
      <c r="L3" s="5"/>
      <c r="M3" s="5"/>
    </row>
    <row r="4" spans="1:13" ht="31.15" customHeight="1" x14ac:dyDescent="0.25">
      <c r="A4" s="268" t="s">
        <v>7</v>
      </c>
      <c r="B4" s="268"/>
      <c r="C4" s="268"/>
      <c r="D4" s="52"/>
      <c r="E4" s="5"/>
      <c r="F4" s="5"/>
      <c r="G4" s="5"/>
      <c r="H4" s="5"/>
      <c r="I4" s="5"/>
      <c r="J4" s="5"/>
      <c r="K4" s="5"/>
      <c r="L4" s="5"/>
      <c r="M4" s="5"/>
    </row>
    <row r="5" spans="1:13" ht="31.15" customHeight="1" x14ac:dyDescent="0.25">
      <c r="A5" s="268" t="s">
        <v>9</v>
      </c>
      <c r="B5" s="268"/>
      <c r="C5" s="268"/>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7">
        <v>3600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9" t="s">
        <v>10</v>
      </c>
      <c r="B11" s="279"/>
      <c r="C11" s="279"/>
      <c r="D11" s="5"/>
      <c r="E11" s="5"/>
      <c r="F11" s="5"/>
      <c r="G11" s="57"/>
      <c r="H11" s="57"/>
      <c r="I11" s="57"/>
      <c r="J11" s="57"/>
      <c r="K11" s="57"/>
      <c r="L11" s="57"/>
      <c r="M11" s="57"/>
    </row>
    <row r="12" spans="1:13" ht="15" customHeight="1" x14ac:dyDescent="0.25">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25">
      <c r="A13" s="84" t="str">
        <f>RIGHT(B8,4)&amp;"–"&amp;RIGHT(B8,4)+1</f>
        <v>2023–2024</v>
      </c>
      <c r="B13" s="100">
        <v>9783698.1681029703</v>
      </c>
      <c r="C13" s="100">
        <v>278011.94189702929</v>
      </c>
      <c r="D13" s="270" t="s">
        <v>6</v>
      </c>
      <c r="E13" s="271"/>
      <c r="F13" s="271"/>
      <c r="G13" s="57"/>
      <c r="H13" s="57"/>
      <c r="I13" s="57"/>
      <c r="J13" s="57"/>
      <c r="K13" s="57"/>
      <c r="L13" s="57"/>
      <c r="M13" s="57"/>
    </row>
    <row r="14" spans="1:13" x14ac:dyDescent="0.2">
      <c r="A14" s="84" t="str">
        <f>LEFT(A13,4)+1&amp;"–"&amp;RIGHT(A13,4)+1</f>
        <v>2024–2025</v>
      </c>
      <c r="B14" s="100">
        <v>9137641.0140924882</v>
      </c>
      <c r="C14" s="100">
        <v>211990.65590751151</v>
      </c>
      <c r="D14" s="270"/>
      <c r="E14" s="271"/>
      <c r="F14" s="271"/>
    </row>
    <row r="15" spans="1:13" ht="15.75" x14ac:dyDescent="0.2">
      <c r="A15" s="84" t="str">
        <f>LEFT(A14,4)+1&amp;"–"&amp;RIGHT(A14,4)+1</f>
        <v>2025–2026</v>
      </c>
      <c r="B15" s="100">
        <v>7454274.0401567984</v>
      </c>
      <c r="C15" s="100">
        <v>146815.75984320205</v>
      </c>
      <c r="D15" s="266" t="s">
        <v>131</v>
      </c>
      <c r="E15" s="266"/>
      <c r="F15" s="266"/>
      <c r="G15" s="58"/>
      <c r="H15" s="58"/>
      <c r="I15" s="58"/>
      <c r="J15" s="58"/>
      <c r="K15" s="58"/>
      <c r="L15" s="58"/>
      <c r="M15" s="58"/>
    </row>
    <row r="16" spans="1:13" x14ac:dyDescent="0.2">
      <c r="A16" s="84" t="str">
        <f>LEFT(A15,4)+1&amp;"–"&amp;RIGHT(A15,4)+1</f>
        <v>2026–2027</v>
      </c>
      <c r="B16" s="100">
        <v>4765358.9571855916</v>
      </c>
      <c r="C16" s="100">
        <v>89147.302814408802</v>
      </c>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v>3702649.8654641067</v>
      </c>
      <c r="C17" s="100">
        <v>52104.224535893547</v>
      </c>
      <c r="D17" s="266"/>
      <c r="E17" s="266"/>
      <c r="F17" s="266"/>
      <c r="G17" s="59"/>
      <c r="H17" s="59"/>
      <c r="I17" s="59"/>
      <c r="J17" s="59"/>
      <c r="K17" s="59"/>
    </row>
    <row r="18" spans="1:13" ht="15" customHeight="1" x14ac:dyDescent="0.25">
      <c r="A18" s="84" t="str">
        <f>LEFT(A17,4)+1&amp;"–"&amp;RIGHT(A17,4)+5</f>
        <v>2028–2033</v>
      </c>
      <c r="B18" s="100">
        <v>3784548.1702361191</v>
      </c>
      <c r="C18" s="100">
        <v>32658.179763880747</v>
      </c>
      <c r="D18" s="270" t="s">
        <v>8</v>
      </c>
      <c r="E18" s="271"/>
      <c r="F18" s="271"/>
      <c r="G18" s="57"/>
      <c r="H18" s="57"/>
      <c r="I18" s="57"/>
      <c r="J18" s="57"/>
      <c r="K18" s="57"/>
      <c r="L18" s="57"/>
      <c r="M18" s="57"/>
    </row>
    <row r="19" spans="1:13" x14ac:dyDescent="0.2">
      <c r="A19" s="84" t="str">
        <f t="shared" ref="A19:A32" si="0">LEFT(A18,4)+5&amp;"–"&amp;RIGHT(A18,4)+5</f>
        <v>2033–2038</v>
      </c>
      <c r="B19" s="100"/>
      <c r="C19" s="100"/>
      <c r="D19" s="270"/>
      <c r="E19" s="271"/>
      <c r="F19" s="271"/>
    </row>
    <row r="20" spans="1:13" ht="15.75" x14ac:dyDescent="0.2">
      <c r="A20" s="84" t="str">
        <f t="shared" si="0"/>
        <v>2038–2043</v>
      </c>
      <c r="B20" s="100"/>
      <c r="C20" s="100"/>
      <c r="D20" s="266" t="s">
        <v>131</v>
      </c>
      <c r="E20" s="266"/>
      <c r="F20" s="266"/>
      <c r="G20" s="58"/>
      <c r="H20" s="58"/>
      <c r="I20" s="58"/>
      <c r="J20" s="58"/>
      <c r="K20" s="58"/>
      <c r="L20" s="58"/>
      <c r="M20" s="58"/>
    </row>
    <row r="21" spans="1:13" ht="15" customHeight="1" x14ac:dyDescent="0.2">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72"/>
      <c r="E22" s="269"/>
      <c r="F22" s="269"/>
    </row>
    <row r="23" spans="1:13" x14ac:dyDescent="0.2">
      <c r="A23" s="84" t="str">
        <f t="shared" si="0"/>
        <v>2053–2058</v>
      </c>
      <c r="B23" s="100"/>
      <c r="C23" s="100"/>
      <c r="D23" s="266">
        <v>0</v>
      </c>
      <c r="E23" s="266"/>
      <c r="F23" s="266"/>
    </row>
    <row r="24" spans="1:13" x14ac:dyDescent="0.2">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72"/>
      <c r="E25" s="269"/>
      <c r="F25" s="269"/>
    </row>
    <row r="26" spans="1:13" x14ac:dyDescent="0.2">
      <c r="A26" s="84" t="str">
        <f t="shared" si="0"/>
        <v>2068–2073</v>
      </c>
      <c r="B26" s="100"/>
      <c r="C26" s="100"/>
      <c r="D26" s="266" t="s">
        <v>131</v>
      </c>
      <c r="E26" s="266"/>
      <c r="F26" s="266"/>
    </row>
    <row r="27" spans="1:13" ht="15" customHeight="1" x14ac:dyDescent="0.2">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84" t="str">
        <f t="shared" si="0"/>
        <v>2078–2083</v>
      </c>
      <c r="B28" s="100"/>
      <c r="C28" s="100"/>
      <c r="D28" s="270"/>
      <c r="E28" s="271"/>
      <c r="F28" s="271"/>
      <c r="G28" s="61"/>
      <c r="H28" s="61"/>
      <c r="I28" s="61"/>
      <c r="J28" s="61"/>
      <c r="K28" s="61"/>
      <c r="L28" s="61"/>
      <c r="M28" s="61"/>
    </row>
    <row r="29" spans="1:13" ht="15.75" x14ac:dyDescent="0.2">
      <c r="A29" s="84" t="str">
        <f t="shared" si="0"/>
        <v>2083–2088</v>
      </c>
      <c r="B29" s="100"/>
      <c r="C29" s="100"/>
      <c r="D29" s="266" t="s">
        <v>131</v>
      </c>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t="s">
        <v>131</v>
      </c>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v>0</v>
      </c>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5" t="str">
        <f>B8</f>
        <v>2022–2023</v>
      </c>
      <c r="C39" s="265"/>
      <c r="E39" s="60"/>
    </row>
    <row r="40" spans="1:13" ht="15.6" customHeight="1" x14ac:dyDescent="0.25">
      <c r="A40" s="12" t="s">
        <v>210</v>
      </c>
      <c r="B40" s="280">
        <f>B9</f>
        <v>3600</v>
      </c>
      <c r="C40" s="280"/>
      <c r="E40" s="60"/>
    </row>
    <row r="41" spans="1:13" ht="15.75" x14ac:dyDescent="0.25">
      <c r="A41" s="12" t="s">
        <v>209</v>
      </c>
      <c r="B41" s="265" t="str">
        <f>B10</f>
        <v>Department of Fish and Wildlife</v>
      </c>
      <c r="C41" s="265"/>
      <c r="E41" s="60"/>
    </row>
    <row r="42" spans="1:13" ht="32.25" customHeight="1" x14ac:dyDescent="0.25">
      <c r="A42" s="279" t="s">
        <v>10</v>
      </c>
      <c r="B42" s="279"/>
      <c r="C42" s="279"/>
      <c r="D42" s="5"/>
      <c r="E42" s="5"/>
      <c r="F42" s="5"/>
      <c r="G42" s="57"/>
      <c r="H42" s="57"/>
      <c r="I42" s="57"/>
      <c r="J42" s="57"/>
      <c r="K42" s="57"/>
      <c r="L42" s="57"/>
      <c r="M42" s="57"/>
    </row>
    <row r="43" spans="1:13" ht="15" customHeight="1" x14ac:dyDescent="0.25">
      <c r="A43" s="84"/>
      <c r="B43" s="85" t="s">
        <v>11</v>
      </c>
      <c r="C43" s="85" t="s">
        <v>12</v>
      </c>
      <c r="D43" s="276" t="str">
        <f>"All of the below questions are for Fiscal Year "&amp;$B$8&amp;":"</f>
        <v>All of the below questions are for Fiscal Year 2022–2023:</v>
      </c>
      <c r="E43" s="276"/>
      <c r="F43" s="276"/>
    </row>
    <row r="44" spans="1:13" ht="15" customHeight="1" x14ac:dyDescent="0.2">
      <c r="A44" s="84" t="str">
        <f>RIGHT(B39,4)&amp;"–"&amp;RIGHT(B39,4)+1</f>
        <v>2023–2024</v>
      </c>
      <c r="B44" s="100"/>
      <c r="C44" s="100"/>
      <c r="D44" s="270" t="s">
        <v>6</v>
      </c>
      <c r="E44" s="271"/>
      <c r="F44" s="271"/>
    </row>
    <row r="45" spans="1:13" ht="15" customHeight="1" x14ac:dyDescent="0.2">
      <c r="A45" s="84" t="str">
        <f>LEFT(A44,4)+1&amp;"–"&amp;RIGHT(A44,4)+1</f>
        <v>2024–2025</v>
      </c>
      <c r="B45" s="100"/>
      <c r="C45" s="100"/>
      <c r="D45" s="270"/>
      <c r="E45" s="271"/>
      <c r="F45" s="271"/>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70" t="s">
        <v>8</v>
      </c>
      <c r="E49" s="271"/>
      <c r="F49" s="271"/>
    </row>
    <row r="50" spans="1:6" x14ac:dyDescent="0.2">
      <c r="A50" s="84" t="str">
        <f t="shared" ref="A50:A63" si="1">LEFT(A49,4)+5&amp;"–"&amp;RIGHT(A49,4)+5</f>
        <v>2033–2038</v>
      </c>
      <c r="B50" s="100"/>
      <c r="C50" s="100"/>
      <c r="D50" s="270"/>
      <c r="E50" s="271"/>
      <c r="F50" s="271"/>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72"/>
      <c r="E53" s="269"/>
      <c r="F53" s="269"/>
    </row>
    <row r="54" spans="1:6" x14ac:dyDescent="0.2">
      <c r="A54" s="84" t="str">
        <f t="shared" si="1"/>
        <v>2053–2058</v>
      </c>
      <c r="B54" s="100"/>
      <c r="C54" s="100"/>
      <c r="D54" s="266"/>
      <c r="E54" s="266"/>
      <c r="F54" s="266"/>
    </row>
    <row r="55" spans="1:6" ht="15" customHeight="1" x14ac:dyDescent="0.2">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72"/>
      <c r="E56" s="269"/>
      <c r="F56" s="269"/>
    </row>
    <row r="57" spans="1:6" x14ac:dyDescent="0.2">
      <c r="A57" s="84" t="str">
        <f t="shared" si="1"/>
        <v>2068–2073</v>
      </c>
      <c r="B57" s="100"/>
      <c r="C57" s="100"/>
      <c r="D57" s="266"/>
      <c r="E57" s="266"/>
      <c r="F57" s="266"/>
    </row>
    <row r="58" spans="1:6" x14ac:dyDescent="0.2">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84" t="str">
        <f t="shared" si="1"/>
        <v>2078–2083</v>
      </c>
      <c r="B59" s="100"/>
      <c r="C59" s="100"/>
      <c r="D59" s="270"/>
      <c r="E59" s="271"/>
      <c r="F59" s="271"/>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5" t="str">
        <f>B8</f>
        <v>2022–2023</v>
      </c>
      <c r="C70" s="265"/>
    </row>
    <row r="71" spans="1:13" ht="15.75" x14ac:dyDescent="0.25">
      <c r="A71" s="12" t="s">
        <v>210</v>
      </c>
      <c r="B71" s="280">
        <f>B9</f>
        <v>3600</v>
      </c>
      <c r="C71" s="280"/>
    </row>
    <row r="72" spans="1:13" ht="15.75" x14ac:dyDescent="0.25">
      <c r="A72" s="12" t="s">
        <v>209</v>
      </c>
      <c r="B72" s="265" t="str">
        <f>B10</f>
        <v>Department of Fish and Wildlife</v>
      </c>
      <c r="C72" s="265"/>
    </row>
    <row r="73" spans="1:13" ht="32.25" customHeight="1" x14ac:dyDescent="0.25">
      <c r="A73" s="279" t="s">
        <v>10</v>
      </c>
      <c r="B73" s="279"/>
      <c r="C73" s="279"/>
      <c r="D73" s="5"/>
      <c r="E73" s="5"/>
      <c r="F73" s="5"/>
      <c r="G73" s="57"/>
      <c r="H73" s="57"/>
      <c r="I73" s="57"/>
      <c r="J73" s="57"/>
      <c r="K73" s="57"/>
      <c r="L73" s="57"/>
      <c r="M73" s="57"/>
    </row>
    <row r="74" spans="1:13" ht="15.75" x14ac:dyDescent="0.25">
      <c r="A74" s="84"/>
      <c r="B74" s="85" t="s">
        <v>11</v>
      </c>
      <c r="C74" s="85" t="s">
        <v>12</v>
      </c>
      <c r="D74" s="276" t="str">
        <f>"All of the below questions are for Fiscal Year "&amp;$B$8&amp;":"</f>
        <v>All of the below questions are for Fiscal Year 2022–2023:</v>
      </c>
      <c r="E74" s="276"/>
      <c r="F74" s="276"/>
    </row>
    <row r="75" spans="1:13" ht="15" customHeight="1" x14ac:dyDescent="0.2">
      <c r="A75" s="84" t="str">
        <f>RIGHT(B70,4)&amp;"–"&amp;RIGHT(B70,4)+1</f>
        <v>2023–2024</v>
      </c>
      <c r="B75" s="100"/>
      <c r="C75" s="100"/>
      <c r="D75" s="270" t="s">
        <v>6</v>
      </c>
      <c r="E75" s="271"/>
      <c r="F75" s="271"/>
    </row>
    <row r="76" spans="1:13" x14ac:dyDescent="0.2">
      <c r="A76" s="84" t="str">
        <f>LEFT(A75,4)+1&amp;"–"&amp;RIGHT(A75,4)+1</f>
        <v>2024–2025</v>
      </c>
      <c r="B76" s="100"/>
      <c r="C76" s="100"/>
      <c r="D76" s="270"/>
      <c r="E76" s="271"/>
      <c r="F76" s="271"/>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70" t="s">
        <v>8</v>
      </c>
      <c r="E80" s="271"/>
      <c r="F80" s="271"/>
    </row>
    <row r="81" spans="1:6" x14ac:dyDescent="0.2">
      <c r="A81" s="84" t="str">
        <f t="shared" ref="A81:A94" si="2">LEFT(A80,4)+5&amp;"–"&amp;RIGHT(A80,4)+5</f>
        <v>2033–2038</v>
      </c>
      <c r="B81" s="100"/>
      <c r="C81" s="100"/>
      <c r="D81" s="270"/>
      <c r="E81" s="271"/>
      <c r="F81" s="271"/>
    </row>
    <row r="82" spans="1:6" x14ac:dyDescent="0.2">
      <c r="A82" s="84" t="str">
        <f t="shared" si="2"/>
        <v>2038–2043</v>
      </c>
      <c r="B82" s="100"/>
      <c r="C82" s="100"/>
      <c r="D82" s="266"/>
      <c r="E82" s="266"/>
      <c r="F82" s="266"/>
    </row>
    <row r="83" spans="1:6" ht="15" customHeight="1" x14ac:dyDescent="0.2">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72"/>
      <c r="E84" s="269"/>
      <c r="F84" s="269"/>
    </row>
    <row r="85" spans="1:6" x14ac:dyDescent="0.2">
      <c r="A85" s="84" t="str">
        <f t="shared" si="2"/>
        <v>2053–2058</v>
      </c>
      <c r="B85" s="100"/>
      <c r="C85" s="100"/>
      <c r="D85" s="266"/>
      <c r="E85" s="266"/>
      <c r="F85" s="266"/>
    </row>
    <row r="86" spans="1:6" ht="15" customHeight="1" x14ac:dyDescent="0.2">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72"/>
      <c r="E87" s="269"/>
      <c r="F87" s="269"/>
    </row>
    <row r="88" spans="1:6" x14ac:dyDescent="0.2">
      <c r="A88" s="84" t="str">
        <f t="shared" si="2"/>
        <v>2068–2073</v>
      </c>
      <c r="B88" s="100"/>
      <c r="C88" s="100"/>
      <c r="D88" s="266"/>
      <c r="E88" s="266"/>
      <c r="F88" s="266"/>
    </row>
    <row r="89" spans="1:6" x14ac:dyDescent="0.2">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84" t="str">
        <f t="shared" si="2"/>
        <v>2078–2083</v>
      </c>
      <c r="B90" s="100"/>
      <c r="C90" s="100"/>
      <c r="D90" s="270"/>
      <c r="E90" s="271"/>
      <c r="F90" s="271"/>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1" sqref="N1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0200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3600 - Department of Fish and Wildlife</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40378864</v>
      </c>
      <c r="G10" s="103"/>
      <c r="H10" s="107">
        <f>8110442</f>
        <v>8110442</v>
      </c>
      <c r="I10" s="103"/>
      <c r="J10" s="107">
        <f>9861136</f>
        <v>9861136</v>
      </c>
      <c r="K10" s="103"/>
      <c r="L10" s="109">
        <f>SUM(F10+H10-J10)</f>
        <v>38628170</v>
      </c>
      <c r="M10" s="103"/>
      <c r="N10" s="107">
        <v>9783698</v>
      </c>
      <c r="O10" s="103"/>
      <c r="P10" s="109">
        <f>L10-N10</f>
        <v>28844472</v>
      </c>
      <c r="Q10" s="71"/>
    </row>
    <row r="11" spans="2:17" ht="19.5" thickTop="1" thickBot="1" x14ac:dyDescent="0.3">
      <c r="B11" s="69"/>
      <c r="C11" s="73" t="s">
        <v>22</v>
      </c>
      <c r="F11" s="108">
        <f>SUM(F10:F10)</f>
        <v>40378864</v>
      </c>
      <c r="G11" s="103"/>
      <c r="H11" s="108">
        <f>SUM(H10:H10)</f>
        <v>8110442</v>
      </c>
      <c r="I11" s="103"/>
      <c r="J11" s="108">
        <f>SUM(J10:J10)</f>
        <v>9861136</v>
      </c>
      <c r="K11" s="103"/>
      <c r="L11" s="108">
        <f>SUM(L10:L10)</f>
        <v>38628170</v>
      </c>
      <c r="M11" s="103"/>
      <c r="N11" s="108">
        <f>SUM(N10:N10)</f>
        <v>9783698</v>
      </c>
      <c r="O11" s="103"/>
      <c r="P11" s="108">
        <f>SUM(P10:P10)</f>
        <v>28844472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abSelected="1" zoomScale="115" zoomScaleNormal="115" workbookViewId="0">
      <selection activeCell="J11" sqref="J11"/>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0200 Journal Entries'!$F$8="Governmental Fund",'LS-Fund 0200 Journal Entries'!$K$23,0)</f>
        <v>40378864</v>
      </c>
      <c r="C16" s="168" t="s">
        <v>156</v>
      </c>
      <c r="D16" s="130">
        <f>IF('LS-Fund 0200 Journal Entries'!$F$8="Governmental Fund",'LS-Fund 0200 Journal Entries'!$K$48,0)</f>
        <v>8110442</v>
      </c>
      <c r="E16" s="170" t="s">
        <v>157</v>
      </c>
      <c r="F16" s="130">
        <f>IF('LS-Fund 0200 Journal Entries'!$F$8="Governmental Fund",'LS-Fund 0200 Journal Entries'!$J$68,0)</f>
        <v>9861136</v>
      </c>
      <c r="G16" s="169" t="s">
        <v>157</v>
      </c>
      <c r="H16" s="130">
        <f>IF('LS-Fund 0200 Journal Entries'!$F$8="Governmental Fund",'LS-Fund 0200 Journal Entries'!$J$96,0)</f>
        <v>0</v>
      </c>
      <c r="I16" s="169" t="s">
        <v>156</v>
      </c>
      <c r="J16" s="130">
        <f>IF('LS-Fund 0200 Journal Entries'!$F$8="Governmental Fund",'LS-Fund 0200 Journal Entries'!$K$113,0)</f>
        <v>0</v>
      </c>
      <c r="K16" s="170" t="s">
        <v>160</v>
      </c>
      <c r="L16" s="133">
        <f>+B16+D16-F16-H16+J16</f>
        <v>38628170</v>
      </c>
      <c r="M16" s="132"/>
      <c r="N16" s="134">
        <f>SUM('LS-Department Note Disclosure'!B13:B36)</f>
        <v>38628170.215238079</v>
      </c>
      <c r="O16" s="131"/>
      <c r="P16" s="135">
        <f>L16-N16</f>
        <v>-0.21523807942867279</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0200 Journal Entries'!$F$8="Proprietary - Internal Service Fund",'LS-Fund 0200 Journal Entries'!$K$23,0)</f>
        <v>0</v>
      </c>
      <c r="C24" s="168" t="s">
        <v>156</v>
      </c>
      <c r="D24" s="130">
        <f>IF('LS-Fund 0200 Journal Entries'!$F$8="Proprietary - Internal Service Fund",'LS-Fund 0200 Journal Entries'!$K$48,0)</f>
        <v>0</v>
      </c>
      <c r="E24" s="170" t="s">
        <v>157</v>
      </c>
      <c r="F24" s="130">
        <f>IF('LS-Fund 0200 Journal Entries'!$F$8="Proprietary - Internal Service Fund",'LS-Fund 0200 Journal Entries'!$J$68,0)</f>
        <v>0</v>
      </c>
      <c r="G24" s="169" t="s">
        <v>157</v>
      </c>
      <c r="H24" s="130">
        <f>IF('LS-Fund 0200 Journal Entries'!$F$8="Proprietary - Internal Service Fund",'LS-Fund 0200 Journal Entries'!$J$96,0)</f>
        <v>0</v>
      </c>
      <c r="I24" s="169" t="s">
        <v>156</v>
      </c>
      <c r="J24" s="130">
        <f>IF('LS-Fund 0200 Journal Entries'!$F$8="Proprietary - Internal Service Fund",'LS-Fund 0200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0200 Journal Entries'!$F$8="Proprietary - Enterprise Fund",'LS-Fund 0200 Journal Entries'!$K$23,0)</f>
        <v>0</v>
      </c>
      <c r="C33" s="168" t="s">
        <v>156</v>
      </c>
      <c r="D33" s="130">
        <f>IF('LS-Fund 0200 Journal Entries'!$F$8="Proprietary - Enterprise Fund",'LS-Fund 0200 Journal Entries'!$K$48,0)</f>
        <v>0</v>
      </c>
      <c r="E33" s="170" t="s">
        <v>157</v>
      </c>
      <c r="F33" s="130">
        <f>IF('LS-Fund 0200 Journal Entries'!$F$8="Proprietary - Enterprise Fund",'LS-Fund 0200 Journal Entries'!$J$68,0)</f>
        <v>0</v>
      </c>
      <c r="G33" s="169" t="s">
        <v>157</v>
      </c>
      <c r="H33" s="130">
        <f>IF('LS-Fund 0200 Journal Entries'!$F$8="Proprietary - Enterprise Fund",'LS-Fund 0200 Journal Entries'!$J$96,0)</f>
        <v>0</v>
      </c>
      <c r="I33" s="169" t="s">
        <v>156</v>
      </c>
      <c r="J33" s="130">
        <f>IF('LS-Fund 0200 Journal Entries'!$F$8="Proprietary - Enterprise Fund",'LS-Fund 0200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0200 Journal Entries'!$F$8="Governmental Fund",'LS-Fund 0200 Journal Entries'!$K$76,0)</f>
        <v>9783698</v>
      </c>
      <c r="C42" s="138"/>
      <c r="E42" s="138"/>
      <c r="G42" s="167"/>
      <c r="H42" s="167"/>
      <c r="I42" s="167"/>
      <c r="J42" s="167"/>
      <c r="K42" s="138"/>
      <c r="L42" s="138"/>
      <c r="M42" s="139"/>
      <c r="N42" s="134">
        <f>'LS-Department Note Disclosure'!B13</f>
        <v>9783698.1681029703</v>
      </c>
      <c r="O42" s="140"/>
      <c r="P42" s="135">
        <f>B42-N42</f>
        <v>-0.16810297034680843</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0200 Journal Entries'!$F$8="Proprietary - Internal Service Fund",'LS-Fund 0200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0200 Journal Entries'!$F$8="Proprietary - Enterprise Fund",'LS-Fund 0200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40378864</v>
      </c>
      <c r="J66" s="143">
        <f>SUM(D66)</f>
        <v>40378864</v>
      </c>
      <c r="L66" s="144" t="str">
        <f>CONCATENATE("Balance July 1, ",LEFT('LS-Department Note Disclosure'!$B$8,4))</f>
        <v>Balance July 1, 2022</v>
      </c>
      <c r="N66" s="143">
        <f>'LS-Lease Liabilities'!F10</f>
        <v>40378864</v>
      </c>
      <c r="P66" s="135">
        <f>J66-N66</f>
        <v>0</v>
      </c>
    </row>
    <row r="67" spans="1:17" x14ac:dyDescent="0.25">
      <c r="B67" s="125" t="s">
        <v>167</v>
      </c>
      <c r="D67" s="143">
        <f>$D$16</f>
        <v>8110442</v>
      </c>
      <c r="E67" s="171" t="s">
        <v>156</v>
      </c>
      <c r="F67" s="125" t="s">
        <v>1871</v>
      </c>
      <c r="H67" s="143">
        <f>$J$16</f>
        <v>0</v>
      </c>
      <c r="J67" s="143">
        <f>SUM(D67,H67)</f>
        <v>8110442</v>
      </c>
      <c r="L67" s="144" t="s">
        <v>15</v>
      </c>
      <c r="N67" s="143">
        <f>'LS-Lease Liabilities'!H10</f>
        <v>8110442</v>
      </c>
      <c r="P67" s="135">
        <f t="shared" ref="P67:P69" si="0">J67-N67</f>
        <v>0</v>
      </c>
    </row>
    <row r="68" spans="1:17" x14ac:dyDescent="0.25">
      <c r="B68" s="125" t="s">
        <v>162</v>
      </c>
      <c r="D68" s="143">
        <f>$F$16</f>
        <v>9861136</v>
      </c>
      <c r="E68" s="171" t="s">
        <v>156</v>
      </c>
      <c r="F68" s="125" t="s">
        <v>1868</v>
      </c>
      <c r="H68" s="143">
        <f>$H$16</f>
        <v>0</v>
      </c>
      <c r="J68" s="143">
        <f>SUM(D68,H68)</f>
        <v>9861136</v>
      </c>
      <c r="L68" s="144" t="s">
        <v>16</v>
      </c>
      <c r="N68" s="143">
        <f>'LS-Lease Liabilities'!J10</f>
        <v>9861136</v>
      </c>
      <c r="P68" s="135">
        <f t="shared" si="0"/>
        <v>0</v>
      </c>
    </row>
    <row r="69" spans="1:17" x14ac:dyDescent="0.25">
      <c r="B69" s="125" t="s">
        <v>166</v>
      </c>
      <c r="D69" s="143">
        <f>$B$42</f>
        <v>9783698</v>
      </c>
      <c r="J69" s="143">
        <f>SUM(D69)</f>
        <v>9783698</v>
      </c>
      <c r="L69" s="144" t="s">
        <v>17</v>
      </c>
      <c r="N69" s="143">
        <f>'LS-Lease Liabilities'!N10</f>
        <v>9783698</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E14" sqref="E14:E17"/>
      <selection pane="bottomLeft" activeCell="E14" sqref="E14:E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paperSize="3"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115" zoomScaleNormal="115" workbookViewId="0">
      <selection activeCell="E14" sqref="E14:E17"/>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6" t="s">
        <v>0</v>
      </c>
      <c r="B2" s="286"/>
      <c r="C2" s="286"/>
      <c r="D2" s="286"/>
      <c r="E2" s="286"/>
      <c r="F2" s="286"/>
      <c r="G2" s="286"/>
      <c r="H2" s="286"/>
      <c r="I2" s="286"/>
      <c r="J2" s="36"/>
      <c r="L2" s="5"/>
      <c r="M2" s="5"/>
      <c r="N2" s="5"/>
      <c r="O2" s="5"/>
      <c r="P2" s="5"/>
      <c r="Q2" s="5"/>
      <c r="R2" s="5"/>
      <c r="S2" s="5"/>
    </row>
    <row r="3" spans="1:19" ht="17.45" customHeight="1" x14ac:dyDescent="0.25">
      <c r="A3" s="285" t="s">
        <v>1</v>
      </c>
      <c r="B3" s="285"/>
      <c r="C3" s="285"/>
      <c r="D3" s="285"/>
      <c r="E3" s="95" t="s">
        <v>24</v>
      </c>
      <c r="H3" s="7"/>
      <c r="I3" s="7"/>
      <c r="J3" s="7"/>
      <c r="K3" s="7"/>
      <c r="L3" s="7"/>
      <c r="M3" s="7"/>
      <c r="N3" s="7"/>
      <c r="O3" s="7"/>
      <c r="P3" s="7"/>
      <c r="Q3" s="7"/>
      <c r="R3" s="7"/>
    </row>
    <row r="4" spans="1:19" ht="17.45" customHeight="1" x14ac:dyDescent="0.25">
      <c r="A4" s="285" t="s">
        <v>209</v>
      </c>
      <c r="B4" s="285"/>
      <c r="C4" s="285"/>
      <c r="D4" s="285"/>
      <c r="E4" s="97" t="s">
        <v>1883</v>
      </c>
      <c r="H4" s="7"/>
      <c r="I4" s="7"/>
      <c r="J4" s="7"/>
      <c r="K4" s="7"/>
      <c r="L4" s="7"/>
      <c r="M4" s="7"/>
      <c r="N4" s="7"/>
      <c r="O4" s="7"/>
      <c r="P4" s="7"/>
      <c r="Q4" s="7"/>
      <c r="R4" s="7"/>
    </row>
    <row r="5" spans="1:19" ht="17.45" customHeight="1" x14ac:dyDescent="0.25">
      <c r="A5" s="285" t="s">
        <v>1684</v>
      </c>
      <c r="B5" s="285"/>
      <c r="C5" s="285"/>
      <c r="D5" s="285"/>
      <c r="E5" s="161" t="s">
        <v>770</v>
      </c>
      <c r="H5" s="7"/>
      <c r="I5" s="7"/>
      <c r="J5" s="8"/>
      <c r="K5" s="8"/>
      <c r="L5" s="8"/>
      <c r="M5" s="8"/>
      <c r="N5" s="8"/>
      <c r="O5" s="8"/>
      <c r="P5" s="8"/>
      <c r="Q5" s="7"/>
      <c r="R5" s="7"/>
    </row>
    <row r="6" spans="1:19" ht="17.45" customHeight="1" x14ac:dyDescent="0.25">
      <c r="A6" s="285" t="s">
        <v>1685</v>
      </c>
      <c r="B6" s="285"/>
      <c r="C6" s="285"/>
      <c r="D6" s="285"/>
      <c r="E6" s="97">
        <v>447</v>
      </c>
      <c r="G6" s="8"/>
      <c r="H6" s="8"/>
      <c r="I6" s="8"/>
      <c r="J6" s="8"/>
      <c r="K6" s="8"/>
      <c r="L6" s="8"/>
      <c r="M6" s="8"/>
      <c r="N6" s="8"/>
      <c r="O6" s="8"/>
      <c r="P6" s="8"/>
      <c r="Q6" s="7"/>
      <c r="R6" s="7"/>
    </row>
    <row r="7" spans="1:19" ht="17.45" customHeight="1" x14ac:dyDescent="0.25">
      <c r="A7" s="285" t="s">
        <v>3</v>
      </c>
      <c r="B7" s="285"/>
      <c r="C7" s="285"/>
      <c r="D7" s="285"/>
      <c r="E7" s="35" t="s">
        <v>124</v>
      </c>
      <c r="G7" s="8"/>
      <c r="H7" s="8"/>
      <c r="I7" s="8"/>
      <c r="J7" s="8"/>
      <c r="K7" s="8"/>
      <c r="L7" s="8"/>
      <c r="M7" s="8"/>
      <c r="N7" s="8"/>
      <c r="O7" s="8"/>
      <c r="P7" s="8"/>
      <c r="Q7" s="7"/>
      <c r="R7" s="7"/>
    </row>
    <row r="8" spans="1:19" ht="17.45" customHeight="1" x14ac:dyDescent="0.25">
      <c r="A8" s="285" t="s">
        <v>1641</v>
      </c>
      <c r="B8" s="285"/>
      <c r="C8" s="285"/>
      <c r="D8" s="285"/>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3931418</v>
      </c>
      <c r="K14" s="37"/>
      <c r="L14" s="37"/>
      <c r="M14" s="196">
        <v>3931418</v>
      </c>
      <c r="N14" s="37"/>
      <c r="O14" s="37"/>
      <c r="P14" s="196">
        <v>0</v>
      </c>
      <c r="Q14" s="224"/>
      <c r="R14" s="37"/>
      <c r="S14" s="223">
        <f>P14-M14</f>
        <v>-3931418</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v>10350</v>
      </c>
      <c r="N16" s="37"/>
      <c r="O16" s="37"/>
      <c r="P16" s="224"/>
      <c r="Q16" s="224"/>
      <c r="R16" s="37"/>
      <c r="S16" s="223">
        <f>P16-M16</f>
        <v>-10350</v>
      </c>
    </row>
    <row r="17" spans="1:22" ht="17.45" customHeight="1" x14ac:dyDescent="0.2">
      <c r="A17" s="15"/>
      <c r="B17" s="151"/>
      <c r="C17" s="20" t="s">
        <v>214</v>
      </c>
      <c r="D17" s="151"/>
      <c r="E17" s="151"/>
      <c r="F17" s="151"/>
      <c r="G17" s="151"/>
      <c r="H17" s="151"/>
      <c r="I17" s="151"/>
      <c r="J17" s="20"/>
      <c r="K17" s="248">
        <f>N17</f>
        <v>3844189</v>
      </c>
      <c r="L17" s="37"/>
      <c r="M17" s="37"/>
      <c r="N17" s="196">
        <v>3844189</v>
      </c>
      <c r="O17" s="37"/>
      <c r="P17" s="224"/>
      <c r="Q17" s="196">
        <v>0</v>
      </c>
      <c r="R17" s="37"/>
      <c r="S17" s="223">
        <f t="shared" ref="S17:S19" si="0">Q17-N17</f>
        <v>-3844189</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87229</v>
      </c>
      <c r="L19" s="37"/>
      <c r="M19" s="37"/>
      <c r="N19" s="196">
        <v>97579</v>
      </c>
      <c r="O19" s="37"/>
      <c r="P19" s="224"/>
      <c r="Q19" s="224"/>
      <c r="R19" s="37"/>
      <c r="S19" s="223">
        <f t="shared" si="0"/>
        <v>-97579</v>
      </c>
    </row>
    <row r="20" spans="1:22" ht="17.45" customHeight="1" x14ac:dyDescent="0.2">
      <c r="A20" s="15"/>
      <c r="C20" s="14"/>
      <c r="D20" s="153"/>
      <c r="E20" s="153"/>
      <c r="F20" s="153"/>
      <c r="G20" s="153"/>
      <c r="H20" s="153"/>
      <c r="I20" s="153"/>
      <c r="J20" s="17">
        <f>SUM(J14:J19)</f>
        <v>3931418</v>
      </c>
      <c r="K20" s="17">
        <f>SUM(K14:K19)</f>
        <v>3931418</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7"/>
      <c r="P29" s="287"/>
      <c r="Q29" s="287"/>
      <c r="R29" s="287"/>
      <c r="S29" s="287"/>
      <c r="T29" s="287"/>
      <c r="U29" s="287"/>
      <c r="V29" s="287"/>
    </row>
    <row r="30" spans="1:22" ht="17.45" customHeight="1" x14ac:dyDescent="0.2">
      <c r="B30" s="288" t="str">
        <f>IF($E$7="Governmental","Dr: Acct 0775 - OTHER INCOME","Dr: Acct 0755 - SALES &amp; SERVICES")</f>
        <v>Dr: Acct 0775 - OTHER INCOME</v>
      </c>
      <c r="C30" s="288"/>
      <c r="D30" s="288"/>
      <c r="E30" s="288"/>
      <c r="F30" s="288"/>
      <c r="G30" s="288"/>
      <c r="H30" s="288"/>
      <c r="I30" s="288"/>
      <c r="J30" s="196">
        <v>2051342</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2044752</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6590</v>
      </c>
      <c r="N32" s="22"/>
      <c r="O32" s="23"/>
    </row>
    <row r="33" spans="1:22" ht="17.45" customHeight="1" x14ac:dyDescent="0.3">
      <c r="A33" s="15"/>
      <c r="C33" s="183"/>
      <c r="D33" s="183"/>
      <c r="E33" s="183"/>
      <c r="F33" s="183"/>
      <c r="G33" s="183"/>
      <c r="H33" s="183"/>
      <c r="I33" s="183"/>
      <c r="J33" s="24">
        <f>J30</f>
        <v>2051342</v>
      </c>
      <c r="K33" s="157">
        <f>SUM(K31:K32)</f>
        <v>2051342</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5" t="s">
        <v>216</v>
      </c>
      <c r="C36" s="265" t="s">
        <v>214</v>
      </c>
      <c r="D36" s="265" t="s">
        <v>214</v>
      </c>
      <c r="E36" s="265" t="s">
        <v>214</v>
      </c>
      <c r="F36" s="20"/>
      <c r="G36" s="20"/>
      <c r="H36" s="20"/>
      <c r="I36" s="20"/>
      <c r="J36" s="196">
        <v>395452</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395452</v>
      </c>
      <c r="R37" s="9"/>
      <c r="S37" s="9"/>
      <c r="T37" s="9"/>
      <c r="U37" s="9"/>
      <c r="V37" s="9"/>
    </row>
    <row r="38" spans="1:22" ht="17.45" customHeight="1" x14ac:dyDescent="0.2">
      <c r="A38" s="15"/>
      <c r="C38" s="14"/>
      <c r="D38" s="9"/>
      <c r="E38" s="9"/>
      <c r="F38" s="9"/>
      <c r="G38" s="9"/>
      <c r="H38" s="9"/>
      <c r="I38" s="1"/>
      <c r="J38" s="157">
        <f>J36</f>
        <v>395452</v>
      </c>
      <c r="K38" s="24">
        <f>K37</f>
        <v>395452</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5" t="s">
        <v>217</v>
      </c>
      <c r="C41" s="265"/>
      <c r="D41" s="265"/>
      <c r="E41" s="265"/>
      <c r="F41" s="20"/>
      <c r="G41" s="20"/>
      <c r="H41" s="20"/>
      <c r="I41" s="20"/>
      <c r="J41" s="196">
        <v>1353162</v>
      </c>
      <c r="K41" s="32"/>
      <c r="L41" s="9"/>
      <c r="R41" s="9"/>
      <c r="S41" s="9"/>
      <c r="T41" s="9"/>
      <c r="U41" s="9"/>
      <c r="V41" s="9"/>
    </row>
    <row r="42" spans="1:22" ht="17.45" customHeight="1" x14ac:dyDescent="0.2">
      <c r="A42" s="15"/>
      <c r="B42" s="20"/>
      <c r="C42" s="265" t="s">
        <v>215</v>
      </c>
      <c r="D42" s="265" t="s">
        <v>218</v>
      </c>
      <c r="E42" s="265" t="s">
        <v>218</v>
      </c>
      <c r="F42" s="20"/>
      <c r="G42" s="20"/>
      <c r="H42" s="20"/>
      <c r="I42" s="20"/>
      <c r="J42" s="32"/>
      <c r="K42" s="196">
        <v>1353162</v>
      </c>
      <c r="O42" s="9"/>
      <c r="P42" s="9"/>
      <c r="Q42" s="9"/>
      <c r="R42" s="9"/>
      <c r="S42" s="9"/>
      <c r="T42" s="9"/>
      <c r="U42" s="9"/>
      <c r="V42" s="9"/>
    </row>
    <row r="43" spans="1:22" ht="17.45" customHeight="1" x14ac:dyDescent="0.2">
      <c r="A43" s="15"/>
      <c r="B43" s="289" t="s">
        <v>1842</v>
      </c>
      <c r="C43" s="289"/>
      <c r="D43" s="289"/>
      <c r="E43" s="289"/>
      <c r="F43" s="289"/>
      <c r="G43" s="289"/>
      <c r="H43" s="289"/>
      <c r="I43" s="289"/>
      <c r="J43" s="157">
        <f>J41</f>
        <v>1353162</v>
      </c>
      <c r="K43" s="24">
        <f>K42</f>
        <v>1353162</v>
      </c>
      <c r="L43" s="21" t="str">
        <f>IF(J43=K43,"&lt;- Debits and Credits equal each other.","&lt;- Debits and Credits do not equal each other.")</f>
        <v>&lt;- Debits and Credits equal each other.</v>
      </c>
      <c r="M43" s="19"/>
    </row>
    <row r="44" spans="1:22" ht="17.45" customHeight="1" x14ac:dyDescent="0.25">
      <c r="A44" s="15"/>
      <c r="B44" s="289"/>
      <c r="C44" s="289"/>
      <c r="D44" s="289"/>
      <c r="E44" s="289"/>
      <c r="F44" s="289"/>
      <c r="G44" s="289"/>
      <c r="H44" s="289"/>
      <c r="I44" s="289"/>
      <c r="K44" s="27"/>
      <c r="L44" s="9"/>
      <c r="M44" s="19"/>
      <c r="O44" s="28"/>
    </row>
    <row r="45" spans="1:22" ht="17.45" customHeight="1" x14ac:dyDescent="0.25">
      <c r="A45" s="15"/>
      <c r="B45" s="289"/>
      <c r="C45" s="289"/>
      <c r="D45" s="289"/>
      <c r="E45" s="289"/>
      <c r="F45" s="289"/>
      <c r="G45" s="289"/>
      <c r="H45" s="289"/>
      <c r="I45" s="289"/>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5" t="s">
        <v>1656</v>
      </c>
      <c r="C51" s="265" t="s">
        <v>1655</v>
      </c>
      <c r="D51" s="265"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533504</v>
      </c>
    </row>
    <row r="68" spans="2:11" ht="17.45" customHeight="1" x14ac:dyDescent="0.25">
      <c r="D68" s="193" t="s">
        <v>1715</v>
      </c>
      <c r="E68" s="37"/>
      <c r="F68" s="37"/>
      <c r="G68" s="37"/>
      <c r="H68" s="37"/>
      <c r="I68" s="37"/>
      <c r="J68" s="37"/>
      <c r="K68" s="238">
        <f>J41</f>
        <v>1353162</v>
      </c>
    </row>
    <row r="69" spans="2:11" ht="17.45" customHeight="1" x14ac:dyDescent="0.25">
      <c r="D69" s="193" t="s">
        <v>1716</v>
      </c>
      <c r="E69" s="37"/>
      <c r="F69" s="37"/>
      <c r="G69" s="37"/>
      <c r="H69" s="37"/>
      <c r="I69" s="37"/>
      <c r="J69" s="37"/>
      <c r="K69" s="238">
        <f>-K17-K25+J36+J49-K59</f>
        <v>-3448737</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B6" zoomScale="145" zoomScaleNormal="145" workbookViewId="0">
      <selection activeCell="E14" sqref="E14:E17"/>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4" t="s">
        <v>212</v>
      </c>
      <c r="B3" s="294"/>
      <c r="C3" s="294"/>
      <c r="E3" s="57"/>
      <c r="F3" s="57"/>
      <c r="G3" s="57"/>
      <c r="H3" s="57"/>
      <c r="I3" s="57"/>
      <c r="J3" s="57"/>
      <c r="K3" s="57"/>
      <c r="L3" s="57"/>
      <c r="M3" s="57"/>
      <c r="N3" s="57"/>
      <c r="O3" s="57"/>
      <c r="P3" s="6"/>
      <c r="Q3" s="6"/>
      <c r="R3" s="6"/>
      <c r="S3" s="6"/>
    </row>
    <row r="4" spans="1:19" ht="31.15" customHeight="1" x14ac:dyDescent="0.25">
      <c r="A4" s="268" t="s">
        <v>7</v>
      </c>
      <c r="B4" s="268"/>
      <c r="C4" s="268"/>
      <c r="E4" s="57"/>
      <c r="F4" s="57"/>
      <c r="G4" s="57"/>
      <c r="H4" s="57"/>
      <c r="I4" s="57"/>
      <c r="J4" s="57"/>
      <c r="K4" s="57"/>
      <c r="L4" s="57"/>
      <c r="M4" s="57"/>
      <c r="N4" s="57"/>
      <c r="O4" s="57"/>
      <c r="P4" s="6"/>
      <c r="Q4" s="6"/>
      <c r="R4" s="6"/>
      <c r="S4" s="6"/>
    </row>
    <row r="5" spans="1:19" ht="30.6" customHeight="1" x14ac:dyDescent="0.25">
      <c r="A5" s="268" t="s">
        <v>9</v>
      </c>
      <c r="B5" s="268"/>
      <c r="C5" s="268"/>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t="s">
        <v>770</v>
      </c>
      <c r="C10" s="292"/>
      <c r="D10" s="82"/>
      <c r="F10" s="38"/>
      <c r="G10" s="38"/>
      <c r="H10" s="38"/>
      <c r="I10" s="38"/>
      <c r="J10" s="38"/>
      <c r="K10" s="38"/>
      <c r="L10" s="38"/>
      <c r="M10" s="38"/>
      <c r="N10" s="38"/>
      <c r="O10" s="38"/>
      <c r="P10" s="6"/>
      <c r="Q10" s="6"/>
      <c r="R10" s="6"/>
      <c r="S10" s="6"/>
    </row>
    <row r="11" spans="1:19" ht="15.75" x14ac:dyDescent="0.25">
      <c r="A11" s="12" t="s">
        <v>209</v>
      </c>
      <c r="B11" s="290" t="s">
        <v>1883</v>
      </c>
      <c r="C11" s="290"/>
      <c r="D11" s="82"/>
      <c r="F11" s="5"/>
      <c r="G11" s="5"/>
      <c r="H11" s="5"/>
      <c r="I11" s="5"/>
      <c r="J11" s="5"/>
      <c r="K11" s="5"/>
      <c r="L11" s="5"/>
      <c r="M11" s="5"/>
      <c r="N11" s="5"/>
      <c r="O11" s="5"/>
      <c r="P11" s="5"/>
      <c r="Q11" s="5"/>
      <c r="R11" s="5"/>
      <c r="S11" s="5"/>
    </row>
    <row r="12" spans="1:19" ht="30" customHeight="1" x14ac:dyDescent="0.25">
      <c r="A12" s="293" t="s">
        <v>10</v>
      </c>
      <c r="B12" s="293"/>
      <c r="C12" s="293"/>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v>1353162</v>
      </c>
      <c r="C14" s="2">
        <v>2797</v>
      </c>
      <c r="D14" s="87"/>
      <c r="E14" s="269" t="s">
        <v>219</v>
      </c>
      <c r="F14" s="5"/>
      <c r="G14" s="5"/>
      <c r="H14" s="5"/>
      <c r="I14" s="5"/>
      <c r="J14" s="5"/>
      <c r="K14" s="5"/>
      <c r="L14" s="5"/>
      <c r="M14" s="5"/>
      <c r="N14" s="5"/>
      <c r="O14" s="5"/>
      <c r="P14" s="5"/>
      <c r="Q14" s="5"/>
      <c r="R14" s="5"/>
      <c r="S14" s="5"/>
    </row>
    <row r="15" spans="1:19" ht="15.75" x14ac:dyDescent="0.25">
      <c r="A15" s="84" t="str">
        <f>LEFT(A14,4)+1&amp;"–"&amp;RIGHT(A14,4)+1</f>
        <v>2024–2025</v>
      </c>
      <c r="B15" s="2">
        <v>496997</v>
      </c>
      <c r="C15" s="2">
        <v>752</v>
      </c>
      <c r="D15" s="62"/>
      <c r="E15" s="269"/>
      <c r="F15" s="5"/>
      <c r="G15" s="5"/>
      <c r="H15" s="5"/>
      <c r="I15" s="5"/>
      <c r="J15" s="5"/>
      <c r="K15" s="5"/>
      <c r="L15" s="5"/>
      <c r="M15" s="5"/>
      <c r="N15" s="5"/>
      <c r="O15" s="5"/>
      <c r="P15" s="5"/>
      <c r="Q15" s="5"/>
      <c r="R15" s="5"/>
      <c r="S15" s="5"/>
    </row>
    <row r="16" spans="1:19" ht="15.75" x14ac:dyDescent="0.25">
      <c r="A16" s="84" t="str">
        <f>LEFT(A15,4)+1&amp;"–"&amp;RIGHT(A15,4)+1</f>
        <v>2025–2026</v>
      </c>
      <c r="B16" s="2">
        <v>36507</v>
      </c>
      <c r="C16" s="2">
        <v>123</v>
      </c>
      <c r="D16" s="62"/>
      <c r="E16" s="269"/>
      <c r="F16" s="5"/>
      <c r="G16" s="5"/>
      <c r="H16" s="5"/>
      <c r="I16" s="5"/>
      <c r="J16" s="5"/>
      <c r="K16" s="5"/>
      <c r="L16" s="5"/>
      <c r="M16" s="5"/>
      <c r="N16" s="5"/>
      <c r="O16" s="5"/>
      <c r="P16" s="5"/>
      <c r="Q16" s="5"/>
      <c r="R16" s="5"/>
      <c r="S16" s="5"/>
    </row>
    <row r="17" spans="1:19" ht="15.75" x14ac:dyDescent="0.25">
      <c r="A17" s="84" t="str">
        <f>LEFT(A16,4)+1&amp;"–"&amp;RIGHT(A16,4)+1</f>
        <v>2026–2027</v>
      </c>
      <c r="B17" s="2">
        <v>0</v>
      </c>
      <c r="C17" s="2">
        <v>0</v>
      </c>
      <c r="D17" s="62"/>
      <c r="E17" s="269"/>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t="s">
        <v>131</v>
      </c>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9"/>
      <c r="G22" s="22"/>
      <c r="H22" s="22"/>
    </row>
    <row r="23" spans="1:19" x14ac:dyDescent="0.2">
      <c r="A23" s="84" t="str">
        <f t="shared" si="0"/>
        <v>2048–2053</v>
      </c>
      <c r="B23" s="2"/>
      <c r="C23" s="2"/>
      <c r="D23" s="62"/>
      <c r="E23" s="98">
        <v>0</v>
      </c>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5" t="str">
        <f>B9</f>
        <v>2022–2023</v>
      </c>
      <c r="C40" s="265"/>
      <c r="D40" s="20"/>
      <c r="F40" s="89"/>
      <c r="G40" s="89"/>
      <c r="H40" s="89"/>
      <c r="I40" s="89"/>
    </row>
    <row r="41" spans="1:19" ht="15.75" x14ac:dyDescent="0.25">
      <c r="A41" s="12" t="s">
        <v>210</v>
      </c>
      <c r="B41" s="280" t="str">
        <f>B10</f>
        <v>3600</v>
      </c>
      <c r="C41" s="280"/>
      <c r="D41" s="91"/>
    </row>
    <row r="42" spans="1:19" ht="15.75" x14ac:dyDescent="0.25">
      <c r="A42" s="12" t="s">
        <v>209</v>
      </c>
      <c r="B42" s="265" t="str">
        <f>B11</f>
        <v>Department of Fish and Wildlife</v>
      </c>
      <c r="C42" s="265"/>
      <c r="D42" s="55"/>
    </row>
    <row r="43" spans="1:19" ht="30" customHeight="1" x14ac:dyDescent="0.25">
      <c r="A43" s="293" t="s">
        <v>10</v>
      </c>
      <c r="B43" s="293"/>
      <c r="C43" s="293"/>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9" t="s">
        <v>219</v>
      </c>
    </row>
    <row r="46" spans="1:19" x14ac:dyDescent="0.2">
      <c r="A46" s="84" t="str">
        <f>LEFT(A45,4)+1&amp;"–"&amp;RIGHT(A45,4)+1</f>
        <v>2024–2025</v>
      </c>
      <c r="B46" s="2"/>
      <c r="C46" s="2"/>
      <c r="D46" s="62"/>
      <c r="E46" s="269"/>
    </row>
    <row r="47" spans="1:19" x14ac:dyDescent="0.2">
      <c r="A47" s="84" t="str">
        <f>LEFT(A46,4)+1&amp;"–"&amp;RIGHT(A46,4)+1</f>
        <v>2025–2026</v>
      </c>
      <c r="B47" s="2"/>
      <c r="C47" s="2"/>
      <c r="D47" s="62"/>
      <c r="E47" s="269"/>
    </row>
    <row r="48" spans="1:19" ht="15" customHeight="1" x14ac:dyDescent="0.2">
      <c r="A48" s="84" t="str">
        <f>LEFT(A47,4)+1&amp;"–"&amp;RIGHT(A47,4)+1</f>
        <v>2026–2027</v>
      </c>
      <c r="B48" s="2"/>
      <c r="C48" s="2"/>
      <c r="D48" s="87"/>
      <c r="E48" s="269"/>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5" t="str">
        <f>B40</f>
        <v>2022–2023</v>
      </c>
      <c r="C71" s="265"/>
      <c r="D71" s="20"/>
    </row>
    <row r="72" spans="1:19" ht="15.75" x14ac:dyDescent="0.25">
      <c r="A72" s="12" t="s">
        <v>210</v>
      </c>
      <c r="B72" s="280" t="str">
        <f>B41</f>
        <v>3600</v>
      </c>
      <c r="C72" s="280"/>
      <c r="D72" s="91"/>
    </row>
    <row r="73" spans="1:19" ht="15.75" x14ac:dyDescent="0.25">
      <c r="A73" s="12" t="s">
        <v>209</v>
      </c>
      <c r="B73" s="265" t="str">
        <f>B42</f>
        <v>Department of Fish and Wildlife</v>
      </c>
      <c r="C73" s="265"/>
      <c r="D73" s="55"/>
    </row>
    <row r="74" spans="1:19" ht="30" customHeight="1" x14ac:dyDescent="0.25">
      <c r="A74" s="293" t="s">
        <v>10</v>
      </c>
      <c r="B74" s="293"/>
      <c r="C74" s="293"/>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219</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topLeftCell="A13" zoomScaleNormal="100" workbookViewId="0">
      <selection activeCell="E14" sqref="E14:E1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0447 Journal Entries'!$E$8="Governmental Fund",'LR-Fund 0447 Journal Entries'!$J$14,0)</f>
        <v>3931418</v>
      </c>
      <c r="C16" s="168" t="s">
        <v>156</v>
      </c>
      <c r="D16" s="130">
        <f>IF('LR-Fund 0447 Journal Entries'!$E$8="Governmental Fund",'LR-Fund 0447 Journal Entries'!$J$24,0)</f>
        <v>0</v>
      </c>
      <c r="E16" s="170" t="s">
        <v>157</v>
      </c>
      <c r="F16" s="130">
        <f>IF('LR-Fund 0447 Journal Entries'!$E$8="Governmental Fund",'LR-Fund 0447 Journal Entries'!$K$31,0)</f>
        <v>2044752</v>
      </c>
      <c r="G16" s="169" t="s">
        <v>157</v>
      </c>
      <c r="H16" s="130">
        <f>IF('LR-Fund 0447 Journal Entries'!$E$8="Governmental Fund",'LR-Fund 0447 Journal Entries'!$K$52,0)</f>
        <v>0</v>
      </c>
      <c r="I16" s="169" t="s">
        <v>156</v>
      </c>
      <c r="J16" s="130">
        <f>IF('LR-Fund 0447 Journal Entries'!$E$8="Governmental Fund",'LR-Fund 0447 Journal Entries'!$J$58,0)</f>
        <v>0</v>
      </c>
      <c r="K16" s="170" t="s">
        <v>160</v>
      </c>
      <c r="L16" s="133">
        <f>+B16+D16-F16-H16+J16</f>
        <v>1886666</v>
      </c>
      <c r="M16" s="132"/>
      <c r="N16" s="134">
        <f>SUM('LR-Department Note Disclosure'!B14:B37)</f>
        <v>1886666</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0447 Journal Entries'!$E$8="Proprietary - Internal Service Fund",'LR-Fund 0447 Journal Entries'!$J$14,0)</f>
        <v>0</v>
      </c>
      <c r="C24" s="168" t="s">
        <v>156</v>
      </c>
      <c r="D24" s="130">
        <f>IF('LR-Fund 0447 Journal Entries'!$E$8="Proprietary - Internal Service Fund",'LR-Fund 0447 Journal Entries'!$J$24,0)</f>
        <v>0</v>
      </c>
      <c r="E24" s="170" t="s">
        <v>157</v>
      </c>
      <c r="F24" s="130">
        <f>IF('LR-Fund 0447 Journal Entries'!$E$8="Proprietary - Internal Service Fund",'LR-Fund 0447 Journal Entries'!$K$31,0)</f>
        <v>0</v>
      </c>
      <c r="G24" s="169" t="s">
        <v>157</v>
      </c>
      <c r="H24" s="130">
        <f>IF('LR-Fund 0447 Journal Entries'!$E$8="Proprietary - Internal Service Fund",'LR-Fund 0447 Journal Entries'!$K$52,0)</f>
        <v>0</v>
      </c>
      <c r="I24" s="169" t="s">
        <v>156</v>
      </c>
      <c r="J24" s="130">
        <f>IF('LR-Fund 0447 Journal Entries'!$E$8="Proprietary - Internal Service Fund",'LR-Fund 0447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0447 Journal Entries'!$E$8="Proprietary - Enterprise Fund",'LR-Fund 0447 Journal Entries'!$J$14,0)</f>
        <v>0</v>
      </c>
      <c r="C33" s="168" t="s">
        <v>156</v>
      </c>
      <c r="D33" s="130">
        <f>IF('LR-Fund 0447 Journal Entries'!$E$8="Proprietary - Enterprise Fund",'LR-Fund 0447 Journal Entries'!$J$24,0)</f>
        <v>0</v>
      </c>
      <c r="E33" s="170" t="s">
        <v>157</v>
      </c>
      <c r="F33" s="130">
        <f>IF('LR-Fund 0447 Journal Entries'!$E$8="Proprietary - Enterprise Fund",'LR-Fund 0447 Journal Entries'!$K$31,0)</f>
        <v>0</v>
      </c>
      <c r="G33" s="169" t="s">
        <v>157</v>
      </c>
      <c r="H33" s="130">
        <f>IF('LR-Fund 0447 Journal Entries'!$E$8="Proprietary - Enterprise Fund",'LR-Fund 0447 Journal Entries'!$K$52,0)</f>
        <v>0</v>
      </c>
      <c r="I33" s="169" t="s">
        <v>156</v>
      </c>
      <c r="J33" s="130">
        <f>IF('LR-Fund 0447 Journal Entries'!$E$8="Proprietary - Enterprise Fund",'LR-Fund 0447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0447 Journal Entries'!$E$8="Governmental Fund",'LR-Fund 0447 Journal Entries'!$J$41,0)</f>
        <v>1353162</v>
      </c>
      <c r="C42" s="138"/>
      <c r="E42" s="138"/>
      <c r="G42" s="167"/>
      <c r="H42" s="167"/>
      <c r="I42" s="167"/>
      <c r="J42" s="167"/>
      <c r="K42" s="138"/>
      <c r="L42" s="138"/>
      <c r="M42" s="139"/>
      <c r="N42" s="134">
        <f>'LR-Department Note Disclosure'!B14</f>
        <v>1353162</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0447 Journal Entries'!$E$8="Proprietary - Internal Service Fund",'LR-Fund 0447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0447 Journal Entries'!$E$8="Proprietary - Enterprise Fund",'LR-Fund 0447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N18" sqref="N18"/>
      <selection pane="bottomLeft" activeCell="N18" sqref="N18"/>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activeCell="N18" sqref="N18"/>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6" t="s">
        <v>0</v>
      </c>
      <c r="B2" s="286"/>
      <c r="C2" s="286"/>
      <c r="D2" s="286"/>
      <c r="E2" s="286"/>
      <c r="F2" s="286"/>
      <c r="G2" s="286"/>
      <c r="H2" s="286"/>
      <c r="I2" s="286"/>
      <c r="J2" s="286"/>
      <c r="K2" s="286"/>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5" t="s">
        <v>1841</v>
      </c>
      <c r="C69" s="295"/>
      <c r="D69" s="295"/>
      <c r="E69" s="295"/>
      <c r="F69" s="295"/>
      <c r="G69" s="295"/>
      <c r="H69" s="295"/>
      <c r="I69" s="295"/>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5"/>
      <c r="C70" s="295"/>
      <c r="D70" s="295"/>
      <c r="E70" s="295"/>
      <c r="F70" s="295"/>
      <c r="G70" s="295"/>
      <c r="H70" s="295"/>
      <c r="I70" s="295"/>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activeCell="N18" sqref="N18"/>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40C8B78-D07C-455C-BFD8-9EE8D37C54D0}"/>
</file>

<file path=customXml/itemProps2.xml><?xml version="1.0" encoding="utf-8"?>
<ds:datastoreItem xmlns:ds="http://schemas.openxmlformats.org/officeDocument/2006/customXml" ds:itemID="{BF85A936-FA16-4CCE-8E62-E08D9D0095CA}"/>
</file>

<file path=customXml/itemProps3.xml><?xml version="1.0" encoding="utf-8"?>
<ds:datastoreItem xmlns:ds="http://schemas.openxmlformats.org/officeDocument/2006/customXml" ds:itemID="{EA5F3691-6539-4A11-A1B9-64E8F4A8C2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0200 Journal Entries</vt:lpstr>
      <vt:lpstr>LS-Department Note Disclosure</vt:lpstr>
      <vt:lpstr>LS-Lease Liabilities</vt:lpstr>
      <vt:lpstr>LS-Check Figures  </vt:lpstr>
      <vt:lpstr>LR-Version Changes</vt:lpstr>
      <vt:lpstr>LR-Fund 0447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0447 Journal Entries'!Print_Area</vt:lpstr>
      <vt:lpstr>'LS-Department Note Disclosure'!Print_Area</vt:lpstr>
      <vt:lpstr>'LS-Fund 0200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cp:lastPrinted>2024-04-23T17:55:15Z</cp:lastPrinted>
  <dcterms:created xsi:type="dcterms:W3CDTF">2023-03-08T17:19:33Z</dcterms:created>
  <dcterms:modified xsi:type="dcterms:W3CDTF">2024-06-24T17:57:20Z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