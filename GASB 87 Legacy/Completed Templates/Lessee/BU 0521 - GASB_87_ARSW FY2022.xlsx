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AC4333A5-61C8-4411-88E9-5ED5A177D030}" xr6:coauthVersionLast="47" xr6:coauthVersionMax="47" xr10:uidLastSave="{00000000-0000-0000-0000-000000000000}"/>
  <bookViews>
    <workbookView xWindow="22932" yWindow="-108" windowWidth="23256" windowHeight="12576" tabRatio="921" firstSheet="2" activeTab="6" xr2:uid="{00000000-000D-0000-FFFF-FFFF00000000}"/>
  </bookViews>
  <sheets>
    <sheet name="Drop Down Menus" sheetId="1" state="hidden" r:id="rId1"/>
    <sheet name="qryIndex02a" sheetId="11" state="hidden" r:id="rId2"/>
    <sheet name="LS-Version Changes" sheetId="13" r:id="rId3"/>
    <sheet name="LS-Fund 0042 Journal Entries" sheetId="2" r:id="rId4"/>
    <sheet name="LS-Fund 0044 Journal Entries" sheetId="16" r:id="rId5"/>
    <sheet name="LS-Fund 0046 Journal Entries" sheetId="17" r:id="rId6"/>
    <sheet name="LS-Fund 0890 Journal Entries" sheetId="18" r:id="rId7"/>
    <sheet name="LS-Department Note Disclosure" sheetId="3" r:id="rId8"/>
    <sheet name="LS-Lease Liabilities" sheetId="4" r:id="rId9"/>
    <sheet name="LS-Check Figures  " sheetId="7" r:id="rId10"/>
  </sheets>
  <externalReferences>
    <externalReference r:id="rId1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7">'LS-Department Note Disclosure'!$A$1:$C$85</definedName>
    <definedName name="_xlnm.Print_Area" localSheetId="3">'LS-Fund 0042 Journal Entries'!$A$1:$J$9</definedName>
    <definedName name="_xlnm.Print_Area" localSheetId="4">'LS-Fund 0044 Journal Entries'!$A$1:$J$9</definedName>
    <definedName name="_xlnm.Print_Area" localSheetId="5">'LS-Fund 0046 Journal Entries'!$A$1:$J$9</definedName>
    <definedName name="_xlnm.Print_Area" localSheetId="6">'LS-Fund 0890 Journal Entries'!$A$1:$J$9</definedName>
    <definedName name="_xlnm.Print_Area" localSheetId="8">'LS-Lease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J10" i="4" l="1"/>
  <c r="H10" i="4"/>
  <c r="K69" i="2"/>
  <c r="J68" i="2"/>
  <c r="B42" i="7" l="1"/>
  <c r="J16" i="7"/>
  <c r="H16" i="7"/>
  <c r="D16" i="7"/>
  <c r="B16" i="7"/>
  <c r="N10" i="4"/>
  <c r="F10" i="4"/>
  <c r="K76" i="17"/>
  <c r="K69" i="17"/>
  <c r="J68" i="17"/>
  <c r="K64" i="17"/>
  <c r="K76" i="16" l="1"/>
  <c r="J68" i="16"/>
  <c r="K64" i="16"/>
  <c r="K113" i="16"/>
  <c r="J112" i="16"/>
  <c r="K64" i="2"/>
  <c r="F16" i="7" l="1"/>
  <c r="K69" i="16"/>
  <c r="K114" i="17"/>
  <c r="J114" i="17"/>
  <c r="K129" i="18"/>
  <c r="K125" i="18"/>
  <c r="K122" i="18"/>
  <c r="K114" i="18"/>
  <c r="J114" i="18"/>
  <c r="L114" i="18" s="1"/>
  <c r="K105" i="18"/>
  <c r="J105" i="18"/>
  <c r="C104" i="18"/>
  <c r="K91" i="18"/>
  <c r="J91" i="18"/>
  <c r="L91" i="18" s="1"/>
  <c r="K77" i="18"/>
  <c r="J77" i="18"/>
  <c r="L77" i="18" s="1"/>
  <c r="K70" i="18"/>
  <c r="L70" i="18" s="1"/>
  <c r="J70" i="18"/>
  <c r="K65" i="18"/>
  <c r="L65" i="18" s="1"/>
  <c r="J65" i="18"/>
  <c r="B63" i="18"/>
  <c r="K59" i="18"/>
  <c r="L59" i="18" s="1"/>
  <c r="J59" i="18"/>
  <c r="K49" i="18"/>
  <c r="L49" i="18" s="1"/>
  <c r="J49" i="18"/>
  <c r="K43" i="18"/>
  <c r="J43" i="18"/>
  <c r="L43" i="18" s="1"/>
  <c r="L36" i="18"/>
  <c r="K36" i="18"/>
  <c r="J36" i="18"/>
  <c r="S25" i="18"/>
  <c r="Q24" i="18"/>
  <c r="S24" i="18" s="1"/>
  <c r="K24" i="18"/>
  <c r="S23" i="18"/>
  <c r="K23" i="18"/>
  <c r="K128" i="18" s="1"/>
  <c r="S22" i="18"/>
  <c r="K22" i="18"/>
  <c r="K127" i="18" s="1"/>
  <c r="S21" i="18"/>
  <c r="K21" i="18"/>
  <c r="K126" i="18" s="1"/>
  <c r="S20" i="18"/>
  <c r="K20" i="18"/>
  <c r="S19" i="18"/>
  <c r="P18" i="18"/>
  <c r="S18" i="18" s="1"/>
  <c r="J18" i="18"/>
  <c r="S17" i="18"/>
  <c r="J17" i="18"/>
  <c r="K124" i="18" s="1"/>
  <c r="S16" i="18"/>
  <c r="J16" i="18"/>
  <c r="K123" i="18" s="1"/>
  <c r="S15" i="18"/>
  <c r="J15" i="18"/>
  <c r="F9" i="18"/>
  <c r="C35" i="18" s="1"/>
  <c r="K129" i="17"/>
  <c r="K122" i="17"/>
  <c r="K105" i="17"/>
  <c r="J105" i="17"/>
  <c r="L91" i="17"/>
  <c r="K91" i="17"/>
  <c r="J91" i="17"/>
  <c r="K77" i="17"/>
  <c r="J77" i="17"/>
  <c r="L77" i="17" s="1"/>
  <c r="K70" i="17"/>
  <c r="J70" i="17"/>
  <c r="K65" i="17"/>
  <c r="J65" i="17"/>
  <c r="L65" i="17" s="1"/>
  <c r="B63" i="17"/>
  <c r="K59" i="17"/>
  <c r="J59" i="17"/>
  <c r="K49" i="17"/>
  <c r="J49" i="17"/>
  <c r="K43" i="17"/>
  <c r="L43" i="17" s="1"/>
  <c r="J43" i="17"/>
  <c r="K36" i="17"/>
  <c r="J36" i="17"/>
  <c r="S25" i="17"/>
  <c r="S24" i="17"/>
  <c r="Q24" i="17"/>
  <c r="K24" i="17" s="1"/>
  <c r="S23" i="17"/>
  <c r="K23" i="17"/>
  <c r="S22" i="17"/>
  <c r="K22" i="17"/>
  <c r="K127" i="17" s="1"/>
  <c r="S21" i="17"/>
  <c r="K21" i="17"/>
  <c r="K126" i="17" s="1"/>
  <c r="S20" i="17"/>
  <c r="K20" i="17"/>
  <c r="K125" i="17" s="1"/>
  <c r="S19" i="17"/>
  <c r="S18" i="17"/>
  <c r="P18" i="17"/>
  <c r="J18" i="17"/>
  <c r="S17" i="17"/>
  <c r="J17" i="17"/>
  <c r="S16" i="17"/>
  <c r="J16" i="17"/>
  <c r="K123" i="17" s="1"/>
  <c r="S15" i="17"/>
  <c r="J15" i="17"/>
  <c r="F9" i="17"/>
  <c r="C35" i="17" s="1"/>
  <c r="K129" i="16"/>
  <c r="K122" i="16"/>
  <c r="K114" i="16"/>
  <c r="J114" i="16"/>
  <c r="K105" i="16"/>
  <c r="J105" i="16"/>
  <c r="K91" i="16"/>
  <c r="J91" i="16"/>
  <c r="L91" i="16" s="1"/>
  <c r="K77" i="16"/>
  <c r="J77" i="16"/>
  <c r="K70" i="16"/>
  <c r="J70" i="16"/>
  <c r="K65" i="16"/>
  <c r="J65" i="16"/>
  <c r="B63" i="16"/>
  <c r="K59" i="16"/>
  <c r="J59" i="16"/>
  <c r="K49" i="16"/>
  <c r="J49" i="16"/>
  <c r="K43" i="16"/>
  <c r="J43" i="16"/>
  <c r="K36" i="16"/>
  <c r="J36" i="16"/>
  <c r="S25" i="16"/>
  <c r="Q24" i="16"/>
  <c r="S24" i="16" s="1"/>
  <c r="K24" i="16"/>
  <c r="S23" i="16"/>
  <c r="K23" i="16"/>
  <c r="K128" i="16" s="1"/>
  <c r="S22" i="16"/>
  <c r="K22" i="16"/>
  <c r="K127" i="16" s="1"/>
  <c r="S21" i="16"/>
  <c r="K21" i="16"/>
  <c r="K126" i="16" s="1"/>
  <c r="S20" i="16"/>
  <c r="K20" i="16"/>
  <c r="K125" i="16" s="1"/>
  <c r="S19" i="16"/>
  <c r="S18" i="16"/>
  <c r="P18" i="16"/>
  <c r="J18" i="16"/>
  <c r="S17" i="16"/>
  <c r="J17" i="16"/>
  <c r="K124" i="16" s="1"/>
  <c r="S16" i="16"/>
  <c r="J16" i="16"/>
  <c r="K123" i="16" s="1"/>
  <c r="S15" i="16"/>
  <c r="J15" i="16"/>
  <c r="F9" i="16"/>
  <c r="B100" i="16" s="1"/>
  <c r="Q24" i="2"/>
  <c r="P18" i="2"/>
  <c r="L65" i="16" l="1"/>
  <c r="L105" i="16"/>
  <c r="L70" i="17"/>
  <c r="L59" i="17"/>
  <c r="L49" i="17"/>
  <c r="L36" i="17"/>
  <c r="L105" i="17"/>
  <c r="L77" i="16"/>
  <c r="L70" i="16"/>
  <c r="L59" i="16"/>
  <c r="L114" i="16"/>
  <c r="L49" i="16"/>
  <c r="L43" i="16"/>
  <c r="L36" i="16"/>
  <c r="L105" i="18"/>
  <c r="K128" i="17"/>
  <c r="L114" i="17"/>
  <c r="K124" i="17"/>
  <c r="J19" i="16"/>
  <c r="K25" i="18"/>
  <c r="K26" i="18" s="1"/>
  <c r="K25" i="17"/>
  <c r="K26" i="17" s="1"/>
  <c r="J26" i="16"/>
  <c r="C64" i="18"/>
  <c r="B100" i="18"/>
  <c r="J19" i="18"/>
  <c r="J26" i="18" s="1"/>
  <c r="C104" i="17"/>
  <c r="J19" i="17"/>
  <c r="J26" i="17" s="1"/>
  <c r="C64" i="17"/>
  <c r="B100" i="17"/>
  <c r="C104" i="16"/>
  <c r="C64" i="16"/>
  <c r="C35" i="16"/>
  <c r="K25" i="16"/>
  <c r="K26" i="16" s="1"/>
  <c r="L26" i="16" s="1"/>
  <c r="K129" i="2"/>
  <c r="S20" i="2"/>
  <c r="K20" i="2"/>
  <c r="K125" i="2" s="1"/>
  <c r="L26" i="18" l="1"/>
  <c r="L26" i="17"/>
  <c r="J18" i="2"/>
  <c r="S25" i="2"/>
  <c r="S24" i="2"/>
  <c r="S23" i="2"/>
  <c r="K23" i="2"/>
  <c r="K128" i="2" s="1"/>
  <c r="S22" i="2"/>
  <c r="K22" i="2"/>
  <c r="K127" i="2" s="1"/>
  <c r="S21" i="2"/>
  <c r="K21" i="2"/>
  <c r="K126" i="2" s="1"/>
  <c r="S19" i="2"/>
  <c r="S17" i="2"/>
  <c r="J17" i="2"/>
  <c r="S16" i="2"/>
  <c r="J16" i="2"/>
  <c r="K123" i="2" s="1"/>
  <c r="S15" i="2"/>
  <c r="J15" i="2"/>
  <c r="K122" i="2" s="1"/>
  <c r="K124" i="2" l="1"/>
  <c r="K25" i="2"/>
  <c r="J19" i="2"/>
  <c r="K24" i="2"/>
  <c r="S18" i="2"/>
  <c r="J5" i="4" l="1"/>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<sst xmlns="http://schemas.openxmlformats.org/spreadsheetml/2006/main" count="8149" uniqueCount="1761">
  <si>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</si>
  <si>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</si>
  <si>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</si>
  <si>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</si>
  <si>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</si>
  <si>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</si>
  <si>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</si>
  <si>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</si>
  <si>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</si>
  <si>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</si>
  <si>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</si>
  <si>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</si>
  <si>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</si>
  <si>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</si>
  <si>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</si>
  <si>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</si>
  <si>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</si>
  <si>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</si>
  <si>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</si>
  <si>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</si>
  <si>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</si>
  <si>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</si>
  <si>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</si>
  <si>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</si>
  <si>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</si>
  <si>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</si>
  <si>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</si>
  <si>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</si>
  <si>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</si>
  <si>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</si>
  <si>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</si>
  <si>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</si>
  <si>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</si>
  <si>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</si>
  <si>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</si>
  <si>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</si>
  <si>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</si>
  <si>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</si>
  <si>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</si>
  <si>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</si>
  <si>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</si>
  <si>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</si>
  <si>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</si>
  <si>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</si>
  <si>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</si>
  <si>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</si>
  <si>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</si>
  <si>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</si>
  <si>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</si>
  <si>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</si>
  <si>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</si>
  <si>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</si>
  <si>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</si>
  <si>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</si>
  <si>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</si>
  <si>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</si>
  <si>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</si>
  <si>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</si>
  <si>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</si>
  <si>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</si>
  <si>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</si>
  <si>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</si>
  <si>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</si>
  <si>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</si>
  <si>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</si>
  <si>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</si>
  <si>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</si>
  <si>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</si>
  <si>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</si>
  <si>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</si>
  <si>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</si>
  <si>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</si>
  <si>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</si>
  <si>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</si>
  <si>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</si>
  <si>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</si>
  <si>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</si>
  <si>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</si>
  <si>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</si>
  <si>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</si>
  <si>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</si>
  <si>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</si>
  <si>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</si>
  <si>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</si>
  <si>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</si>
  <si>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</si>
  <si>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</si>
  <si>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</si>
  <si>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</si>
  <si>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</si>
  <si>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</si>
  <si>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</si>
  <si>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</si>
  <si>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</si>
  <si>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</si>
  <si>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</si>
  <si>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</si>
  <si>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</si>
  <si>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</si>
  <si>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</si>
  <si>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</si>
  <si>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</si>
  <si>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</si>
  <si>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</si>
  <si>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</si>
  <si>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</si>
  <si>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</si>
  <si>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</si>
  <si>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</si>
  <si>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</si>
  <si>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</si>
  <si>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</si>
  <si>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</si>
  <si>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</si>
  <si>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</si>
  <si>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</si>
  <si>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</si>
  <si>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</si>
  <si>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</si>
  <si>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</si>
  <si>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</si>
  <si>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</si>
  <si>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</si>
  <si>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</si>
  <si>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</si>
  <si>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</si>
  <si>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</si>
  <si>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</si>
  <si>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</si>
  <si>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</si>
  <si>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</si>
  <si>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</si>
  <si>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</si>
  <si>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</si>
  <si>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</si>
  <si>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</si>
  <si>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</si>
  <si>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</si>
  <si>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</si>
  <si>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</si>
  <si>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</si>
  <si>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</si>
  <si>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</si>
  <si>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</si>
  <si>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</si>
  <si>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</si>
  <si>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</si>
  <si>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</si>
  <si>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</si>
  <si>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</si>
  <si>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</si>
  <si>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</si>
  <si>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</si>
  <si>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</si>
  <si>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</si>
  <si>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</si>
  <si>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</si>
  <si>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</si>
  <si>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</si>
  <si>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</si>
  <si>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</si>
  <si>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</si>
  <si>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</si>
  <si>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</si>
  <si>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</si>
  <si>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</si>
  <si>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</si>
  <si>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</si>
  <si>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</si>
  <si>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</si>
  <si>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</si>
  <si>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</si>
  <si>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</si>
  <si>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</si>
  <si>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</si>
  <si>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</si>
  <si>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</si>
  <si>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</si>
  <si>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</si>
  <si>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</si>
  <si>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</si>
  <si>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</si>
  <si>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</si>
  <si>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</si>
  <si>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</si>
  <si>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</si>
  <si>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</si>
  <si>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</si>
  <si>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</si>
  <si>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</si>
  <si>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</si>
  <si>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</si>
  <si>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</si>
  <si>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</si>
  <si>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</si>
  <si>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</si>
  <si>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</si>
  <si>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</si>
  <si>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</si>
  <si>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</si>
  <si>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</si>
  <si>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</si>
  <si>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</si>
  <si>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</si>
  <si>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</si>
  <si>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</si>
  <si>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</si>
  <si>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</si>
  <si>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</si>
  <si>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</si>
  <si>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</si>
  <si>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</si>
  <si>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</si>
  <si>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</si>
  <si>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</si>
  <si>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</si>
  <si>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</si>
  <si>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</si>
  <si>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</si>
  <si>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</si>
  <si>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</si>
  <si>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</si>
  <si>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</si>
  <si>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</si>
  <si>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</si>
  <si>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</si>
  <si>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</si>
  <si>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</si>
  <si>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</si>
  <si>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</si>
  <si>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</si>
  <si>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</si>
  <si>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</si>
  <si>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</si>
  <si>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</si>
  <si>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</si>
  <si>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</si>
  <si>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</si>
  <si>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</si>
  <si>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</si>
  <si>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</si>
  <si>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</si>
  <si>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</si>
  <si>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</si>
  <si>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</si>
  <si>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</si>
  <si>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</si>
  <si>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</si>
  <si>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</si>
  <si>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</si>
  <si>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</si>
  <si>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</si>
  <si>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</si>
  <si>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</si>
  <si>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</si>
  <si>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</si>
  <si>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</si>
  <si>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</si>
  <si>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</si>
  <si>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</si>
  <si>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</si>
  <si>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</si>
  <si>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</si>
  <si>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</si>
  <si>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</si>
  <si>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</si>
  <si>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</si>
  <si>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</si>
  <si>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</si>
  <si>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</si>
  <si>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</si>
  <si>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</si>
  <si>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</si>
  <si>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</si>
  <si>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</si>
  <si>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</si>
  <si>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</si>
  <si>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</si>
  <si>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</si>
  <si>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</si>
  <si>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</si>
  <si>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</si>
  <si>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</si>
  <si>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</si>
  <si>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</si>
  <si>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</si>
  <si>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</si>
  <si>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</si>
  <si>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</si>
  <si>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</si>
  <si>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</si>
  <si>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</si>
  <si>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</si>
  <si>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</si>
  <si>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</si>
  <si>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</si>
  <si>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</si>
  <si>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</si>
  <si>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</si>
  <si>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</si>
  <si>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</si>
  <si>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</si>
  <si>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</si>
  <si>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</si>
  <si>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</si>
  <si>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</si>
  <si>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</si>
  <si>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</si>
  <si>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</si>
  <si>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</si>
  <si>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</si>
  <si>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</si>
  <si>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</si>
  <si>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</si>
  <si>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</si>
  <si>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</si>
  <si>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</si>
  <si>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</si>
  <si>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</si>
  <si>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</si>
  <si>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</si>
  <si>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</si>
  <si>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</si>
  <si>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</si>
  <si>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</si>
  <si>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</si>
  <si>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</si>
  <si>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</si>
  <si>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</si>
  <si>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</si>
  <si>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</si>
  <si>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</si>
  <si>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</si>
  <si>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</si>
  <si>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</si>
  <si>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</si>
  <si>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</si>
  <si>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</si>
  <si>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</si>
  <si>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</si>
  <si>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</si>
  <si>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</si>
  <si>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</si>
  <si>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</si>
  <si>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</si>
  <si>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</si>
  <si>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</si>
  <si>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</si>
  <si>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</si>
  <si>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</si>
  <si>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</si>
  <si>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</si>
  <si>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</si>
  <si>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</si>
  <si>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</si>
  <si>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</si>
  <si>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</si>
  <si>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</si>
  <si>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</si>
  <si>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</si>
  <si>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</si>
  <si>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</si>
  <si>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</si>
  <si>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</si>
  <si>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</si>
  <si>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</si>
  <si>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</si>
  <si>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</si>
  <si>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</si>
  <si>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</si>
  <si>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</si>
  <si>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</si>
  <si>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</si>
  <si>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</si>
  <si>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</si>
  <si>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</si>
  <si>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</si>
  <si>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</si>
  <si>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</si>
  <si>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</si>
  <si>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</si>
  <si>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</si>
  <si>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</si>
  <si>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</si>
  <si>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</si>
  <si>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</si>
  <si>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</si>
  <si>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</si>
  <si>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</si>
  <si>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</si>
  <si>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</si>
  <si>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</si>
  <si>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</si>
  <si>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</si>
  <si>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</si>
  <si>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</si>
  <si>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</si>
  <si>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</si>
  <si>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</si>
  <si>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</si>
  <si>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</si>
  <si>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</si>
  <si>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</si>
  <si>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</si>
  <si>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</si>
  <si>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</si>
  <si>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</si>
  <si>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</si>
  <si>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</si>
  <si>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</si>
  <si>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</si>
  <si>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</si>
  <si>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</si>
  <si>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</si>
  <si>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</si>
  <si>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</si>
  <si>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</si>
  <si>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</si>
  <si>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</si>
  <si>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</si>
  <si>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</si>
  <si>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</si>
  <si>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</si>
  <si>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</si>
  <si>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</si>
  <si>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</si>
  <si>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</si>
  <si>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</si>
  <si>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</si>
  <si>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</si>
  <si>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</si>
  <si>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</si>
  <si>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</si>
  <si>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</si>
  <si>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</si>
  <si>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</si>
  <si>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</si>
  <si>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</si>
  <si>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</si>
  <si>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</si>
  <si>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</si>
  <si>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</si>
  <si>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</si>
  <si>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</si>
  <si>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</si>
  <si>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</si>
  <si>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</si>
  <si>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</si>
  <si>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</si>
  <si>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</si>
  <si>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</si>
  <si>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</si>
  <si>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</si>
  <si>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</si>
  <si>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</si>
  <si>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</si>
  <si>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</si>
  <si>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</si>
  <si>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</si>
  <si>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</si>
  <si>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</si>
  <si>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</si>
  <si>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</si>
  <si>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</si>
  <si>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</si>
  <si>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</si>
  <si>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</si>
  <si>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</si>
  <si>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</si>
  <si>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</si>
  <si>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</si>
  <si>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</si>
  <si>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</si>
  <si>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</si>
  <si>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</si>
  <si>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</si>
  <si>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</si>
  <si>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</si>
  <si>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</si>
  <si>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</si>
  <si>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</si>
  <si>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</si>
  <si>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</si>
  <si>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</si>
  <si>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</si>
  <si>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</si>
  <si>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</si>
  <si>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</si>
  <si>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</si>
  <si>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</si>
  <si>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</si>
  <si>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</si>
  <si>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</si>
  <si>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</si>
  <si>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</si>
  <si>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</si>
  <si>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</si>
  <si>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</si>
  <si>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</si>
  <si>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</si>
  <si>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</si>
  <si>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</si>
  <si>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</si>
  <si>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</si>
  <si>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</si>
  <si>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</si>
  <si>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</si>
  <si>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</si>
  <si>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</si>
  <si>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</si>
  <si>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</si>
  <si>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</si>
  <si>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</si>
  <si>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</si>
  <si>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</si>
  <si>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</si>
  <si>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</si>
  <si>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</si>
  <si>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</si>
  <si>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</si>
  <si>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</si>
  <si>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</si>
  <si>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</si>
  <si>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</si>
  <si>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</si>
  <si>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</si>
  <si>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</si>
  <si>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</si>
  <si>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</si>
  <si>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</si>
  <si>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</si>
  <si>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</si>
  <si>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</si>
  <si>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</si>
  <si>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</si>
  <si>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</si>
  <si>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</si>
  <si>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</si>
  <si>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</si>
  <si>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</si>
  <si>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</si>
  <si>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</si>
  <si>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</si>
  <si>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</si>
  <si>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</si>
  <si>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</si>
  <si>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</si>
  <si>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</si>
  <si>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</si>
  <si>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</si>
  <si>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</si>
  <si>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</si>
  <si>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</si>
  <si>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</si>
  <si>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</si>
  <si>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</si>
  <si>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</si>
  <si>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</si>
  <si>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</si>
  <si>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</si>
  <si>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</si>
  <si>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</si>
  <si>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</si>
  <si>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</si>
  <si>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</si>
  <si>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</si>
  <si>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</si>
  <si>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</si>
  <si>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</si>
  <si>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</si>
  <si>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</si>
  <si>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</si>
  <si>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</si>
  <si>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</si>
  <si>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</si>
  <si>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</si>
  <si>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</si>
  <si>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</si>
  <si>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</si>
  <si>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</si>
  <si>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</si>
  <si>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</si>
  <si>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</si>
  <si>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</si>
  <si>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</si>
  <si>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</si>
  <si>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</si>
  <si>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</si>
  <si>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</si>
  <si>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</si>
  <si>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</si>
  <si>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</si>
  <si>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</si>
  <si>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</si>
  <si>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</si>
  <si>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</si>
  <si>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</si>
  <si>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</si>
  <si>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</si>
  <si>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</si>
  <si>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</si>
  <si>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</si>
  <si>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</si>
  <si>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</si>
  <si>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</si>
  <si>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</si>
  <si>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</si>
  <si>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</si>
  <si>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</si>
  <si>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</si>
  <si>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</si>
  <si>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</si>
  <si>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</si>
  <si>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</si>
  <si>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</si>
  <si>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</si>
  <si>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</si>
  <si>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</si>
  <si>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</si>
  <si>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</si>
  <si>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</si>
  <si>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</si>
  <si>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</si>
  <si>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</si>
  <si>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</si>
  <si>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</si>
  <si>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</si>
  <si>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</si>
  <si>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</si>
  <si>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</si>
  <si>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</si>
  <si>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</si>
  <si>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</si>
  <si>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</si>
  <si>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</si>
  <si>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</si>
  <si>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</si>
  <si>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</si>
  <si>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</si>
  <si>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</si>
  <si>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</si>
  <si>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</si>
  <si>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</si>
  <si>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</si>
  <si>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</si>
  <si>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</si>
  <si>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</si>
  <si>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</si>
  <si>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</si>
  <si>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</si>
  <si>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</si>
  <si>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</si>
  <si>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</si>
  <si>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</si>
  <si>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</si>
  <si>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</si>
  <si>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</si>
  <si>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</si>
  <si>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</si>
  <si>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</si>
  <si>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</si>
  <si>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</si>
  <si>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</si>
  <si>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</si>
  <si>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</si>
  <si>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</si>
  <si>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</si>
  <si>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</si>
  <si>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</si>
  <si>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</si>
  <si>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</si>
  <si>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</si>
  <si>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</si>
  <si>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</si>
  <si>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</si>
  <si>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</si>
  <si>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</si>
  <si>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</si>
  <si>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</si>
  <si>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</si>
  <si>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</si>
  <si>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</si>
  <si>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</si>
  <si>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</si>
  <si>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</si>
  <si>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</si>
  <si>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</si>
  <si>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</si>
  <si>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</si>
  <si>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</si>
  <si>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</si>
  <si>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</si>
  <si>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</si>
  <si>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</si>
  <si>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</si>
  <si>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</si>
  <si>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</si>
  <si>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</si>
  <si>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</si>
  <si>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</si>
  <si>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</si>
  <si>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</si>
  <si>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</si>
  <si>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</si>
  <si>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</si>
  <si>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</si>
  <si>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</si>
  <si>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</si>
  <si>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</si>
  <si>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</si>
  <si>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</si>
  <si>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</si>
  <si>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</si>
  <si>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</si>
  <si>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</si>
  <si>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</si>
  <si>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</si>
  <si>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</si>
  <si>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</si>
  <si>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</si>
  <si>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</si>
  <si>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</si>
  <si>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</si>
  <si>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</si>
  <si>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</si>
  <si>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</si>
  <si>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</si>
  <si>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</si>
  <si>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</si>
  <si>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</si>
  <si>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</si>
  <si>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</si>
  <si>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</si>
  <si>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</si>
  <si>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</si>
  <si>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</si>
  <si>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</si>
  <si>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</si>
  <si>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</si>
  <si>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</si>
  <si>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</si>
  <si>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</si>
  <si>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</si>
  <si>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</si>
  <si>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</si>
  <si>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</si>
  <si>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</si>
  <si>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</si>
  <si>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</si>
  <si>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</si>
  <si>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</si>
  <si>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</si>
  <si>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</si>
  <si>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</si>
  <si>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</si>
  <si>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</si>
  <si>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</si>
  <si>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</si>
  <si>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</si>
  <si>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</si>
  <si>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</si>
  <si>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</si>
  <si>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</si>
  <si>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</si>
  <si>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</si>
  <si>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</si>
  <si>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</si>
  <si>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</si>
  <si>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</si>
  <si>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</si>
  <si>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</si>
  <si>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</si>
  <si>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</si>
  <si>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</si>
  <si>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</si>
  <si>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</si>
  <si>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</si>
  <si>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</si>
  <si>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</si>
  <si>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</si>
  <si>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</si>
  <si>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</si>
  <si>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</si>
  <si>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</si>
  <si>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</si>
  <si>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</si>
  <si>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</si>
  <si>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</si>
  <si>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</si>
  <si>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</si>
  <si>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</si>
  <si>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</si>
  <si>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</si>
  <si>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</si>
  <si>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</si>
  <si>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</si>
  <si>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</si>
  <si>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</si>
  <si>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</si>
  <si>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</si>
  <si>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</si>
  <si>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</si>
  <si>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</si>
  <si>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</si>
  <si>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</si>
  <si>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</si>
  <si>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</si>
  <si>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</si>
  <si>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</si>
  <si>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</si>
  <si>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</si>
  <si>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</si>
  <si>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</si>
  <si>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</si>
  <si>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</si>
  <si>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</si>
  <si>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</si>
  <si>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</si>
  <si>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</si>
  <si>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</si>
  <si>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</si>
  <si>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</si>
  <si>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</si>
  <si>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</si>
  <si>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</si>
  <si>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</si>
  <si>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</si>
  <si>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</si>
  <si>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</si>
  <si>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</si>
  <si>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</si>
  <si>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</si>
  <si>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</si>
  <si>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</si>
  <si>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</si>
  <si>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</si>
  <si>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</si>
  <si>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</si>
  <si>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</si>
  <si>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</si>
  <si>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</si>
  <si>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</si>
  <si>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</si>
  <si>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</si>
  <si>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</si>
  <si>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</si>
  <si>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</si>
  <si>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</si>
  <si>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</si>
  <si>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</si>
  <si>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</si>
  <si>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</si>
  <si>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</si>
  <si>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</si>
  <si>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</si>
  <si>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</si>
  <si>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</si>
  <si>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</si>
  <si>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</si>
  <si>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</si>
  <si>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</si>
  <si>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</si>
  <si>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</si>
  <si>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</si>
  <si>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</si>
  <si>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</si>
  <si>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</si>
  <si>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</si>
  <si>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</si>
  <si>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</si>
  <si>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</si>
  <si>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</si>
  <si>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</si>
  <si>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</si>
  <si>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</si>
  <si>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</si>
  <si>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</si>
  <si>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</si>
  <si>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</si>
  <si>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</si>
  <si>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</si>
  <si>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</si>
  <si>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</si>
  <si>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</si>
  <si>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</si>
  <si>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</si>
  <si>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</si>
  <si>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</si>
  <si>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</si>
  <si>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</si>
  <si>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</si>
  <si>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</si>
  <si>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</si>
  <si>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</si>
  <si>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</si>
  <si>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</si>
  <si>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</si>
  <si>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</si>
  <si>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</si>
  <si>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</si>
  <si>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</si>
  <si>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</si>
  <si>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</si>
  <si>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</si>
  <si>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</si>
  <si>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</si>
  <si>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</si>
  <si>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</si>
  <si>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</si>
  <si>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</si>
  <si>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</si>
  <si>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</si>
  <si>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</si>
  <si>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</si>
  <si>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</si>
  <si>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</si>
  <si>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</si>
  <si>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</si>
  <si>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</si>
  <si>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</si>
  <si>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</si>
  <si>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</si>
  <si>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</si>
  <si>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</si>
  <si>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</si>
  <si>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</si>
  <si>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</si>
  <si>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</si>
  <si>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</si>
  <si>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</si>
  <si>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</si>
  <si>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</si>
  <si>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</si>
  <si>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</si>
  <si>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</si>
  <si>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</si>
  <si>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</si>
  <si>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</si>
  <si>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</si>
  <si>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</si>
  <si>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</si>
  <si>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</si>
  <si>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</si>
  <si>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</si>
  <si>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</si>
  <si>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</si>
  <si>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</si>
  <si>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</si>
  <si>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</si>
  <si>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</si>
  <si>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</si>
  <si>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</si>
  <si>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</si>
  <si>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</si>
  <si>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</si>
  <si>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</si>
  <si>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</si>
  <si>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</si>
  <si>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</si>
  <si>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</si>
  <si>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</si>
  <si>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</si>
  <si>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</si>
  <si>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</si>
  <si>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</si>
  <si>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</si>
  <si>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</si>
  <si>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</si>
  <si>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</si>
  <si>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</si>
  <si>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</si>
  <si>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</si>
  <si>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</si>
  <si>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</si>
  <si>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</si>
  <si>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</si>
  <si>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</si>
  <si>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</si>
  <si>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</si>
  <si>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</si>
  <si>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</si>
  <si>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</si>
  <si>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</si>
  <si>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</si>
  <si>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</si>
  <si>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</si>
  <si>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</si>
  <si>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</si>
  <si>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</si>
  <si>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</si>
  <si>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</si>
  <si>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</si>
  <si>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</si>
  <si>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</si>
  <si>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</si>
  <si>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</si>
  <si>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</si>
  <si>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</si>
  <si>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</si>
  <si>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</si>
  <si>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</si>
  <si>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</si>
  <si>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</si>
  <si>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</si>
  <si>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</si>
  <si>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</si>
  <si>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</si>
  <si>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</si>
  <si>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</si>
  <si>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</si>
  <si>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</si>
  <si>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</si>
  <si>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</si>
  <si>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</si>
  <si>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</si>
  <si>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</si>
  <si>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</si>
  <si>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</si>
  <si>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</si>
  <si>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</si>
  <si>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</si>
  <si>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</si>
  <si>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</si>
  <si>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</si>
  <si>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</si>
  <si>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</si>
  <si>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</si>
  <si>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</si>
  <si>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</si>
  <si>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</si>
  <si>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</si>
  <si>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</si>
  <si>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</si>
  <si>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</si>
  <si>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</si>
  <si>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</si>
  <si>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</si>
  <si>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</si>
  <si>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</si>
  <si>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</si>
  <si>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</si>
  <si>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</si>
  <si>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</si>
  <si>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</si>
  <si>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</si>
  <si>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</si>
  <si>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</si>
  <si>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</si>
  <si>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</si>
  <si>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</si>
  <si>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</si>
  <si>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</si>
  <si>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</si>
  <si>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</si>
  <si>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</si>
  <si>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</si>
  <si>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</si>
  <si>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</si>
  <si>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</si>
  <si>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</si>
  <si>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</si>
  <si>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</si>
  <si>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</si>
  <si>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</si>
  <si>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</si>
  <si>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</si>
  <si>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</si>
  <si>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</si>
  <si>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</si>
  <si>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</si>
  <si>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</si>
  <si>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</si>
  <si>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</si>
  <si>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</si>
  <si>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</si>
  <si>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</si>
  <si>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</si>
  <si>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</si>
  <si>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</si>
  <si>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</si>
  <si>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</si>
  <si>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</si>
  <si>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</si>
  <si>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</si>
  <si>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</si>
  <si>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</si>
  <si>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</si>
  <si>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</si>
  <si>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</si>
  <si>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</si>
  <si>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</si>
  <si>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</si>
  <si>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</si>
  <si>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</si>
  <si>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</si>
  <si>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</si>
  <si>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</si>
  <si>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</si>
  <si>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</si>
  <si>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</si>
  <si>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</si>
  <si>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</si>
  <si>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</si>
  <si>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</si>
  <si>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</si>
  <si>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</si>
  <si>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</si>
  <si>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</si>
  <si>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</si>
  <si>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</si>
  <si>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</si>
  <si>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</si>
  <si>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</si>
  <si>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</si>
  <si>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</si>
  <si>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</si>
  <si>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</si>
  <si>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</si>
  <si>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</si>
  <si>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</si>
  <si>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</si>
  <si>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</si>
  <si>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</si>
  <si>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</si>
  <si>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</si>
  <si>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</si>
  <si>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</si>
  <si>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</si>
  <si>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</si>
  <si>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</si>
  <si>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</si>
  <si>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</si>
  <si>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</si>
  <si>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</si>
  <si>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</si>
  <si>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</si>
  <si>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</si>
  <si>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</si>
  <si>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</si>
  <si>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</si>
  <si>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</si>
  <si>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</si>
  <si>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</si>
  <si>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</si>
  <si>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</si>
  <si>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</si>
  <si>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</si>
  <si>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</si>
  <si>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</si>
  <si>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</si>
  <si>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</si>
  <si>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</si>
  <si>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</si>
  <si>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</si>
  <si>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</si>
  <si>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</si>
  <si>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</si>
  <si>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</si>
  <si>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</si>
  <si>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</si>
  <si>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</si>
  <si>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</si>
  <si>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</si>
  <si>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</si>
  <si>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</si>
  <si>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</si>
  <si>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</si>
  <si>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</si>
  <si>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</si>
  <si>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</si>
  <si>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</si>
  <si>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</si>
  <si>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</si>
  <si>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</si>
  <si>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</si>
  <si>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</si>
  <si>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</si>
  <si>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</si>
  <si>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</si>
  <si>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</si>
  <si>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</si>
  <si>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</si>
  <si>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</si>
  <si>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</si>
  <si>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</si>
  <si>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</si>
  <si>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</si>
  <si>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</si>
  <si>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</si>
  <si>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</si>
  <si>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</si>
  <si>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</si>
  <si>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</si>
  <si>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</si>
  <si>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</si>
  <si>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</si>
  <si>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</si>
  <si>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</si>
  <si>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</si>
  <si>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</si>
  <si>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</si>
  <si>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</si>
  <si>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</si>
  <si>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</si>
  <si>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</si>
  <si>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</si>
  <si>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</si>
  <si>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</si>
  <si>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</si>
  <si>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</si>
  <si>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</si>
  <si>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</si>
  <si>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</si>
  <si>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</si>
  <si>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</si>
  <si>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</si>
  <si>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</si>
  <si>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</si>
  <si>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</si>
  <si>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</si>
  <si>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</si>
  <si>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</si>
  <si>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</si>
  <si>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</si>
  <si>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</si>
  <si>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</si>
  <si>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</si>
  <si>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</si>
  <si>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</si>
  <si>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</si>
  <si>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</si>
  <si>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</si>
  <si>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</si>
  <si>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</si>
  <si>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</si>
  <si>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</si>
  <si>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</si>
  <si>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</si>
  <si>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</si>
  <si>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</si>
  <si>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</si>
  <si>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</si>
  <si>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</si>
  <si>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</si>
  <si>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</si>
  <si>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</si>
  <si>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</si>
  <si>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</si>
  <si>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</si>
  <si>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</si>
  <si>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</si>
  <si>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</si>
  <si>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</si>
  <si>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</si>
  <si>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</si>
  <si>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</si>
  <si>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</si>
  <si>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</si>
  <si>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</si>
  <si>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</si>
  <si>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</si>
  <si>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</si>
  <si>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</si>
  <si>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</si>
  <si>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</si>
  <si>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</si>
  <si>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</si>
  <si>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</si>
  <si>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</si>
  <si>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</si>
  <si>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</si>
  <si>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</si>
  <si>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</si>
  <si>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</si>
  <si>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</si>
  <si>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</si>
  <si>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</si>
  <si>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</si>
  <si>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</si>
  <si>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</si>
  <si>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</si>
  <si>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</si>
  <si>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</si>
  <si>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</si>
  <si>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</si>
  <si>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</si>
  <si>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</si>
  <si>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</si>
  <si>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</si>
  <si>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</si>
  <si>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</si>
  <si>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</si>
  <si>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</si>
  <si>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</si>
  <si>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</si>
  <si>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</si>
  <si>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</si>
  <si>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</si>
  <si>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</si>
  <si>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</si>
  <si>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</si>
  <si>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</si>
  <si>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</si>
  <si>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</si>
  <si>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</si>
  <si>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</si>
  <si>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</si>
  <si>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</si>
  <si>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</si>
  <si>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</si>
  <si>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</si>
  <si>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</si>
  <si>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</si>
  <si>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</si>
  <si>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</si>
  <si>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</si>
  <si>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</si>
  <si>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</si>
  <si>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</si>
  <si>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</si>
  <si>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</si>
  <si>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</si>
  <si>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</si>
  <si>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</si>
  <si>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</si>
  <si>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</si>
  <si>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</si>
  <si>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</si>
  <si>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</si>
  <si>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</si>
  <si>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</si>
  <si>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</si>
  <si>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</si>
  <si>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</si>
  <si>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</si>
  <si>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</si>
  <si>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</si>
  <si>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</si>
  <si>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</si>
  <si>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</si>
  <si>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</si>
  <si>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</si>
  <si>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</si>
  <si>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</si>
  <si>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</si>
  <si>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</si>
  <si>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</si>
  <si>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</si>
  <si>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</si>
  <si>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</si>
  <si>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</si>
  <si>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</si>
  <si>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</si>
  <si>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</si>
  <si>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</si>
  <si>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</si>
  <si>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</si>
  <si>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</si>
  <si>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</si>
  <si>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</si>
  <si>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</si>
  <si>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</si>
  <si>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</si>
  <si>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</si>
  <si>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</si>
  <si>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</si>
  <si>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</si>
  <si>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</si>
  <si>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</si>
  <si>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</si>
  <si>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</si>
  <si>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</si>
  <si>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</si>
  <si>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</si>
  <si>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</si>
  <si>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</si>
  <si>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</si>
  <si>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</si>
  <si>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</si>
  <si>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</si>
  <si>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</si>
  <si>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</si>
  <si>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</si>
  <si>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</si>
  <si>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</si>
  <si>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</si>
  <si>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</si>
  <si>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</si>
  <si>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</si>
  <si>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</si>
  <si>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</si>
  <si>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</si>
  <si>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</si>
  <si>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</si>
  <si>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</si>
  <si>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</si>
  <si>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</si>
  <si>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</si>
  <si>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</si>
  <si>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</si>
  <si>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</si>
  <si>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</si>
  <si>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</si>
  <si>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</si>
  <si>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</si>
  <si>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</si>
  <si>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</si>
  <si>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</si>
  <si>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</si>
  <si>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</si>
  <si>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</si>
  <si>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</si>
  <si>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</si>
  <si>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</si>
  <si>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</si>
  <si>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</si>
  <si>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</si>
  <si>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</si>
  <si>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</si>
  <si>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</si>
  <si>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</si>
  <si>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</si>
  <si>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</si>
  <si>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</si>
  <si>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</si>
  <si>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</si>
  <si>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</si>
  <si>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</si>
  <si>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</si>
  <si>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</si>
  <si>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</si>
  <si>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</si>
  <si>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</si>
  <si>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</si>
  <si>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</si>
  <si>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</si>
  <si>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</si>
  <si>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</si>
  <si>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</si>
  <si>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</si>
  <si>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</si>
  <si>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</si>
  <si>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</si>
  <si>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</si>
  <si>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</si>
  <si>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</si>
  <si>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</si>
  <si>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</si>
  <si>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</si>
  <si>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</si>
  <si>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</si>
  <si>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</si>
  <si>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</si>
  <si>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</si>
  <si>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</si>
  <si>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</si>
  <si>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</si>
  <si>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</si>
  <si>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</si>
  <si>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</si>
  <si>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</si>
  <si>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</si>
  <si>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</si>
  <si>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</si>
  <si>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</si>
  <si>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</si>
  <si>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</si>
  <si>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</si>
  <si>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</si>
  <si>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</si>
  <si>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</si>
  <si>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</si>
  <si>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</si>
  <si>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</si>
  <si>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</si>
  <si>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</si>
  <si>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</si>
  <si>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</si>
  <si>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</si>
  <si>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</si>
  <si>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</si>
  <si>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</si>
  <si>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</si>
  <si>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</si>
  <si>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</si>
  <si>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</si>
  <si>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</si>
  <si>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</si>
  <si>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</si>
  <si>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</si>
  <si>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</si>
  <si>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</si>
  <si>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</si>
  <si>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</si>
  <si>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</si>
  <si>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</si>
  <si>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</si>
  <si>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</si>
  <si>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</si>
  <si>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</si>
  <si>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</si>
  <si>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</si>
  <si>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</si>
  <si>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</si>
  <si>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</si>
  <si>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</si>
  <si>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</si>
  <si>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</si>
  <si>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</si>
  <si>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</si>
  <si>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</si>
  <si>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</si>
  <si>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</si>
  <si>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</si>
  <si>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</si>
  <si>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</si>
  <si>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</si>
  <si>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</si>
  <si>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</si>
  <si>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</si>
  <si>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</si>
  <si>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</si>
  <si>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</si>
  <si>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</si>
  <si>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</si>
  <si>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</si>
  <si>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</si>
  <si>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</si>
  <si>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</si>
  <si>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</si>
  <si>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</si>
  <si>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</si>
  <si>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</si>
  <si>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</si>
  <si>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</si>
  <si>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</si>
  <si>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</si>
  <si>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</si>
  <si>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</si>
  <si>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</si>
  <si>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</si>
  <si>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</si>
  <si>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</si>
  <si>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</si>
  <si>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</si>
  <si>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</si>
  <si>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</si>
  <si>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</si>
  <si>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</si>
  <si>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</si>
  <si>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</si>
  <si>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</si>
  <si>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</si>
  <si>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</si>
  <si>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</si>
  <si>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</si>
  <si>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</si>
  <si>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</si>
  <si>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</si>
  <si>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</si>
  <si>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</si>
  <si>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</si>
  <si>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</si>
  <si>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</si>
  <si>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</si>
  <si>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</si>
  <si>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</si>
  <si>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</si>
  <si>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</si>
  <si>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</si>
  <si>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</si>
  <si>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</si>
  <si>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</si>
  <si>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</si>
  <si>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</si>
  <si>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</si>
  <si>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</si>
  <si>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</si>
  <si>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</si>
  <si>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</si>
  <si>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</si>
  <si>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</si>
  <si>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</si>
  <si>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</si>
  <si>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</si>
  <si>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</si>
  <si>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</si>
  <si>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</si>
  <si>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</si>
  <si>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</si>
  <si>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</si>
  <si>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</si>
  <si>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</si>
  <si>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</si>
  <si>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</si>
  <si>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</si>
  <si>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</si>
  <si>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</si>
  <si>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</si>
  <si>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</si>
  <si>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</si>
  <si>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</si>
  <si>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</si>
  <si>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</si>
  <si>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</si>
  <si>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</si>
  <si>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</si>
  <si>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</si>
  <si>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</si>
  <si>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</si>
  <si>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</si>
  <si>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</si>
  <si>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</si>
  <si>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</si>
  <si>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</si>
  <si>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</si>
  <si>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</si>
  <si>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</si>
  <si>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</si>
  <si>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</si>
  <si>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</si>
  <si>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</si>
  <si>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</si>
  <si>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</si>
  <si>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</si>
  <si>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</si>
  <si>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</si>
  <si>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</si>
  <si>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</si>
  <si>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</si>
  <si>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</si>
  <si>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</si>
  <si>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</si>
  <si>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</si>
  <si>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</si>
  <si>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</si>
  <si>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</si>
  <si>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</si>
  <si>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</si>
  <si>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</si>
  <si>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</si>
  <si>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</si>
  <si>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</si>
  <si>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</si>
  <si>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</si>
  <si>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</si>
  <si>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</si>
  <si>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</si>
  <si>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</si>
  <si>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</si>
  <si>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</si>
  <si>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</si>
  <si>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</si>
  <si>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</si>
  <si>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</si>
  <si>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</si>
  <si>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</si>
  <si>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</si>
  <si>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</si>
  <si>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</si>
  <si>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</si>
  <si>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</si>
  <si>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</si>
  <si>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</si>
  <si>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</si>
  <si>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</si>
  <si>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</si>
  <si>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</si>
  <si>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</si>
  <si>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</si>
  <si>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</si>
  <si>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</si>
  <si>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</si>
  <si>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</si>
  <si>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</si>
  <si>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</si>
  <si>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</si>
  <si>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</si>
  <si>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</si>
  <si>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</si>
  <si>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</si>
  <si>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</si>
  <si>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</si>
  <si>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</si>
  <si>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</si>
  <si>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</si>
  <si>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</si>
  <si>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</si>
  <si>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</si>
  <si>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</si>
  <si>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</si>
  <si>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</si>
  <si>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</si>
  <si>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</si>
  <si>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</si>
  <si>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</si>
  <si>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</si>
  <si>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</si>
  <si>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</si>
  <si>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</si>
  <si>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</si>
  <si>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</si>
  <si>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</si>
  <si>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</si>
  <si>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</si>
  <si>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</si>
  <si>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</si>
  <si>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</si>
  <si>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</si>
  <si>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</si>
  <si>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</si>
  <si>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</si>
  <si>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</si>
  <si>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</si>
  <si>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</si>
  <si>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</si>
  <si>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</si>
  <si>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</si>
  <si>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</si>
  <si>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</si>
  <si>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</si>
  <si>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</si>
  <si>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</si>
  <si>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</si>
  <si>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</si>
  <si>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</si>
  <si>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</si>
  <si>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</si>
  <si>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</si>
  <si>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</si>
  <si>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</si>
  <si>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</si>
  <si>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</si>
  <si>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</si>
  <si>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</si>
  <si>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</si>
  <si>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</si>
  <si>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</si>
  <si>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</si>
  <si>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</si>
  <si>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</si>
  <si>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</si>
  <si>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</si>
  <si>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</si>
  <si>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</si>
  <si>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</si>
  <si>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</si>
  <si>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</si>
  <si>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</si>
  <si>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</si>
  <si>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</si>
  <si>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</si>
  <si>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</si>
  <si>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</si>
  <si>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</si>
  <si>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</si>
  <si>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</si>
  <si>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</si>
  <si>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</si>
  <si>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</si>
  <si>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Secretary for Transportation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</si>
</sst>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99" zoomScale="70" zoomScaleNormal="70" workbookViewId="0">
      <selection activeCell="K124" sqref="K12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305</v>
      </c>
      <c r="G5" s="188"/>
      <c r="H5" s="188"/>
      <c r="I5" s="188"/>
      <c r="L5" s="12"/>
      <c r="M5" s="12"/>
      <c r="N5" s="12"/>
      <c r="O5" s="12"/>
      <c r="P5" s="12"/>
      <c r="Q5" s="12"/>
    </row>
    <row r="6" spans="1:19" ht="16.5" customHeight="1" x14ac:dyDescent="0.3">
      <c r="A6" s="186" t="s">
        <v>1635</v>
      </c>
      <c r="B6" s="186"/>
      <c r="C6" s="186"/>
      <c r="D6" s="186"/>
      <c r="E6" s="186"/>
      <c r="F6" s="189">
        <v>42</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TRANSPORTATION</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300394</v>
      </c>
      <c r="M17" s="143">
        <v>300394</v>
      </c>
      <c r="P17" s="143"/>
      <c r="Q17" s="155"/>
      <c r="S17" s="154">
        <f t="shared" si="0"/>
        <v>-300394</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37549</v>
      </c>
      <c r="N22" s="143">
        <v>37549</v>
      </c>
      <c r="P22" s="155"/>
      <c r="Q22" s="143"/>
      <c r="S22" s="154">
        <f t="shared" ref="S22:S25" si="1">Q22-N22</f>
        <v>-37549</v>
      </c>
    </row>
    <row r="23" spans="1:19" ht="16.5" customHeight="1" x14ac:dyDescent="0.3">
      <c r="A23" s="165" t="s">
        <v>1646</v>
      </c>
      <c r="B23" s="9"/>
      <c r="C23" s="9" t="s">
        <v>174</v>
      </c>
      <c r="D23" s="9"/>
      <c r="E23" s="140"/>
      <c r="F23" s="141"/>
      <c r="G23" s="141"/>
      <c r="H23" s="142"/>
      <c r="I23" s="142"/>
      <c r="J23" s="150"/>
      <c r="K23" s="178">
        <f>N23</f>
        <v>261463</v>
      </c>
      <c r="N23" s="143">
        <v>261463</v>
      </c>
      <c r="P23" s="155"/>
      <c r="Q23" s="143"/>
      <c r="S23" s="154">
        <f t="shared" si="1"/>
        <v>-261463</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1382</v>
      </c>
      <c r="N25" s="143"/>
      <c r="P25" s="155"/>
      <c r="Q25" s="155"/>
      <c r="S25" s="154">
        <f t="shared" si="1"/>
        <v>0</v>
      </c>
    </row>
    <row r="26" spans="1:19" ht="16.5" customHeight="1" x14ac:dyDescent="0.3">
      <c r="A26" s="54"/>
      <c r="C26" s="20"/>
      <c r="D26" s="20"/>
      <c r="E26" s="20"/>
      <c r="F26" s="127"/>
      <c r="G26" s="127"/>
      <c r="H26" s="22"/>
      <c r="I26" s="22"/>
      <c r="J26" s="107">
        <f>SUM(J15:J25)</f>
        <v>300394</v>
      </c>
      <c r="K26" s="107">
        <f>SUM(K15:K25)</f>
        <v>300394</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2254138</v>
      </c>
      <c r="K33" s="144"/>
    </row>
    <row r="34" spans="1:12" ht="16.5" customHeight="1" x14ac:dyDescent="0.3">
      <c r="A34" s="54"/>
      <c r="B34" s="9"/>
      <c r="C34" s="9" t="s">
        <v>1748</v>
      </c>
      <c r="D34" s="140"/>
      <c r="E34" s="140"/>
      <c r="F34" s="141"/>
      <c r="G34" s="141"/>
      <c r="H34" s="142"/>
      <c r="I34" s="142"/>
      <c r="J34" s="144"/>
      <c r="K34" s="143">
        <v>2254138</v>
      </c>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2254138</v>
      </c>
      <c r="K36" s="107">
        <f>SUM(K33:K35)</f>
        <v>2254138</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2254138</v>
      </c>
      <c r="K41" s="144"/>
    </row>
    <row r="42" spans="1:12" ht="16.5" customHeight="1" x14ac:dyDescent="0.3">
      <c r="A42" s="54"/>
      <c r="B42" s="9"/>
      <c r="C42" s="9" t="s">
        <v>181</v>
      </c>
      <c r="D42" s="140"/>
      <c r="E42" s="140"/>
      <c r="F42" s="141"/>
      <c r="G42" s="141"/>
      <c r="H42" s="142"/>
      <c r="I42" s="142"/>
      <c r="J42" s="144"/>
      <c r="K42" s="143">
        <v>2254138</v>
      </c>
    </row>
    <row r="43" spans="1:12" ht="16.5" customHeight="1" x14ac:dyDescent="0.3">
      <c r="A43" s="54"/>
      <c r="B43" s="130" t="s">
        <v>1640</v>
      </c>
      <c r="C43" s="16"/>
      <c r="D43" s="16"/>
      <c r="E43" s="16"/>
      <c r="F43" s="17"/>
      <c r="G43" s="17"/>
      <c r="H43" s="18"/>
      <c r="I43" s="18"/>
      <c r="J43" s="107">
        <f>SUM(J39:J42)</f>
        <v>2254138</v>
      </c>
      <c r="K43" s="107">
        <f>SUM(K39:K42)</f>
        <v>2254138</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2254138</v>
      </c>
      <c r="K47" s="144"/>
    </row>
    <row r="48" spans="1:12" ht="16.5" customHeight="1" x14ac:dyDescent="0.3">
      <c r="A48" s="165" t="s">
        <v>1646</v>
      </c>
      <c r="B48" s="9"/>
      <c r="C48" s="9" t="s">
        <v>174</v>
      </c>
      <c r="D48" s="140"/>
      <c r="E48" s="140"/>
      <c r="F48" s="141"/>
      <c r="G48" s="141"/>
      <c r="H48" s="142"/>
      <c r="I48" s="142"/>
      <c r="J48" s="144"/>
      <c r="K48" s="143">
        <v>2254138</v>
      </c>
    </row>
    <row r="49" spans="1:16" ht="16.5" customHeight="1" x14ac:dyDescent="0.3">
      <c r="A49" s="54"/>
      <c r="C49" s="16"/>
      <c r="D49" s="16"/>
      <c r="E49" s="16"/>
      <c r="F49" s="17"/>
      <c r="G49" s="17"/>
      <c r="H49" s="18"/>
      <c r="I49" s="18"/>
      <c r="J49" s="107">
        <f>SUM(J47:J48)</f>
        <v>2254138</v>
      </c>
      <c r="K49" s="107">
        <f>SUM(K47:K48)</f>
        <v>2254138</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235214</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235214</v>
      </c>
    </row>
    <row r="59" spans="1:16" ht="16.5" customHeight="1" x14ac:dyDescent="0.3">
      <c r="A59" s="54"/>
      <c r="C59" s="16"/>
      <c r="D59" s="16"/>
      <c r="E59" s="16"/>
      <c r="F59" s="17"/>
      <c r="G59" s="17"/>
      <c r="H59" s="18"/>
      <c r="I59" s="18"/>
      <c r="J59" s="107">
        <f>SUM(J55:J58)</f>
        <v>235214</v>
      </c>
      <c r="K59" s="107">
        <f>SUM(K55:K58)</f>
        <v>235214</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201376</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19464</v>
      </c>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f>+J62+J63</f>
        <v>220840</v>
      </c>
    </row>
    <row r="65" spans="1:12" ht="16.5" customHeight="1" x14ac:dyDescent="0.3">
      <c r="A65" s="54"/>
      <c r="C65" s="16"/>
      <c r="D65" s="16"/>
      <c r="E65" s="16"/>
      <c r="F65" s="17"/>
      <c r="G65" s="17"/>
      <c r="H65" s="18"/>
      <c r="I65" s="18"/>
      <c r="J65" s="107">
        <f>SUM(J62:J64)</f>
        <v>220840</v>
      </c>
      <c r="K65" s="107">
        <f>SUM(K62:K64)</f>
        <v>220840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201376</v>
      </c>
      <c r="K68" s="144"/>
    </row>
    <row r="69" spans="1:12" ht="16.5" customHeight="1" x14ac:dyDescent="0.3">
      <c r="A69" s="54"/>
      <c r="B69" s="9"/>
      <c r="C69" s="9" t="s">
        <v>186</v>
      </c>
      <c r="D69" s="140"/>
      <c r="E69" s="140"/>
      <c r="F69" s="141"/>
      <c r="G69" s="141"/>
      <c r="H69" s="142"/>
      <c r="I69" s="142"/>
      <c r="J69" s="144"/>
      <c r="K69" s="143">
        <f>J68</f>
        <v>201376</v>
      </c>
    </row>
    <row r="70" spans="1:12" ht="16.5" customHeight="1" x14ac:dyDescent="0.3">
      <c r="A70" s="54"/>
      <c r="C70" s="16"/>
      <c r="D70" s="16"/>
      <c r="E70" s="16"/>
      <c r="F70" s="17"/>
      <c r="G70" s="17"/>
      <c r="H70" s="18"/>
      <c r="I70" s="18"/>
      <c r="J70" s="107">
        <f>SUM(J68:J69)</f>
        <v>201376</v>
      </c>
      <c r="K70" s="107">
        <f>SUM(K68:K69)</f>
        <v>201376</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208740</v>
      </c>
      <c r="K75" s="144"/>
    </row>
    <row r="76" spans="1:12" ht="16.5" customHeight="1" x14ac:dyDescent="0.3">
      <c r="A76" s="54"/>
      <c r="B76" s="9"/>
      <c r="C76" s="9" t="s">
        <v>194</v>
      </c>
      <c r="D76" s="140"/>
      <c r="E76" s="140"/>
      <c r="F76" s="141"/>
      <c r="G76" s="141"/>
      <c r="H76" s="142"/>
      <c r="I76" s="142"/>
      <c r="J76" s="144"/>
      <c r="K76" s="143">
        <v>208740</v>
      </c>
    </row>
    <row r="77" spans="1:12" ht="16.5" customHeight="1" x14ac:dyDescent="0.25">
      <c r="A77" s="54"/>
      <c r="B77" s="193" t="s">
        <v>1735</v>
      </c>
      <c r="C77" s="193"/>
      <c r="D77" s="193"/>
      <c r="E77" s="193"/>
      <c r="F77" s="193"/>
      <c r="G77" s="193"/>
      <c r="H77" s="193"/>
      <c r="I77" s="193"/>
      <c r="J77" s="107">
        <f>SUM(J75:J76)</f>
        <v>208740</v>
      </c>
      <c r="K77" s="107">
        <f>SUM(K75:K76)</f>
        <v>208740</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261463</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37549</v>
      </c>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v>1382</v>
      </c>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300394</v>
      </c>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3">
      <c r="B105" s="130" t="s">
        <v>1641</v>
      </c>
      <c r="H105" s="10"/>
      <c r="J105" s="108">
        <f>SUM(J96:J104)</f>
        <v>300394</v>
      </c>
      <c r="K105" s="108">
        <f>SUM(K96:K104)</f>
        <v>300394</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2254138</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-235214</v>
      </c>
    </row>
    <row r="128" spans="1:12" ht="16.5" customHeight="1" x14ac:dyDescent="0.3">
      <c r="D128" s="140" t="s">
        <v>1657</v>
      </c>
      <c r="H128" s="10"/>
      <c r="K128" s="169">
        <f>-K23-K48+J68+J75+J96-K113</f>
        <v>-1844022</v>
      </c>
    </row>
    <row r="129" spans="4:11" ht="16.5" customHeight="1" x14ac:dyDescent="0.3">
      <c r="D129" s="140" t="s">
        <v>1658</v>
      </c>
      <c r="H129" s="10"/>
      <c r="K129" s="169">
        <f>-K76</f>
        <v>-208740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EBD3-E0C6-465B-A790-AA0DD4B6E138}">
  <sheetPr>
    <tabColor theme="9" tint="0.59999389629810485"/>
    <pageSetUpPr fitToPage="1"/>
  </sheetPr>
  <dimension ref="A1:S193"/>
  <sheetViews>
    <sheetView topLeftCell="A98" zoomScale="70" zoomScaleNormal="70" workbookViewId="0">
      <selection activeCell="K124" sqref="K12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305</v>
      </c>
      <c r="G5" s="188"/>
      <c r="H5" s="188"/>
      <c r="I5" s="188"/>
      <c r="L5" s="12"/>
      <c r="M5" s="12"/>
      <c r="N5" s="12"/>
      <c r="O5" s="12"/>
      <c r="P5" s="12"/>
      <c r="Q5" s="12"/>
    </row>
    <row r="6" spans="1:19" ht="16.5" customHeight="1" x14ac:dyDescent="0.3">
      <c r="A6" s="186" t="s">
        <v>1635</v>
      </c>
      <c r="B6" s="186"/>
      <c r="C6" s="186"/>
      <c r="D6" s="186"/>
      <c r="E6" s="186"/>
      <c r="F6" s="189">
        <v>44</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TRANSPORTATION</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99027</v>
      </c>
      <c r="M17" s="143">
        <v>99027</v>
      </c>
      <c r="P17" s="143"/>
      <c r="Q17" s="155"/>
      <c r="S17" s="154">
        <f t="shared" si="0"/>
        <v>-99027</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12378</v>
      </c>
      <c r="N22" s="143">
        <v>12378</v>
      </c>
      <c r="P22" s="155"/>
      <c r="Q22" s="143"/>
      <c r="S22" s="154">
        <f t="shared" ref="S22:S25" si="1">Q22-N22</f>
        <v>-12378</v>
      </c>
    </row>
    <row r="23" spans="1:19" ht="16.5" customHeight="1" x14ac:dyDescent="0.3">
      <c r="A23" s="165" t="s">
        <v>1646</v>
      </c>
      <c r="B23" s="9"/>
      <c r="C23" s="9" t="s">
        <v>174</v>
      </c>
      <c r="D23" s="9"/>
      <c r="E23" s="140"/>
      <c r="F23" s="141"/>
      <c r="G23" s="141"/>
      <c r="H23" s="142"/>
      <c r="I23" s="142"/>
      <c r="J23" s="150"/>
      <c r="K23" s="178">
        <f>N23</f>
        <v>86193</v>
      </c>
      <c r="N23" s="143">
        <v>86193</v>
      </c>
      <c r="P23" s="155"/>
      <c r="Q23" s="143"/>
      <c r="S23" s="154">
        <f t="shared" si="1"/>
        <v>-86193</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456</v>
      </c>
      <c r="N25" s="143"/>
      <c r="P25" s="155"/>
      <c r="Q25" s="155"/>
      <c r="S25" s="154">
        <f t="shared" si="1"/>
        <v>0</v>
      </c>
    </row>
    <row r="26" spans="1:19" ht="16.5" customHeight="1" x14ac:dyDescent="0.3">
      <c r="A26" s="54"/>
      <c r="C26" s="20"/>
      <c r="D26" s="20"/>
      <c r="E26" s="20"/>
      <c r="F26" s="127"/>
      <c r="G26" s="127"/>
      <c r="H26" s="22"/>
      <c r="I26" s="22"/>
      <c r="J26" s="107">
        <f>SUM(J15:J25)</f>
        <v>99027</v>
      </c>
      <c r="K26" s="107">
        <f>SUM(K15:K25)</f>
        <v>99027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706294</v>
      </c>
      <c r="K33" s="144"/>
    </row>
    <row r="34" spans="1:12" ht="16.5" customHeight="1" x14ac:dyDescent="0.3">
      <c r="A34" s="54"/>
      <c r="B34" s="9"/>
      <c r="C34" s="9" t="s">
        <v>1748</v>
      </c>
      <c r="D34" s="140"/>
      <c r="E34" s="140"/>
      <c r="F34" s="141"/>
      <c r="G34" s="141"/>
      <c r="H34" s="142"/>
      <c r="I34" s="142"/>
      <c r="J34" s="144"/>
      <c r="K34" s="143">
        <v>706294</v>
      </c>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706294</v>
      </c>
      <c r="K36" s="107">
        <f>SUM(K33:K35)</f>
        <v>706294</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706294</v>
      </c>
      <c r="K41" s="144"/>
    </row>
    <row r="42" spans="1:12" ht="16.5" customHeight="1" x14ac:dyDescent="0.3">
      <c r="A42" s="54"/>
      <c r="B42" s="9"/>
      <c r="C42" s="9" t="s">
        <v>181</v>
      </c>
      <c r="D42" s="140"/>
      <c r="E42" s="140"/>
      <c r="F42" s="141"/>
      <c r="G42" s="141"/>
      <c r="H42" s="142"/>
      <c r="I42" s="142"/>
      <c r="J42" s="144"/>
      <c r="K42" s="143">
        <v>706294</v>
      </c>
    </row>
    <row r="43" spans="1:12" ht="16.5" customHeight="1" x14ac:dyDescent="0.3">
      <c r="A43" s="54"/>
      <c r="B43" s="130" t="s">
        <v>1640</v>
      </c>
      <c r="C43" s="16"/>
      <c r="D43" s="16"/>
      <c r="E43" s="16"/>
      <c r="F43" s="17"/>
      <c r="G43" s="17"/>
      <c r="H43" s="18"/>
      <c r="I43" s="18"/>
      <c r="J43" s="107">
        <f>SUM(J39:J42)</f>
        <v>706294</v>
      </c>
      <c r="K43" s="107">
        <f>SUM(K39:K42)</f>
        <v>706294</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706294</v>
      </c>
      <c r="K47" s="144"/>
    </row>
    <row r="48" spans="1:12" ht="16.5" customHeight="1" x14ac:dyDescent="0.3">
      <c r="A48" s="165" t="s">
        <v>1646</v>
      </c>
      <c r="B48" s="9"/>
      <c r="C48" s="9" t="s">
        <v>174</v>
      </c>
      <c r="D48" s="140"/>
      <c r="E48" s="140"/>
      <c r="F48" s="141"/>
      <c r="G48" s="141"/>
      <c r="H48" s="142"/>
      <c r="I48" s="142"/>
      <c r="J48" s="144"/>
      <c r="K48" s="143">
        <v>706294</v>
      </c>
    </row>
    <row r="49" spans="1:16" ht="16.5" customHeight="1" x14ac:dyDescent="0.3">
      <c r="A49" s="54"/>
      <c r="C49" s="16"/>
      <c r="D49" s="16"/>
      <c r="E49" s="16"/>
      <c r="F49" s="17"/>
      <c r="G49" s="17"/>
      <c r="H49" s="18"/>
      <c r="I49" s="18"/>
      <c r="J49" s="107">
        <f>SUM(J47:J48)</f>
        <v>706294</v>
      </c>
      <c r="K49" s="107">
        <f>SUM(K47:K48)</f>
        <v>706294</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313961</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313961</v>
      </c>
    </row>
    <row r="59" spans="1:16" ht="16.5" customHeight="1" x14ac:dyDescent="0.3">
      <c r="A59" s="54"/>
      <c r="C59" s="16"/>
      <c r="D59" s="16"/>
      <c r="E59" s="16"/>
      <c r="F59" s="17"/>
      <c r="G59" s="17"/>
      <c r="H59" s="18"/>
      <c r="I59" s="18"/>
      <c r="J59" s="107">
        <f>SUM(J55:J58)</f>
        <v>313961</v>
      </c>
      <c r="K59" s="107">
        <f>SUM(K55:K58)</f>
        <v>313961</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485939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35496</v>
      </c>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f>+J62+J63</f>
        <v>521435</v>
      </c>
    </row>
    <row r="65" spans="1:12" ht="16.5" customHeight="1" x14ac:dyDescent="0.3">
      <c r="A65" s="54"/>
      <c r="C65" s="16"/>
      <c r="D65" s="16"/>
      <c r="E65" s="16"/>
      <c r="F65" s="17"/>
      <c r="G65" s="17"/>
      <c r="H65" s="18"/>
      <c r="I65" s="18"/>
      <c r="J65" s="107">
        <f>SUM(J62:J64)</f>
        <v>521435</v>
      </c>
      <c r="K65" s="107">
        <f>SUM(K62:K64)</f>
        <v>521435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485939</v>
      </c>
      <c r="K68" s="144"/>
    </row>
    <row r="69" spans="1:12" ht="16.5" customHeight="1" x14ac:dyDescent="0.3">
      <c r="A69" s="54"/>
      <c r="B69" s="9"/>
      <c r="C69" s="9" t="s">
        <v>186</v>
      </c>
      <c r="D69" s="140"/>
      <c r="E69" s="140"/>
      <c r="F69" s="141"/>
      <c r="G69" s="141"/>
      <c r="H69" s="142"/>
      <c r="I69" s="142"/>
      <c r="J69" s="144"/>
      <c r="K69" s="143">
        <f>J68</f>
        <v>485939</v>
      </c>
    </row>
    <row r="70" spans="1:12" ht="16.5" customHeight="1" x14ac:dyDescent="0.3">
      <c r="A70" s="54"/>
      <c r="C70" s="16"/>
      <c r="D70" s="16"/>
      <c r="E70" s="16"/>
      <c r="F70" s="17"/>
      <c r="G70" s="17"/>
      <c r="H70" s="18"/>
      <c r="I70" s="18"/>
      <c r="J70" s="107">
        <f>SUM(J68:J69)</f>
        <v>485939</v>
      </c>
      <c r="K70" s="107">
        <f>SUM(K68:K69)</f>
        <v>485939</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279917</v>
      </c>
      <c r="K75" s="144"/>
    </row>
    <row r="76" spans="1:12" ht="16.5" customHeight="1" x14ac:dyDescent="0.3">
      <c r="A76" s="54"/>
      <c r="B76" s="9"/>
      <c r="C76" s="9" t="s">
        <v>194</v>
      </c>
      <c r="D76" s="140"/>
      <c r="E76" s="140"/>
      <c r="F76" s="141"/>
      <c r="G76" s="141"/>
      <c r="H76" s="142"/>
      <c r="I76" s="142"/>
      <c r="J76" s="144"/>
      <c r="K76" s="143">
        <f>J75</f>
        <v>279917</v>
      </c>
    </row>
    <row r="77" spans="1:12" ht="16.5" customHeight="1" x14ac:dyDescent="0.25">
      <c r="A77" s="54"/>
      <c r="B77" s="193" t="s">
        <v>1735</v>
      </c>
      <c r="C77" s="193"/>
      <c r="D77" s="193"/>
      <c r="E77" s="193"/>
      <c r="F77" s="193"/>
      <c r="G77" s="193"/>
      <c r="H77" s="193"/>
      <c r="I77" s="193"/>
      <c r="J77" s="107">
        <f>SUM(J75:J76)</f>
        <v>279917</v>
      </c>
      <c r="K77" s="107">
        <f>SUM(K75:K76)</f>
        <v>279917</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86193</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12378</v>
      </c>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v>456</v>
      </c>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99027</v>
      </c>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3">
      <c r="B105" s="130" t="s">
        <v>1641</v>
      </c>
      <c r="H105" s="10"/>
      <c r="J105" s="108">
        <f>SUM(J96:J104)</f>
        <v>99027</v>
      </c>
      <c r="K105" s="108">
        <f>SUM(K96:K104)</f>
        <v>99027</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f>99027+1644411+252020</f>
        <v>1995458</v>
      </c>
      <c r="K112" s="25"/>
    </row>
    <row r="113" spans="1:12" ht="16.5" customHeight="1" x14ac:dyDescent="0.25">
      <c r="A113" s="165" t="s">
        <v>1646</v>
      </c>
      <c r="B113" s="9"/>
      <c r="C113" s="9" t="s">
        <v>174</v>
      </c>
      <c r="D113" s="7"/>
      <c r="E113" s="25"/>
      <c r="F113" s="25"/>
      <c r="G113" s="25"/>
      <c r="H113" s="25"/>
      <c r="I113" s="25"/>
      <c r="J113" s="25"/>
      <c r="K113" s="143">
        <f>99027+1644411+252020</f>
        <v>1995458</v>
      </c>
    </row>
    <row r="114" spans="1:12" ht="16.5" customHeight="1" x14ac:dyDescent="0.3">
      <c r="A114" s="6"/>
      <c r="B114" s="130" t="s">
        <v>1640</v>
      </c>
      <c r="C114" s="114"/>
      <c r="D114" s="114"/>
      <c r="H114" s="10"/>
      <c r="J114" s="108">
        <f>SUM(J110:J113)</f>
        <v>1995458</v>
      </c>
      <c r="K114" s="108">
        <f>SUM(K110:K113)</f>
        <v>1995458</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2701752</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-313961</v>
      </c>
    </row>
    <row r="128" spans="1:12" ht="16.5" customHeight="1" x14ac:dyDescent="0.3">
      <c r="D128" s="140" t="s">
        <v>1657</v>
      </c>
      <c r="H128" s="10"/>
      <c r="K128" s="169">
        <f>-K23-K48+J68+J75+J96-K113</f>
        <v>-1935896</v>
      </c>
    </row>
    <row r="129" spans="4:11" ht="16.5" customHeight="1" x14ac:dyDescent="0.3">
      <c r="D129" s="140" t="s">
        <v>1658</v>
      </c>
      <c r="H129" s="10"/>
      <c r="K129" s="169">
        <f>-K76</f>
        <v>-279917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A5108F53-CD09-429E-84CB-9A9403B4997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1103DC2-FA5C-4CC1-907C-9A60BF2D1E02}">
      <formula1>0</formula1>
    </dataValidation>
    <dataValidation operator="lessThan" allowBlank="1" showInputMessage="1" showErrorMessage="1" sqref="A3:A8" xr:uid="{8A2E21B0-FA92-40CD-927C-55F9B48DDE75}"/>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1255DFF-CAFC-49C4-AF8F-93E36E638B29}">
          <x14:formula1>
            <xm:f>'Drop Down Menus'!$E$1:$E$3</xm:f>
          </x14:formula1>
          <xm:sqref>F8</xm:sqref>
        </x14:dataValidation>
        <x14:dataValidation type="list" allowBlank="1" showInputMessage="1" showErrorMessage="1" xr:uid="{4BA06486-904A-41EC-BECA-B303932A9FF6}">
          <x14:formula1>
            <xm:f>'Drop Down Menus'!$B$1:$B$2</xm:f>
          </x14:formula1>
          <xm:sqref>F7</xm:sqref>
        </x14:dataValidation>
        <x14:dataValidation type="list" allowBlank="1" showInputMessage="1" showErrorMessage="1" xr:uid="{5F9BF1AC-D029-4B76-A680-FA2281B264B7}">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1AAD-C035-4087-B860-ED9B148E1E06}">
  <sheetPr>
    <tabColor theme="9" tint="0.59999389629810485"/>
    <pageSetUpPr fitToPage="1"/>
  </sheetPr>
  <dimension ref="A1:S193"/>
  <sheetViews>
    <sheetView topLeftCell="A96" zoomScale="70" zoomScaleNormal="70" workbookViewId="0">
      <selection activeCell="M28" sqref="M28"/>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305</v>
      </c>
      <c r="G5" s="188"/>
      <c r="H5" s="188"/>
      <c r="I5" s="188"/>
      <c r="L5" s="12"/>
      <c r="M5" s="12"/>
      <c r="N5" s="12"/>
      <c r="O5" s="12"/>
      <c r="P5" s="12"/>
      <c r="Q5" s="12"/>
    </row>
    <row r="6" spans="1:19" ht="16.5" customHeight="1" x14ac:dyDescent="0.3">
      <c r="A6" s="186" t="s">
        <v>1635</v>
      </c>
      <c r="B6" s="186"/>
      <c r="C6" s="186"/>
      <c r="D6" s="186"/>
      <c r="E6" s="186"/>
      <c r="F6" s="189">
        <v>46</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TRANSPORTATION</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100596</v>
      </c>
      <c r="M17" s="143">
        <v>100596</v>
      </c>
      <c r="P17" s="143"/>
      <c r="Q17" s="155"/>
      <c r="S17" s="154">
        <f t="shared" si="0"/>
        <v>-100596</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12575</v>
      </c>
      <c r="N22" s="143">
        <v>12575</v>
      </c>
      <c r="P22" s="155"/>
      <c r="Q22" s="143"/>
      <c r="S22" s="154">
        <f t="shared" ref="S22:S25" si="1">Q22-N22</f>
        <v>-12575</v>
      </c>
    </row>
    <row r="23" spans="1:19" ht="16.5" customHeight="1" x14ac:dyDescent="0.3">
      <c r="A23" s="165" t="s">
        <v>1646</v>
      </c>
      <c r="B23" s="9"/>
      <c r="C23" s="9" t="s">
        <v>174</v>
      </c>
      <c r="D23" s="9"/>
      <c r="E23" s="140"/>
      <c r="F23" s="141"/>
      <c r="G23" s="141"/>
      <c r="H23" s="142"/>
      <c r="I23" s="142"/>
      <c r="J23" s="150"/>
      <c r="K23" s="178">
        <f>N23</f>
        <v>87559</v>
      </c>
      <c r="N23" s="143">
        <v>87559</v>
      </c>
      <c r="P23" s="155"/>
      <c r="Q23" s="143"/>
      <c r="S23" s="154">
        <f t="shared" si="1"/>
        <v>-87559</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462</v>
      </c>
      <c r="N25" s="143"/>
      <c r="P25" s="155"/>
      <c r="Q25" s="155"/>
      <c r="S25" s="154">
        <f t="shared" si="1"/>
        <v>0</v>
      </c>
    </row>
    <row r="26" spans="1:19" ht="16.5" customHeight="1" x14ac:dyDescent="0.3">
      <c r="A26" s="54"/>
      <c r="C26" s="20"/>
      <c r="D26" s="20"/>
      <c r="E26" s="20"/>
      <c r="F26" s="127"/>
      <c r="G26" s="127"/>
      <c r="H26" s="22"/>
      <c r="I26" s="22"/>
      <c r="J26" s="107">
        <f>SUM(J15:J25)</f>
        <v>100596</v>
      </c>
      <c r="K26" s="107">
        <f>SUM(K15:K25)</f>
        <v>100596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745203</v>
      </c>
      <c r="K33" s="144"/>
    </row>
    <row r="34" spans="1:12" ht="16.5" customHeight="1" x14ac:dyDescent="0.3">
      <c r="A34" s="54"/>
      <c r="B34" s="9"/>
      <c r="C34" s="9" t="s">
        <v>1748</v>
      </c>
      <c r="D34" s="140"/>
      <c r="E34" s="140"/>
      <c r="F34" s="141"/>
      <c r="G34" s="141"/>
      <c r="H34" s="142"/>
      <c r="I34" s="142"/>
      <c r="J34" s="144"/>
      <c r="K34" s="143">
        <v>745203</v>
      </c>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745203</v>
      </c>
      <c r="K36" s="107">
        <f>SUM(K33:K35)</f>
        <v>745203</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745203</v>
      </c>
      <c r="K41" s="144"/>
    </row>
    <row r="42" spans="1:12" ht="16.5" customHeight="1" x14ac:dyDescent="0.3">
      <c r="A42" s="54"/>
      <c r="B42" s="9"/>
      <c r="C42" s="9" t="s">
        <v>181</v>
      </c>
      <c r="D42" s="140"/>
      <c r="E42" s="140"/>
      <c r="F42" s="141"/>
      <c r="G42" s="141"/>
      <c r="H42" s="142"/>
      <c r="I42" s="142"/>
      <c r="J42" s="144"/>
      <c r="K42" s="143">
        <v>745203</v>
      </c>
    </row>
    <row r="43" spans="1:12" ht="16.5" customHeight="1" x14ac:dyDescent="0.3">
      <c r="A43" s="54"/>
      <c r="B43" s="130" t="s">
        <v>1640</v>
      </c>
      <c r="C43" s="16"/>
      <c r="D43" s="16"/>
      <c r="E43" s="16"/>
      <c r="F43" s="17"/>
      <c r="G43" s="17"/>
      <c r="H43" s="18"/>
      <c r="I43" s="18"/>
      <c r="J43" s="107">
        <f>SUM(J39:J42)</f>
        <v>745203</v>
      </c>
      <c r="K43" s="107">
        <f>SUM(K39:K42)</f>
        <v>745203</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745203</v>
      </c>
      <c r="K47" s="144"/>
    </row>
    <row r="48" spans="1:12" ht="16.5" customHeight="1" x14ac:dyDescent="0.3">
      <c r="A48" s="165" t="s">
        <v>1646</v>
      </c>
      <c r="B48" s="9"/>
      <c r="C48" s="9" t="s">
        <v>174</v>
      </c>
      <c r="D48" s="140"/>
      <c r="E48" s="140"/>
      <c r="F48" s="141"/>
      <c r="G48" s="141"/>
      <c r="H48" s="142"/>
      <c r="I48" s="142"/>
      <c r="J48" s="144"/>
      <c r="K48" s="143">
        <v>745203</v>
      </c>
    </row>
    <row r="49" spans="1:16" ht="16.5" customHeight="1" x14ac:dyDescent="0.3">
      <c r="A49" s="54"/>
      <c r="C49" s="16"/>
      <c r="D49" s="16"/>
      <c r="E49" s="16"/>
      <c r="F49" s="17"/>
      <c r="G49" s="17"/>
      <c r="H49" s="18"/>
      <c r="I49" s="18"/>
      <c r="J49" s="107">
        <f>SUM(J47:J48)</f>
        <v>745203</v>
      </c>
      <c r="K49" s="107">
        <f>SUM(K47:K48)</f>
        <v>745203</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77760</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77760</v>
      </c>
    </row>
    <row r="59" spans="1:16" ht="16.5" customHeight="1" x14ac:dyDescent="0.3">
      <c r="A59" s="54"/>
      <c r="C59" s="16"/>
      <c r="D59" s="16"/>
      <c r="E59" s="16"/>
      <c r="F59" s="17"/>
      <c r="G59" s="17"/>
      <c r="H59" s="18"/>
      <c r="I59" s="18"/>
      <c r="J59" s="107">
        <f>SUM(J55:J58)</f>
        <v>77760</v>
      </c>
      <c r="K59" s="107">
        <f>SUM(K55:K58)</f>
        <v>77760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66574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6435</v>
      </c>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f>+J62+J63</f>
        <v>73009</v>
      </c>
    </row>
    <row r="65" spans="1:12" ht="16.5" customHeight="1" x14ac:dyDescent="0.3">
      <c r="A65" s="54"/>
      <c r="C65" s="16"/>
      <c r="D65" s="16"/>
      <c r="E65" s="16"/>
      <c r="F65" s="17"/>
      <c r="G65" s="17"/>
      <c r="H65" s="18"/>
      <c r="I65" s="18"/>
      <c r="J65" s="107">
        <f>SUM(J62:J64)</f>
        <v>73009</v>
      </c>
      <c r="K65" s="107">
        <f>SUM(K62:K64)</f>
        <v>73009</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66574</v>
      </c>
      <c r="K68" s="144"/>
    </row>
    <row r="69" spans="1:12" ht="16.5" customHeight="1" x14ac:dyDescent="0.3">
      <c r="A69" s="54"/>
      <c r="B69" s="9"/>
      <c r="C69" s="9" t="s">
        <v>186</v>
      </c>
      <c r="D69" s="140"/>
      <c r="E69" s="140"/>
      <c r="F69" s="141"/>
      <c r="G69" s="141"/>
      <c r="H69" s="142"/>
      <c r="I69" s="142"/>
      <c r="J69" s="144"/>
      <c r="K69" s="143">
        <f>J68</f>
        <v>66574</v>
      </c>
    </row>
    <row r="70" spans="1:12" ht="16.5" customHeight="1" x14ac:dyDescent="0.3">
      <c r="A70" s="54"/>
      <c r="C70" s="16"/>
      <c r="D70" s="16"/>
      <c r="E70" s="16"/>
      <c r="F70" s="17"/>
      <c r="G70" s="17"/>
      <c r="H70" s="18"/>
      <c r="I70" s="18"/>
      <c r="J70" s="107">
        <f>SUM(J68:J69)</f>
        <v>66574</v>
      </c>
      <c r="K70" s="107">
        <f>SUM(K68:K69)</f>
        <v>66574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69008</v>
      </c>
      <c r="K75" s="144"/>
    </row>
    <row r="76" spans="1:12" ht="16.5" customHeight="1" x14ac:dyDescent="0.3">
      <c r="A76" s="54"/>
      <c r="B76" s="9"/>
      <c r="C76" s="9" t="s">
        <v>194</v>
      </c>
      <c r="D76" s="140"/>
      <c r="E76" s="140"/>
      <c r="F76" s="141"/>
      <c r="G76" s="141"/>
      <c r="H76" s="142"/>
      <c r="I76" s="142"/>
      <c r="J76" s="144"/>
      <c r="K76" s="143">
        <f>J75</f>
        <v>69008</v>
      </c>
    </row>
    <row r="77" spans="1:12" ht="16.5" customHeight="1" x14ac:dyDescent="0.25">
      <c r="A77" s="54"/>
      <c r="B77" s="193" t="s">
        <v>1735</v>
      </c>
      <c r="C77" s="193"/>
      <c r="D77" s="193"/>
      <c r="E77" s="193"/>
      <c r="F77" s="193"/>
      <c r="G77" s="193"/>
      <c r="H77" s="193"/>
      <c r="I77" s="193"/>
      <c r="J77" s="107">
        <f>SUM(J75:J76)</f>
        <v>69008</v>
      </c>
      <c r="K77" s="107">
        <f>SUM(K75:K76)</f>
        <v>69008</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87559</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12575</v>
      </c>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v>462</v>
      </c>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100596</v>
      </c>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3">
      <c r="B105" s="130" t="s">
        <v>1641</v>
      </c>
      <c r="H105" s="10"/>
      <c r="J105" s="108">
        <f>SUM(J96:J104)</f>
        <v>100596</v>
      </c>
      <c r="K105" s="108">
        <f>SUM(K96:K104)</f>
        <v>100596</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745203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-77760</v>
      </c>
    </row>
    <row r="128" spans="1:12" ht="16.5" customHeight="1" x14ac:dyDescent="0.3">
      <c r="D128" s="140" t="s">
        <v>1657</v>
      </c>
      <c r="H128" s="10"/>
      <c r="K128" s="169">
        <f>-K23-K48+J68+J75+J96-K113</f>
        <v>-609621</v>
      </c>
    </row>
    <row r="129" spans="4:11" ht="16.5" customHeight="1" x14ac:dyDescent="0.3">
      <c r="D129" s="140" t="s">
        <v>1658</v>
      </c>
      <c r="H129" s="10"/>
      <c r="K129" s="169">
        <f>-K76</f>
        <v>-69008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F3CEF237-FE5C-424C-8DEB-FEE2113A9616}"/>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15D7A83-F6A0-4A17-A09E-F322CCEEE51A}">
      <formula1>0</formula1>
    </dataValidation>
    <dataValidation type="textLength" operator="equal" allowBlank="1" showInputMessage="1" showErrorMessage="1" errorTitle="4-Digit Org Code" error="Enter the Org Code/BU as 4 digits." sqref="F5" xr:uid="{DF1D4315-387A-4F6B-A146-F824D3B986F3}">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F9CFE524-7ABF-46DD-8C5D-4A2E4E5C8558}">
          <x14:formula1>
            <xm:f>'Drop Down Menus'!$A$1:$A$101</xm:f>
          </x14:formula1>
          <xm:sqref>F3</xm:sqref>
        </x14:dataValidation>
        <x14:dataValidation type="list" allowBlank="1" showInputMessage="1" showErrorMessage="1" xr:uid="{8F3D333B-D902-41DA-AB39-12AF8793C5F9}">
          <x14:formula1>
            <xm:f>'Drop Down Menus'!$B$1:$B$2</xm:f>
          </x14:formula1>
          <xm:sqref>F7</xm:sqref>
        </x14:dataValidation>
        <x14:dataValidation type="list" allowBlank="1" showInputMessage="1" showErrorMessage="1" xr:uid="{81563F9C-14CE-4407-88EB-46492D3BBA0C}">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8A8A-8949-48AE-8493-0687B2CD3448}">
  <sheetPr>
    <tabColor theme="9" tint="0.59999389629810485"/>
    <pageSetUpPr fitToPage="1"/>
  </sheetPr>
  <dimension ref="A1:S193"/>
  <sheetViews>
    <sheetView tabSelected="1" topLeftCell="A91" zoomScale="70" zoomScaleNormal="70" workbookViewId="0">
      <selection activeCell="P107" sqref="P107"/>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305</v>
      </c>
      <c r="G5" s="188"/>
      <c r="H5" s="188"/>
      <c r="I5" s="188"/>
      <c r="L5" s="12"/>
      <c r="M5" s="12"/>
      <c r="N5" s="12"/>
      <c r="O5" s="12"/>
      <c r="P5" s="12"/>
      <c r="Q5" s="12"/>
    </row>
    <row r="6" spans="1:19" ht="16.5" customHeight="1" x14ac:dyDescent="0.3">
      <c r="A6" s="186" t="s">
        <v>1635</v>
      </c>
      <c r="B6" s="186"/>
      <c r="C6" s="186"/>
      <c r="D6" s="186"/>
      <c r="E6" s="186"/>
      <c r="F6" s="189">
        <v>890</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TRANSPORTATION</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1243420</v>
      </c>
      <c r="M17" s="143">
        <v>1243420</v>
      </c>
      <c r="P17" s="143"/>
      <c r="Q17" s="155"/>
      <c r="S17" s="154">
        <f t="shared" si="0"/>
        <v>-1243420</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155428</v>
      </c>
      <c r="N22" s="143">
        <v>155428</v>
      </c>
      <c r="P22" s="155"/>
      <c r="Q22" s="143"/>
      <c r="S22" s="154">
        <f t="shared" ref="S22:S25" si="1">Q22-N22</f>
        <v>-155428</v>
      </c>
    </row>
    <row r="23" spans="1:19" ht="16.5" customHeight="1" x14ac:dyDescent="0.3">
      <c r="A23" s="165" t="s">
        <v>1646</v>
      </c>
      <c r="B23" s="9"/>
      <c r="C23" s="9" t="s">
        <v>174</v>
      </c>
      <c r="D23" s="9"/>
      <c r="E23" s="140"/>
      <c r="F23" s="141"/>
      <c r="G23" s="141"/>
      <c r="H23" s="142"/>
      <c r="I23" s="142"/>
      <c r="J23" s="150"/>
      <c r="K23" s="178">
        <f>N23</f>
        <v>1082272</v>
      </c>
      <c r="N23" s="143">
        <v>1082272</v>
      </c>
      <c r="P23" s="155"/>
      <c r="Q23" s="143"/>
      <c r="S23" s="154">
        <f t="shared" si="1"/>
        <v>-1082272</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5720</v>
      </c>
      <c r="N25" s="143"/>
      <c r="P25" s="155"/>
      <c r="Q25" s="155"/>
      <c r="S25" s="154">
        <f t="shared" si="1"/>
        <v>0</v>
      </c>
    </row>
    <row r="26" spans="1:19" ht="16.5" customHeight="1" x14ac:dyDescent="0.3">
      <c r="A26" s="54"/>
      <c r="C26" s="20"/>
      <c r="D26" s="20"/>
      <c r="E26" s="20"/>
      <c r="F26" s="127"/>
      <c r="G26" s="127"/>
      <c r="H26" s="22"/>
      <c r="I26" s="22"/>
      <c r="J26" s="107">
        <f>SUM(J15:J25)</f>
        <v>1243420</v>
      </c>
      <c r="K26" s="107">
        <f>SUM(K15:K25)</f>
        <v>1243420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row>
    <row r="59" spans="1:16" ht="16.5" customHeight="1" x14ac:dyDescent="0.3">
      <c r="A59" s="54"/>
      <c r="C59" s="16"/>
      <c r="D59" s="16"/>
      <c r="E59" s="16"/>
      <c r="F59" s="17"/>
      <c r="G59" s="17"/>
      <c r="H59" s="18"/>
      <c r="I59" s="18"/>
      <c r="J59" s="107">
        <f>SUM(J55:J58)</f>
        <v>0</v>
      </c>
      <c r="K59" s="107">
        <f>SUM(K55:K58)</f>
        <v>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c r="K63" s="147"/>
    </row>
    <row r="64" spans="1:16" ht="16.5" customHeight="1" x14ac:dyDescent="0.3">
      <c r="A64" s="54"/>
      <c r="B64" s="9"/>
      <c r="C64" s="9" t="str">
        <f>IF($F$7="Proprietary","Cr: Acct 0870 - SERVICES &amp; CHARGES (MG ADJ)",VLOOKUP($F$9,'Drop Down Menus'!$F$2:$G$10,2,FALSE))</f>
        <v>Cr: Acct 0830 - TRANSPORTATION (GAAP ADJ)</v>
      </c>
      <c r="D64" s="140"/>
      <c r="E64" s="140"/>
      <c r="F64" s="141"/>
      <c r="G64" s="141"/>
      <c r="H64" s="142"/>
      <c r="I64" s="142"/>
      <c r="J64" s="147"/>
      <c r="K64" s="143"/>
    </row>
    <row r="65" spans="1:12" ht="16.5" customHeight="1" x14ac:dyDescent="0.3">
      <c r="A65" s="54"/>
      <c r="C65" s="16"/>
      <c r="D65" s="16"/>
      <c r="E65" s="16"/>
      <c r="F65" s="17"/>
      <c r="G65" s="17"/>
      <c r="H65" s="18"/>
      <c r="I65" s="18"/>
      <c r="J65" s="107">
        <f>SUM(J62:J64)</f>
        <v>0</v>
      </c>
      <c r="K65" s="107">
        <f>SUM(K62:K64)</f>
        <v>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c r="K68" s="144"/>
    </row>
    <row r="69" spans="1:12" ht="16.5" customHeight="1" x14ac:dyDescent="0.3">
      <c r="A69" s="54"/>
      <c r="B69" s="9"/>
      <c r="C69" s="9" t="s">
        <v>186</v>
      </c>
      <c r="D69" s="140"/>
      <c r="E69" s="140"/>
      <c r="F69" s="141"/>
      <c r="G69" s="141"/>
      <c r="H69" s="142"/>
      <c r="I69" s="142"/>
      <c r="J69" s="144"/>
      <c r="K69" s="143"/>
    </row>
    <row r="70" spans="1:12" ht="16.5" customHeight="1" x14ac:dyDescent="0.3">
      <c r="A70" s="54"/>
      <c r="C70" s="16"/>
      <c r="D70" s="16"/>
      <c r="E70" s="16"/>
      <c r="F70" s="17"/>
      <c r="G70" s="17"/>
      <c r="H70" s="18"/>
      <c r="I70" s="18"/>
      <c r="J70" s="107">
        <f>SUM(J68:J69)</f>
        <v>0</v>
      </c>
      <c r="K70" s="107">
        <f>SUM(K68:K69)</f>
        <v>0</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c r="K75" s="144"/>
    </row>
    <row r="76" spans="1:12" ht="16.5" customHeight="1" x14ac:dyDescent="0.3">
      <c r="A76" s="54"/>
      <c r="B76" s="9"/>
      <c r="C76" s="9" t="s">
        <v>194</v>
      </c>
      <c r="D76" s="140"/>
      <c r="E76" s="140"/>
      <c r="F76" s="141"/>
      <c r="G76" s="141"/>
      <c r="H76" s="142"/>
      <c r="I76" s="142"/>
      <c r="J76" s="144"/>
      <c r="K76" s="143"/>
    </row>
    <row r="77" spans="1:12" ht="16.5" customHeight="1" x14ac:dyDescent="0.25">
      <c r="A77" s="54"/>
      <c r="B77" s="193" t="s">
        <v>1735</v>
      </c>
      <c r="C77" s="193"/>
      <c r="D77" s="193"/>
      <c r="E77" s="193"/>
      <c r="F77" s="193"/>
      <c r="G77" s="193"/>
      <c r="H77" s="193"/>
      <c r="I77" s="193"/>
      <c r="J77" s="107">
        <f>SUM(J75:J76)</f>
        <v>0</v>
      </c>
      <c r="K77" s="107">
        <f>SUM(K75:K76)</f>
        <v>0</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1082272</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155428</v>
      </c>
      <c r="K99" s="25"/>
    </row>
    <row r="100" spans="1:12" ht="16.5" customHeight="1" x14ac:dyDescent="0.25">
      <c r="B100" s="9" t="str">
        <f>IF($F$7="Proprietary","Dr: Acct 0870 - SERVICES &amp; CHARGES (MG ADJ)",VLOOKUP($F$9,'Drop Down Menus'!$F$2:$H$10,3,FALSE))</f>
        <v>Dr: Acct 0830 - TRANSPORTATION (GAAP ADJ)</v>
      </c>
      <c r="C100" s="25"/>
      <c r="D100" s="25"/>
      <c r="E100" s="25"/>
      <c r="F100" s="25"/>
      <c r="G100" s="25"/>
      <c r="H100" s="25"/>
      <c r="I100" s="25"/>
      <c r="J100" s="143">
        <v>5720</v>
      </c>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1243420</v>
      </c>
    </row>
    <row r="104" spans="1:12" ht="16.5" customHeight="1" x14ac:dyDescent="0.25">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3">
      <c r="B105" s="130" t="s">
        <v>1641</v>
      </c>
      <c r="H105" s="10"/>
      <c r="J105" s="108">
        <f>SUM(J96:J104)</f>
        <v>1243420</v>
      </c>
      <c r="K105" s="108">
        <f>SUM(K96:K104)</f>
        <v>1243420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0</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0</v>
      </c>
    </row>
    <row r="128" spans="1:12" ht="16.5" customHeight="1" x14ac:dyDescent="0.3">
      <c r="D128" s="140" t="s">
        <v>1657</v>
      </c>
      <c r="H128" s="10"/>
      <c r="K128" s="169">
        <f>-K23-K48+J68+J75+J96-K113</f>
        <v>0</v>
      </c>
    </row>
    <row r="129" spans="4:11" ht="16.5" customHeight="1" x14ac:dyDescent="0.3">
      <c r="D129" s="140" t="s">
        <v>1658</v>
      </c>
      <c r="H129" s="10"/>
      <c r="K129" s="169">
        <f>-K76</f>
        <v>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C5AE5813-C6D4-43F8-A0E8-D748ACE70A5E}">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3E622CF-EA42-4AF8-8952-BAC9C44C5F61}">
      <formula1>0</formula1>
    </dataValidation>
    <dataValidation operator="lessThan" allowBlank="1" showInputMessage="1" showErrorMessage="1" sqref="A3:A8" xr:uid="{AB1C2772-FBFC-49A0-82BF-32BC57552B58}"/>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0179D88-F84C-4273-8B54-58E7EB57B030}">
          <x14:formula1>
            <xm:f>'Drop Down Menus'!$E$1:$E$3</xm:f>
          </x14:formula1>
          <xm:sqref>F8</xm:sqref>
        </x14:dataValidation>
        <x14:dataValidation type="list" allowBlank="1" showInputMessage="1" showErrorMessage="1" xr:uid="{C747E566-20A9-427C-BA46-64544E2C8C4F}">
          <x14:formula1>
            <xm:f>'Drop Down Menus'!$B$1:$B$2</xm:f>
          </x14:formula1>
          <xm:sqref>F7</xm:sqref>
        </x14:dataValidation>
        <x14:dataValidation type="list" allowBlank="1" showInputMessage="1" showErrorMessage="1" xr:uid="{A14E52C6-467D-429A-AED4-2C63B469C123}">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5" zoomScale="70" zoomScaleNormal="70" workbookViewId="0">
      <selection activeCell="H39" sqref="H3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c r="C9" s="206"/>
      <c r="D9" s="3"/>
      <c r="E9" s="3"/>
      <c r="F9" s="3"/>
    </row>
    <row r="10" spans="1:13" ht="15.6" x14ac:dyDescent="0.3">
      <c r="A10" s="5" t="s">
        <v>192</v>
      </c>
      <c r="B10" s="207"/>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557665</v>
      </c>
      <c r="C13" s="55">
        <v>42244</v>
      </c>
      <c r="D13" s="197" t="s">
        <v>4</v>
      </c>
      <c r="E13" s="198"/>
      <c r="F13" s="198"/>
      <c r="G13" s="29"/>
      <c r="H13" s="29"/>
      <c r="I13" s="29"/>
      <c r="J13" s="29"/>
      <c r="K13" s="29"/>
      <c r="L13" s="29"/>
      <c r="M13" s="29"/>
    </row>
    <row r="14" spans="1:13" x14ac:dyDescent="0.25">
      <c r="A14" s="51" t="str">
        <f>LEFT(A13,4)+1&amp;"–"&amp;RIGHT(A13,4)+1</f>
        <v>2024–2025</v>
      </c>
      <c r="B14" s="55">
        <v>577579</v>
      </c>
      <c r="C14" s="55">
        <v>37143</v>
      </c>
      <c r="D14" s="197"/>
      <c r="E14" s="198"/>
      <c r="F14" s="198"/>
    </row>
    <row r="15" spans="1:13" ht="15.6" x14ac:dyDescent="0.25">
      <c r="A15" s="51" t="str">
        <f>LEFT(A14,4)+1&amp;"–"&amp;RIGHT(A14,4)+1</f>
        <v>2025–2026</v>
      </c>
      <c r="B15" s="55">
        <v>597908</v>
      </c>
      <c r="C15" s="55">
        <v>31861</v>
      </c>
      <c r="D15" s="194" t="s">
        <v>125</v>
      </c>
      <c r="E15" s="194"/>
      <c r="F15" s="194"/>
      <c r="G15" s="30"/>
      <c r="H15" s="30"/>
      <c r="I15" s="30"/>
      <c r="J15" s="30"/>
      <c r="K15" s="30"/>
      <c r="L15" s="30"/>
      <c r="M15" s="30"/>
    </row>
    <row r="16" spans="1:13" x14ac:dyDescent="0.25">
      <c r="A16" s="51" t="str">
        <f>LEFT(A15,4)+1&amp;"–"&amp;RIGHT(A15,4)+1</f>
        <v>2026–2027</v>
      </c>
      <c r="B16" s="55">
        <v>618659</v>
      </c>
      <c r="C16" s="55">
        <v>26395</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639843</v>
      </c>
      <c r="C17" s="55">
        <v>20740</v>
      </c>
      <c r="D17" s="194"/>
      <c r="E17" s="194"/>
      <c r="F17" s="194"/>
      <c r="G17" s="31"/>
      <c r="H17" s="31"/>
      <c r="I17" s="31"/>
      <c r="J17" s="31"/>
      <c r="K17" s="31"/>
    </row>
    <row r="18" spans="1:13" ht="15" customHeight="1" x14ac:dyDescent="0.3">
      <c r="A18" s="51" t="str">
        <f>LEFT(A17,4)+1&amp;"–"&amp;RIGHT(A17,4)+5</f>
        <v>2028–2033</v>
      </c>
      <c r="B18" s="55">
        <f>1955551-1</f>
        <v>1955550</v>
      </c>
      <c r="C18" s="55">
        <v>29123</v>
      </c>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0</v>
      </c>
      <c r="C40" s="202"/>
      <c r="E40" s="32"/>
    </row>
    <row r="41" spans="1:13" ht="15.6" x14ac:dyDescent="0.3">
      <c r="A41" s="5" t="s">
        <v>192</v>
      </c>
      <c r="B41" s="200">
        <f>B10</f>
        <v>0</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0</v>
      </c>
      <c r="C71" s="202"/>
    </row>
    <row r="72" spans="1:13" ht="15.6" x14ac:dyDescent="0.3">
      <c r="A72" s="5" t="s">
        <v>192</v>
      </c>
      <c r="B72" s="200">
        <f>B10</f>
        <v>0</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0042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 xml:space="preserve">Business Unit  - </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0042 Journal Entries'!K23+'LS-Fund 0044 Journal Entries'!K23+'LS-Fund 0046 Journal Entries'!K23+'LS-Fund 0890 Journal Entries'!K23</f>
        <v>1517487</v>
      </c>
      <c r="G10" s="58"/>
      <c r="H10" s="61">
        <f>+'LS-Fund 0042 Journal Entries'!K48+'LS-Fund 0042 Journal Entries'!K113+'LS-Fund 0044 Journal Entries'!K48+'LS-Fund 0044 Journal Entries'!K113+'LS-Fund 0046 Journal Entries'!K48+'LS-Fund 0046 Journal Entries'!K113+'LS-Fund 0890 Journal Entries'!K48+'LS-Fund 0890 Journal Entries'!K113</f>
        <v>5701093</v>
      </c>
      <c r="I10" s="58"/>
      <c r="J10" s="61">
        <f>+'LS-Fund 0042 Journal Entries'!K69+'LS-Fund 0042 Journal Entries'!J96+'LS-Fund 0044 Journal Entries'!J68+'LS-Fund 0044 Journal Entries'!J96+'LS-Fund 0046 Journal Entries'!J68+'LS-Fund 0046 Journal Entries'!J96+'LS-Fund 0890 Journal Entries'!J68+'LS-Fund 0890 Journal Entries'!J96</f>
        <v>2271376</v>
      </c>
      <c r="K10" s="58"/>
      <c r="L10" s="63">
        <f>SUM(F10+H10-J10)</f>
        <v>4947204</v>
      </c>
      <c r="M10" s="58"/>
      <c r="N10" s="61">
        <f>'LS-Fund 0042 Journal Entries'!J75+'LS-Fund 0044 Journal Entries'!J75+'LS-Fund 0046 Journal Entries'!J75</f>
        <v>557665</v>
      </c>
      <c r="O10" s="58"/>
      <c r="P10" s="63">
        <f>L10-N10</f>
        <v>4389539</v>
      </c>
      <c r="Q10" s="43"/>
    </row>
    <row r="11" spans="2:17" ht="19.2" thickTop="1" thickBot="1" x14ac:dyDescent="0.4">
      <c r="B11" s="41"/>
      <c r="C11" s="45" t="s">
        <v>19</v>
      </c>
      <c r="F11" s="62">
        <f>SUM(F10:F10)</f>
        <v>1517487</v>
      </c>
      <c r="G11" s="58"/>
      <c r="H11" s="62">
        <f>SUM(H10:H10)</f>
        <v>5701093</v>
      </c>
      <c r="I11" s="58"/>
      <c r="J11" s="62">
        <f>SUM(J10:J10)</f>
        <v>2271376</v>
      </c>
      <c r="K11" s="58"/>
      <c r="L11" s="62">
        <f>SUM(L10:L10)</f>
        <v>4947204</v>
      </c>
      <c r="M11" s="58"/>
      <c r="N11" s="62">
        <f>SUM(N10:N10)</f>
        <v>557665</v>
      </c>
      <c r="O11" s="58"/>
      <c r="P11" s="62">
        <f>SUM(P10:P10)</f>
        <v>4389539</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19" sqref="L1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+'LS-Fund 0042 Journal Entries'!K23+'LS-Fund 0044 Journal Entries'!K23+'LS-Fund 0046 Journal Entries'!K23+'LS-Fund 0890 Journal Entries'!K23</f>
        <v>1517487</v>
      </c>
      <c r="C16" s="116" t="s">
        <v>146</v>
      </c>
      <c r="D16" s="84">
        <f>+'LS-Fund 0042 Journal Entries'!K48+'LS-Fund 0044 Journal Entries'!K48+'LS-Fund 0046 Journal Entries'!K48+'LS-Fund 0890 Journal Entries'!K48</f>
        <v>3705635</v>
      </c>
      <c r="E16" s="118" t="s">
        <v>147</v>
      </c>
      <c r="F16" s="84">
        <f>+'LS-Fund 0042 Journal Entries'!J68+'LS-Fund 0044 Journal Entries'!J68+'LS-Fund 0046 Journal Entries'!J68+'LS-Fund 0890 Journal Entries'!J68</f>
        <v>753889</v>
      </c>
      <c r="G16" s="117" t="s">
        <v>147</v>
      </c>
      <c r="H16" s="84">
        <f>+'LS-Fund 0042 Journal Entries'!J96+'LS-Fund 0044 Journal Entries'!J96+'LS-Fund 0046 Journal Entries'!J96+'LS-Fund 0890 Journal Entries'!J96</f>
        <v>1517487</v>
      </c>
      <c r="I16" s="117" t="s">
        <v>146</v>
      </c>
      <c r="J16" s="84">
        <f>+'LS-Fund 0042 Journal Entries'!K113+'LS-Fund 0044 Journal Entries'!K113+'LS-Fund 0046 Journal Entries'!K113+'LS-Fund 0890 Journal Entries'!K113</f>
        <v>1995458</v>
      </c>
      <c r="K16" s="118" t="s">
        <v>150</v>
      </c>
      <c r="L16" s="87">
        <f>+B16+D16-F16-H16+J16</f>
        <v>4947204</v>
      </c>
      <c r="M16" s="86"/>
      <c r="N16" s="88">
        <f>SUM('LS-Department Note Disclosure'!B13:B36)</f>
        <v>4947204</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0042 Journal Entries'!$F$8="Proprietary - Internal Service Fund",'LS-Fund 0042 Journal Entries'!$K$23,0)</f>
        <v>0</v>
      </c>
      <c r="C24" s="116" t="s">
        <v>146</v>
      </c>
      <c r="D24" s="84">
        <f>IF('LS-Fund 0042 Journal Entries'!$F$8="Proprietary - Internal Service Fund",'LS-Fund 0042 Journal Entries'!$K$48,0)</f>
        <v>0</v>
      </c>
      <c r="E24" s="118" t="s">
        <v>147</v>
      </c>
      <c r="F24" s="84">
        <f>IF('LS-Fund 0042 Journal Entries'!$F$8="Proprietary - Internal Service Fund",'LS-Fund 0042 Journal Entries'!$J$68,0)</f>
        <v>0</v>
      </c>
      <c r="G24" s="117" t="s">
        <v>147</v>
      </c>
      <c r="H24" s="84">
        <f>IF('LS-Fund 0042 Journal Entries'!$F$8="Proprietary - Internal Service Fund",'LS-Fund 0042 Journal Entries'!$J$96,0)</f>
        <v>0</v>
      </c>
      <c r="I24" s="117" t="s">
        <v>146</v>
      </c>
      <c r="J24" s="84">
        <f>IF('LS-Fund 0042 Journal Entries'!$F$8="Proprietary - Internal Service Fund",'LS-Fund 0042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0042 Journal Entries'!$F$8="Proprietary - Enterprise Fund",'LS-Fund 0042 Journal Entries'!$K$23,0)</f>
        <v>0</v>
      </c>
      <c r="C33" s="116" t="s">
        <v>146</v>
      </c>
      <c r="D33" s="84">
        <f>IF('LS-Fund 0042 Journal Entries'!$F$8="Proprietary - Enterprise Fund",'LS-Fund 0042 Journal Entries'!$K$48,0)</f>
        <v>0</v>
      </c>
      <c r="E33" s="118" t="s">
        <v>147</v>
      </c>
      <c r="F33" s="84">
        <f>IF('LS-Fund 0042 Journal Entries'!$F$8="Proprietary - Enterprise Fund",'LS-Fund 0042 Journal Entries'!$J$68,0)</f>
        <v>0</v>
      </c>
      <c r="G33" s="117" t="s">
        <v>147</v>
      </c>
      <c r="H33" s="84">
        <f>IF('LS-Fund 0042 Journal Entries'!$F$8="Proprietary - Enterprise Fund",'LS-Fund 0042 Journal Entries'!$J$96,0)</f>
        <v>0</v>
      </c>
      <c r="I33" s="117" t="s">
        <v>146</v>
      </c>
      <c r="J33" s="84">
        <f>IF('LS-Fund 0042 Journal Entries'!$F$8="Proprietary - Enterprise Fund",'LS-Fund 0042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+'LS-Fund 0042 Journal Entries'!J75+'LS-Fund 0044 Journal Entries'!J75+'LS-Fund 0046 Journal Entries'!J75+'LS-Fund 0890 Journal Entries'!J75</f>
        <v>557665</v>
      </c>
      <c r="C42" s="92"/>
      <c r="E42" s="92"/>
      <c r="G42" s="115"/>
      <c r="H42" s="115"/>
      <c r="I42" s="115"/>
      <c r="J42" s="115"/>
      <c r="K42" s="92"/>
      <c r="L42" s="92"/>
      <c r="M42" s="93"/>
      <c r="N42" s="88">
        <f>'LS-Department Note Disclosure'!B13</f>
        <v>557665</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0042 Journal Entries'!$F$8="Proprietary - Internal Service Fund",'LS-Fund 0042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0042 Journal Entries'!$F$8="Proprietary - Enterprise Fund",'LS-Fund 0042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1517487</v>
      </c>
      <c r="J66" s="97">
        <f>SUM(D66)</f>
        <v>1517487</v>
      </c>
      <c r="L66" s="98" t="str">
        <f>CONCATENATE("Balance July 1, ",LEFT('LS-Department Note Disclosure'!$B$8,4))</f>
        <v>Balance July 1, 2022</v>
      </c>
      <c r="N66" s="97">
        <f>'LS-Lease Liabilities'!F10</f>
        <v>1517487</v>
      </c>
      <c r="P66" s="89">
        <f>J66-N66</f>
        <v>0</v>
      </c>
    </row>
    <row r="67" spans="1:17" x14ac:dyDescent="0.3">
      <c r="B67" s="79" t="s">
        <v>157</v>
      </c>
      <c r="D67" s="97">
        <f>$D$16</f>
        <v>3705635</v>
      </c>
      <c r="E67" s="119" t="s">
        <v>146</v>
      </c>
      <c r="F67" s="79" t="s">
        <v>1756</v>
      </c>
      <c r="H67" s="97">
        <f>$J$16</f>
        <v>1995458</v>
      </c>
      <c r="J67" s="97">
        <f>SUM(D67,H67)</f>
        <v>5701093</v>
      </c>
      <c r="L67" s="98" t="s">
        <v>13</v>
      </c>
      <c r="N67" s="97">
        <f>'LS-Lease Liabilities'!H10</f>
        <v>5701093</v>
      </c>
      <c r="P67" s="89">
        <f t="shared" ref="P67:P69" si="0">J67-N67</f>
        <v>0</v>
      </c>
    </row>
    <row r="68" spans="1:17" x14ac:dyDescent="0.3">
      <c r="B68" s="79" t="s">
        <v>152</v>
      </c>
      <c r="D68" s="97">
        <f>$F$16</f>
        <v>753889</v>
      </c>
      <c r="E68" s="119" t="s">
        <v>146</v>
      </c>
      <c r="F68" s="79" t="s">
        <v>1753</v>
      </c>
      <c r="H68" s="97">
        <f>$H$16</f>
        <v>1517487</v>
      </c>
      <c r="J68" s="97">
        <f>SUM(D68,H68)</f>
        <v>2271376</v>
      </c>
      <c r="L68" s="98" t="s">
        <v>14</v>
      </c>
      <c r="N68" s="97">
        <f>'LS-Lease Liabilities'!J10</f>
        <v>2271376</v>
      </c>
      <c r="P68" s="89">
        <f t="shared" si="0"/>
        <v>0</v>
      </c>
    </row>
    <row r="69" spans="1:17" x14ac:dyDescent="0.3">
      <c r="B69" s="79" t="s">
        <v>156</v>
      </c>
      <c r="D69" s="97">
        <f>$B$42</f>
        <v>557665</v>
      </c>
      <c r="J69" s="97">
        <f>SUM(D69)</f>
        <v>557665</v>
      </c>
      <c r="L69" s="98" t="s">
        <v>15</v>
      </c>
      <c r="N69" s="97">
        <f>'LS-Lease Liabilities'!N10</f>
        <v>557665</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4715480D-3B27-485C-9E5F-9D742C493612}"/>
</file>

<file path=customXml/itemProps2.xml><?xml version="1.0" encoding="utf-8"?>
<ds:datastoreItem xmlns:ds="http://schemas.openxmlformats.org/officeDocument/2006/customXml" ds:itemID="{571DF697-8075-428E-BD95-4869BB0846FE}"/>
</file>

<file path=customXml/itemProps3.xml><?xml version="1.0" encoding="utf-8"?>
<ds:datastoreItem xmlns:ds="http://schemas.openxmlformats.org/officeDocument/2006/customXml" ds:itemID="{DF48311E-EB1F-4BD1-9218-50DACD3F1B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Drop Down Menus</vt:lpstr>
      <vt:lpstr>qryIndex02a</vt:lpstr>
      <vt:lpstr>LS-Version Changes</vt:lpstr>
      <vt:lpstr>LS-Fund 0042 Journal Entries</vt:lpstr>
      <vt:lpstr>LS-Fund 0044 Journal Entries</vt:lpstr>
      <vt:lpstr>LS-Fund 0046 Journal Entries</vt:lpstr>
      <vt:lpstr>LS-Fund 0890 Journal Entries</vt:lpstr>
      <vt:lpstr>LS-Department Note Disclosure</vt:lpstr>
      <vt:lpstr>LS-Lease Liabilities</vt:lpstr>
      <vt:lpstr>LS-Check Figures  </vt:lpstr>
      <vt:lpstr>'LS-Department Note Disclosure'!Print_Area</vt:lpstr>
      <vt:lpstr>'LS-Fund 0042 Journal Entries'!Print_Area</vt:lpstr>
      <vt:lpstr>'LS-Fund 0044 Journal Entries'!Print_Area</vt:lpstr>
      <vt:lpstr>'LS-Fund 0046 Journal Entries'!Print_Area</vt:lpstr>
      <vt:lpstr>'LS-Fund 0890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2024-04-29T17:44:53Z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