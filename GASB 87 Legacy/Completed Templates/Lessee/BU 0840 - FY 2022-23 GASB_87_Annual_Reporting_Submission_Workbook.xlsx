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0840\"/>
    </mc:Choice>
  </mc:AlternateContent>
  <xr:revisionPtr revIDLastSave="0" documentId="13_ncr:1_{9EA12AF6-EDE9-472C-A617-BE57BFEFA840}" xr6:coauthVersionLast="47" xr6:coauthVersionMax="47" xr10:uidLastSave="{00000000-0000-0000-0000-000000000000}"/>
  <bookViews>
    <workbookView xWindow="22932" yWindow="-108" windowWidth="23256" windowHeight="12576" tabRatio="921" firstSheet="2" activeTab="2" xr2:uid="{00000000-000D-0000-FFFF-FFFF00000000}"/>
  </bookViews>
  <sheets>
    <sheet name="Drop Down Menus" sheetId="1" state="hidden" r:id="rId1"/>
    <sheet name="qryIndex02a" sheetId="11" state="hidden" r:id="rId2"/>
    <sheet name="LS-Fund 0001 Journal Entries" sheetId="2" r:id="rId3"/>
    <sheet name="LS-Department Note Disclosure" sheetId="3" r:id="rId4"/>
    <sheet name="LS-Lease Liabilities" sheetId="4" r:id="rId5"/>
    <sheet name="LS-Check Figures  " sheetId="7"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3">'LS-Department Note Disclosure'!$A$1:$C$85</definedName>
    <definedName name="_xlnm.Print_Area" localSheetId="2">'LS-Fund 0001 Journal Entries'!$A$1:$J$9</definedName>
    <definedName name="_xlnm.Print_Area" localSheetId="4">'LS-Lease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4" l="1"/>
  <c r="F10" i="4" l="1"/>
  <c r="D17" i="3"/>
  <c r="H10" i="4"/>
  <c r="N10" i="4"/>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D86" i="3" l="1"/>
  <c r="D83" i="3"/>
  <c r="D78" i="3"/>
  <c r="D74" i="3"/>
  <c r="D55" i="3"/>
  <c r="D52" i="3"/>
  <c r="D47" i="3"/>
  <c r="D43" i="3"/>
  <c r="K91" i="2" l="1"/>
  <c r="J91" i="2"/>
  <c r="K70" i="2"/>
  <c r="J70" i="2"/>
  <c r="B63" i="2"/>
  <c r="K77" i="2"/>
  <c r="J77" i="2"/>
  <c r="K65" i="2"/>
  <c r="J65" i="2"/>
  <c r="K59" i="2"/>
  <c r="J59" i="2"/>
  <c r="K49" i="2"/>
  <c r="J49" i="2"/>
  <c r="K43" i="2"/>
  <c r="J43" i="2"/>
  <c r="K36" i="2"/>
  <c r="J36" i="2"/>
  <c r="K26" i="2"/>
  <c r="J26" i="2"/>
  <c r="N66" i="7" l="1"/>
  <c r="F11" i="4"/>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tc={EB89CC8A-A220-4D73-AF45-AA9C62091A49}</author>
  </authors>
  <commentList>
    <comment ref="D17" authorId="0" shapeId="0" xr:uid="{EB89CC8A-A220-4D73-AF45-AA9C62091A49}">
      <text>
        <t>[Threaded comment]
Your version of Excel allows you to read this threaded comment; however, any edits to it will get removed if the file is opened in a newer version of Excel. Learn more: https://go.microsoft.com/fwlink/?linkid=870924
Comment:
    CPI Lease 2384001 and 2395004</t>
      </text>
    </comment>
  </commentList>
</comments>
</file>

<file path=xl/sharedStrings.xml><?xml version="1.0" encoding="utf-8"?>
<sst xmlns="http://schemas.openxmlformats.org/spreadsheetml/2006/main" count="7657" uniqueCount="1673">
  <si>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</si>
  <si>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</si>
  <si>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</si>
  <si>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</si>
  <si>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</si>
  <si>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</si>
  <si>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</si>
  <si>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</si>
  <si>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</si>
  <si>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</si>
  <si>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</si>
  <si>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</si>
  <si>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</si>
  <si>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</si>
  <si>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</si>
  <si>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</si>
  <si>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</si>
  <si>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</si>
  <si>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</si>
  <si>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</si>
  <si>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</si>
  <si>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</si>
  <si>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</si>
  <si>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</si>
  <si>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</si>
  <si>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</si>
  <si>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</si>
  <si>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</si>
  <si>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</si>
  <si>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</si>
  <si>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</si>
  <si>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</si>
  <si>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</si>
  <si>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</si>
  <si>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</si>
  <si>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</si>
  <si>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</si>
  <si>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</si>
  <si>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</si>
  <si>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</si>
  <si>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</si>
  <si>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</si>
  <si>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</si>
  <si>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</si>
  <si>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</si>
  <si>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</si>
  <si>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</si>
  <si>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</si>
  <si>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</si>
  <si>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</si>
  <si>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</si>
  <si>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</si>
  <si>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</si>
  <si>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</si>
  <si>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</si>
  <si>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</si>
  <si>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</si>
  <si>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</si>
  <si>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</si>
  <si>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</si>
  <si>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</si>
  <si>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</si>
  <si>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</si>
  <si>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</si>
  <si>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</si>
  <si>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</si>
  <si>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</si>
  <si>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</si>
  <si>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</si>
  <si>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</si>
  <si>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</si>
  <si>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</si>
  <si>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</si>
  <si>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</si>
  <si>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</si>
  <si>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</si>
  <si>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</si>
  <si>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</si>
  <si>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</si>
  <si>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</si>
  <si>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</si>
  <si>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</si>
  <si>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</si>
  <si>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</si>
  <si>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</si>
  <si>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</si>
  <si>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</si>
  <si>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</si>
  <si>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</si>
  <si>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</si>
  <si>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</si>
  <si>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</si>
  <si>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</si>
  <si>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</si>
  <si>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</si>
  <si>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</si>
  <si>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</si>
  <si>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</si>
  <si>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</si>
  <si>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</si>
  <si>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</si>
  <si>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</si>
  <si>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</si>
  <si>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</si>
  <si>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</si>
  <si>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</si>
  <si>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</si>
  <si>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</si>
  <si>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</si>
  <si>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</si>
  <si>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</si>
  <si>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</si>
  <si>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</si>
  <si>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</si>
  <si>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</si>
  <si>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</si>
  <si>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</si>
  <si>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</si>
  <si>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</si>
  <si>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</si>
  <si>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</si>
  <si>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</si>
  <si>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</si>
  <si>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</si>
  <si>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</si>
  <si>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</si>
  <si>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</si>
  <si>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</si>
  <si>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</si>
  <si>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</si>
  <si>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</si>
  <si>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</si>
  <si>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</si>
  <si>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</si>
  <si>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</si>
  <si>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</si>
  <si>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</si>
  <si>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</si>
  <si>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</si>
  <si>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</si>
  <si>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</si>
  <si>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</si>
  <si>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</si>
  <si>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</si>
  <si>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</si>
  <si>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</si>
  <si>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</si>
  <si>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</si>
  <si>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</si>
  <si>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</si>
  <si>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</si>
  <si>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</si>
  <si>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</si>
  <si>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</si>
  <si>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</si>
  <si>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</si>
  <si>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</si>
  <si>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</si>
  <si>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</si>
  <si>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</si>
  <si>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</si>
  <si>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</si>
  <si>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</si>
  <si>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</si>
  <si>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</si>
  <si>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</si>
  <si>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</si>
  <si>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</si>
  <si>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</si>
  <si>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</si>
  <si>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</si>
  <si>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</si>
  <si>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</si>
  <si>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</si>
  <si>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</si>
  <si>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</si>
  <si>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</si>
  <si>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</si>
  <si>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</si>
  <si>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</si>
  <si>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</si>
  <si>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</si>
  <si>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</si>
  <si>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</si>
  <si>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</si>
  <si>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</si>
  <si>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</si>
  <si>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</si>
  <si>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</si>
  <si>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</si>
  <si>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</si>
  <si>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</si>
  <si>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</si>
  <si>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</si>
  <si>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</si>
  <si>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</si>
  <si>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</si>
  <si>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</si>
  <si>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</si>
  <si>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</si>
  <si>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</si>
  <si>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</si>
  <si>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</si>
  <si>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</si>
  <si>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</si>
  <si>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</si>
  <si>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</si>
  <si>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</si>
  <si>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</si>
  <si>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</si>
  <si>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</si>
  <si>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</si>
  <si>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</si>
  <si>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</si>
  <si>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</si>
  <si>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</si>
  <si>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</si>
  <si>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</si>
  <si>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</si>
  <si>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</si>
  <si>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</si>
  <si>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</si>
  <si>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</si>
  <si>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</si>
  <si>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</si>
  <si>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</si>
  <si>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</si>
  <si>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</si>
  <si>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</si>
  <si>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</si>
  <si>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</si>
  <si>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</si>
  <si>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</si>
  <si>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</si>
  <si>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</si>
  <si>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</si>
  <si>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</si>
  <si>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</si>
  <si>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</si>
  <si>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</si>
  <si>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</si>
  <si>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</si>
  <si>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</si>
  <si>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</si>
  <si>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</si>
  <si>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</si>
  <si>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</si>
  <si>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</si>
  <si>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</si>
  <si>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</si>
  <si>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</si>
  <si>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</si>
  <si>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</si>
  <si>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</si>
  <si>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</si>
  <si>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</si>
  <si>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</si>
  <si>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</si>
  <si>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</si>
  <si>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</si>
  <si>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</si>
  <si>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</si>
  <si>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</si>
  <si>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</si>
  <si>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</si>
  <si>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</si>
  <si>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</si>
  <si>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</si>
  <si>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</si>
  <si>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</si>
  <si>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</si>
  <si>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</si>
  <si>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</si>
  <si>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</si>
  <si>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</si>
  <si>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</si>
  <si>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</si>
  <si>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</si>
  <si>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</si>
  <si>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</si>
  <si>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</si>
  <si>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</si>
  <si>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</si>
  <si>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</si>
  <si>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</si>
  <si>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</si>
  <si>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</si>
  <si>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</si>
  <si>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</si>
  <si>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</si>
  <si>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</si>
  <si>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</si>
  <si>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</si>
  <si>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</si>
  <si>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</si>
  <si>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</si>
  <si>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</si>
  <si>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</si>
  <si>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</si>
  <si>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</si>
  <si>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</si>
  <si>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</si>
  <si>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</si>
  <si>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</si>
  <si>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</si>
  <si>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</si>
  <si>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</si>
  <si>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</si>
  <si>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</si>
  <si>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</si>
  <si>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</si>
  <si>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</si>
  <si>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</si>
  <si>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</si>
  <si>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</si>
  <si>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</si>
  <si>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</si>
  <si>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</si>
  <si>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</si>
  <si>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</si>
  <si>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</si>
  <si>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</si>
  <si>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</si>
  <si>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</si>
  <si>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</si>
  <si>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</si>
  <si>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</si>
  <si>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</si>
  <si>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</si>
  <si>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</si>
  <si>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</si>
  <si>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</si>
  <si>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</si>
  <si>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</si>
  <si>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</si>
  <si>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</si>
  <si>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</si>
  <si>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</si>
  <si>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</si>
  <si>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</si>
  <si>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</si>
  <si>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</si>
  <si>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</si>
  <si>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</si>
  <si>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</si>
  <si>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</si>
  <si>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</si>
  <si>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</si>
  <si>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</si>
  <si>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</si>
  <si>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</si>
  <si>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</si>
  <si>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</si>
  <si>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</si>
  <si>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</si>
  <si>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</si>
  <si>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</si>
  <si>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</si>
  <si>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</si>
  <si>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</si>
  <si>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</si>
  <si>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</si>
  <si>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</si>
  <si>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</si>
  <si>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</si>
  <si>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</si>
  <si>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</si>
  <si>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</si>
  <si>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</si>
  <si>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</si>
  <si>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</si>
  <si>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</si>
  <si>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</si>
  <si>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</si>
  <si>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</si>
  <si>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</si>
  <si>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</si>
  <si>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</si>
  <si>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</si>
  <si>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</si>
  <si>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</si>
  <si>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</si>
  <si>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</si>
  <si>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</si>
  <si>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</si>
  <si>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</si>
  <si>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</si>
  <si>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</si>
  <si>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</si>
  <si>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</si>
  <si>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</si>
  <si>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</si>
  <si>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</si>
  <si>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</si>
  <si>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</si>
  <si>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</si>
  <si>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</si>
  <si>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</si>
  <si>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</si>
  <si>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</si>
  <si>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</si>
  <si>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</si>
  <si>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</si>
  <si>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</si>
  <si>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</si>
  <si>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</si>
  <si>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</si>
  <si>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</si>
  <si>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</si>
  <si>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</si>
  <si>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</si>
  <si>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</si>
  <si>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</si>
  <si>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</si>
  <si>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</si>
  <si>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</si>
  <si>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</si>
  <si>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</si>
  <si>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</si>
  <si>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</si>
  <si>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</si>
  <si>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</si>
  <si>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</si>
  <si>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</si>
  <si>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</si>
  <si>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</si>
  <si>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</si>
  <si>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</si>
  <si>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</si>
  <si>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</si>
  <si>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</si>
  <si>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</si>
  <si>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</si>
  <si>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</si>
  <si>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</si>
  <si>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</si>
  <si>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</si>
  <si>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</si>
  <si>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</si>
  <si>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</si>
  <si>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</si>
  <si>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</si>
  <si>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</si>
  <si>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</si>
  <si>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</si>
  <si>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</si>
  <si>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</si>
  <si>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</si>
  <si>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</si>
  <si>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</si>
  <si>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</si>
  <si>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</si>
  <si>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</si>
  <si>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</si>
  <si>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</si>
  <si>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</si>
  <si>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</si>
  <si>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</si>
  <si>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</si>
  <si>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</si>
  <si>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</si>
  <si>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</si>
  <si>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</si>
  <si>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</si>
  <si>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</si>
  <si>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</si>
  <si>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</si>
  <si>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</si>
  <si>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</si>
  <si>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</si>
  <si>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</si>
  <si>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</si>
  <si>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</si>
  <si>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</si>
  <si>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</si>
  <si>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</si>
  <si>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</si>
  <si>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</si>
  <si>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</si>
  <si>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</si>
  <si>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</si>
  <si>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</si>
  <si>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</si>
  <si>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</si>
  <si>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</si>
  <si>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</si>
  <si>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</si>
  <si>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</si>
  <si>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</si>
  <si>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</si>
  <si>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</si>
  <si>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</si>
  <si>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</si>
  <si>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</si>
  <si>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</si>
  <si>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</si>
  <si>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</si>
  <si>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</si>
  <si>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</si>
  <si>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</si>
  <si>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</si>
  <si>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</si>
  <si>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</si>
  <si>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</si>
  <si>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</si>
  <si>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</si>
  <si>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</si>
  <si>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</si>
  <si>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</si>
  <si>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</si>
  <si>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</si>
  <si>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</si>
  <si>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</si>
  <si>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</si>
  <si>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</si>
  <si>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</si>
  <si>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</si>
  <si>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</si>
  <si>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</si>
  <si>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</si>
  <si>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</si>
  <si>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</si>
  <si>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</si>
  <si>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</si>
  <si>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</si>
  <si>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</si>
  <si>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</si>
  <si>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</si>
  <si>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</si>
  <si>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</si>
  <si>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</si>
  <si>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</si>
  <si>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</si>
  <si>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</si>
  <si>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</si>
  <si>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</si>
  <si>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</si>
  <si>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</si>
  <si>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</si>
  <si>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</si>
  <si>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</si>
  <si>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</si>
  <si>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</si>
  <si>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</si>
  <si>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</si>
  <si>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</si>
  <si>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</si>
  <si>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</si>
  <si>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</si>
  <si>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</si>
  <si>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</si>
  <si>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</si>
  <si>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</si>
  <si>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</si>
  <si>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</si>
  <si>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</si>
  <si>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</si>
  <si>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</si>
  <si>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</si>
  <si>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</si>
  <si>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</si>
  <si>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</si>
  <si>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</si>
  <si>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</si>
  <si>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</si>
  <si>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</si>
  <si>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</si>
  <si>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</si>
  <si>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</si>
  <si>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</si>
  <si>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</si>
  <si>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</si>
  <si>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</si>
  <si>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</si>
  <si>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</si>
  <si>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</si>
  <si>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</si>
  <si>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</si>
  <si>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</si>
  <si>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</si>
  <si>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</si>
  <si>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</si>
  <si>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</si>
  <si>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</si>
  <si>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</si>
  <si>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</si>
  <si>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</si>
  <si>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</si>
  <si>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</si>
  <si>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</si>
  <si>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</si>
  <si>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</si>
  <si>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</si>
  <si>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</si>
  <si>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</si>
  <si>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</si>
  <si>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</si>
  <si>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</si>
  <si>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</si>
  <si>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</si>
  <si>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</si>
  <si>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</si>
  <si>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</si>
  <si>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</si>
  <si>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</si>
  <si>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</si>
  <si>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</si>
  <si>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</si>
  <si>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</si>
  <si>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</si>
  <si>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</si>
  <si>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</si>
  <si>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</si>
  <si>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</si>
  <si>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</si>
  <si>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</si>
  <si>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</si>
  <si>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</si>
  <si>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</si>
  <si>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</si>
  <si>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</si>
  <si>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</si>
  <si>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</si>
  <si>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</si>
  <si>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</si>
  <si>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</si>
  <si>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</si>
  <si>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</si>
  <si>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</si>
  <si>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</si>
  <si>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</si>
  <si>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</si>
  <si>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</si>
  <si>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</si>
  <si>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</si>
  <si>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</si>
  <si>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</si>
  <si>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</si>
  <si>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</si>
  <si>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</si>
  <si>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</si>
  <si>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</si>
  <si>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</si>
  <si>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</si>
  <si>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</si>
  <si>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</si>
  <si>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</si>
  <si>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</si>
  <si>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</si>
  <si>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</si>
  <si>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</si>
  <si>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</si>
  <si>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</si>
  <si>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</si>
  <si>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</si>
  <si>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</si>
  <si>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</si>
  <si>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</si>
  <si>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</si>
  <si>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</si>
  <si>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</si>
  <si>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</si>
  <si>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</si>
  <si>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</si>
  <si>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</si>
  <si>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</si>
  <si>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</si>
  <si>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</si>
  <si>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</si>
  <si>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</si>
  <si>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</si>
  <si>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</si>
  <si>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</si>
  <si>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</si>
  <si>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</si>
  <si>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</si>
  <si>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</si>
  <si>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</si>
  <si>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</si>
  <si>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</si>
  <si>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</si>
  <si>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</si>
  <si>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</si>
  <si>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</si>
  <si>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</si>
  <si>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</si>
  <si>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</si>
  <si>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</si>
  <si>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</si>
  <si>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</si>
  <si>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</si>
  <si>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</si>
  <si>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</si>
  <si>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</si>
  <si>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</si>
  <si>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</si>
  <si>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</si>
  <si>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</si>
  <si>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</si>
  <si>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</si>
  <si>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</si>
  <si>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</si>
  <si>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</si>
  <si>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</si>
  <si>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</si>
  <si>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</si>
  <si>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</si>
  <si>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</si>
  <si>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</si>
  <si>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</si>
  <si>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</si>
  <si>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</si>
  <si>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</si>
  <si>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</si>
  <si>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</si>
  <si>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</si>
  <si>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</si>
  <si>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</si>
  <si>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</si>
  <si>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</si>
  <si>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</si>
  <si>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</si>
  <si>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</si>
  <si>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</si>
  <si>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</si>
  <si>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</si>
  <si>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</si>
  <si>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</si>
  <si>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</si>
  <si>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</si>
  <si>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</si>
  <si>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</si>
  <si>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</si>
  <si>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</si>
  <si>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</si>
  <si>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</si>
  <si>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</si>
  <si>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</si>
  <si>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</si>
  <si>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</si>
  <si>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</si>
  <si>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</si>
  <si>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</si>
  <si>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</si>
  <si>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</si>
  <si>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</si>
  <si>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</si>
  <si>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</si>
  <si>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</si>
  <si>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</si>
  <si>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</si>
  <si>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</si>
  <si>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</si>
  <si>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</si>
  <si>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</si>
  <si>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</si>
  <si>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</si>
  <si>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</si>
  <si>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</si>
  <si>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</si>
  <si>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</si>
  <si>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</si>
  <si>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</si>
  <si>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</si>
  <si>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</si>
  <si>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</si>
  <si>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</si>
  <si>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</si>
  <si>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</si>
  <si>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</si>
  <si>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</si>
  <si>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</si>
  <si>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</si>
  <si>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</si>
  <si>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</si>
  <si>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</si>
  <si>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</si>
  <si>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</si>
  <si>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</si>
  <si>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</si>
  <si>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</si>
  <si>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</si>
  <si>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</si>
  <si>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</si>
  <si>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</si>
  <si>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</si>
  <si>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</si>
  <si>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</si>
  <si>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</si>
  <si>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</si>
  <si>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</si>
  <si>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</si>
  <si>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</si>
  <si>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</si>
  <si>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</si>
  <si>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</si>
  <si>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</si>
  <si>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</si>
  <si>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</si>
  <si>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</si>
  <si>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</si>
  <si>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</si>
  <si>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</si>
  <si>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</si>
  <si>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</si>
  <si>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</si>
  <si>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</si>
  <si>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</si>
  <si>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</si>
  <si>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</si>
  <si>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</si>
  <si>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</si>
  <si>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</si>
  <si>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</si>
  <si>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</si>
  <si>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</si>
  <si>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</si>
  <si>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</si>
  <si>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</si>
  <si>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</si>
  <si>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</si>
  <si>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</si>
  <si>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</si>
  <si>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</si>
  <si>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</si>
  <si>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</si>
  <si>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</si>
  <si>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</si>
  <si>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</si>
  <si>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</si>
  <si>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</si>
  <si>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</si>
  <si>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</si>
  <si>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</si>
  <si>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</si>
  <si>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</si>
  <si>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</si>
  <si>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</si>
  <si>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</si>
  <si>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</si>
  <si>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</si>
  <si>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</si>
  <si>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</si>
  <si>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</si>
  <si>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</si>
  <si>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</si>
  <si>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</si>
  <si>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</si>
  <si>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</si>
  <si>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</si>
  <si>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</si>
  <si>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</si>
  <si>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</si>
  <si>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</si>
  <si>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</si>
  <si>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</si>
  <si>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</si>
  <si>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</si>
  <si>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</si>
  <si>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</si>
  <si>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</si>
  <si>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</si>
  <si>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</si>
  <si>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</si>
  <si>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</si>
  <si>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</si>
  <si>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</si>
  <si>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</si>
  <si>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</si>
  <si>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</si>
  <si>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</si>
  <si>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</si>
  <si>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</si>
  <si>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</si>
  <si>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</si>
  <si>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</si>
  <si>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</si>
  <si>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</si>
  <si>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</si>
  <si>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</si>
  <si>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</si>
  <si>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</si>
  <si>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</si>
  <si>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</si>
  <si>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</si>
  <si>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</si>
  <si>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</si>
  <si>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</si>
  <si>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</si>
  <si>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</si>
  <si>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</si>
  <si>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</si>
  <si>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</si>
  <si>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</si>
  <si>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</si>
  <si>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</si>
  <si>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</si>
  <si>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</si>
  <si>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</si>
  <si>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</si>
  <si>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</si>
  <si>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</si>
  <si>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</si>
  <si>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</si>
  <si>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</si>
  <si>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</si>
  <si>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</si>
  <si>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</si>
  <si>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</si>
  <si>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</si>
  <si>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</si>
  <si>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</si>
  <si>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</si>
  <si>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</si>
  <si>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</si>
  <si>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</si>
  <si>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</si>
  <si>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</si>
  <si>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</si>
  <si>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</si>
  <si>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</si>
  <si>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</si>
  <si>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</si>
  <si>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</si>
  <si>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</si>
  <si>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</si>
  <si>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</si>
  <si>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</si>
  <si>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</si>
  <si>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</si>
  <si>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</si>
  <si>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</si>
  <si>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</si>
  <si>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</si>
  <si>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</si>
  <si>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</si>
  <si>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</si>
  <si>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</si>
  <si>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</si>
  <si>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</si>
  <si>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</si>
  <si>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</si>
  <si>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</si>
  <si>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</si>
  <si>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</si>
  <si>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</si>
  <si>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</si>
  <si>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</si>
  <si>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</si>
  <si>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</si>
  <si>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</si>
  <si>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</si>
  <si>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</si>
  <si>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</si>
  <si>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</si>
  <si>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</si>
  <si>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</si>
  <si>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</si>
  <si>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</si>
  <si>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</si>
  <si>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</si>
  <si>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</si>
  <si>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</si>
  <si>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</si>
  <si>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</si>
  <si>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</si>
  <si>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</si>
  <si>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</si>
  <si>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</si>
  <si>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</si>
  <si>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</si>
  <si>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</si>
  <si>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</si>
  <si>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</si>
  <si>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</si>
  <si>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</si>
  <si>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</si>
  <si>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</si>
  <si>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</si>
  <si>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</si>
  <si>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</si>
  <si>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</si>
  <si>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</si>
  <si>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</si>
  <si>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</si>
  <si>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</si>
  <si>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</si>
  <si>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</si>
  <si>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</si>
  <si>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</si>
  <si>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</si>
  <si>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</si>
  <si>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</si>
  <si>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</si>
  <si>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</si>
  <si>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</si>
  <si>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</si>
  <si>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</si>
  <si>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</si>
  <si>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</si>
  <si>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</si>
  <si>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</si>
  <si>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</si>
  <si>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</si>
  <si>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</si>
  <si>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</si>
  <si>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</si>
  <si>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</si>
  <si>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</si>
  <si>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</si>
  <si>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</si>
  <si>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</si>
  <si>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</si>
  <si>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</si>
  <si>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</si>
  <si>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</si>
  <si>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</si>
  <si>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</si>
  <si>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</si>
  <si>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</si>
  <si>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</si>
  <si>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</si>
  <si>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</si>
  <si>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</si>
  <si>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</si>
  <si>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</si>
  <si>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</si>
  <si>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</si>
  <si>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</si>
  <si>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</si>
  <si>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</si>
  <si>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</si>
  <si>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</si>
  <si>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</si>
  <si>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</si>
  <si>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</si>
  <si>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</si>
  <si>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</si>
  <si>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</si>
  <si>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</si>
  <si>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</si>
  <si>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</si>
  <si>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</si>
  <si>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</si>
  <si>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</si>
  <si>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</si>
  <si>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</si>
  <si>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</si>
  <si>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</si>
  <si>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</si>
  <si>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</si>
  <si>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</si>
  <si>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</si>
  <si>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</si>
  <si>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</si>
  <si>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</si>
  <si>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</si>
  <si>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</si>
  <si>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</si>
  <si>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</si>
  <si>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</si>
  <si>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</si>
  <si>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</si>
  <si>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</si>
  <si>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</si>
  <si>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</si>
  <si>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</si>
  <si>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</si>
  <si>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</si>
  <si>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</si>
  <si>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</si>
  <si>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</si>
  <si>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</si>
  <si>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</si>
  <si>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</si>
  <si>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</si>
  <si>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</si>
  <si>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</si>
  <si>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</si>
  <si>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</si>
  <si>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</si>
  <si>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</si>
  <si>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</si>
  <si>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</si>
  <si>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</si>
  <si>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</si>
  <si>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</si>
  <si>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</si>
  <si>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</si>
  <si>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</si>
  <si>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</si>
  <si>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</si>
  <si>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</si>
  <si>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</si>
  <si>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</si>
  <si>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</si>
  <si>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</si>
  <si>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</si>
  <si>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</si>
  <si>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</si>
  <si>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</si>
  <si>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</si>
  <si>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</si>
  <si>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</si>
  <si>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</si>
  <si>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</si>
  <si>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</si>
  <si>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</si>
  <si>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</si>
  <si>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</si>
  <si>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</si>
  <si>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</si>
  <si>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</si>
  <si>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</si>
  <si>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</si>
  <si>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</si>
  <si>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</si>
  <si>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</si>
  <si>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</si>
  <si>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</si>
  <si>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</si>
  <si>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</si>
  <si>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</si>
  <si>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</si>
  <si>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</si>
  <si>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</si>
  <si>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</si>
  <si>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</si>
  <si>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</si>
  <si>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</si>
  <si>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</si>
  <si>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</si>
  <si>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</si>
  <si>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</si>
  <si>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</si>
  <si>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</si>
  <si>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</si>
  <si>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</si>
  <si>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</si>
  <si>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</si>
  <si>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</si>
  <si>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</si>
  <si>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</si>
  <si>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</si>
  <si>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</si>
  <si>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</si>
  <si>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</si>
  <si>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</si>
  <si>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</si>
  <si>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</si>
  <si>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</si>
  <si>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</si>
  <si>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</si>
  <si>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</si>
  <si>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</si>
  <si>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</si>
  <si>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</si>
  <si>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</si>
  <si>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</si>
  <si>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</si>
  <si>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</si>
  <si>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</si>
  <si>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</si>
  <si>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</si>
  <si>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</si>
  <si>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</si>
  <si>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</si>
  <si>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</si>
  <si>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</si>
  <si>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</si>
  <si>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</si>
  <si>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</si>
  <si>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</si>
  <si>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</si>
  <si>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</si>
  <si>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</si>
  <si>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</si>
  <si>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</si>
  <si>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</si>
  <si>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</si>
  <si>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</si>
  <si>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</si>
  <si>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</si>
  <si>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</si>
  <si>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</si>
  <si>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</si>
  <si>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</si>
  <si>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</si>
  <si>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</si>
  <si>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</si>
  <si>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</si>
  <si>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</si>
  <si>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</si>
  <si>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</si>
  <si>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</si>
  <si>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</si>
  <si>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</si>
  <si>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</si>
  <si>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</si>
  <si>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</si>
  <si>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</si>
  <si>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</si>
  <si>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</si>
  <si>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</si>
  <si>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</si>
  <si>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</si>
  <si>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</si>
  <si>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</si>
  <si>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</si>
  <si>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</si>
  <si>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</si>
  <si>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</si>
  <si>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</si>
  <si>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</si>
  <si>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</si>
  <si>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</si>
  <si>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</si>
  <si>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</si>
  <si>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</si>
  <si>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</si>
  <si>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</si>
  <si>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</si>
  <si>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</si>
  <si>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</si>
  <si>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</si>
  <si>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</si>
  <si>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</si>
  <si>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</si>
  <si>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</si>
  <si>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</si>
  <si>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</si>
  <si>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</si>
  <si>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</si>
  <si>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</si>
  <si>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</si>
  <si>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</si>
  <si>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</si>
  <si>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</si>
  <si>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</si>
  <si>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</si>
  <si>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</si>
  <si>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</si>
  <si>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</si>
  <si>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</si>
  <si>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</si>
  <si>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</si>
  <si>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</si>
  <si>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</si>
  <si>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</si>
  <si>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</si>
  <si>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</si>
  <si>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</si>
  <si>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</si>
  <si>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</si>
  <si>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</si>
  <si>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</si>
  <si>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</si>
  <si>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</si>
  <si>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</si>
  <si>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</si>
  <si>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</si>
  <si>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</si>
  <si>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</si>
  <si>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</si>
  <si>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</si>
  <si>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</si>
  <si>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</si>
  <si>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</si>
  <si>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</si>
  <si>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</si>
  <si>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</si>
  <si>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</si>
  <si>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</si>
  <si>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</si>
  <si>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</si>
  <si>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</si>
  <si>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</si>
  <si>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</si>
  <si>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</si>
  <si>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</si>
  <si>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</si>
  <si>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</si>
  <si>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</si>
  <si>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</si>
  <si>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</si>
  <si>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</si>
  <si>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</si>
  <si>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</si>
  <si>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</si>
  <si>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</si>
  <si>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</si>
  <si>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</si>
  <si>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</si>
  <si>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</si>
  <si>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</si>
  <si>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</si>
  <si>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</si>
  <si>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</si>
  <si>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</si>
  <si>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</si>
  <si>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</si>
  <si>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</si>
  <si>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</si>
  <si>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</si>
  <si>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</si>
  <si>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</si>
  <si>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</si>
  <si>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</si>
  <si>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</si>
  <si>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</si>
  <si>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</si>
  <si>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</si>
  <si>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</si>
  <si>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</si>
  <si>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</si>
  <si>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</si>
  <si>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</si>
  <si>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</si>
  <si>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</si>
  <si>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</si>
  <si>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</si>
  <si>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</si>
  <si>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</si>
  <si>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</si>
  <si>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</si>
  <si>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</si>
  <si>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</si>
  <si>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</si>
  <si>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</si>
  <si>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</si>
  <si>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</si>
  <si>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</si>
  <si>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</si>
  <si>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</si>
  <si>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</si>
  <si>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</si>
  <si>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</si>
  <si>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</si>
  <si>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</si>
  <si>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</si>
  <si>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</si>
  <si>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</si>
  <si>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</si>
  <si>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</si>
  <si>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</si>
  <si>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</si>
  <si>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</si>
  <si>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</si>
  <si>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</si>
  <si>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</si>
  <si>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</si>
  <si>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</si>
  <si>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</si>
  <si>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</si>
  <si>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</si>
  <si>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</si>
  <si>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</si>
  <si>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</si>
  <si>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</si>
  <si>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</si>
  <si>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</si>
  <si>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</si>
  <si>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</si>
  <si>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</si>
  <si>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</si>
  <si>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</si>
  <si>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</si>
  <si>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</si>
  <si>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</si>
  <si>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</si>
  <si>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</si>
  <si>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</si>
  <si>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</si>
  <si>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</si>
  <si>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</si>
  <si>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</si>
  <si>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</si>
  <si>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</si>
  <si>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</si>
  <si>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</si>
  <si>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</si>
  <si>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</si>
  <si>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</si>
  <si>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</si>
  <si>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</si>
  <si>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</si>
  <si>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</si>
  <si>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</si>
  <si>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</si>
  <si>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</si>
  <si>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</si>
  <si>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</si>
  <si>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</si>
  <si>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</si>
  <si>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</si>
  <si>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</si>
  <si>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</si>
  <si>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</si>
  <si>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</si>
  <si>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</si>
  <si>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</si>
  <si>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</si>
  <si>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</si>
  <si>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</si>
  <si>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</si>
  <si>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</si>
  <si>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</si>
  <si>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</si>
  <si>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</si>
  <si>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</si>
  <si>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</si>
  <si>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</si>
  <si>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</si>
  <si>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</si>
  <si>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</si>
  <si>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</si>
  <si>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</si>
  <si>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</si>
  <si>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</si>
  <si>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</si>
  <si>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</si>
  <si>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</si>
  <si>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</si>
  <si>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</si>
  <si>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</si>
  <si>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</si>
  <si>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</si>
  <si>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</si>
  <si>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</si>
  <si>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</si>
  <si>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</si>
  <si>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</si>
  <si>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</si>
  <si>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</si>
  <si>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</si>
  <si>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</si>
  <si>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</si>
  <si>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</si>
  <si>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</si>
  <si>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</si>
  <si>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</si>
  <si>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</si>
  <si>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</si>
  <si>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</si>
  <si>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</si>
  <si>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</si>
  <si>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</si>
  <si>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</si>
  <si>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</si>
  <si>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</si>
  <si>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</si>
  <si>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</si>
  <si>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</si>
  <si>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</si>
  <si>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</si>
  <si>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</si>
  <si>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</si>
  <si>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</si>
  <si>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</si>
  <si>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</si>
  <si>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</si>
  <si>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</si>
  <si>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</si>
  <si>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</si>
  <si>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</si>
  <si>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</si>
  <si>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</si>
  <si>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</si>
  <si>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</si>
  <si>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</si>
  <si>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</si>
  <si>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</si>
  <si>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</si>
  <si>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</si>
  <si>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</si>
  <si>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</si>
  <si>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</si>
  <si>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</si>
  <si>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</si>
  <si>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</si>
  <si>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</si>
  <si>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</si>
  <si>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</si>
  <si>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</si>
  <si>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</si>
  <si>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</si>
  <si>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</si>
  <si>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</si>
  <si>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</si>
  <si>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</si>
  <si>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</si>
  <si>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</si>
  <si>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</si>
  <si>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</si>
  <si>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</si>
  <si>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</si>
  <si>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</si>
  <si>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</si>
  <si>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</si>
  <si>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</si>
  <si>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</si>
  <si>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</si>
  <si>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</si>
  <si>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</si>
  <si>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</si>
  <si>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</si>
  <si>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</si>
  <si>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</si>
  <si>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</si>
  <si>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</si>
  <si>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</si>
  <si>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</si>
  <si>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</si>
  <si>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</si>
  <si>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</si>
  <si>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</si>
  <si>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</si>
  <si>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</si>
  <si>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</si>
  <si>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</si>
  <si>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</si>
  <si>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</si>
  <si>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</si>
  <si>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</si>
  <si>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</si>
  <si>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</si>
  <si>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</si>
  <si>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</si>
  <si>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</si>
  <si>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</si>
  <si>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</si>
  <si>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</si>
  <si>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</si>
  <si>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</si>
  <si>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</si>
  <si>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</si>
  <si>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</si>
  <si>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</si>
  <si>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</si>
  <si>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</si>
  <si>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</si>
  <si>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</si>
  <si>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</si>
  <si>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</si>
  <si>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</si>
  <si>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</si>
  <si>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</si>
  <si>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</si>
  <si>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</si>
  <si>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</si>
  <si>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</si>
  <si>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</si>
  <si>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</si>
  <si>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</si>
  <si>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</si>
  <si>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</si>
  <si>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</si>
  <si>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</si>
  <si>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</si>
  <si>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</si>
  <si>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</si>
  <si>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</si>
  <si>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</si>
  <si>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</si>
  <si>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</si>
  <si>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</si>
  <si>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</si>
  <si>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</si>
  <si>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</si>
  <si>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</si>
  <si>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</si>
  <si>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</si>
  <si>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</si>
  <si>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</si>
  <si>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</si>
  <si>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</si>
  <si>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</si>
  <si>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</si>
  <si>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</si>
  <si>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</si>
  <si>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</si>
  <si>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</si>
  <si>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</si>
  <si>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</si>
  <si>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</si>
  <si>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</si>
  <si>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</si>
  <si>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</si>
  <si>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</si>
  <si>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</si>
  <si>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</si>
  <si>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</si>
  <si>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</si>
  <si>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</si>
  <si>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</si>
  <si>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</si>
  <si>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</si>
  <si>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</si>
  <si>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</si>
  <si>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</si>
  <si>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</si>
  <si>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</si>
  <si>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</si>
  <si>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</si>
  <si>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</si>
  <si>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</si>
  <si>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</si>
  <si>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</si>
  <si>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</si>
  <si>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</si>
  <si>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</si>
  <si>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</si>
  <si>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</si>
  <si>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</si>
  <si>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</si>
  <si>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</si>
  <si>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</si>
  <si>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</si>
  <si>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</si>
  <si>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</si>
  <si>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</si>
  <si>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</si>
  <si>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</si>
  <si>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</si>
  <si>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</si>
  <si>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</si>
  <si>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</si>
  <si>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</si>
  <si>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</si>
  <si>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</si>
  <si>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</si>
  <si>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</si>
  <si>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</si>
  <si>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</si>
  <si>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</si>
  <si>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</si>
  <si>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</si>
  <si>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</si>
  <si>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</si>
  <si>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</si>
  <si>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</si>
  <si>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</si>
  <si>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</si>
  <si>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</si>
  <si>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</si>
  <si>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</si>
  <si>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</si>
  <si>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</si>
  <si>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</si>
  <si>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</si>
  <si>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</si>
  <si>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</si>
  <si>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</si>
  <si>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</si>
  <si>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</si>
  <si>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</si>
  <si>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</si>
  <si>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</si>
  <si>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</si>
  <si>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</si>
  <si>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</si>
  <si>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</si>
  <si>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</si>
  <si>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</si>
  <si>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</si>
  <si>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</si>
  <si>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</si>
  <si>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</si>
  <si>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</si>
  <si>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</si>
  <si>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</si>
  <si>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</si>
  <si>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State Controller's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</si>
</sst>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4"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s>
  <borders count="18">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01">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166" fontId="3" fillId="4" borderId="0" xfId="1" applyNumberFormat="1" applyFont="1" applyFill="1" applyProtection="1"/>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persons/person.xml><?xml version="1.0" encoding="utf-8"?>
<personList xmlns="http://schemas.microsoft.com/office/spreadsheetml/2018/threadedcomments" xmlns:x="http://schemas.openxmlformats.org/spreadsheetml/2006/main">
  <person displayName="Kobler, Tina" id="{D137DA72-4296-4AE4-AAB3-FBE1C11D2071}" userId="S::TKobler@ad.sconet.ca.gov::f188ea49-6e6e-4ab6-a9b8-7879075b68a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7" dT="2024-03-27T23:56:26.97" personId="{D137DA72-4296-4AE4-AAB3-FBE1C11D2071}" id="{EB89CC8A-A220-4D73-AF45-AA9C62091A49}">
    <text>CPI Lease 2384001 and 2395004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60" zoomScaleNormal="60" workbookViewId="0">
      <selection sqref="A1:K1"/>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76" t="s">
        <v>1630</v>
      </c>
      <c r="B1" s="176"/>
      <c r="C1" s="176"/>
      <c r="D1" s="176"/>
      <c r="E1" s="176"/>
      <c r="F1" s="176"/>
      <c r="G1" s="176"/>
      <c r="H1" s="176"/>
      <c r="I1" s="176"/>
      <c r="J1" s="176"/>
      <c r="K1" s="176"/>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72" t="s">
        <v>11</v>
      </c>
      <c r="B3" s="172"/>
      <c r="C3" s="172"/>
      <c r="D3" s="172"/>
      <c r="E3" s="172"/>
      <c r="F3" s="177" t="s">
        <v>21</v>
      </c>
      <c r="G3" s="177"/>
      <c r="H3" s="177"/>
      <c r="I3" s="177"/>
    </row>
    <row r="4" spans="1:19" ht="16.5" customHeight="1" x14ac:dyDescent="0.25">
      <c r="A4" s="172" t="s">
        <v>192</v>
      </c>
      <c r="B4" s="172"/>
      <c r="C4" s="172"/>
      <c r="D4" s="172"/>
      <c r="E4" s="172"/>
      <c r="F4" s="178" t="s">
        <v>1672</v>
      </c>
      <c r="G4" s="178"/>
      <c r="H4" s="178"/>
      <c r="I4" s="178"/>
    </row>
    <row r="5" spans="1:19" ht="16.5" customHeight="1" x14ac:dyDescent="0.25">
      <c r="A5" s="172" t="s">
        <v>1616</v>
      </c>
      <c r="B5" s="172"/>
      <c r="C5" s="172"/>
      <c r="D5" s="172"/>
      <c r="E5" s="172"/>
      <c r="F5" s="178" t="s">
        <v>381</v>
      </c>
      <c r="G5" s="178"/>
      <c r="H5" s="178"/>
      <c r="I5" s="178"/>
      <c r="L5" s="12"/>
      <c r="M5" s="12"/>
      <c r="N5" s="12"/>
      <c r="O5" s="12"/>
      <c r="P5" s="12"/>
      <c r="Q5" s="12"/>
    </row>
    <row r="6" spans="1:19" ht="16.5" customHeight="1" x14ac:dyDescent="0.3">
      <c r="A6" s="172" t="s">
        <v>1635</v>
      </c>
      <c r="B6" s="172"/>
      <c r="C6" s="172"/>
      <c r="D6" s="172"/>
      <c r="E6" s="172"/>
      <c r="F6" s="179">
        <v>1</v>
      </c>
      <c r="G6" s="179"/>
      <c r="H6" s="179"/>
      <c r="I6" s="179"/>
      <c r="L6" s="13"/>
      <c r="M6" s="13"/>
      <c r="N6" s="13"/>
      <c r="O6" s="13"/>
      <c r="P6" s="12"/>
      <c r="Q6" s="12"/>
    </row>
    <row r="7" spans="1:19" ht="16.5" customHeight="1" x14ac:dyDescent="0.3">
      <c r="A7" s="172" t="s">
        <v>1</v>
      </c>
      <c r="B7" s="172"/>
      <c r="C7" s="172"/>
      <c r="D7" s="172"/>
      <c r="E7" s="172"/>
      <c r="F7" s="179" t="s">
        <v>121</v>
      </c>
      <c r="G7" s="179"/>
      <c r="H7" s="179"/>
      <c r="I7" s="179"/>
      <c r="K7" s="53"/>
      <c r="L7" s="13"/>
      <c r="M7" s="13"/>
      <c r="N7" s="13"/>
      <c r="O7" s="13"/>
      <c r="P7" s="12"/>
      <c r="Q7" s="12"/>
    </row>
    <row r="8" spans="1:19" ht="16.5" customHeight="1" x14ac:dyDescent="0.3">
      <c r="A8" s="172" t="s">
        <v>1617</v>
      </c>
      <c r="B8" s="172"/>
      <c r="C8" s="172"/>
      <c r="D8" s="172"/>
      <c r="E8" s="172"/>
      <c r="F8" s="179" t="s">
        <v>155</v>
      </c>
      <c r="G8" s="179"/>
      <c r="H8" s="179"/>
      <c r="I8" s="179"/>
      <c r="K8" s="53"/>
      <c r="L8" s="13"/>
      <c r="M8" s="13"/>
      <c r="N8" s="13"/>
      <c r="O8" s="13"/>
      <c r="P8" s="12"/>
      <c r="Q8" s="12"/>
    </row>
    <row r="9" spans="1:19" ht="16.5" customHeight="1" x14ac:dyDescent="0.3">
      <c r="A9" s="172" t="s">
        <v>1615</v>
      </c>
      <c r="B9" s="172"/>
      <c r="C9" s="172"/>
      <c r="D9" s="172"/>
      <c r="E9" s="172"/>
      <c r="F9" s="180" t="str">
        <f>IFERROR(IF(F7="Proprietary","Proprietary Fund",VLOOKUP(F5,qryIndex02a!$A$2:$K$654,4,FALSE)),"Unidentified")</f>
        <v>GENERAL GOVERNMENT</v>
      </c>
      <c r="G9" s="180"/>
      <c r="H9" s="180"/>
      <c r="I9" s="18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73" t="s">
        <v>1634</v>
      </c>
      <c r="N14" s="174"/>
      <c r="O14" s="135"/>
      <c r="P14" s="173" t="s">
        <v>1631</v>
      </c>
      <c r="Q14" s="174"/>
      <c r="R14" s="135"/>
      <c r="S14" s="153" t="s">
        <v>1632</v>
      </c>
    </row>
    <row r="15" spans="1:19" ht="16.5" customHeight="1" x14ac:dyDescent="0.3">
      <c r="A15" s="159" t="s">
        <v>1638</v>
      </c>
      <c r="B15" s="9" t="s">
        <v>171</v>
      </c>
      <c r="C15" s="9"/>
      <c r="D15" s="9"/>
      <c r="E15" s="140"/>
      <c r="F15" s="141"/>
      <c r="G15" s="141"/>
      <c r="H15" s="142"/>
      <c r="I15" s="142"/>
      <c r="J15" s="171">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1">
        <f>M16</f>
        <v>0</v>
      </c>
      <c r="M16" s="143"/>
      <c r="P16" s="143"/>
      <c r="Q16" s="155"/>
      <c r="S16" s="154">
        <f t="shared" si="0"/>
        <v>0</v>
      </c>
    </row>
    <row r="17" spans="1:19" ht="16.5" customHeight="1" x14ac:dyDescent="0.3">
      <c r="A17" s="159" t="s">
        <v>1638</v>
      </c>
      <c r="B17" s="9" t="s">
        <v>173</v>
      </c>
      <c r="C17" s="9"/>
      <c r="D17" s="9"/>
      <c r="E17" s="140"/>
      <c r="F17" s="141"/>
      <c r="G17" s="141"/>
      <c r="H17" s="142"/>
      <c r="I17" s="142"/>
      <c r="J17" s="171">
        <f>M17</f>
        <v>37741723</v>
      </c>
      <c r="M17" s="143">
        <v>37741723</v>
      </c>
      <c r="P17" s="143">
        <v>37150879</v>
      </c>
      <c r="Q17" s="155"/>
      <c r="S17" s="154">
        <f t="shared" si="0"/>
        <v>-590844</v>
      </c>
    </row>
    <row r="18" spans="1:19" ht="16.5" customHeight="1" x14ac:dyDescent="0.3">
      <c r="A18" s="54"/>
      <c r="B18" s="9" t="s">
        <v>169</v>
      </c>
      <c r="C18" s="9"/>
      <c r="D18" s="9"/>
      <c r="E18" s="140"/>
      <c r="F18" s="141"/>
      <c r="G18" s="141"/>
      <c r="H18" s="142"/>
      <c r="I18" s="142"/>
      <c r="J18" s="171">
        <f>P18</f>
        <v>349852</v>
      </c>
      <c r="M18" s="143">
        <v>325459</v>
      </c>
      <c r="P18" s="152">
        <f>IF(SUM($Q$21:$Q$23)&gt;SUM($P$15:$P$17),SUM($Q$21:$Q$23)-SUM($P$15:$P$17),0)</f>
        <v>349852</v>
      </c>
      <c r="Q18" s="155"/>
      <c r="S18" s="154">
        <f t="shared" si="0"/>
        <v>24393</v>
      </c>
    </row>
    <row r="19" spans="1:19" ht="16.5" customHeight="1" x14ac:dyDescent="0.3">
      <c r="A19" s="54"/>
      <c r="B19" s="9" t="s">
        <v>170</v>
      </c>
      <c r="C19" s="9"/>
      <c r="D19" s="9"/>
      <c r="E19" s="140"/>
      <c r="F19" s="141"/>
      <c r="G19" s="141"/>
      <c r="H19" s="142"/>
      <c r="I19" s="142"/>
      <c r="J19" s="171">
        <f>IF(SUM($K$21:$K$24)&gt;SUM($J$15:$J$18),SUM($K$21:$K$24)-SUM($J$15:$J$18),0)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1">
        <f>N20</f>
        <v>0</v>
      </c>
      <c r="N20" s="143"/>
      <c r="P20" s="155"/>
      <c r="Q20" s="143"/>
      <c r="S20" s="154">
        <f t="shared" si="0"/>
        <v>0</v>
      </c>
    </row>
    <row r="21" spans="1:19" ht="16.5" customHeight="1" x14ac:dyDescent="0.3">
      <c r="A21" s="54"/>
      <c r="B21" s="9"/>
      <c r="C21" s="9" t="s">
        <v>175</v>
      </c>
      <c r="D21" s="9"/>
      <c r="E21" s="140"/>
      <c r="F21" s="141"/>
      <c r="G21" s="141"/>
      <c r="H21" s="142"/>
      <c r="I21" s="142"/>
      <c r="J21" s="150"/>
      <c r="K21" s="171">
        <f>N21</f>
        <v>0</v>
      </c>
      <c r="N21" s="143"/>
      <c r="P21" s="155"/>
      <c r="Q21" s="143"/>
      <c r="S21" s="154">
        <f>Q21-N21</f>
        <v>0</v>
      </c>
    </row>
    <row r="22" spans="1:19" ht="16.5" customHeight="1" x14ac:dyDescent="0.3">
      <c r="A22" s="54"/>
      <c r="B22" s="9"/>
      <c r="C22" s="9" t="s">
        <v>179</v>
      </c>
      <c r="D22" s="9"/>
      <c r="E22" s="140"/>
      <c r="F22" s="141"/>
      <c r="G22" s="141"/>
      <c r="H22" s="142"/>
      <c r="I22" s="142"/>
      <c r="J22" s="150"/>
      <c r="K22" s="171">
        <f>N22</f>
        <v>12751021</v>
      </c>
      <c r="N22" s="143">
        <v>12751021</v>
      </c>
      <c r="P22" s="155"/>
      <c r="Q22" s="143">
        <v>12184570</v>
      </c>
      <c r="S22" s="154">
        <f t="shared" ref="S22:S25" si="1">Q22-N22</f>
        <v>-566451</v>
      </c>
    </row>
    <row r="23" spans="1:19" ht="16.5" customHeight="1" x14ac:dyDescent="0.3">
      <c r="A23" s="165" t="s">
        <v>1646</v>
      </c>
      <c r="B23" s="9"/>
      <c r="C23" s="9" t="s">
        <v>174</v>
      </c>
      <c r="D23" s="9"/>
      <c r="E23" s="140"/>
      <c r="F23" s="141"/>
      <c r="G23" s="141"/>
      <c r="H23" s="142"/>
      <c r="I23" s="142"/>
      <c r="J23" s="150"/>
      <c r="K23" s="171">
        <f>N23</f>
        <v>25316160</v>
      </c>
      <c r="N23" s="143">
        <v>25316160</v>
      </c>
      <c r="P23" s="155"/>
      <c r="Q23" s="143">
        <v>25316161</v>
      </c>
      <c r="S23" s="154">
        <f t="shared" si="1"/>
        <v>1</v>
      </c>
    </row>
    <row r="24" spans="1:19" ht="16.5" customHeight="1" x14ac:dyDescent="0.3">
      <c r="A24" s="54"/>
      <c r="B24" s="9"/>
      <c r="C24" s="9" t="s">
        <v>176</v>
      </c>
      <c r="D24" s="9"/>
      <c r="E24" s="140"/>
      <c r="F24" s="141"/>
      <c r="G24" s="141"/>
      <c r="H24" s="142"/>
      <c r="I24" s="142"/>
      <c r="J24" s="150"/>
      <c r="K24" s="171">
        <f>Q24</f>
        <v>0</v>
      </c>
      <c r="N24" s="143"/>
      <c r="P24" s="155"/>
      <c r="Q24" s="152">
        <f>IF(SUM($Q$39:$Q$41)&lt;SUM($P$33:$P$35),-SUM($Q$39:$Q$41)+SUM($P$33:$P$35),0)</f>
        <v>0</v>
      </c>
      <c r="S24" s="154">
        <f t="shared" si="1"/>
        <v>0</v>
      </c>
    </row>
    <row r="25" spans="1:19" ht="16.5" customHeight="1" x14ac:dyDescent="0.3">
      <c r="A25" s="54"/>
      <c r="B25" s="9"/>
      <c r="C25" s="9" t="s">
        <v>177</v>
      </c>
      <c r="D25" s="9"/>
      <c r="E25" s="140"/>
      <c r="F25" s="141"/>
      <c r="G25" s="141"/>
      <c r="H25" s="142"/>
      <c r="I25" s="142"/>
      <c r="J25" s="150"/>
      <c r="K25" s="171">
        <f>IF(SUM($K$21:$K$24)&lt;SUM($J$15:$J$18),-SUM($K$21:$K$24)+SUM($J$15:$J$18),0)</f>
        <v>24394</v>
      </c>
      <c r="N25" s="143"/>
      <c r="P25" s="155"/>
      <c r="Q25" s="155"/>
      <c r="S25" s="154">
        <f t="shared" si="1"/>
        <v>0</v>
      </c>
    </row>
    <row r="26" spans="1:19" ht="16.5" customHeight="1" x14ac:dyDescent="0.3">
      <c r="A26" s="54"/>
      <c r="C26" s="20"/>
      <c r="D26" s="20"/>
      <c r="E26" s="20"/>
      <c r="F26" s="127"/>
      <c r="G26" s="127"/>
      <c r="H26" s="22"/>
      <c r="I26" s="22"/>
      <c r="J26" s="107">
        <f>SUM(J15:J25)</f>
        <v>38091575</v>
      </c>
      <c r="K26" s="107">
        <f>SUM(K15:K25)</f>
        <v>38091575</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1664</v>
      </c>
      <c r="D32" s="138"/>
      <c r="E32" s="138"/>
      <c r="F32" s="139"/>
      <c r="G32" s="139"/>
      <c r="H32" s="130"/>
      <c r="I32" s="130"/>
      <c r="J32" s="134"/>
      <c r="K32" s="134"/>
    </row>
    <row r="33" spans="1:12" ht="16.5" customHeight="1" x14ac:dyDescent="0.3">
      <c r="B33" s="9" t="s">
        <v>180</v>
      </c>
      <c r="C33" s="9"/>
      <c r="D33" s="140"/>
      <c r="E33" s="140"/>
      <c r="F33" s="141"/>
      <c r="G33" s="141"/>
      <c r="H33" s="142"/>
      <c r="I33" s="142"/>
      <c r="J33" s="143">
        <v>210321</v>
      </c>
      <c r="K33" s="144"/>
    </row>
    <row r="34" spans="1:12" ht="16.5" customHeight="1" x14ac:dyDescent="0.3">
      <c r="A34" s="54"/>
      <c r="B34" s="9"/>
      <c r="C34" s="9" t="s">
        <v>1662</v>
      </c>
      <c r="D34" s="140"/>
      <c r="E34" s="140"/>
      <c r="F34" s="141"/>
      <c r="G34" s="141"/>
      <c r="H34" s="142"/>
      <c r="I34" s="142"/>
      <c r="J34" s="144"/>
      <c r="K34" s="143">
        <v>210321</v>
      </c>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210321</v>
      </c>
      <c r="K36" s="107">
        <f>SUM(K33:K35)</f>
        <v>210321</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210321</v>
      </c>
      <c r="K41" s="144"/>
    </row>
    <row r="42" spans="1:12" ht="16.5" customHeight="1" x14ac:dyDescent="0.3">
      <c r="A42" s="54"/>
      <c r="B42" s="9"/>
      <c r="C42" s="9" t="s">
        <v>181</v>
      </c>
      <c r="D42" s="140"/>
      <c r="E42" s="140"/>
      <c r="F42" s="141"/>
      <c r="G42" s="141"/>
      <c r="H42" s="142"/>
      <c r="I42" s="142"/>
      <c r="J42" s="144"/>
      <c r="K42" s="143">
        <v>210321</v>
      </c>
    </row>
    <row r="43" spans="1:12" ht="16.5" customHeight="1" x14ac:dyDescent="0.3">
      <c r="A43" s="54"/>
      <c r="B43" s="130" t="s">
        <v>1640</v>
      </c>
      <c r="C43" s="16"/>
      <c r="D43" s="16"/>
      <c r="E43" s="16"/>
      <c r="F43" s="17"/>
      <c r="G43" s="17"/>
      <c r="H43" s="18"/>
      <c r="I43" s="18"/>
      <c r="J43" s="107">
        <f>SUM(J39:J42)</f>
        <v>210321</v>
      </c>
      <c r="K43" s="107">
        <f>SUM(K39:K42)</f>
        <v>210321</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1663</v>
      </c>
      <c r="C47" s="9"/>
      <c r="D47" s="140"/>
      <c r="E47" s="140"/>
      <c r="F47" s="141"/>
      <c r="G47" s="141"/>
      <c r="H47" s="142"/>
      <c r="I47" s="142"/>
      <c r="J47" s="143">
        <v>210321</v>
      </c>
      <c r="K47" s="144"/>
    </row>
    <row r="48" spans="1:12" ht="16.5" customHeight="1" x14ac:dyDescent="0.3">
      <c r="A48" s="165" t="s">
        <v>1646</v>
      </c>
      <c r="B48" s="9"/>
      <c r="C48" s="9" t="s">
        <v>174</v>
      </c>
      <c r="D48" s="140"/>
      <c r="E48" s="140"/>
      <c r="F48" s="141"/>
      <c r="G48" s="141"/>
      <c r="H48" s="142"/>
      <c r="I48" s="142"/>
      <c r="J48" s="144"/>
      <c r="K48" s="143">
        <v>210321</v>
      </c>
    </row>
    <row r="49" spans="1:16" ht="16.5" customHeight="1" x14ac:dyDescent="0.3">
      <c r="A49" s="54"/>
      <c r="C49" s="16"/>
      <c r="D49" s="16"/>
      <c r="E49" s="16"/>
      <c r="F49" s="17"/>
      <c r="G49" s="17"/>
      <c r="H49" s="18"/>
      <c r="I49" s="18"/>
      <c r="J49" s="107">
        <f>SUM(J47:J48)</f>
        <v>210321</v>
      </c>
      <c r="K49" s="107">
        <f>SUM(K47:K48)</f>
        <v>210321</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10326522</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10326522</v>
      </c>
    </row>
    <row r="59" spans="1:16" ht="16.5" customHeight="1" x14ac:dyDescent="0.3">
      <c r="A59" s="54"/>
      <c r="C59" s="16"/>
      <c r="D59" s="16"/>
      <c r="E59" s="16"/>
      <c r="F59" s="17"/>
      <c r="G59" s="17"/>
      <c r="H59" s="18"/>
      <c r="I59" s="18"/>
      <c r="J59" s="107">
        <f>SUM(J55:J58)</f>
        <v>10326522</v>
      </c>
      <c r="K59" s="107">
        <f>SUM(K55:K58)</f>
        <v>10326522</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1665</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10310124</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40174</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10350298</v>
      </c>
    </row>
    <row r="65" spans="1:12" ht="16.5" customHeight="1" x14ac:dyDescent="0.3">
      <c r="A65" s="54"/>
      <c r="C65" s="16"/>
      <c r="D65" s="16"/>
      <c r="E65" s="16"/>
      <c r="F65" s="17"/>
      <c r="G65" s="17"/>
      <c r="H65" s="18"/>
      <c r="I65" s="18"/>
      <c r="J65" s="107">
        <f>SUM(J62:J64)</f>
        <v>10350298</v>
      </c>
      <c r="K65" s="107">
        <f>SUM(K62:K64)</f>
        <v>10350298</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10310124</v>
      </c>
      <c r="K68" s="144"/>
    </row>
    <row r="69" spans="1:12" ht="16.5" customHeight="1" x14ac:dyDescent="0.3">
      <c r="A69" s="54"/>
      <c r="B69" s="9"/>
      <c r="C69" s="9" t="s">
        <v>186</v>
      </c>
      <c r="D69" s="140"/>
      <c r="E69" s="140"/>
      <c r="F69" s="141"/>
      <c r="G69" s="141"/>
      <c r="H69" s="142"/>
      <c r="I69" s="142"/>
      <c r="J69" s="144"/>
      <c r="K69" s="143">
        <v>10310124</v>
      </c>
    </row>
    <row r="70" spans="1:12" ht="16.5" customHeight="1" x14ac:dyDescent="0.3">
      <c r="A70" s="54"/>
      <c r="C70" s="16"/>
      <c r="D70" s="16"/>
      <c r="E70" s="16"/>
      <c r="F70" s="17"/>
      <c r="G70" s="17"/>
      <c r="H70" s="18"/>
      <c r="I70" s="18"/>
      <c r="J70" s="107">
        <f>SUM(J68:J69)</f>
        <v>10310124</v>
      </c>
      <c r="K70" s="107">
        <f>SUM(K68:K69)</f>
        <v>10310124</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5728588</v>
      </c>
      <c r="K75" s="144"/>
    </row>
    <row r="76" spans="1:12" ht="16.5" customHeight="1" x14ac:dyDescent="0.3">
      <c r="A76" s="54"/>
      <c r="B76" s="9"/>
      <c r="C76" s="9" t="s">
        <v>194</v>
      </c>
      <c r="D76" s="140"/>
      <c r="E76" s="140"/>
      <c r="F76" s="141"/>
      <c r="G76" s="141"/>
      <c r="H76" s="142"/>
      <c r="I76" s="142"/>
      <c r="J76" s="144"/>
      <c r="K76" s="143">
        <v>5728588</v>
      </c>
    </row>
    <row r="77" spans="1:12" ht="16.5" customHeight="1" x14ac:dyDescent="0.25">
      <c r="A77" s="54"/>
      <c r="B77" s="175" t="s">
        <v>1661</v>
      </c>
      <c r="C77" s="175"/>
      <c r="D77" s="175"/>
      <c r="E77" s="175"/>
      <c r="F77" s="175"/>
      <c r="G77" s="175"/>
      <c r="H77" s="175"/>
      <c r="I77" s="175"/>
      <c r="J77" s="107">
        <f>SUM(J75:J76)</f>
        <v>5728588</v>
      </c>
      <c r="K77" s="107">
        <f>SUM(K75:K76)</f>
        <v>5728588</v>
      </c>
      <c r="L77" s="8" t="str">
        <f>IF(J77=K77,"&lt;- Debits and Credits equal each other.","&lt;- Debits and Credits do not equal each other.")</f>
        <v>&lt;- Debits and Credits equal each other.</v>
      </c>
    </row>
    <row r="78" spans="1:12" ht="16.5" customHeight="1" x14ac:dyDescent="0.25">
      <c r="A78" s="54"/>
      <c r="B78" s="175"/>
      <c r="C78" s="175"/>
      <c r="D78" s="175"/>
      <c r="E78" s="175"/>
      <c r="F78" s="175"/>
      <c r="G78" s="175"/>
      <c r="H78" s="175"/>
      <c r="I78" s="175"/>
      <c r="J78" s="107"/>
      <c r="K78" s="107"/>
      <c r="L78" s="8"/>
    </row>
    <row r="79" spans="1:12" ht="24.6" customHeight="1" x14ac:dyDescent="0.25">
      <c r="A79" s="54"/>
      <c r="B79" s="175"/>
      <c r="C79" s="175"/>
      <c r="D79" s="175"/>
      <c r="E79" s="175"/>
      <c r="F79" s="175"/>
      <c r="G79" s="175"/>
      <c r="H79" s="175"/>
      <c r="I79" s="175"/>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v>9612705</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v>9612705</v>
      </c>
    </row>
    <row r="91" spans="1:16" ht="16.5" customHeight="1" x14ac:dyDescent="0.3">
      <c r="B91" s="130" t="s">
        <v>1641</v>
      </c>
      <c r="H91" s="10"/>
      <c r="J91" s="108">
        <f>SUM(J85:J90)</f>
        <v>9612705</v>
      </c>
      <c r="K91" s="108">
        <f>SUM(K85:K90)</f>
        <v>9612705</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1671</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1666</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28339339</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-13464838</v>
      </c>
    </row>
    <row r="128" spans="1:12" ht="16.5" customHeight="1" x14ac:dyDescent="0.3">
      <c r="D128" s="140" t="s">
        <v>1657</v>
      </c>
      <c r="H128" s="10"/>
      <c r="K128" s="169">
        <f>-K23-K48+J68+J75+J96-K113</f>
        <v>-9487769</v>
      </c>
    </row>
    <row r="129" spans="4:11" ht="16.5" customHeight="1" x14ac:dyDescent="0.3">
      <c r="D129" s="140" t="s">
        <v>1658</v>
      </c>
      <c r="H129" s="10"/>
      <c r="K129" s="169">
        <f>-K76</f>
        <v>-5728588</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SicG6YaybumFzfi6v3XP89GeSZsJfNBDTIxipxQcqfdaUlen4iSK9q9axGMNvBR2vw8HAwZT268ptxKKUMNzGg==" saltValue="oBOHdXwFO0+HxgeepZxJY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2" zoomScale="70" zoomScaleNormal="70" workbookViewId="0">
      <selection activeCell="C15" sqref="C15"/>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191" t="s">
        <v>140</v>
      </c>
      <c r="B1" s="191"/>
      <c r="C1" s="191"/>
      <c r="D1" s="191"/>
      <c r="E1" s="191"/>
      <c r="F1" s="191"/>
      <c r="G1" s="3"/>
      <c r="H1" s="3"/>
      <c r="I1" s="3"/>
      <c r="J1" s="3"/>
      <c r="K1" s="3"/>
      <c r="L1" s="3"/>
      <c r="M1" s="3"/>
    </row>
    <row r="2" spans="1:13" ht="64.2" customHeight="1" x14ac:dyDescent="0.3">
      <c r="A2" s="190" t="s">
        <v>138</v>
      </c>
      <c r="B2" s="190"/>
      <c r="C2" s="190"/>
      <c r="D2" s="190"/>
      <c r="E2" s="190"/>
      <c r="F2" s="190"/>
      <c r="G2" s="3"/>
      <c r="H2" s="3"/>
      <c r="I2" s="3"/>
      <c r="J2" s="3"/>
      <c r="K2" s="3"/>
      <c r="L2" s="3"/>
      <c r="M2" s="3"/>
    </row>
    <row r="3" spans="1:13" ht="31.95" customHeight="1" x14ac:dyDescent="0.3">
      <c r="A3" s="195" t="s">
        <v>195</v>
      </c>
      <c r="B3" s="195"/>
      <c r="C3" s="195"/>
      <c r="D3" s="24"/>
      <c r="E3" s="3"/>
      <c r="F3" s="3"/>
      <c r="G3" s="3"/>
      <c r="H3" s="3"/>
      <c r="I3" s="3"/>
      <c r="J3" s="3"/>
      <c r="K3" s="3"/>
      <c r="L3" s="3"/>
      <c r="M3" s="3"/>
    </row>
    <row r="4" spans="1:13" ht="31.2" customHeight="1" x14ac:dyDescent="0.3">
      <c r="A4" s="196" t="s">
        <v>5</v>
      </c>
      <c r="B4" s="196"/>
      <c r="C4" s="196"/>
      <c r="D4" s="24"/>
      <c r="E4" s="3"/>
      <c r="F4" s="3"/>
      <c r="G4" s="3"/>
      <c r="H4" s="3"/>
      <c r="I4" s="3"/>
      <c r="J4" s="3"/>
      <c r="K4" s="3"/>
      <c r="L4" s="3"/>
      <c r="M4" s="3"/>
    </row>
    <row r="5" spans="1:13" ht="31.2" customHeight="1" x14ac:dyDescent="0.3">
      <c r="A5" s="196" t="s">
        <v>7</v>
      </c>
      <c r="B5" s="196"/>
      <c r="C5" s="196"/>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192" t="s">
        <v>21</v>
      </c>
      <c r="C8" s="192"/>
      <c r="D8" s="3"/>
      <c r="E8" s="3"/>
      <c r="F8" s="3"/>
    </row>
    <row r="9" spans="1:13" ht="15.6" x14ac:dyDescent="0.3">
      <c r="A9" s="5" t="s">
        <v>193</v>
      </c>
      <c r="B9" s="193">
        <v>840</v>
      </c>
      <c r="C9" s="193"/>
      <c r="D9" s="3"/>
      <c r="E9" s="3"/>
      <c r="F9" s="3"/>
    </row>
    <row r="10" spans="1:13" ht="15.6" x14ac:dyDescent="0.3">
      <c r="A10" s="5" t="s">
        <v>192</v>
      </c>
      <c r="B10" s="194" t="s">
        <v>1672</v>
      </c>
      <c r="C10" s="194"/>
      <c r="D10" s="3"/>
      <c r="E10" s="3"/>
      <c r="F10" s="3"/>
      <c r="G10" s="27"/>
      <c r="H10" s="27"/>
      <c r="I10" s="27"/>
      <c r="J10" s="27"/>
      <c r="K10" s="27"/>
      <c r="L10" s="27"/>
      <c r="M10" s="27"/>
    </row>
    <row r="11" spans="1:13" ht="32.25" customHeight="1" x14ac:dyDescent="0.3">
      <c r="A11" s="186" t="s">
        <v>8</v>
      </c>
      <c r="B11" s="186"/>
      <c r="C11" s="186"/>
      <c r="D11" s="3"/>
      <c r="E11" s="3"/>
      <c r="F11" s="3"/>
      <c r="G11" s="29"/>
      <c r="H11" s="29"/>
      <c r="I11" s="29"/>
      <c r="J11" s="29"/>
      <c r="K11" s="29"/>
      <c r="L11" s="29"/>
      <c r="M11" s="29"/>
    </row>
    <row r="12" spans="1:13" ht="15" customHeight="1" x14ac:dyDescent="0.3">
      <c r="A12" s="51"/>
      <c r="B12" s="52" t="s">
        <v>9</v>
      </c>
      <c r="C12" s="52" t="s">
        <v>10</v>
      </c>
      <c r="D12" s="188" t="str">
        <f>"All of the below questions are for Fiscal Year "&amp;$B$8&amp;":"</f>
        <v>All of the below questions are for Fiscal Year 2022–2023:</v>
      </c>
      <c r="E12" s="188"/>
      <c r="F12" s="188"/>
      <c r="G12" s="29"/>
      <c r="H12" s="29"/>
      <c r="I12" s="29"/>
      <c r="J12" s="29"/>
      <c r="K12" s="29"/>
      <c r="L12" s="29"/>
      <c r="M12" s="29"/>
    </row>
    <row r="13" spans="1:13" ht="15.6" customHeight="1" x14ac:dyDescent="0.3">
      <c r="A13" s="51" t="str">
        <f>RIGHT(B8,4)&amp;"–"&amp;RIGHT(B8,4)+1</f>
        <v>2023–2024</v>
      </c>
      <c r="B13" s="55">
        <v>5728588</v>
      </c>
      <c r="C13" s="55">
        <v>24813</v>
      </c>
      <c r="D13" s="184" t="s">
        <v>4</v>
      </c>
      <c r="E13" s="185"/>
      <c r="F13" s="185"/>
      <c r="G13" s="29"/>
      <c r="H13" s="29"/>
      <c r="I13" s="29"/>
      <c r="J13" s="29"/>
      <c r="K13" s="29"/>
      <c r="L13" s="29"/>
      <c r="M13" s="29"/>
    </row>
    <row r="14" spans="1:13" x14ac:dyDescent="0.25">
      <c r="A14" s="51" t="str">
        <f>LEFT(A13,4)+1&amp;"–"&amp;RIGHT(A13,4)+1</f>
        <v>2024–2025</v>
      </c>
      <c r="B14" s="55">
        <v>5157723</v>
      </c>
      <c r="C14" s="55">
        <v>14272</v>
      </c>
      <c r="D14" s="184"/>
      <c r="E14" s="185"/>
      <c r="F14" s="185"/>
    </row>
    <row r="15" spans="1:13" ht="15.6" x14ac:dyDescent="0.25">
      <c r="A15" s="51" t="str">
        <f>LEFT(A14,4)+1&amp;"–"&amp;RIGHT(A14,4)+1</f>
        <v>2025–2026</v>
      </c>
      <c r="B15" s="55">
        <v>4330046</v>
      </c>
      <c r="C15" s="55">
        <v>3970</v>
      </c>
      <c r="D15" s="181" t="s">
        <v>126</v>
      </c>
      <c r="E15" s="181"/>
      <c r="F15" s="181"/>
      <c r="G15" s="30"/>
      <c r="H15" s="30"/>
      <c r="I15" s="30"/>
      <c r="J15" s="30"/>
      <c r="K15" s="30"/>
      <c r="L15" s="30"/>
      <c r="M15" s="30"/>
    </row>
    <row r="16" spans="1:13" x14ac:dyDescent="0.25">
      <c r="A16" s="51" t="str">
        <f>LEFT(A15,4)+1&amp;"–"&amp;RIGHT(A15,4)+1</f>
        <v>2026–2027</v>
      </c>
      <c r="B16" s="55"/>
      <c r="C16" s="55"/>
      <c r="D16" s="183" t="str">
        <f>"If yes, record the dollar amount of variable payments below for fiscal year "&amp;$B$8&amp;":"</f>
        <v>If yes, record the dollar amount of variable payments below for fiscal year 2022–2023:</v>
      </c>
      <c r="E16" s="183"/>
      <c r="F16" s="183"/>
      <c r="G16" s="31"/>
      <c r="H16" s="31"/>
      <c r="I16" s="31"/>
      <c r="J16" s="31"/>
      <c r="K16" s="31"/>
    </row>
    <row r="17" spans="1:13" ht="15" customHeight="1" x14ac:dyDescent="0.25">
      <c r="A17" s="51" t="str">
        <f>LEFT(A16,4)+1&amp;"–"&amp;RIGHT(A16,4)+1</f>
        <v>2027–2028</v>
      </c>
      <c r="B17" s="55"/>
      <c r="C17" s="55"/>
      <c r="D17" s="181">
        <f>137676.42+200216.92</f>
        <v>337893.34</v>
      </c>
      <c r="E17" s="181"/>
      <c r="F17" s="181"/>
      <c r="G17" s="31"/>
      <c r="H17" s="31"/>
      <c r="I17" s="31"/>
      <c r="J17" s="31"/>
      <c r="K17" s="31"/>
    </row>
    <row r="18" spans="1:13" ht="15" customHeight="1" x14ac:dyDescent="0.3">
      <c r="A18" s="51" t="str">
        <f>LEFT(A17,4)+1&amp;"–"&amp;RIGHT(A17,4)+5</f>
        <v>2028–2033</v>
      </c>
      <c r="B18" s="55"/>
      <c r="C18" s="55"/>
      <c r="D18" s="184" t="s">
        <v>6</v>
      </c>
      <c r="E18" s="185"/>
      <c r="F18" s="185"/>
      <c r="G18" s="29"/>
      <c r="H18" s="29"/>
      <c r="I18" s="29"/>
      <c r="J18" s="29"/>
      <c r="K18" s="29"/>
      <c r="L18" s="29"/>
      <c r="M18" s="29"/>
    </row>
    <row r="19" spans="1:13" x14ac:dyDescent="0.25">
      <c r="A19" s="51" t="str">
        <f t="shared" ref="A19:A32" si="0">LEFT(A18,4)+5&amp;"–"&amp;RIGHT(A18,4)+5</f>
        <v>2033–2038</v>
      </c>
      <c r="B19" s="55"/>
      <c r="C19" s="55"/>
      <c r="D19" s="184"/>
      <c r="E19" s="185"/>
      <c r="F19" s="185"/>
    </row>
    <row r="20" spans="1:13" ht="15.6" x14ac:dyDescent="0.25">
      <c r="A20" s="51" t="str">
        <f t="shared" si="0"/>
        <v>2038–2043</v>
      </c>
      <c r="B20" s="55"/>
      <c r="C20" s="55"/>
      <c r="D20" s="181" t="s">
        <v>125</v>
      </c>
      <c r="E20" s="181"/>
      <c r="F20" s="181"/>
      <c r="G20" s="30"/>
      <c r="H20" s="30"/>
      <c r="I20" s="30"/>
      <c r="J20" s="30"/>
      <c r="K20" s="30"/>
      <c r="L20" s="30"/>
      <c r="M20" s="30"/>
    </row>
    <row r="21" spans="1:13" ht="15" customHeight="1" x14ac:dyDescent="0.25">
      <c r="A21" s="51" t="str">
        <f t="shared" si="0"/>
        <v>2043–2048</v>
      </c>
      <c r="B21" s="55"/>
      <c r="C21" s="55"/>
      <c r="D21" s="182" t="str">
        <f>"If yes, record the dollar amount of any payments made for residual value guarantees below for fiscal year "&amp;$B$8&amp;":"</f>
        <v>If yes, record the dollar amount of any payments made for residual value guarantees below for fiscal year 2022–2023:</v>
      </c>
      <c r="E21" s="183"/>
      <c r="F21" s="183"/>
    </row>
    <row r="22" spans="1:13" x14ac:dyDescent="0.25">
      <c r="A22" s="51" t="str">
        <f t="shared" si="0"/>
        <v>2048–2053</v>
      </c>
      <c r="B22" s="55"/>
      <c r="C22" s="55"/>
      <c r="D22" s="182"/>
      <c r="E22" s="183"/>
      <c r="F22" s="183"/>
    </row>
    <row r="23" spans="1:13" x14ac:dyDescent="0.25">
      <c r="A23" s="51" t="str">
        <f t="shared" si="0"/>
        <v>2053–2058</v>
      </c>
      <c r="B23" s="55"/>
      <c r="C23" s="55"/>
      <c r="D23" s="181"/>
      <c r="E23" s="181"/>
      <c r="F23" s="181"/>
    </row>
    <row r="24" spans="1:13" x14ac:dyDescent="0.25">
      <c r="A24" s="51" t="str">
        <f t="shared" si="0"/>
        <v>2058–2063</v>
      </c>
      <c r="B24" s="55"/>
      <c r="C24" s="55"/>
      <c r="D24" s="18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83"/>
      <c r="F24" s="183"/>
    </row>
    <row r="25" spans="1:13" ht="15" customHeight="1" x14ac:dyDescent="0.25">
      <c r="A25" s="51" t="str">
        <f t="shared" si="0"/>
        <v>2063–2068</v>
      </c>
      <c r="B25" s="55"/>
      <c r="C25" s="55"/>
      <c r="D25" s="182"/>
      <c r="E25" s="183"/>
      <c r="F25" s="183"/>
    </row>
    <row r="26" spans="1:13" x14ac:dyDescent="0.25">
      <c r="A26" s="51" t="str">
        <f t="shared" si="0"/>
        <v>2068–2073</v>
      </c>
      <c r="B26" s="55"/>
      <c r="C26" s="55"/>
      <c r="D26" s="181"/>
      <c r="E26" s="181"/>
      <c r="F26" s="181"/>
    </row>
    <row r="27" spans="1:13" ht="15" customHeight="1" x14ac:dyDescent="0.25">
      <c r="A27" s="51" t="str">
        <f t="shared" si="0"/>
        <v>2073–2078</v>
      </c>
      <c r="B27" s="55"/>
      <c r="C27" s="55"/>
      <c r="D27" s="18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85"/>
      <c r="F27" s="185"/>
    </row>
    <row r="28" spans="1:13" ht="15.6" x14ac:dyDescent="0.25">
      <c r="A28" s="51" t="str">
        <f t="shared" si="0"/>
        <v>2078–2083</v>
      </c>
      <c r="B28" s="55"/>
      <c r="C28" s="55"/>
      <c r="D28" s="184"/>
      <c r="E28" s="185"/>
      <c r="F28" s="185"/>
      <c r="G28" s="33"/>
      <c r="H28" s="33"/>
      <c r="I28" s="33"/>
      <c r="J28" s="33"/>
      <c r="K28" s="33"/>
      <c r="L28" s="33"/>
      <c r="M28" s="33"/>
    </row>
    <row r="29" spans="1:13" ht="15.6" x14ac:dyDescent="0.25">
      <c r="A29" s="51" t="str">
        <f t="shared" si="0"/>
        <v>2083–2088</v>
      </c>
      <c r="B29" s="55"/>
      <c r="C29" s="55"/>
      <c r="D29" s="181" t="s">
        <v>125</v>
      </c>
      <c r="E29" s="181"/>
      <c r="F29" s="181"/>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81" t="s">
        <v>125</v>
      </c>
      <c r="E31" s="181"/>
      <c r="F31" s="181"/>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81"/>
      <c r="E33" s="181"/>
      <c r="F33" s="181"/>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87" t="str">
        <f>B8</f>
        <v>2022–2023</v>
      </c>
      <c r="C39" s="187"/>
      <c r="E39" s="32"/>
    </row>
    <row r="40" spans="1:13" ht="15.6" customHeight="1" x14ac:dyDescent="0.3">
      <c r="A40" s="5" t="s">
        <v>193</v>
      </c>
      <c r="B40" s="189">
        <f>B9</f>
        <v>840</v>
      </c>
      <c r="C40" s="189"/>
      <c r="E40" s="32"/>
    </row>
    <row r="41" spans="1:13" ht="15.6" x14ac:dyDescent="0.3">
      <c r="A41" s="5" t="s">
        <v>192</v>
      </c>
      <c r="B41" s="187" t="str">
        <f>B10</f>
        <v>State Controller's Office</v>
      </c>
      <c r="C41" s="187"/>
      <c r="E41" s="32"/>
    </row>
    <row r="42" spans="1:13" ht="32.25" customHeight="1" x14ac:dyDescent="0.3">
      <c r="A42" s="186" t="s">
        <v>8</v>
      </c>
      <c r="B42" s="186"/>
      <c r="C42" s="186"/>
      <c r="D42" s="3"/>
      <c r="E42" s="3"/>
      <c r="F42" s="3"/>
      <c r="G42" s="29"/>
      <c r="H42" s="29"/>
      <c r="I42" s="29"/>
      <c r="J42" s="29"/>
      <c r="K42" s="29"/>
      <c r="L42" s="29"/>
      <c r="M42" s="29"/>
    </row>
    <row r="43" spans="1:13" ht="15" customHeight="1" x14ac:dyDescent="0.3">
      <c r="A43" s="51"/>
      <c r="B43" s="52" t="s">
        <v>9</v>
      </c>
      <c r="C43" s="52" t="s">
        <v>10</v>
      </c>
      <c r="D43" s="188" t="str">
        <f>"All of the below questions are for Fiscal Year "&amp;$B$8&amp;":"</f>
        <v>All of the below questions are for Fiscal Year 2022–2023:</v>
      </c>
      <c r="E43" s="188"/>
      <c r="F43" s="188"/>
    </row>
    <row r="44" spans="1:13" ht="15" customHeight="1" x14ac:dyDescent="0.25">
      <c r="A44" s="51" t="str">
        <f>RIGHT(B39,4)&amp;"–"&amp;RIGHT(B39,4)+1</f>
        <v>2023–2024</v>
      </c>
      <c r="B44" s="55"/>
      <c r="C44" s="55"/>
      <c r="D44" s="184" t="s">
        <v>4</v>
      </c>
      <c r="E44" s="185"/>
      <c r="F44" s="185"/>
    </row>
    <row r="45" spans="1:13" ht="15" customHeight="1" x14ac:dyDescent="0.25">
      <c r="A45" s="51" t="str">
        <f>LEFT(A44,4)+1&amp;"–"&amp;RIGHT(A44,4)+1</f>
        <v>2024–2025</v>
      </c>
      <c r="B45" s="55"/>
      <c r="C45" s="55"/>
      <c r="D45" s="184"/>
      <c r="E45" s="185"/>
      <c r="F45" s="185"/>
    </row>
    <row r="46" spans="1:13" x14ac:dyDescent="0.25">
      <c r="A46" s="51" t="str">
        <f>LEFT(A45,4)+1&amp;"–"&amp;RIGHT(A45,4)+1</f>
        <v>2025–2026</v>
      </c>
      <c r="B46" s="55"/>
      <c r="C46" s="55"/>
      <c r="D46" s="181"/>
      <c r="E46" s="181"/>
      <c r="F46" s="181"/>
    </row>
    <row r="47" spans="1:13" ht="15" customHeight="1" x14ac:dyDescent="0.25">
      <c r="A47" s="51" t="str">
        <f>LEFT(A46,4)+1&amp;"–"&amp;RIGHT(A46,4)+1</f>
        <v>2026–2027</v>
      </c>
      <c r="B47" s="55"/>
      <c r="C47" s="55"/>
      <c r="D47" s="183" t="str">
        <f>"If yes, record the dollar amount of variable payments below for fiscal year "&amp;$B$8&amp;":"</f>
        <v>If yes, record the dollar amount of variable payments below for fiscal year 2022–2023:</v>
      </c>
      <c r="E47" s="183"/>
      <c r="F47" s="183"/>
    </row>
    <row r="48" spans="1:13" ht="15" customHeight="1" x14ac:dyDescent="0.25">
      <c r="A48" s="51" t="str">
        <f>LEFT(A47,4)+1&amp;"–"&amp;RIGHT(A47,4)+1</f>
        <v>2027–2028</v>
      </c>
      <c r="B48" s="55"/>
      <c r="C48" s="55"/>
      <c r="D48" s="181"/>
      <c r="E48" s="181"/>
      <c r="F48" s="181"/>
    </row>
    <row r="49" spans="1:6" ht="15" customHeight="1" x14ac:dyDescent="0.25">
      <c r="A49" s="51" t="str">
        <f>LEFT(A48,4)+1&amp;"–"&amp;RIGHT(A48,4)+5</f>
        <v>2028–2033</v>
      </c>
      <c r="B49" s="55"/>
      <c r="C49" s="55"/>
      <c r="D49" s="184" t="s">
        <v>6</v>
      </c>
      <c r="E49" s="185"/>
      <c r="F49" s="185"/>
    </row>
    <row r="50" spans="1:6" x14ac:dyDescent="0.25">
      <c r="A50" s="51" t="str">
        <f t="shared" ref="A50:A63" si="1">LEFT(A49,4)+5&amp;"–"&amp;RIGHT(A49,4)+5</f>
        <v>2033–2038</v>
      </c>
      <c r="B50" s="55"/>
      <c r="C50" s="55"/>
      <c r="D50" s="184"/>
      <c r="E50" s="185"/>
      <c r="F50" s="185"/>
    </row>
    <row r="51" spans="1:6" ht="15" customHeight="1" x14ac:dyDescent="0.25">
      <c r="A51" s="51" t="str">
        <f t="shared" si="1"/>
        <v>2038–2043</v>
      </c>
      <c r="B51" s="55"/>
      <c r="C51" s="55"/>
      <c r="D51" s="181"/>
      <c r="E51" s="181"/>
      <c r="F51" s="181"/>
    </row>
    <row r="52" spans="1:6" ht="15" customHeight="1" x14ac:dyDescent="0.25">
      <c r="A52" s="51" t="str">
        <f t="shared" si="1"/>
        <v>2043–2048</v>
      </c>
      <c r="B52" s="55"/>
      <c r="C52" s="55"/>
      <c r="D52" s="182" t="str">
        <f>"If yes, record the dollar amount of any payments made for residual value guarantees below for fiscal year "&amp;$B$8&amp;":"</f>
        <v>If yes, record the dollar amount of any payments made for residual value guarantees below for fiscal year 2022–2023:</v>
      </c>
      <c r="E52" s="183"/>
      <c r="F52" s="183"/>
    </row>
    <row r="53" spans="1:6" x14ac:dyDescent="0.25">
      <c r="A53" s="51" t="str">
        <f t="shared" si="1"/>
        <v>2048–2053</v>
      </c>
      <c r="B53" s="55"/>
      <c r="C53" s="55"/>
      <c r="D53" s="182"/>
      <c r="E53" s="183"/>
      <c r="F53" s="183"/>
    </row>
    <row r="54" spans="1:6" x14ac:dyDescent="0.25">
      <c r="A54" s="51" t="str">
        <f t="shared" si="1"/>
        <v>2053–2058</v>
      </c>
      <c r="B54" s="55"/>
      <c r="C54" s="55"/>
      <c r="D54" s="181"/>
      <c r="E54" s="181"/>
      <c r="F54" s="181"/>
    </row>
    <row r="55" spans="1:6" ht="15" customHeight="1" x14ac:dyDescent="0.25">
      <c r="A55" s="51" t="str">
        <f t="shared" si="1"/>
        <v>2058–2063</v>
      </c>
      <c r="B55" s="55"/>
      <c r="C55" s="55"/>
      <c r="D55" s="18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83"/>
      <c r="F55" s="183"/>
    </row>
    <row r="56" spans="1:6" ht="15" customHeight="1" x14ac:dyDescent="0.25">
      <c r="A56" s="51" t="str">
        <f t="shared" si="1"/>
        <v>2063–2068</v>
      </c>
      <c r="B56" s="55"/>
      <c r="C56" s="55"/>
      <c r="D56" s="182"/>
      <c r="E56" s="183"/>
      <c r="F56" s="183"/>
    </row>
    <row r="57" spans="1:6" x14ac:dyDescent="0.25">
      <c r="A57" s="51" t="str">
        <f t="shared" si="1"/>
        <v>2068–2073</v>
      </c>
      <c r="B57" s="55"/>
      <c r="C57" s="55"/>
      <c r="D57" s="181"/>
      <c r="E57" s="181"/>
      <c r="F57" s="181"/>
    </row>
    <row r="58" spans="1:6" x14ac:dyDescent="0.25">
      <c r="A58" s="51" t="str">
        <f t="shared" si="1"/>
        <v>2073–2078</v>
      </c>
      <c r="B58" s="55"/>
      <c r="C58" s="55"/>
      <c r="D58" s="18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85"/>
      <c r="F58" s="185"/>
    </row>
    <row r="59" spans="1:6" x14ac:dyDescent="0.25">
      <c r="A59" s="51" t="str">
        <f t="shared" si="1"/>
        <v>2078–2083</v>
      </c>
      <c r="B59" s="55"/>
      <c r="C59" s="55"/>
      <c r="D59" s="184"/>
      <c r="E59" s="185"/>
      <c r="F59" s="185"/>
    </row>
    <row r="60" spans="1:6" ht="15" customHeight="1" x14ac:dyDescent="0.25">
      <c r="A60" s="51" t="str">
        <f t="shared" si="1"/>
        <v>2083–2088</v>
      </c>
      <c r="B60" s="55"/>
      <c r="C60" s="55"/>
      <c r="D60" s="181"/>
      <c r="E60" s="181"/>
      <c r="F60" s="181"/>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81"/>
      <c r="E62" s="181"/>
      <c r="F62" s="181"/>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81"/>
      <c r="E64" s="181"/>
      <c r="F64" s="181"/>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87" t="str">
        <f>B8</f>
        <v>2022–2023</v>
      </c>
      <c r="C70" s="187"/>
    </row>
    <row r="71" spans="1:13" ht="15.6" x14ac:dyDescent="0.3">
      <c r="A71" s="5" t="s">
        <v>193</v>
      </c>
      <c r="B71" s="189">
        <f>B9</f>
        <v>840</v>
      </c>
      <c r="C71" s="189"/>
    </row>
    <row r="72" spans="1:13" ht="15.6" x14ac:dyDescent="0.3">
      <c r="A72" s="5" t="s">
        <v>192</v>
      </c>
      <c r="B72" s="187" t="str">
        <f>B10</f>
        <v>State Controller's Office</v>
      </c>
      <c r="C72" s="187"/>
    </row>
    <row r="73" spans="1:13" ht="32.25" customHeight="1" x14ac:dyDescent="0.3">
      <c r="A73" s="186" t="s">
        <v>8</v>
      </c>
      <c r="B73" s="186"/>
      <c r="C73" s="186"/>
      <c r="D73" s="3"/>
      <c r="E73" s="3"/>
      <c r="F73" s="3"/>
      <c r="G73" s="29"/>
      <c r="H73" s="29"/>
      <c r="I73" s="29"/>
      <c r="J73" s="29"/>
      <c r="K73" s="29"/>
      <c r="L73" s="29"/>
      <c r="M73" s="29"/>
    </row>
    <row r="74" spans="1:13" ht="15.6" x14ac:dyDescent="0.3">
      <c r="A74" s="51"/>
      <c r="B74" s="52" t="s">
        <v>9</v>
      </c>
      <c r="C74" s="52" t="s">
        <v>10</v>
      </c>
      <c r="D74" s="188" t="str">
        <f>"All of the below questions are for Fiscal Year "&amp;$B$8&amp;":"</f>
        <v>All of the below questions are for Fiscal Year 2022–2023:</v>
      </c>
      <c r="E74" s="188"/>
      <c r="F74" s="188"/>
    </row>
    <row r="75" spans="1:13" ht="15" customHeight="1" x14ac:dyDescent="0.25">
      <c r="A75" s="51" t="str">
        <f>RIGHT(B70,4)&amp;"–"&amp;RIGHT(B70,4)+1</f>
        <v>2023–2024</v>
      </c>
      <c r="B75" s="55"/>
      <c r="C75" s="55"/>
      <c r="D75" s="184" t="s">
        <v>4</v>
      </c>
      <c r="E75" s="185"/>
      <c r="F75" s="185"/>
    </row>
    <row r="76" spans="1:13" x14ac:dyDescent="0.25">
      <c r="A76" s="51" t="str">
        <f>LEFT(A75,4)+1&amp;"–"&amp;RIGHT(A75,4)+1</f>
        <v>2024–2025</v>
      </c>
      <c r="B76" s="55"/>
      <c r="C76" s="55"/>
      <c r="D76" s="184"/>
      <c r="E76" s="185"/>
      <c r="F76" s="185"/>
    </row>
    <row r="77" spans="1:13" x14ac:dyDescent="0.25">
      <c r="A77" s="51" t="str">
        <f>LEFT(A76,4)+1&amp;"–"&amp;RIGHT(A76,4)+1</f>
        <v>2025–2026</v>
      </c>
      <c r="B77" s="55"/>
      <c r="C77" s="55"/>
      <c r="D77" s="181"/>
      <c r="E77" s="181"/>
      <c r="F77" s="181"/>
    </row>
    <row r="78" spans="1:13" ht="15" customHeight="1" x14ac:dyDescent="0.25">
      <c r="A78" s="51" t="str">
        <f>LEFT(A77,4)+1&amp;"–"&amp;RIGHT(A77,4)+1</f>
        <v>2026–2027</v>
      </c>
      <c r="B78" s="55"/>
      <c r="C78" s="55"/>
      <c r="D78" s="183" t="str">
        <f>"If yes, record the dollar amount of variable payments below for fiscal year "&amp;$B$8&amp;":"</f>
        <v>If yes, record the dollar amount of variable payments below for fiscal year 2022–2023:</v>
      </c>
      <c r="E78" s="183"/>
      <c r="F78" s="183"/>
    </row>
    <row r="79" spans="1:13" x14ac:dyDescent="0.25">
      <c r="A79" s="51" t="str">
        <f>LEFT(A78,4)+1&amp;"–"&amp;RIGHT(A78,4)+1</f>
        <v>2027–2028</v>
      </c>
      <c r="B79" s="55"/>
      <c r="C79" s="55"/>
      <c r="D79" s="181"/>
      <c r="E79" s="181"/>
      <c r="F79" s="181"/>
    </row>
    <row r="80" spans="1:13" ht="15" customHeight="1" x14ac:dyDescent="0.25">
      <c r="A80" s="51" t="str">
        <f>LEFT(A79,4)+1&amp;"–"&amp;RIGHT(A79,4)+5</f>
        <v>2028–2033</v>
      </c>
      <c r="B80" s="55"/>
      <c r="C80" s="55"/>
      <c r="D80" s="184" t="s">
        <v>6</v>
      </c>
      <c r="E80" s="185"/>
      <c r="F80" s="185"/>
    </row>
    <row r="81" spans="1:6" x14ac:dyDescent="0.25">
      <c r="A81" s="51" t="str">
        <f t="shared" ref="A81:A94" si="2">LEFT(A80,4)+5&amp;"–"&amp;RIGHT(A80,4)+5</f>
        <v>2033–2038</v>
      </c>
      <c r="B81" s="55"/>
      <c r="C81" s="55"/>
      <c r="D81" s="184"/>
      <c r="E81" s="185"/>
      <c r="F81" s="185"/>
    </row>
    <row r="82" spans="1:6" x14ac:dyDescent="0.25">
      <c r="A82" s="51" t="str">
        <f t="shared" si="2"/>
        <v>2038–2043</v>
      </c>
      <c r="B82" s="55"/>
      <c r="C82" s="55"/>
      <c r="D82" s="181"/>
      <c r="E82" s="181"/>
      <c r="F82" s="181"/>
    </row>
    <row r="83" spans="1:6" ht="15" customHeight="1" x14ac:dyDescent="0.25">
      <c r="A83" s="51" t="str">
        <f t="shared" si="2"/>
        <v>2043–2048</v>
      </c>
      <c r="B83" s="55"/>
      <c r="C83" s="55"/>
      <c r="D83" s="182" t="str">
        <f>"If yes, record the dollar amount of any payments made for residual value guarantees below for fiscal year "&amp;$B$8&amp;":"</f>
        <v>If yes, record the dollar amount of any payments made for residual value guarantees below for fiscal year 2022–2023:</v>
      </c>
      <c r="E83" s="183"/>
      <c r="F83" s="183"/>
    </row>
    <row r="84" spans="1:6" x14ac:dyDescent="0.25">
      <c r="A84" s="51" t="str">
        <f t="shared" si="2"/>
        <v>2048–2053</v>
      </c>
      <c r="B84" s="55"/>
      <c r="C84" s="55"/>
      <c r="D84" s="182"/>
      <c r="E84" s="183"/>
      <c r="F84" s="183"/>
    </row>
    <row r="85" spans="1:6" x14ac:dyDescent="0.25">
      <c r="A85" s="51" t="str">
        <f t="shared" si="2"/>
        <v>2053–2058</v>
      </c>
      <c r="B85" s="55"/>
      <c r="C85" s="55"/>
      <c r="D85" s="181"/>
      <c r="E85" s="181"/>
      <c r="F85" s="181"/>
    </row>
    <row r="86" spans="1:6" ht="15" customHeight="1" x14ac:dyDescent="0.25">
      <c r="A86" s="51" t="str">
        <f t="shared" si="2"/>
        <v>2058–2063</v>
      </c>
      <c r="B86" s="55"/>
      <c r="C86" s="55"/>
      <c r="D86" s="18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83"/>
      <c r="F86" s="183"/>
    </row>
    <row r="87" spans="1:6" x14ac:dyDescent="0.25">
      <c r="A87" s="51" t="str">
        <f t="shared" si="2"/>
        <v>2063–2068</v>
      </c>
      <c r="B87" s="55"/>
      <c r="C87" s="55"/>
      <c r="D87" s="182"/>
      <c r="E87" s="183"/>
      <c r="F87" s="183"/>
    </row>
    <row r="88" spans="1:6" x14ac:dyDescent="0.25">
      <c r="A88" s="51" t="str">
        <f t="shared" si="2"/>
        <v>2068–2073</v>
      </c>
      <c r="B88" s="55"/>
      <c r="C88" s="55"/>
      <c r="D88" s="181"/>
      <c r="E88" s="181"/>
      <c r="F88" s="181"/>
    </row>
    <row r="89" spans="1:6" x14ac:dyDescent="0.25">
      <c r="A89" s="51" t="str">
        <f t="shared" si="2"/>
        <v>2073–2078</v>
      </c>
      <c r="B89" s="55"/>
      <c r="C89" s="55"/>
      <c r="D89" s="18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85"/>
      <c r="F89" s="185"/>
    </row>
    <row r="90" spans="1:6" x14ac:dyDescent="0.25">
      <c r="A90" s="51" t="str">
        <f t="shared" si="2"/>
        <v>2078–2083</v>
      </c>
      <c r="B90" s="55"/>
      <c r="C90" s="55"/>
      <c r="D90" s="184"/>
      <c r="E90" s="185"/>
      <c r="F90" s="185"/>
    </row>
    <row r="91" spans="1:6" ht="15" customHeight="1" x14ac:dyDescent="0.25">
      <c r="A91" s="51" t="str">
        <f t="shared" si="2"/>
        <v>2083–2088</v>
      </c>
      <c r="B91" s="55"/>
      <c r="C91" s="55"/>
      <c r="D91" s="181"/>
      <c r="E91" s="181"/>
      <c r="F91" s="181"/>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81"/>
      <c r="E93" s="181"/>
      <c r="F93" s="181"/>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81"/>
      <c r="E95" s="181"/>
      <c r="F95" s="181"/>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840 - State Controller's Office</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1668</v>
      </c>
      <c r="I8" s="45"/>
      <c r="J8" s="158" t="s">
        <v>1669</v>
      </c>
      <c r="K8" s="45"/>
      <c r="L8" s="158"/>
      <c r="M8" s="45"/>
      <c r="N8" s="158" t="s">
        <v>1637</v>
      </c>
      <c r="O8" s="45"/>
      <c r="P8" s="156"/>
      <c r="Q8" s="43"/>
    </row>
    <row r="9" spans="2:17" x14ac:dyDescent="0.35">
      <c r="B9" s="41"/>
      <c r="C9" s="45" t="s">
        <v>17</v>
      </c>
      <c r="Q9" s="43"/>
    </row>
    <row r="10" spans="2:17" ht="18.600000000000001" thickBot="1" x14ac:dyDescent="0.4">
      <c r="B10" s="41"/>
      <c r="D10" s="35" t="s">
        <v>18</v>
      </c>
      <c r="F10" s="61">
        <f>'LS-Fund 0001 Journal Entries'!K23</f>
        <v>25316160</v>
      </c>
      <c r="G10" s="58"/>
      <c r="H10" s="61">
        <f>'LS-Fund 0001 Journal Entries'!J47+'LS-Fund 0001 Journal Entries'!J112</f>
        <v>210321</v>
      </c>
      <c r="I10" s="58"/>
      <c r="J10" s="61">
        <f>'LS-Fund 0001 Journal Entries'!J68+'LS-Fund 0001 Journal Entries'!J99</f>
        <v>10310124</v>
      </c>
      <c r="K10" s="58"/>
      <c r="L10" s="63">
        <f>SUM(F10+H10-J10)</f>
        <v>15216357</v>
      </c>
      <c r="M10" s="58"/>
      <c r="N10" s="61">
        <f>'LS-Fund 0001 Journal Entries'!J75</f>
        <v>5728588</v>
      </c>
      <c r="O10" s="58"/>
      <c r="P10" s="63">
        <f>L10-N10</f>
        <v>9487769</v>
      </c>
      <c r="Q10" s="43"/>
    </row>
    <row r="11" spans="2:17" ht="19.2" thickTop="1" thickBot="1" x14ac:dyDescent="0.4">
      <c r="B11" s="41"/>
      <c r="C11" s="45" t="s">
        <v>19</v>
      </c>
      <c r="F11" s="62">
        <f>SUM(F10:F10)</f>
        <v>25316160</v>
      </c>
      <c r="G11" s="58"/>
      <c r="H11" s="62">
        <f>SUM(H10:H10)</f>
        <v>210321</v>
      </c>
      <c r="I11" s="58"/>
      <c r="J11" s="62">
        <f>SUM(J10:J10)</f>
        <v>10310124</v>
      </c>
      <c r="K11" s="58"/>
      <c r="L11" s="62">
        <f>SUM(L10:L10)</f>
        <v>15216357</v>
      </c>
      <c r="M11" s="58"/>
      <c r="N11" s="62">
        <f>SUM(N10:N10)</f>
        <v>5728588</v>
      </c>
      <c r="O11" s="58"/>
      <c r="P11" s="62">
        <f>SUM(P10:P10)</f>
        <v>9487769</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L16" sqref="L1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197" t="s">
        <v>154</v>
      </c>
      <c r="B5" s="197"/>
      <c r="C5" s="197"/>
      <c r="D5" s="197"/>
      <c r="E5" s="197"/>
      <c r="F5" s="197"/>
      <c r="G5" s="197"/>
      <c r="H5" s="197"/>
      <c r="I5" s="197"/>
      <c r="J5" s="197"/>
      <c r="K5" s="197"/>
      <c r="L5" s="197"/>
      <c r="M5" s="197"/>
      <c r="N5" s="197"/>
      <c r="O5" s="197"/>
      <c r="P5" s="197"/>
      <c r="Q5" s="197"/>
    </row>
    <row r="6" spans="1:17" ht="15" customHeight="1" x14ac:dyDescent="0.3">
      <c r="A6" s="197"/>
      <c r="B6" s="197"/>
      <c r="C6" s="197"/>
      <c r="D6" s="197"/>
      <c r="E6" s="197"/>
      <c r="F6" s="197"/>
      <c r="G6" s="197"/>
      <c r="H6" s="197"/>
      <c r="I6" s="197"/>
      <c r="J6" s="197"/>
      <c r="K6" s="197"/>
      <c r="L6" s="197"/>
      <c r="M6" s="197"/>
      <c r="N6" s="197"/>
      <c r="O6" s="197"/>
      <c r="P6" s="197"/>
      <c r="Q6" s="197"/>
    </row>
    <row r="7" spans="1:17" x14ac:dyDescent="0.3">
      <c r="A7" s="197"/>
      <c r="B7" s="197"/>
      <c r="C7" s="197"/>
      <c r="D7" s="197"/>
      <c r="E7" s="197"/>
      <c r="F7" s="197"/>
      <c r="G7" s="197"/>
      <c r="H7" s="197"/>
      <c r="I7" s="197"/>
      <c r="J7" s="197"/>
      <c r="K7" s="197"/>
      <c r="L7" s="197"/>
      <c r="M7" s="197"/>
      <c r="N7" s="197"/>
      <c r="O7" s="197"/>
      <c r="P7" s="197"/>
      <c r="Q7" s="197"/>
    </row>
    <row r="8" spans="1:17" ht="15" customHeight="1" x14ac:dyDescent="0.3">
      <c r="A8" s="198" t="s">
        <v>1629</v>
      </c>
      <c r="B8" s="198"/>
      <c r="C8" s="198"/>
      <c r="D8" s="198"/>
      <c r="E8" s="198"/>
      <c r="F8" s="198"/>
      <c r="G8" s="198"/>
      <c r="H8" s="198"/>
      <c r="I8" s="198"/>
      <c r="J8" s="198"/>
      <c r="K8" s="198"/>
      <c r="L8" s="198"/>
      <c r="M8" s="198"/>
      <c r="N8" s="198"/>
      <c r="O8" s="198"/>
      <c r="P8" s="198"/>
      <c r="Q8" s="198"/>
    </row>
    <row r="9" spans="1:17" x14ac:dyDescent="0.3">
      <c r="A9" s="198"/>
      <c r="B9" s="198"/>
      <c r="C9" s="198"/>
      <c r="D9" s="198"/>
      <c r="E9" s="198"/>
      <c r="F9" s="198"/>
      <c r="G9" s="198"/>
      <c r="H9" s="198"/>
      <c r="I9" s="198"/>
      <c r="J9" s="198"/>
      <c r="K9" s="198"/>
      <c r="L9" s="198"/>
      <c r="M9" s="198"/>
      <c r="N9" s="198"/>
      <c r="O9" s="198"/>
      <c r="P9" s="198"/>
      <c r="Q9" s="198"/>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199" t="s">
        <v>143</v>
      </c>
      <c r="C13" s="199"/>
      <c r="D13" s="199"/>
      <c r="E13" s="199"/>
      <c r="F13" s="199"/>
      <c r="G13" s="199"/>
      <c r="H13" s="199"/>
      <c r="I13" s="199"/>
      <c r="J13" s="199"/>
      <c r="K13" s="199"/>
      <c r="L13" s="199"/>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1667</v>
      </c>
      <c r="I15" s="79" t="s">
        <v>146</v>
      </c>
      <c r="J15" s="79" t="s">
        <v>1670</v>
      </c>
      <c r="K15" s="80"/>
      <c r="L15" s="79"/>
      <c r="M15" s="80"/>
      <c r="N15" s="81" t="s">
        <v>148</v>
      </c>
      <c r="O15" s="78"/>
      <c r="P15" s="82" t="s">
        <v>149</v>
      </c>
      <c r="Q15" s="75"/>
    </row>
    <row r="16" spans="1:17" ht="15" customHeight="1" x14ac:dyDescent="0.3">
      <c r="A16" s="83"/>
      <c r="B16" s="84">
        <f>IF('LS-Fund 0001 Journal Entries'!$F$8="Governmental Fund",'LS-Fund 0001 Journal Entries'!$K$23,0)</f>
        <v>25316160</v>
      </c>
      <c r="C16" s="116" t="s">
        <v>146</v>
      </c>
      <c r="D16" s="84">
        <f>IF('LS-Fund 0001 Journal Entries'!$F$8="Governmental Fund",'LS-Fund 0001 Journal Entries'!$K$48,0)</f>
        <v>210321</v>
      </c>
      <c r="E16" s="118" t="s">
        <v>147</v>
      </c>
      <c r="F16" s="84">
        <f>IF('LS-Fund 0001 Journal Entries'!$F$8="Governmental Fund",'LS-Fund 0001 Journal Entries'!$J$68,0)</f>
        <v>10310124</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15216357</v>
      </c>
      <c r="M16" s="86"/>
      <c r="N16" s="88">
        <f>SUM('LS-Department Note Disclosure'!B13:B36)</f>
        <v>15216357</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199" t="s">
        <v>143</v>
      </c>
      <c r="C21" s="199"/>
      <c r="D21" s="199"/>
      <c r="E21" s="199"/>
      <c r="F21" s="199"/>
      <c r="G21" s="199"/>
      <c r="H21" s="199"/>
      <c r="I21" s="199"/>
      <c r="J21" s="199"/>
      <c r="K21" s="199"/>
      <c r="L21" s="199"/>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1667</v>
      </c>
      <c r="I23" s="79" t="s">
        <v>146</v>
      </c>
      <c r="J23" s="79" t="s">
        <v>1670</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199" t="s">
        <v>143</v>
      </c>
      <c r="C30" s="199"/>
      <c r="D30" s="199"/>
      <c r="E30" s="199"/>
      <c r="F30" s="199"/>
      <c r="G30" s="199"/>
      <c r="H30" s="199"/>
      <c r="I30" s="199"/>
      <c r="J30" s="199"/>
      <c r="K30" s="199"/>
      <c r="L30" s="199"/>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1667</v>
      </c>
      <c r="I32" s="79" t="s">
        <v>146</v>
      </c>
      <c r="J32" s="79" t="s">
        <v>1670</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199" t="s">
        <v>143</v>
      </c>
      <c r="C40" s="199"/>
      <c r="D40" s="199"/>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5728588</v>
      </c>
      <c r="C42" s="92"/>
      <c r="E42" s="92"/>
      <c r="G42" s="115"/>
      <c r="H42" s="115"/>
      <c r="I42" s="115"/>
      <c r="J42" s="115"/>
      <c r="K42" s="92"/>
      <c r="L42" s="92"/>
      <c r="M42" s="93"/>
      <c r="N42" s="88">
        <f>'LS-Department Note Disclosure'!B13</f>
        <v>5728588</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199" t="s">
        <v>143</v>
      </c>
      <c r="C47" s="199"/>
      <c r="D47" s="199"/>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199" t="s">
        <v>143</v>
      </c>
      <c r="C55" s="199"/>
      <c r="D55" s="199"/>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00" t="s">
        <v>143</v>
      </c>
      <c r="C64" s="200"/>
      <c r="D64" s="200"/>
      <c r="E64" s="200"/>
      <c r="F64" s="200"/>
      <c r="G64" s="200"/>
      <c r="H64" s="200"/>
      <c r="I64" s="95"/>
      <c r="J64" s="77" t="s">
        <v>1628</v>
      </c>
      <c r="K64" s="95"/>
      <c r="L64" s="200" t="s">
        <v>12</v>
      </c>
      <c r="M64" s="200"/>
      <c r="N64" s="200"/>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25316160</v>
      </c>
      <c r="J66" s="97">
        <f>SUM(D66)</f>
        <v>25316160</v>
      </c>
      <c r="L66" s="98" t="str">
        <f>CONCATENATE("Balance July 1, ",LEFT('LS-Department Note Disclosure'!$B$8,4))</f>
        <v>Balance July 1, 2022</v>
      </c>
      <c r="N66" s="97">
        <f>'LS-Lease Liabilities'!F10</f>
        <v>25316160</v>
      </c>
      <c r="P66" s="89">
        <f>J66-N66</f>
        <v>0</v>
      </c>
    </row>
    <row r="67" spans="1:17" x14ac:dyDescent="0.3">
      <c r="B67" s="79" t="s">
        <v>157</v>
      </c>
      <c r="D67" s="97">
        <f>$D$16</f>
        <v>210321</v>
      </c>
      <c r="E67" s="119" t="s">
        <v>146</v>
      </c>
      <c r="F67" s="79" t="s">
        <v>1670</v>
      </c>
      <c r="H67" s="97">
        <f>$J$16</f>
        <v>0</v>
      </c>
      <c r="J67" s="97">
        <f>SUM(D67,H67)</f>
        <v>210321</v>
      </c>
      <c r="L67" s="98" t="s">
        <v>13</v>
      </c>
      <c r="N67" s="97">
        <f>'LS-Lease Liabilities'!H10</f>
        <v>210321</v>
      </c>
      <c r="P67" s="89">
        <f t="shared" ref="P67:P69" si="0">J67-N67</f>
        <v>0</v>
      </c>
    </row>
    <row r="68" spans="1:17" x14ac:dyDescent="0.3">
      <c r="B68" s="79" t="s">
        <v>152</v>
      </c>
      <c r="D68" s="97">
        <f>$F$16</f>
        <v>10310124</v>
      </c>
      <c r="E68" s="119" t="s">
        <v>146</v>
      </c>
      <c r="F68" s="79" t="s">
        <v>1667</v>
      </c>
      <c r="H68" s="97">
        <f>$H$16</f>
        <v>0</v>
      </c>
      <c r="J68" s="97">
        <f>SUM(D68,H68)</f>
        <v>10310124</v>
      </c>
      <c r="L68" s="98" t="s">
        <v>14</v>
      </c>
      <c r="N68" s="97">
        <f>'LS-Lease Liabilities'!J10</f>
        <v>10310124</v>
      </c>
      <c r="P68" s="89">
        <f t="shared" si="0"/>
        <v>0</v>
      </c>
    </row>
    <row r="69" spans="1:17" x14ac:dyDescent="0.3">
      <c r="B69" s="79" t="s">
        <v>156</v>
      </c>
      <c r="D69" s="97">
        <f>$B$42</f>
        <v>5728588</v>
      </c>
      <c r="J69" s="97">
        <f>SUM(D69)</f>
        <v>5728588</v>
      </c>
      <c r="L69" s="98" t="s">
        <v>15</v>
      </c>
      <c r="N69" s="97">
        <f>'LS-Lease Liabilities'!N10</f>
        <v>5728588</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00" t="s">
        <v>143</v>
      </c>
      <c r="C75" s="200"/>
      <c r="D75" s="200"/>
      <c r="E75" s="200"/>
      <c r="F75" s="200"/>
      <c r="G75" s="200"/>
      <c r="H75" s="200"/>
      <c r="I75" s="95"/>
      <c r="J75" s="77" t="s">
        <v>1628</v>
      </c>
      <c r="K75" s="95"/>
      <c r="L75" s="200" t="s">
        <v>12</v>
      </c>
      <c r="M75" s="200"/>
      <c r="N75" s="200"/>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1670</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1667</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00" t="s">
        <v>143</v>
      </c>
      <c r="C86" s="200"/>
      <c r="D86" s="200"/>
      <c r="E86" s="200"/>
      <c r="F86" s="200"/>
      <c r="G86" s="200"/>
      <c r="H86" s="200"/>
      <c r="I86" s="95"/>
      <c r="J86" s="77" t="s">
        <v>1628</v>
      </c>
      <c r="K86" s="95"/>
      <c r="L86" s="200" t="s">
        <v>12</v>
      </c>
      <c r="M86" s="200"/>
      <c r="N86" s="200"/>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1670</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1667</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EF58F9C6-69FC-4934-B5FA-58D1828CCE46}"/>
</file>

<file path=customXml/itemProps2.xml><?xml version="1.0" encoding="utf-8"?>
<ds:datastoreItem xmlns:ds="http://schemas.openxmlformats.org/officeDocument/2006/customXml" ds:itemID="{A7B5531C-0572-434B-A425-F1223623E440}"/>
</file>

<file path=customXml/itemProps3.xml><?xml version="1.0" encoding="utf-8"?>
<ds:datastoreItem xmlns:ds="http://schemas.openxmlformats.org/officeDocument/2006/customXml" ds:itemID="{897091E5-9B32-4A74-89CF-0D15A683FEC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Drop Down Menus</vt:lpstr>
      <vt:lpstr>qryIndex02a</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2024-06-04T18:28:56Z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3421500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