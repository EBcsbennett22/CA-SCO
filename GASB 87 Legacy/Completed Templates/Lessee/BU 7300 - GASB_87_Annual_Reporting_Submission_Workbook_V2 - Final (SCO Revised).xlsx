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7300\"/>
    </mc:Choice>
  </mc:AlternateContent>
  <xr:revisionPtr revIDLastSave="0" documentId="13_ncr:1_{ED773BCC-9B86-465A-800B-F79A9D5BB9F3}"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<sst xmlns="http://schemas.openxmlformats.org/spreadsheetml/2006/main" count="7784" uniqueCount="1761">
  <si>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</si>
  <si>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</si>
  <si>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</si>
  <si>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</si>
  <si>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</si>
  <si>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</si>
  <si>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</si>
  <si>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</si>
  <si>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</si>
  <si>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</si>
  <si>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</si>
  <si>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</si>
  <si>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</si>
  <si>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</si>
  <si>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</si>
  <si>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</si>
  <si>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</si>
  <si>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</si>
  <si>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</si>
  <si>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</si>
  <si>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</si>
  <si>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</si>
  <si>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</si>
  <si>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</si>
  <si>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</si>
  <si>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</si>
  <si>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</si>
  <si>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</si>
  <si>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</si>
  <si>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</si>
  <si>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</si>
  <si>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</si>
  <si>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</si>
  <si>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</si>
  <si>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</si>
  <si>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</si>
  <si>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</si>
  <si>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</si>
  <si>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</si>
  <si>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</si>
  <si>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</si>
  <si>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</si>
  <si>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</si>
  <si>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</si>
  <si>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</si>
  <si>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</si>
  <si>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</si>
  <si>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</si>
  <si>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</si>
  <si>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</si>
  <si>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</si>
  <si>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</si>
  <si>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</si>
  <si>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</si>
  <si>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</si>
  <si>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</si>
  <si>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</si>
  <si>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</si>
  <si>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</si>
  <si>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</si>
  <si>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</si>
  <si>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</si>
  <si>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</si>
  <si>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</si>
  <si>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</si>
  <si>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</si>
  <si>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</si>
  <si>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</si>
  <si>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</si>
  <si>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</si>
  <si>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</si>
  <si>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</si>
  <si>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</si>
  <si>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</si>
  <si>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</si>
  <si>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</si>
  <si>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</si>
  <si>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</si>
  <si>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</si>
  <si>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</si>
  <si>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</si>
  <si>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</si>
  <si>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</si>
  <si>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</si>
  <si>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</si>
  <si>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</si>
  <si>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</si>
  <si>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</si>
  <si>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</si>
  <si>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</si>
  <si>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</si>
  <si>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</si>
  <si>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</si>
  <si>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</si>
  <si>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</si>
  <si>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</si>
  <si>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</si>
  <si>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</si>
  <si>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</si>
  <si>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</si>
  <si>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</si>
  <si>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</si>
  <si>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</si>
  <si>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</si>
  <si>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</si>
  <si>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</si>
  <si>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</si>
  <si>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</si>
  <si>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</si>
  <si>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</si>
  <si>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</si>
  <si>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</si>
  <si>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</si>
  <si>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</si>
  <si>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</si>
  <si>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</si>
  <si>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</si>
  <si>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</si>
  <si>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</si>
  <si>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</si>
  <si>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</si>
  <si>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</si>
  <si>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</si>
  <si>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</si>
  <si>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</si>
  <si>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</si>
  <si>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</si>
  <si>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</si>
  <si>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</si>
  <si>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</si>
  <si>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</si>
  <si>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</si>
  <si>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</si>
  <si>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</si>
  <si>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</si>
  <si>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</si>
  <si>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</si>
  <si>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</si>
  <si>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</si>
  <si>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</si>
  <si>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</si>
  <si>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</si>
  <si>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</si>
  <si>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</si>
  <si>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</si>
  <si>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</si>
  <si>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</si>
  <si>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</si>
  <si>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</si>
  <si>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</si>
  <si>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</si>
  <si>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</si>
  <si>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</si>
  <si>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</si>
  <si>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</si>
  <si>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</si>
  <si>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</si>
  <si>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</si>
  <si>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</si>
  <si>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</si>
  <si>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</si>
  <si>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</si>
  <si>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</si>
  <si>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</si>
  <si>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</si>
  <si>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</si>
  <si>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</si>
  <si>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</si>
  <si>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</si>
  <si>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</si>
  <si>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</si>
  <si>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</si>
  <si>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</si>
  <si>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</si>
  <si>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</si>
  <si>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</si>
  <si>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</si>
  <si>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</si>
  <si>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</si>
  <si>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</si>
  <si>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</si>
  <si>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</si>
  <si>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</si>
  <si>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</si>
  <si>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</si>
  <si>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</si>
  <si>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</si>
  <si>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</si>
  <si>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</si>
  <si>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</si>
  <si>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</si>
  <si>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</si>
  <si>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</si>
  <si>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</si>
  <si>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</si>
  <si>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</si>
  <si>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</si>
  <si>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</si>
  <si>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</si>
  <si>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</si>
  <si>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</si>
  <si>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</si>
  <si>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</si>
  <si>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</si>
  <si>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</si>
  <si>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</si>
  <si>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</si>
  <si>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</si>
  <si>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</si>
  <si>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</si>
  <si>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</si>
  <si>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</si>
  <si>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</si>
  <si>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</si>
  <si>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</si>
  <si>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</si>
  <si>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</si>
  <si>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</si>
  <si>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</si>
  <si>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</si>
  <si>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</si>
  <si>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</si>
  <si>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</si>
  <si>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</si>
  <si>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</si>
  <si>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</si>
  <si>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</si>
  <si>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</si>
  <si>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</si>
  <si>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</si>
  <si>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</si>
  <si>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</si>
  <si>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</si>
  <si>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</si>
  <si>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</si>
  <si>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</si>
  <si>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</si>
  <si>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</si>
  <si>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</si>
  <si>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</si>
  <si>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</si>
  <si>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</si>
  <si>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</si>
  <si>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</si>
  <si>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</si>
  <si>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</si>
  <si>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</si>
  <si>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</si>
  <si>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</si>
  <si>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</si>
  <si>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</si>
  <si>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</si>
  <si>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</si>
  <si>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</si>
  <si>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</si>
  <si>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</si>
  <si>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</si>
  <si>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</si>
  <si>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</si>
  <si>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</si>
  <si>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</si>
  <si>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</si>
  <si>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</si>
  <si>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</si>
  <si>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</si>
  <si>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</si>
  <si>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</si>
  <si>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</si>
  <si>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</si>
  <si>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</si>
  <si>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</si>
  <si>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</si>
  <si>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</si>
  <si>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</si>
  <si>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</si>
  <si>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</si>
  <si>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</si>
  <si>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</si>
  <si>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</si>
  <si>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</si>
  <si>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</si>
  <si>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</si>
  <si>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</si>
  <si>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</si>
  <si>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</si>
  <si>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</si>
  <si>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</si>
  <si>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</si>
  <si>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</si>
  <si>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</si>
  <si>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</si>
  <si>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</si>
  <si>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</si>
  <si>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</si>
  <si>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</si>
  <si>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</si>
  <si>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</si>
  <si>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</si>
  <si>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</si>
  <si>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</si>
  <si>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</si>
  <si>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</si>
  <si>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</si>
  <si>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</si>
  <si>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</si>
  <si>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</si>
  <si>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</si>
  <si>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</si>
  <si>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</si>
  <si>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</si>
  <si>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</si>
  <si>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</si>
  <si>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</si>
  <si>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</si>
  <si>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</si>
  <si>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</si>
  <si>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</si>
  <si>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</si>
  <si>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</si>
  <si>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</si>
  <si>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</si>
  <si>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</si>
  <si>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</si>
  <si>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</si>
  <si>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</si>
  <si>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</si>
  <si>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</si>
  <si>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</si>
  <si>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</si>
  <si>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</si>
  <si>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</si>
  <si>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</si>
  <si>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</si>
  <si>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</si>
  <si>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</si>
  <si>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</si>
  <si>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</si>
  <si>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</si>
  <si>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</si>
  <si>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</si>
  <si>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</si>
  <si>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</si>
  <si>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</si>
  <si>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</si>
  <si>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</si>
  <si>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</si>
  <si>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</si>
  <si>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</si>
  <si>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</si>
  <si>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</si>
  <si>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</si>
  <si>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</si>
  <si>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</si>
  <si>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</si>
  <si>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</si>
  <si>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</si>
  <si>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</si>
  <si>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</si>
  <si>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</si>
  <si>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</si>
  <si>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</si>
  <si>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</si>
  <si>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</si>
  <si>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</si>
  <si>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</si>
  <si>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</si>
  <si>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</si>
  <si>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</si>
  <si>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</si>
  <si>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</si>
  <si>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</si>
  <si>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</si>
  <si>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</si>
  <si>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</si>
  <si>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</si>
  <si>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</si>
  <si>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</si>
  <si>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</si>
  <si>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</si>
  <si>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</si>
  <si>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</si>
  <si>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</si>
  <si>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</si>
  <si>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</si>
  <si>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</si>
  <si>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</si>
  <si>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</si>
  <si>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</si>
  <si>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</si>
  <si>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</si>
  <si>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</si>
  <si>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</si>
  <si>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</si>
  <si>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</si>
  <si>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</si>
  <si>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</si>
  <si>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</si>
  <si>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</si>
  <si>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</si>
  <si>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</si>
  <si>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</si>
  <si>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</si>
  <si>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</si>
  <si>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</si>
  <si>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</si>
  <si>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</si>
  <si>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</si>
  <si>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</si>
  <si>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</si>
  <si>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</si>
  <si>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</si>
  <si>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</si>
  <si>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</si>
  <si>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</si>
  <si>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</si>
  <si>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</si>
  <si>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</si>
  <si>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</si>
  <si>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</si>
  <si>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</si>
  <si>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</si>
  <si>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</si>
  <si>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</si>
  <si>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</si>
  <si>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</si>
  <si>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</si>
  <si>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</si>
  <si>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</si>
  <si>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</si>
  <si>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</si>
  <si>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</si>
  <si>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</si>
  <si>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</si>
  <si>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</si>
  <si>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</si>
  <si>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</si>
  <si>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</si>
  <si>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</si>
  <si>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</si>
  <si>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</si>
  <si>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</si>
  <si>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</si>
  <si>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</si>
  <si>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</si>
  <si>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</si>
  <si>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</si>
  <si>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</si>
  <si>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</si>
  <si>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</si>
  <si>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</si>
  <si>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</si>
  <si>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</si>
  <si>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</si>
  <si>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</si>
  <si>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</si>
  <si>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</si>
  <si>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</si>
  <si>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</si>
  <si>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</si>
  <si>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</si>
  <si>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</si>
  <si>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</si>
  <si>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</si>
  <si>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</si>
  <si>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</si>
  <si>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</si>
  <si>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</si>
  <si>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</si>
  <si>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</si>
  <si>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</si>
  <si>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</si>
  <si>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</si>
  <si>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</si>
  <si>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</si>
  <si>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</si>
  <si>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</si>
  <si>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</si>
  <si>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</si>
  <si>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</si>
  <si>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</si>
  <si>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</si>
  <si>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</si>
  <si>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</si>
  <si>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</si>
  <si>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</si>
  <si>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</si>
  <si>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</si>
  <si>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</si>
  <si>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</si>
  <si>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</si>
  <si>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</si>
  <si>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</si>
  <si>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</si>
  <si>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</si>
  <si>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</si>
  <si>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</si>
  <si>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</si>
  <si>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</si>
  <si>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</si>
  <si>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</si>
  <si>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</si>
  <si>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</si>
  <si>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</si>
  <si>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</si>
  <si>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</si>
  <si>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</si>
  <si>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</si>
  <si>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</si>
  <si>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</si>
  <si>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</si>
  <si>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</si>
  <si>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</si>
  <si>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</si>
  <si>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</si>
  <si>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</si>
  <si>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</si>
  <si>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</si>
  <si>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</si>
  <si>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</si>
  <si>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</si>
  <si>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</si>
  <si>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</si>
  <si>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</si>
  <si>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</si>
  <si>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</si>
  <si>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</si>
  <si>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</si>
  <si>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</si>
  <si>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</si>
  <si>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</si>
  <si>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</si>
  <si>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</si>
  <si>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</si>
  <si>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</si>
  <si>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</si>
  <si>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</si>
  <si>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</si>
  <si>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</si>
  <si>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</si>
  <si>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</si>
  <si>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</si>
  <si>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</si>
  <si>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</si>
  <si>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</si>
  <si>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</si>
  <si>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</si>
  <si>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</si>
  <si>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</si>
  <si>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</si>
  <si>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</si>
  <si>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</si>
  <si>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</si>
  <si>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</si>
  <si>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</si>
  <si>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</si>
  <si>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</si>
  <si>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</si>
  <si>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</si>
  <si>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</si>
  <si>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</si>
  <si>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</si>
  <si>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</si>
  <si>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</si>
  <si>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</si>
  <si>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</si>
  <si>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</si>
  <si>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</si>
  <si>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</si>
  <si>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</si>
  <si>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</si>
  <si>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</si>
  <si>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</si>
  <si>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</si>
  <si>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</si>
  <si>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</si>
  <si>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</si>
  <si>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</si>
  <si>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</si>
  <si>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</si>
  <si>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</si>
  <si>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</si>
  <si>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</si>
  <si>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</si>
  <si>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</si>
  <si>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</si>
  <si>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</si>
  <si>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</si>
  <si>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</si>
  <si>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</si>
  <si>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</si>
  <si>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</si>
  <si>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</si>
  <si>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</si>
  <si>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</si>
  <si>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</si>
  <si>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</si>
  <si>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</si>
  <si>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</si>
  <si>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</si>
  <si>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</si>
  <si>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</si>
  <si>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</si>
  <si>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</si>
  <si>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</si>
  <si>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</si>
  <si>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</si>
  <si>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</si>
  <si>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</si>
  <si>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</si>
  <si>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</si>
  <si>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</si>
  <si>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</si>
  <si>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</si>
  <si>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</si>
  <si>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</si>
  <si>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</si>
  <si>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</si>
  <si>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</si>
  <si>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</si>
  <si>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</si>
  <si>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</si>
  <si>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</si>
  <si>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</si>
  <si>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</si>
  <si>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</si>
  <si>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</si>
  <si>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</si>
  <si>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</si>
  <si>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</si>
  <si>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</si>
  <si>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</si>
  <si>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</si>
  <si>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</si>
  <si>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</si>
  <si>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</si>
  <si>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</si>
  <si>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</si>
  <si>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</si>
  <si>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</si>
  <si>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</si>
  <si>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</si>
  <si>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</si>
  <si>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</si>
  <si>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</si>
  <si>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</si>
  <si>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</si>
  <si>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</si>
  <si>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</si>
  <si>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</si>
  <si>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</si>
  <si>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</si>
  <si>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</si>
  <si>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</si>
  <si>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</si>
  <si>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</si>
  <si>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</si>
  <si>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</si>
  <si>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</si>
  <si>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</si>
  <si>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</si>
  <si>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</si>
  <si>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</si>
  <si>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</si>
  <si>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</si>
  <si>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</si>
  <si>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</si>
  <si>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</si>
  <si>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</si>
  <si>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</si>
  <si>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</si>
  <si>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</si>
  <si>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</si>
  <si>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</si>
  <si>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</si>
  <si>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</si>
  <si>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</si>
  <si>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</si>
  <si>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</si>
  <si>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</si>
  <si>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</si>
  <si>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</si>
  <si>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</si>
  <si>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</si>
  <si>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</si>
  <si>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</si>
  <si>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</si>
  <si>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</si>
  <si>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</si>
  <si>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</si>
  <si>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</si>
  <si>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</si>
  <si>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</si>
  <si>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</si>
  <si>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</si>
  <si>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</si>
  <si>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</si>
  <si>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</si>
  <si>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</si>
  <si>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</si>
  <si>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</si>
  <si>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</si>
  <si>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</si>
  <si>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</si>
  <si>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</si>
  <si>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</si>
  <si>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</si>
  <si>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</si>
  <si>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</si>
  <si>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</si>
  <si>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</si>
  <si>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</si>
  <si>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</si>
  <si>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</si>
  <si>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</si>
  <si>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</si>
  <si>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</si>
  <si>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</si>
  <si>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</si>
  <si>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</si>
  <si>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</si>
  <si>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</si>
  <si>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</si>
  <si>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</si>
  <si>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</si>
  <si>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</si>
  <si>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</si>
  <si>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</si>
  <si>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</si>
  <si>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</si>
  <si>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</si>
  <si>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</si>
  <si>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</si>
  <si>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</si>
  <si>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</si>
  <si>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</si>
  <si>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</si>
  <si>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</si>
  <si>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</si>
  <si>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</si>
  <si>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</si>
  <si>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</si>
  <si>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</si>
  <si>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</si>
  <si>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</si>
  <si>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</si>
  <si>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</si>
  <si>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</si>
  <si>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</si>
  <si>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</si>
  <si>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</si>
  <si>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</si>
  <si>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</si>
  <si>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</si>
  <si>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</si>
  <si>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</si>
  <si>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</si>
  <si>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</si>
  <si>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</si>
  <si>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</si>
  <si>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</si>
  <si>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</si>
  <si>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</si>
  <si>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</si>
  <si>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</si>
  <si>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</si>
  <si>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</si>
  <si>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</si>
  <si>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</si>
  <si>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</si>
  <si>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</si>
  <si>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</si>
  <si>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</si>
  <si>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</si>
  <si>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</si>
  <si>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</si>
  <si>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</si>
  <si>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</si>
  <si>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</si>
  <si>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</si>
  <si>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</si>
  <si>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</si>
  <si>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</si>
  <si>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</si>
  <si>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</si>
  <si>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</si>
  <si>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</si>
  <si>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</si>
  <si>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</si>
  <si>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</si>
  <si>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</si>
  <si>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</si>
  <si>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</si>
  <si>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</si>
  <si>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</si>
  <si>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</si>
  <si>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</si>
  <si>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</si>
  <si>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</si>
  <si>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</si>
  <si>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</si>
  <si>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</si>
  <si>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</si>
  <si>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</si>
  <si>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</si>
  <si>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</si>
  <si>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</si>
  <si>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</si>
  <si>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</si>
  <si>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</si>
  <si>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</si>
  <si>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</si>
  <si>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</si>
  <si>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</si>
  <si>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</si>
  <si>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</si>
  <si>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</si>
  <si>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</si>
  <si>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</si>
  <si>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</si>
  <si>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</si>
  <si>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</si>
  <si>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</si>
  <si>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</si>
  <si>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</si>
  <si>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</si>
  <si>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</si>
  <si>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</si>
  <si>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</si>
  <si>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</si>
  <si>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</si>
  <si>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</si>
  <si>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</si>
  <si>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</si>
  <si>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</si>
  <si>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</si>
  <si>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</si>
  <si>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</si>
  <si>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</si>
  <si>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</si>
  <si>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</si>
  <si>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</si>
  <si>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</si>
  <si>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</si>
  <si>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</si>
  <si>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</si>
  <si>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</si>
  <si>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</si>
  <si>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</si>
  <si>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</si>
  <si>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</si>
  <si>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</si>
  <si>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</si>
  <si>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</si>
  <si>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</si>
  <si>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</si>
  <si>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</si>
  <si>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</si>
  <si>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</si>
  <si>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</si>
  <si>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</si>
  <si>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</si>
  <si>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</si>
  <si>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</si>
  <si>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</si>
  <si>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</si>
  <si>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</si>
  <si>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</si>
  <si>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</si>
  <si>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</si>
  <si>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</si>
  <si>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</si>
  <si>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</si>
  <si>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</si>
  <si>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</si>
  <si>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</si>
  <si>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</si>
  <si>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</si>
  <si>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</si>
  <si>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</si>
  <si>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</si>
  <si>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</si>
  <si>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</si>
  <si>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</si>
  <si>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</si>
  <si>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</si>
  <si>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</si>
  <si>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</si>
  <si>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</si>
  <si>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</si>
  <si>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</si>
  <si>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</si>
  <si>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</si>
  <si>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</si>
  <si>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</si>
  <si>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</si>
  <si>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</si>
  <si>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</si>
  <si>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</si>
  <si>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</si>
  <si>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</si>
  <si>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</si>
  <si>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</si>
  <si>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</si>
  <si>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</si>
  <si>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</si>
  <si>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</si>
  <si>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</si>
  <si>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</si>
  <si>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</si>
  <si>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</si>
  <si>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</si>
  <si>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</si>
  <si>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</si>
  <si>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</si>
  <si>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</si>
  <si>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</si>
  <si>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</si>
  <si>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</si>
  <si>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</si>
  <si>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</si>
  <si>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</si>
  <si>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</si>
  <si>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</si>
  <si>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</si>
  <si>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</si>
  <si>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</si>
  <si>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</si>
  <si>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</si>
  <si>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</si>
  <si>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</si>
  <si>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</si>
  <si>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</si>
  <si>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</si>
  <si>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</si>
  <si>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</si>
  <si>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</si>
  <si>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</si>
  <si>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</si>
  <si>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</si>
  <si>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</si>
  <si>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</si>
  <si>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</si>
  <si>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</si>
  <si>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</si>
  <si>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</si>
  <si>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</si>
  <si>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</si>
  <si>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</si>
  <si>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</si>
  <si>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</si>
  <si>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</si>
  <si>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</si>
  <si>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</si>
  <si>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</si>
  <si>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</si>
  <si>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</si>
  <si>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</si>
  <si>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</si>
  <si>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</si>
  <si>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</si>
  <si>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</si>
  <si>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</si>
  <si>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</si>
  <si>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</si>
  <si>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</si>
  <si>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</si>
  <si>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</si>
  <si>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</si>
  <si>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</si>
  <si>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</si>
  <si>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</si>
  <si>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</si>
  <si>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</si>
  <si>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</si>
  <si>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</si>
  <si>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</si>
  <si>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</si>
  <si>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</si>
  <si>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</si>
  <si>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</si>
  <si>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</si>
  <si>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</si>
  <si>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</si>
  <si>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</si>
  <si>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</si>
  <si>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</si>
  <si>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</si>
  <si>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</si>
  <si>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</si>
  <si>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</si>
  <si>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</si>
  <si>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</si>
  <si>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</si>
  <si>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</si>
  <si>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</si>
  <si>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</si>
  <si>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</si>
  <si>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</si>
  <si>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</si>
  <si>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</si>
  <si>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</si>
  <si>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</si>
  <si>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</si>
  <si>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</si>
  <si>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</si>
  <si>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</si>
  <si>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</si>
  <si>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</si>
  <si>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</si>
  <si>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</si>
  <si>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</si>
  <si>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</si>
  <si>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</si>
  <si>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</si>
  <si>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</si>
  <si>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</si>
  <si>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</si>
  <si>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</si>
  <si>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</si>
  <si>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</si>
  <si>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</si>
  <si>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</si>
  <si>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</si>
  <si>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</si>
  <si>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</si>
  <si>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</si>
  <si>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</si>
  <si>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</si>
  <si>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</si>
  <si>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</si>
  <si>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</si>
  <si>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</si>
  <si>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</si>
  <si>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</si>
  <si>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</si>
  <si>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</si>
  <si>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</si>
  <si>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</si>
  <si>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</si>
  <si>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</si>
  <si>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</si>
  <si>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</si>
  <si>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</si>
  <si>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</si>
  <si>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</si>
  <si>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</si>
  <si>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</si>
  <si>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</si>
  <si>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</si>
  <si>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</si>
  <si>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</si>
  <si>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</si>
  <si>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</si>
  <si>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</si>
  <si>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</si>
  <si>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</si>
  <si>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</si>
  <si>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</si>
  <si>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</si>
  <si>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</si>
  <si>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</si>
  <si>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</si>
  <si>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</si>
  <si>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</si>
  <si>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</si>
  <si>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</si>
  <si>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</si>
  <si>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</si>
  <si>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</si>
  <si>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</si>
  <si>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</si>
  <si>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</si>
  <si>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</si>
  <si>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</si>
  <si>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</si>
  <si>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</si>
  <si>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</si>
  <si>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</si>
  <si>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</si>
  <si>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</si>
  <si>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</si>
  <si>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</si>
  <si>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</si>
  <si>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</si>
  <si>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</si>
  <si>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</si>
  <si>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</si>
  <si>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</si>
  <si>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</si>
  <si>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</si>
  <si>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</si>
  <si>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</si>
  <si>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</si>
  <si>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</si>
  <si>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</si>
  <si>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</si>
  <si>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</si>
  <si>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</si>
  <si>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</si>
  <si>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</si>
  <si>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</si>
  <si>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</si>
  <si>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</si>
  <si>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</si>
  <si>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</si>
  <si>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</si>
  <si>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</si>
  <si>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</si>
  <si>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</si>
  <si>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</si>
  <si>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</si>
  <si>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</si>
  <si>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</si>
  <si>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</si>
  <si>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</si>
  <si>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</si>
  <si>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</si>
  <si>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</si>
  <si>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</si>
  <si>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</si>
  <si>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</si>
  <si>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</si>
  <si>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</si>
  <si>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</si>
  <si>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</si>
  <si>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</si>
  <si>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</si>
  <si>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</si>
  <si>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</si>
  <si>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</si>
  <si>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</si>
  <si>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</si>
  <si>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</si>
  <si>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</si>
  <si>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</si>
  <si>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</si>
  <si>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</si>
  <si>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</si>
  <si>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</si>
  <si>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</si>
  <si>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</si>
  <si>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</si>
  <si>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</si>
  <si>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</si>
  <si>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</si>
  <si>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</si>
  <si>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</si>
  <si>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</si>
  <si>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</si>
  <si>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</si>
  <si>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</si>
  <si>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</si>
  <si>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</si>
  <si>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</si>
  <si>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</si>
  <si>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</si>
  <si>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</si>
  <si>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</si>
  <si>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</si>
  <si>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</si>
  <si>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</si>
  <si>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</si>
  <si>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</si>
  <si>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</si>
  <si>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</si>
  <si>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</si>
  <si>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</si>
  <si>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</si>
  <si>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</si>
  <si>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</si>
  <si>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</si>
  <si>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</si>
  <si>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</si>
  <si>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</si>
  <si>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</si>
  <si>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</si>
  <si>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</si>
  <si>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</si>
  <si>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</si>
  <si>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</si>
  <si>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</si>
  <si>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</si>
  <si>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</si>
  <si>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</si>
  <si>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</si>
  <si>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</si>
  <si>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</si>
  <si>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</si>
  <si>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</si>
  <si>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</si>
  <si>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</si>
  <si>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</si>
  <si>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</si>
  <si>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</si>
  <si>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</si>
  <si>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</si>
  <si>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</si>
  <si>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</si>
  <si>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</si>
  <si>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</si>
  <si>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</si>
  <si>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</si>
  <si>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</si>
  <si>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</si>
  <si>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</si>
  <si>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</si>
  <si>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</si>
  <si>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</si>
  <si>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</si>
  <si>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</si>
  <si>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</si>
  <si>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</si>
  <si>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</si>
  <si>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</si>
  <si>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</si>
  <si>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</si>
  <si>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</si>
  <si>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</si>
  <si>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</si>
  <si>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</si>
  <si>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</si>
  <si>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</si>
  <si>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</si>
  <si>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</si>
  <si>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</si>
  <si>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</si>
  <si>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</si>
  <si>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</si>
  <si>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</si>
  <si>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</si>
  <si>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</si>
  <si>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</si>
  <si>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</si>
  <si>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</si>
  <si>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</si>
  <si>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</si>
  <si>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</si>
  <si>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</si>
  <si>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</si>
  <si>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</si>
  <si>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</si>
  <si>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</si>
  <si>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</si>
  <si>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</si>
  <si>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</si>
  <si>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</si>
  <si>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</si>
  <si>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</si>
  <si>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</si>
  <si>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</si>
  <si>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</si>
  <si>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</si>
  <si>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</si>
  <si>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</si>
  <si>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</si>
  <si>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</si>
  <si>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</si>
  <si>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</si>
  <si>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</si>
  <si>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</si>
  <si>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</si>
  <si>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</si>
  <si>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</si>
  <si>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</si>
  <si>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</si>
  <si>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</si>
  <si>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</si>
  <si>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</si>
  <si>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</si>
  <si>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</si>
  <si>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</si>
  <si>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</si>
  <si>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</si>
  <si>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</si>
  <si>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</si>
  <si>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</si>
  <si>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</si>
  <si>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</si>
  <si>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</si>
  <si>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</si>
  <si>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</si>
  <si>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</si>
  <si>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</si>
  <si>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</si>
  <si>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</si>
  <si>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</si>
  <si>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</si>
  <si>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</si>
  <si>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</si>
  <si>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</si>
  <si>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</si>
  <si>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</si>
  <si>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</si>
  <si>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</si>
  <si>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</si>
  <si>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</si>
  <si>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</si>
  <si>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</si>
  <si>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</si>
  <si>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</si>
  <si>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</si>
  <si>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</si>
  <si>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</si>
  <si>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</si>
  <si>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</si>
  <si>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</si>
  <si>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</si>
  <si>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</si>
  <si>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</si>
  <si>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</si>
  <si>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</si>
  <si>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</si>
  <si>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</si>
  <si>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</si>
  <si>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</si>
  <si>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</si>
  <si>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</si>
  <si>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</si>
  <si>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</si>
  <si>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</si>
  <si>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</si>
  <si>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</si>
  <si>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</si>
  <si>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</si>
  <si>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</si>
  <si>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</si>
  <si>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</si>
  <si>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</si>
  <si>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</si>
  <si>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</si>
  <si>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</si>
  <si>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</si>
  <si>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</si>
  <si>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</si>
  <si>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</si>
  <si>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</si>
  <si>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</si>
  <si>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</si>
  <si>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</si>
  <si>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</si>
  <si>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</si>
  <si>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</si>
  <si>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</si>
  <si>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</si>
  <si>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</si>
  <si>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</si>
  <si>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</si>
  <si>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</si>
  <si>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</si>
  <si>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</si>
  <si>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</si>
  <si>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</si>
  <si>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</si>
  <si>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</si>
  <si>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</si>
  <si>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</si>
  <si>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</si>
  <si>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</si>
  <si>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</si>
  <si>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</si>
  <si>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</si>
  <si>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</si>
  <si>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</si>
  <si>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</si>
  <si>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</si>
  <si>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</si>
  <si>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</si>
  <si>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</si>
  <si>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</si>
  <si>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</si>
  <si>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</si>
  <si>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</si>
  <si>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</si>
  <si>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</si>
  <si>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</si>
  <si>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</si>
  <si>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</si>
  <si>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</si>
  <si>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</si>
  <si>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</si>
  <si>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</si>
  <si>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</si>
  <si>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</si>
  <si>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</si>
  <si>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</si>
  <si>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</si>
  <si>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</si>
  <si>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</si>
  <si>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</si>
  <si>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</si>
  <si>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</si>
  <si>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</si>
  <si>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</si>
  <si>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</si>
  <si>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</si>
  <si>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</si>
  <si>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</si>
  <si>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</si>
  <si>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</si>
  <si>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</si>
  <si>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</si>
  <si>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</si>
  <si>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</si>
  <si>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</si>
  <si>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</si>
  <si>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</si>
  <si>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</si>
  <si>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</si>
  <si>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</si>
  <si>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</si>
  <si>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</si>
  <si>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</si>
  <si>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</si>
  <si>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</si>
  <si>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</si>
  <si>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</si>
  <si>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</si>
  <si>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</si>
  <si>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</si>
  <si>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</si>
  <si>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</si>
  <si>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</si>
  <si>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</si>
  <si>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</si>
  <si>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</si>
  <si>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</si>
  <si>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</si>
  <si>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</si>
  <si>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</si>
  <si>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</si>
  <si>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</si>
  <si>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</si>
  <si>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</si>
  <si>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</si>
  <si>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</si>
  <si>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</si>
  <si>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</si>
  <si>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</si>
  <si>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</si>
  <si>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</si>
  <si>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</si>
  <si>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</si>
  <si>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</si>
  <si>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</si>
  <si>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</si>
  <si>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</si>
  <si>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</si>
  <si>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</si>
  <si>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</si>
  <si>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</si>
  <si>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</si>
  <si>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</si>
  <si>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</si>
  <si>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</si>
  <si>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</si>
  <si>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</si>
  <si>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</si>
  <si>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</si>
  <si>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</si>
  <si>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</si>
  <si>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</si>
  <si>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</si>
  <si>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</si>
  <si>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</si>
  <si>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</si>
  <si>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</si>
  <si>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</si>
  <si>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</si>
  <si>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</si>
  <si>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</si>
  <si>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</si>
  <si>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</si>
  <si>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</si>
  <si>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</si>
  <si>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</si>
  <si>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</si>
  <si>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</si>
  <si>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</si>
  <si>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</si>
  <si>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</si>
  <si>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</si>
  <si>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</si>
  <si>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</si>
  <si>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</si>
  <si>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</si>
  <si>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</si>
  <si>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</si>
  <si>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</si>
  <si>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</si>
  <si>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</si>
  <si>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</si>
  <si>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</si>
  <si>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</si>
  <si>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</si>
  <si>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</si>
  <si>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</si>
  <si>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</si>
  <si>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</si>
  <si>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</si>
  <si>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</si>
  <si>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</si>
  <si>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</si>
  <si>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</si>
  <si>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</si>
  <si>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</si>
  <si>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</si>
  <si>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</si>
  <si>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</si>
  <si>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</si>
  <si>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</si>
  <si>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</si>
  <si>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</si>
  <si>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</si>
  <si>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</si>
  <si>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</si>
  <si>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</si>
  <si>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</si>
  <si>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</si>
  <si>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</si>
  <si>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</si>
  <si>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</si>
  <si>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</si>
  <si>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</si>
  <si>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</si>
  <si>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</si>
  <si>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</si>
  <si>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</si>
  <si>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</si>
  <si>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</si>
  <si>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</si>
  <si>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</si>
  <si>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</si>
  <si>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</si>
  <si>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</si>
  <si>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</si>
  <si>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</si>
  <si>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</si>
  <si>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</si>
  <si>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</si>
  <si>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</si>
  <si>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</si>
  <si>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</si>
  <si>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</si>
  <si>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</si>
  <si>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</si>
  <si>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</si>
  <si>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</si>
  <si>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</si>
  <si>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</si>
  <si>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</si>
  <si>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</si>
  <si>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</si>
  <si>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</si>
  <si>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</si>
  <si>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</si>
  <si>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</si>
  <si>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</si>
  <si>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</si>
  <si>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</si>
  <si>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</si>
  <si>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</si>
  <si>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</si>
  <si>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</si>
  <si>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</si>
  <si>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</si>
  <si>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</si>
  <si>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</si>
  <si>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</si>
  <si>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</si>
  <si>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</si>
  <si>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</si>
  <si>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</si>
  <si>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</si>
  <si>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</si>
  <si>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</si>
  <si>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</si>
  <si>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</si>
  <si>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</si>
  <si>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</si>
  <si>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</si>
  <si>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</si>
  <si>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</si>
  <si>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</si>
  <si>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</si>
  <si>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</si>
  <si>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</si>
  <si>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</si>
  <si>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</si>
  <si>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</si>
  <si>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</si>
  <si>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</si>
  <si>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</si>
  <si>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</si>
  <si>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</si>
  <si>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</si>
  <si>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</si>
  <si>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</si>
  <si>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</si>
  <si>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</si>
  <si>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</si>
  <si>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</si>
  <si>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</si>
  <si>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</si>
  <si>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</si>
  <si>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</si>
  <si>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</si>
  <si>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</si>
  <si>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</si>
  <si>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</si>
  <si>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</si>
  <si>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</si>
  <si>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</si>
  <si>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</si>
  <si>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</si>
  <si>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</si>
  <si>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</si>
  <si>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</si>
  <si>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</si>
  <si>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</si>
  <si>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</si>
  <si>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</si>
  <si>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</si>
  <si>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</si>
  <si>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</si>
  <si>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</si>
  <si>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</si>
  <si>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</si>
  <si>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</si>
  <si>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</si>
  <si>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</si>
  <si>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</si>
  <si>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</si>
  <si>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</si>
  <si>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</si>
  <si>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</si>
  <si>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</si>
  <si>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</si>
  <si>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</si>
  <si>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</si>
  <si>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</si>
  <si>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</si>
  <si>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</si>
  <si>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</si>
  <si>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</si>
  <si>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</si>
  <si>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</si>
  <si>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</si>
  <si>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</si>
  <si>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</si>
  <si>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</si>
  <si>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</si>
  <si>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</si>
  <si>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</si>
  <si>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</si>
  <si>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</si>
  <si>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</si>
  <si>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</si>
  <si>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</si>
  <si>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</si>
  <si>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</si>
  <si>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</si>
  <si>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</si>
  <si>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</si>
  <si>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</si>
  <si>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</si>
  <si>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</si>
  <si>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</si>
  <si>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</si>
  <si>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</si>
  <si>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</si>
  <si>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</si>
  <si>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</si>
  <si>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</si>
  <si>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</si>
  <si>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</si>
  <si>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</si>
  <si>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</si>
  <si>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</si>
  <si>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</si>
  <si>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</si>
  <si>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</si>
  <si>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</si>
  <si>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</si>
  <si>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</si>
  <si>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</si>
  <si>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</si>
  <si>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</si>
  <si>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</si>
  <si>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</si>
  <si>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</si>
  <si>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</si>
  <si>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</si>
  <si>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</si>
  <si>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</si>
  <si>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</si>
  <si>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</si>
  <si>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</si>
  <si>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</si>
  <si>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</si>
  <si>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</si>
  <si>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</si>
  <si>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</si>
  <si>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</si>
  <si>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</si>
  <si>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</si>
  <si>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</si>
  <si>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</si>
  <si>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</si>
  <si>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</si>
  <si>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</si>
  <si>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</si>
  <si>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</si>
  <si>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</si>
  <si>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</si>
  <si>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</si>
  <si>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</si>
  <si>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</si>
  <si>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</si>
  <si>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</si>
  <si>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</si>
  <si>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</si>
  <si>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</si>
  <si>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</si>
  <si>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</si>
  <si>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</si>
  <si>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</si>
  <si>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</si>
  <si>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</si>
  <si>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</si>
  <si>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</si>
  <si>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</si>
  <si>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</si>
  <si>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</si>
  <si>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</si>
  <si>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</si>
  <si>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</si>
  <si>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</si>
  <si>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</si>
  <si>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</si>
  <si>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</si>
  <si>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</si>
  <si>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</si>
  <si>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</si>
  <si>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</si>
  <si>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</si>
  <si>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</si>
  <si>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</si>
  <si>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</si>
  <si>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</si>
  <si>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</si>
  <si>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</si>
  <si>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</si>
  <si>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</si>
  <si>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</si>
  <si>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</si>
  <si>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</si>
  <si>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</si>
  <si>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</si>
  <si>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</si>
  <si>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</si>
  <si>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Agricultural Labor Relations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</si>
</sst>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425781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42578125" bestFit="1" customWidth="1"/>
    <col min="2" max="2" width="34.85546875" bestFit="1" customWidth="1"/>
    <col min="3" max="3" width="5.42578125" bestFit="1" customWidth="1"/>
    <col min="4" max="4" width="33.42578125" bestFit="1" customWidth="1"/>
    <col min="5" max="5" width="8.5703125" customWidth="1"/>
    <col min="6" max="9" width="5.42578125" bestFit="1" customWidth="1"/>
    <col min="10" max="10" width="12.425781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18" sqref="E18"/>
    </sheetView>
  </sheetViews>
  <sheetFormatPr defaultColWidth="8.85546875" defaultRowHeight="14.25" x14ac:dyDescent="0.25"/>
  <cols>
    <col min="1" max="1" width="18.85546875" style="171" customWidth="1"/>
    <col min="2" max="2" width="21.5703125" style="171" customWidth="1"/>
    <col min="3" max="4" width="14.140625" style="171" customWidth="1"/>
    <col min="5" max="5" width="65.5703125" style="171" customWidth="1"/>
    <col min="6" max="6" width="26.425781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28.25"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80" zoomScaleNormal="80" workbookViewId="0">
      <selection activeCell="M10" sqref="M10"/>
    </sheetView>
  </sheetViews>
  <sheetFormatPr defaultColWidth="9.140625" defaultRowHeight="15" x14ac:dyDescent="0.25"/>
  <cols>
    <col min="1" max="1" width="13.42578125" style="10" customWidth="1"/>
    <col min="2" max="5" width="10.5703125" style="10" customWidth="1"/>
    <col min="6" max="7" width="15.42578125" style="10" customWidth="1"/>
    <col min="8" max="8" width="15.42578125" style="26" customWidth="1"/>
    <col min="9" max="9" width="15.42578125" style="10" customWidth="1"/>
    <col min="10" max="10" width="21.42578125" style="10" customWidth="1"/>
    <col min="11" max="11" width="19.140625" style="10" customWidth="1"/>
    <col min="12" max="12" width="4" style="10" customWidth="1"/>
    <col min="13" max="14" width="17.425781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8" t="s">
        <v>1630</v>
      </c>
      <c r="B1" s="188"/>
      <c r="C1" s="188"/>
      <c r="D1" s="188"/>
      <c r="E1" s="188"/>
      <c r="F1" s="188"/>
      <c r="G1" s="188"/>
      <c r="H1" s="188"/>
      <c r="I1" s="188"/>
      <c r="J1" s="188"/>
      <c r="K1" s="188"/>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9" t="s">
        <v>11</v>
      </c>
      <c r="B3" s="189"/>
      <c r="C3" s="189"/>
      <c r="D3" s="189"/>
      <c r="E3" s="189"/>
      <c r="F3" s="190" t="s">
        <v>21</v>
      </c>
      <c r="G3" s="190"/>
      <c r="H3" s="190"/>
      <c r="I3" s="190"/>
    </row>
    <row r="4" spans="1:19" ht="16.5" customHeight="1" x14ac:dyDescent="0.2">
      <c r="A4" s="189" t="s">
        <v>192</v>
      </c>
      <c r="B4" s="189"/>
      <c r="C4" s="189"/>
      <c r="D4" s="189"/>
      <c r="E4" s="189"/>
      <c r="F4" s="191" t="s">
        <v>1760</v>
      </c>
      <c r="G4" s="191"/>
      <c r="H4" s="191"/>
      <c r="I4" s="191"/>
    </row>
    <row r="5" spans="1:19" ht="16.5" customHeight="1" x14ac:dyDescent="0.2">
      <c r="A5" s="189" t="s">
        <v>1616</v>
      </c>
      <c r="B5" s="189"/>
      <c r="C5" s="189"/>
      <c r="D5" s="189"/>
      <c r="E5" s="189"/>
      <c r="F5" s="191" t="s">
        <v>1206</v>
      </c>
      <c r="G5" s="191"/>
      <c r="H5" s="191"/>
      <c r="I5" s="191"/>
      <c r="L5" s="12"/>
      <c r="M5" s="12"/>
      <c r="N5" s="12"/>
      <c r="O5" s="12"/>
      <c r="P5" s="12"/>
      <c r="Q5" s="12"/>
    </row>
    <row r="6" spans="1:19" ht="16.5" customHeight="1" x14ac:dyDescent="0.25">
      <c r="A6" s="189" t="s">
        <v>1635</v>
      </c>
      <c r="B6" s="189"/>
      <c r="C6" s="189"/>
      <c r="D6" s="189"/>
      <c r="E6" s="189"/>
      <c r="F6" s="192">
        <v>1</v>
      </c>
      <c r="G6" s="192"/>
      <c r="H6" s="192"/>
      <c r="I6" s="192"/>
      <c r="L6" s="13"/>
      <c r="M6" s="13"/>
      <c r="N6" s="13"/>
      <c r="O6" s="13"/>
      <c r="P6" s="12"/>
      <c r="Q6" s="12"/>
    </row>
    <row r="7" spans="1:19" ht="16.5" customHeight="1" x14ac:dyDescent="0.25">
      <c r="A7" s="189" t="s">
        <v>1</v>
      </c>
      <c r="B7" s="189"/>
      <c r="C7" s="189"/>
      <c r="D7" s="189"/>
      <c r="E7" s="189"/>
      <c r="F7" s="192" t="s">
        <v>121</v>
      </c>
      <c r="G7" s="192"/>
      <c r="H7" s="192"/>
      <c r="I7" s="192"/>
      <c r="K7" s="53"/>
      <c r="L7" s="13"/>
      <c r="M7" s="13"/>
      <c r="N7" s="13"/>
      <c r="O7" s="13"/>
      <c r="P7" s="12"/>
      <c r="Q7" s="12"/>
    </row>
    <row r="8" spans="1:19" ht="16.5" customHeight="1" x14ac:dyDescent="0.25">
      <c r="A8" s="189" t="s">
        <v>1617</v>
      </c>
      <c r="B8" s="189"/>
      <c r="C8" s="189"/>
      <c r="D8" s="189"/>
      <c r="E8" s="189"/>
      <c r="F8" s="192" t="s">
        <v>155</v>
      </c>
      <c r="G8" s="192"/>
      <c r="H8" s="192"/>
      <c r="I8" s="192"/>
      <c r="K8" s="53"/>
      <c r="L8" s="13"/>
      <c r="M8" s="13"/>
      <c r="N8" s="13"/>
      <c r="O8" s="13"/>
      <c r="P8" s="12"/>
      <c r="Q8" s="12"/>
    </row>
    <row r="9" spans="1:19" ht="16.5" customHeight="1" x14ac:dyDescent="0.25">
      <c r="A9" s="189" t="s">
        <v>1615</v>
      </c>
      <c r="B9" s="189"/>
      <c r="C9" s="189"/>
      <c r="D9" s="189"/>
      <c r="E9" s="189"/>
      <c r="F9" s="193" t="str">
        <f>IFERROR(IF(F7="Proprietary","Proprietary Fund",VLOOKUP(F5,qryIndex02a!$A$2:$K$654,4,FALSE)),"Unidentified")</f>
        <v>HEALTH AND HUMAN SERVICES</v>
      </c>
      <c r="G9" s="193"/>
      <c r="H9" s="193"/>
      <c r="I9" s="193"/>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25">
      <c r="A15" s="159" t="s">
        <v>1638</v>
      </c>
      <c r="B15" s="9" t="s">
        <v>171</v>
      </c>
      <c r="C15" s="9"/>
      <c r="D15" s="9"/>
      <c r="E15" s="140"/>
      <c r="F15" s="141"/>
      <c r="G15" s="141"/>
      <c r="H15" s="142"/>
      <c r="I15" s="142"/>
      <c r="J15" s="178">
        <f>M15</f>
        <v>0</v>
      </c>
      <c r="M15" s="143">
        <v>0</v>
      </c>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v>0</v>
      </c>
      <c r="P16" s="143"/>
      <c r="Q16" s="155"/>
      <c r="S16" s="154">
        <f t="shared" si="0"/>
        <v>0</v>
      </c>
    </row>
    <row r="17" spans="1:19" ht="16.5" customHeight="1" x14ac:dyDescent="0.25">
      <c r="A17" s="159" t="s">
        <v>1638</v>
      </c>
      <c r="B17" s="9" t="s">
        <v>173</v>
      </c>
      <c r="C17" s="9"/>
      <c r="D17" s="9"/>
      <c r="E17" s="140"/>
      <c r="F17" s="141"/>
      <c r="G17" s="141"/>
      <c r="H17" s="142"/>
      <c r="I17" s="142"/>
      <c r="J17" s="178">
        <f>M17</f>
        <v>5220354</v>
      </c>
      <c r="M17" s="143">
        <v>5220354</v>
      </c>
      <c r="P17" s="143">
        <v>4308143</v>
      </c>
      <c r="Q17" s="155"/>
      <c r="S17" s="154">
        <f t="shared" si="0"/>
        <v>-912211</v>
      </c>
    </row>
    <row r="18" spans="1:19" ht="16.5" customHeight="1" x14ac:dyDescent="0.25">
      <c r="A18" s="54"/>
      <c r="B18" s="9" t="s">
        <v>169</v>
      </c>
      <c r="C18" s="9"/>
      <c r="D18" s="9"/>
      <c r="E18" s="140"/>
      <c r="F18" s="141"/>
      <c r="G18" s="141"/>
      <c r="H18" s="142"/>
      <c r="I18" s="142"/>
      <c r="J18" s="178">
        <f>P18</f>
        <v>132437</v>
      </c>
      <c r="M18" s="143">
        <v>139041</v>
      </c>
      <c r="P18" s="152">
        <f>IF(SUM($Q$21:$Q$23)&gt;SUM($P$15:$P$17),SUM($Q$21:$Q$23)-SUM($P$15:$P$17),0)</f>
        <v>132437</v>
      </c>
      <c r="Q18" s="155"/>
      <c r="S18" s="154">
        <f t="shared" si="0"/>
        <v>-6604</v>
      </c>
    </row>
    <row r="19" spans="1:19" ht="16.5" customHeight="1" x14ac:dyDescent="0.25">
      <c r="A19" s="54"/>
      <c r="B19" s="9" t="s">
        <v>170</v>
      </c>
      <c r="C19" s="9"/>
      <c r="D19" s="9"/>
      <c r="E19" s="140"/>
      <c r="F19" s="141"/>
      <c r="G19" s="141"/>
      <c r="H19" s="142"/>
      <c r="I19" s="142"/>
      <c r="J19" s="178">
        <f>IF(SUM($K$21:$K$24)&gt;SUM($J$15:$J$18),SUM($K$21:$K$24)-SUM($J$15:$J$18),0)</f>
        <v>6604</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v>0</v>
      </c>
      <c r="P20" s="155"/>
      <c r="Q20" s="143"/>
      <c r="S20" s="154">
        <f t="shared" si="0"/>
        <v>0</v>
      </c>
    </row>
    <row r="21" spans="1:19" ht="16.5" customHeight="1" x14ac:dyDescent="0.25">
      <c r="A21" s="54"/>
      <c r="B21" s="9"/>
      <c r="C21" s="9" t="s">
        <v>175</v>
      </c>
      <c r="D21" s="9"/>
      <c r="E21" s="140"/>
      <c r="F21" s="141"/>
      <c r="G21" s="141"/>
      <c r="H21" s="142"/>
      <c r="I21" s="142"/>
      <c r="J21" s="150"/>
      <c r="K21" s="178">
        <f>N21</f>
        <v>0</v>
      </c>
      <c r="N21" s="143">
        <v>0</v>
      </c>
      <c r="P21" s="155"/>
      <c r="Q21" s="143"/>
      <c r="S21" s="154">
        <f>Q21-N21</f>
        <v>0</v>
      </c>
    </row>
    <row r="22" spans="1:19" ht="16.5" customHeight="1" x14ac:dyDescent="0.25">
      <c r="A22" s="54"/>
      <c r="B22" s="9"/>
      <c r="C22" s="9" t="s">
        <v>179</v>
      </c>
      <c r="D22" s="9"/>
      <c r="E22" s="140"/>
      <c r="F22" s="141"/>
      <c r="G22" s="141"/>
      <c r="H22" s="142"/>
      <c r="I22" s="142"/>
      <c r="J22" s="150"/>
      <c r="K22" s="178">
        <f>N22</f>
        <v>741522</v>
      </c>
      <c r="N22" s="143">
        <v>741522</v>
      </c>
      <c r="P22" s="155"/>
      <c r="Q22" s="143">
        <v>736751</v>
      </c>
      <c r="S22" s="154">
        <f t="shared" ref="S22:S25" si="1">Q22-N22</f>
        <v>-4771</v>
      </c>
    </row>
    <row r="23" spans="1:19" ht="16.5" customHeight="1" x14ac:dyDescent="0.25">
      <c r="A23" s="165" t="s">
        <v>1646</v>
      </c>
      <c r="B23" s="9"/>
      <c r="C23" s="9" t="s">
        <v>174</v>
      </c>
      <c r="D23" s="9"/>
      <c r="E23" s="140"/>
      <c r="F23" s="141"/>
      <c r="G23" s="141"/>
      <c r="H23" s="142"/>
      <c r="I23" s="142"/>
      <c r="J23" s="150"/>
      <c r="K23" s="178">
        <f>N23</f>
        <v>4617873</v>
      </c>
      <c r="N23" s="143">
        <v>4617873</v>
      </c>
      <c r="P23" s="155"/>
      <c r="Q23" s="143">
        <v>3703829</v>
      </c>
      <c r="S23" s="154">
        <f t="shared" si="1"/>
        <v>-914044</v>
      </c>
    </row>
    <row r="24" spans="1:19" ht="16.5" customHeight="1" x14ac:dyDescent="0.25">
      <c r="A24" s="54"/>
      <c r="B24" s="9"/>
      <c r="C24" s="9" t="s">
        <v>176</v>
      </c>
      <c r="D24" s="9"/>
      <c r="E24" s="140"/>
      <c r="F24" s="141"/>
      <c r="G24" s="141"/>
      <c r="H24" s="142"/>
      <c r="I24" s="142"/>
      <c r="J24" s="150"/>
      <c r="K24" s="178">
        <f>Q24</f>
        <v>0</v>
      </c>
      <c r="N24" s="143">
        <v>0</v>
      </c>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8">
        <f>IF(SUM($K$21:$K$24)&lt;SUM($J$15:$J$18),-SUM($K$21:$K$24)+SUM($J$15:$J$18),0)</f>
        <v>0</v>
      </c>
      <c r="N25" s="143">
        <v>0</v>
      </c>
      <c r="P25" s="155"/>
      <c r="Q25" s="155"/>
      <c r="S25" s="154">
        <f t="shared" si="1"/>
        <v>0</v>
      </c>
    </row>
    <row r="26" spans="1:19" ht="16.5" customHeight="1" x14ac:dyDescent="0.25">
      <c r="A26" s="54"/>
      <c r="C26" s="20"/>
      <c r="D26" s="20"/>
      <c r="E26" s="20"/>
      <c r="F26" s="127"/>
      <c r="G26" s="127"/>
      <c r="H26" s="22"/>
      <c r="I26" s="22"/>
      <c r="J26" s="107">
        <f>SUM(J15:J25)</f>
        <v>5359395</v>
      </c>
      <c r="K26" s="107">
        <f>SUM(K15:K25)</f>
        <v>5359395</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350000000000001" customHeight="1" x14ac:dyDescent="0.3">
      <c r="A28" s="1"/>
      <c r="B28" s="166" t="s">
        <v>1650</v>
      </c>
      <c r="C28" s="129"/>
      <c r="D28" s="20"/>
      <c r="E28" s="20"/>
      <c r="F28" s="127"/>
      <c r="G28" s="127"/>
      <c r="H28" s="22"/>
      <c r="I28" s="22"/>
      <c r="J28" s="19"/>
      <c r="K28" s="19"/>
      <c r="L28" s="8"/>
    </row>
    <row r="29" spans="1:19" ht="16.350000000000001"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0</v>
      </c>
      <c r="K33" s="144"/>
    </row>
    <row r="34" spans="1:12" ht="16.5" customHeight="1" x14ac:dyDescent="0.25">
      <c r="A34" s="54"/>
      <c r="B34" s="9"/>
      <c r="C34" s="9" t="s">
        <v>1748</v>
      </c>
      <c r="D34" s="140"/>
      <c r="E34" s="140"/>
      <c r="F34" s="141"/>
      <c r="G34" s="141"/>
      <c r="H34" s="142"/>
      <c r="I34" s="142"/>
      <c r="J34" s="144"/>
      <c r="K34" s="143">
        <v>0</v>
      </c>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v>0</v>
      </c>
      <c r="K39" s="144"/>
    </row>
    <row r="40" spans="1:12" ht="16.5" customHeight="1" x14ac:dyDescent="0.25">
      <c r="A40" s="159" t="s">
        <v>1638</v>
      </c>
      <c r="B40" s="9" t="s">
        <v>172</v>
      </c>
      <c r="C40" s="9"/>
      <c r="D40" s="140"/>
      <c r="E40" s="140"/>
      <c r="F40" s="141"/>
      <c r="G40" s="141"/>
      <c r="H40" s="142"/>
      <c r="I40" s="142"/>
      <c r="J40" s="143">
        <v>0</v>
      </c>
      <c r="K40" s="144"/>
    </row>
    <row r="41" spans="1:12" ht="16.5" customHeight="1" x14ac:dyDescent="0.25">
      <c r="A41" s="159" t="s">
        <v>1638</v>
      </c>
      <c r="B41" s="9" t="s">
        <v>173</v>
      </c>
      <c r="C41" s="9"/>
      <c r="D41" s="140"/>
      <c r="E41" s="140"/>
      <c r="F41" s="141"/>
      <c r="G41" s="141"/>
      <c r="H41" s="142"/>
      <c r="I41" s="142"/>
      <c r="J41" s="143">
        <v>0</v>
      </c>
      <c r="K41" s="144"/>
    </row>
    <row r="42" spans="1:12" ht="16.5" customHeight="1" x14ac:dyDescent="0.25">
      <c r="A42" s="54"/>
      <c r="B42" s="9"/>
      <c r="C42" s="9" t="s">
        <v>181</v>
      </c>
      <c r="D42" s="140"/>
      <c r="E42" s="140"/>
      <c r="F42" s="141"/>
      <c r="G42" s="141"/>
      <c r="H42" s="142"/>
      <c r="I42" s="142"/>
      <c r="J42" s="144"/>
      <c r="K42" s="143">
        <v>0</v>
      </c>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0</v>
      </c>
      <c r="K47" s="144"/>
    </row>
    <row r="48" spans="1:12" ht="16.5" customHeight="1" x14ac:dyDescent="0.25">
      <c r="A48" s="165" t="s">
        <v>1646</v>
      </c>
      <c r="B48" s="9"/>
      <c r="C48" s="9" t="s">
        <v>174</v>
      </c>
      <c r="D48" s="140"/>
      <c r="E48" s="140"/>
      <c r="F48" s="141"/>
      <c r="G48" s="141"/>
      <c r="H48" s="142"/>
      <c r="I48" s="142"/>
      <c r="J48" s="144"/>
      <c r="K48" s="143">
        <v>0</v>
      </c>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797488</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797488</v>
      </c>
    </row>
    <row r="59" spans="1:16" ht="16.5" customHeight="1" x14ac:dyDescent="0.25">
      <c r="A59" s="54"/>
      <c r="C59" s="16"/>
      <c r="D59" s="16"/>
      <c r="E59" s="16"/>
      <c r="F59" s="17"/>
      <c r="G59" s="17"/>
      <c r="H59" s="18"/>
      <c r="I59" s="18"/>
      <c r="J59" s="107">
        <f>SUM(J55:J58)</f>
        <v>797488</v>
      </c>
      <c r="K59" s="107">
        <f>SUM(K55:K58)</f>
        <v>797488</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790717</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113222</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903939</v>
      </c>
    </row>
    <row r="65" spans="1:12" ht="16.5" customHeight="1" x14ac:dyDescent="0.25">
      <c r="A65" s="54"/>
      <c r="C65" s="16"/>
      <c r="D65" s="16"/>
      <c r="E65" s="16"/>
      <c r="F65" s="17"/>
      <c r="G65" s="17"/>
      <c r="H65" s="18"/>
      <c r="I65" s="18"/>
      <c r="J65" s="107">
        <f>SUM(J62:J64)</f>
        <v>903939</v>
      </c>
      <c r="K65" s="107">
        <f>SUM(K62:K64)</f>
        <v>903939</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790717</v>
      </c>
      <c r="K68" s="144"/>
    </row>
    <row r="69" spans="1:12" ht="16.5" customHeight="1" x14ac:dyDescent="0.25">
      <c r="A69" s="54"/>
      <c r="B69" s="9"/>
      <c r="C69" s="9" t="s">
        <v>186</v>
      </c>
      <c r="D69" s="140"/>
      <c r="E69" s="140"/>
      <c r="F69" s="141"/>
      <c r="G69" s="141"/>
      <c r="H69" s="142"/>
      <c r="I69" s="142"/>
      <c r="J69" s="144"/>
      <c r="K69" s="143">
        <v>790717</v>
      </c>
    </row>
    <row r="70" spans="1:12" ht="16.5" customHeight="1" x14ac:dyDescent="0.25">
      <c r="A70" s="54"/>
      <c r="C70" s="16"/>
      <c r="D70" s="16"/>
      <c r="E70" s="16"/>
      <c r="F70" s="17"/>
      <c r="G70" s="17"/>
      <c r="H70" s="18"/>
      <c r="I70" s="18"/>
      <c r="J70" s="107">
        <f>SUM(J68:J69)</f>
        <v>790717</v>
      </c>
      <c r="K70" s="107">
        <f>SUM(K68:K69)</f>
        <v>790717</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771366</v>
      </c>
      <c r="K75" s="144"/>
    </row>
    <row r="76" spans="1:12" ht="16.5" customHeight="1" x14ac:dyDescent="0.25">
      <c r="A76" s="54"/>
      <c r="B76" s="9"/>
      <c r="C76" s="9" t="s">
        <v>194</v>
      </c>
      <c r="D76" s="140"/>
      <c r="E76" s="140"/>
      <c r="F76" s="141"/>
      <c r="G76" s="141"/>
      <c r="H76" s="142"/>
      <c r="I76" s="142"/>
      <c r="J76" s="144"/>
      <c r="K76" s="143">
        <v>771366</v>
      </c>
    </row>
    <row r="77" spans="1:12" ht="16.5" customHeight="1" x14ac:dyDescent="0.2">
      <c r="A77" s="54"/>
      <c r="B77" s="187" t="s">
        <v>1735</v>
      </c>
      <c r="C77" s="187"/>
      <c r="D77" s="187"/>
      <c r="E77" s="187"/>
      <c r="F77" s="187"/>
      <c r="G77" s="187"/>
      <c r="H77" s="187"/>
      <c r="I77" s="187"/>
      <c r="J77" s="107">
        <f>SUM(J75:J76)</f>
        <v>771366</v>
      </c>
      <c r="K77" s="107">
        <f>SUM(K75:K76)</f>
        <v>771366</v>
      </c>
      <c r="L77" s="8" t="str">
        <f>IF(J77=K77,"&lt;- Debits and Credits equal each other.","&lt;- Debits and Credits do not equal each other.")</f>
        <v>&lt;- Debits and Credits equal each other.</v>
      </c>
    </row>
    <row r="78" spans="1:12" ht="16.5" customHeight="1" x14ac:dyDescent="0.2">
      <c r="A78" s="54"/>
      <c r="B78" s="187"/>
      <c r="C78" s="187"/>
      <c r="D78" s="187"/>
      <c r="E78" s="187"/>
      <c r="F78" s="187"/>
      <c r="G78" s="187"/>
      <c r="H78" s="187"/>
      <c r="I78" s="187"/>
      <c r="J78" s="107"/>
      <c r="K78" s="107"/>
      <c r="L78" s="8"/>
    </row>
    <row r="79" spans="1:12" ht="24.6" customHeight="1" x14ac:dyDescent="0.2">
      <c r="A79" s="54"/>
      <c r="B79" s="187"/>
      <c r="C79" s="187"/>
      <c r="D79" s="187"/>
      <c r="E79" s="187"/>
      <c r="F79" s="187"/>
      <c r="G79" s="187"/>
      <c r="H79" s="187"/>
      <c r="I79" s="187"/>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5220354</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-1539010</v>
      </c>
    </row>
    <row r="128" spans="1:12" ht="16.5" customHeight="1" x14ac:dyDescent="0.25">
      <c r="D128" s="140" t="s">
        <v>1657</v>
      </c>
      <c r="H128" s="10"/>
      <c r="K128" s="169">
        <f>-K23-K48+J68+J75+J96-K113</f>
        <v>-3055790</v>
      </c>
    </row>
    <row r="129" spans="4:11" ht="16.5" customHeight="1" x14ac:dyDescent="0.25">
      <c r="D129" s="140" t="s">
        <v>1658</v>
      </c>
      <c r="H129" s="10"/>
      <c r="K129" s="169">
        <f>-K76</f>
        <v>-771366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SicG6YaybumFzfi6v3XP89GeSZsJfNBDTIxipxQcqfdaUlen4iSK9q9axGMNvBR2vw8HAwZT268ptxKKUMNzGg==" saltValue="oBOHdXwFO0+HxgeepZxJY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B19" sqref="B13:B19"/>
    </sheetView>
  </sheetViews>
  <sheetFormatPr defaultColWidth="9.140625" defaultRowHeight="15" x14ac:dyDescent="0.2"/>
  <cols>
    <col min="1" max="1" width="37.42578125" style="1" customWidth="1"/>
    <col min="2" max="3" width="33.42578125" style="1" customWidth="1"/>
    <col min="4" max="4" width="86.85546875" style="1" customWidth="1"/>
    <col min="5" max="5" width="9.140625" style="1"/>
    <col min="6" max="6" width="19.42578125" style="1" customWidth="1"/>
    <col min="7" max="16384" width="9.140625" style="1"/>
  </cols>
  <sheetData>
    <row r="1" spans="1:13" ht="30" customHeight="1" x14ac:dyDescent="0.25">
      <c r="A1" s="204" t="s">
        <v>140</v>
      </c>
      <c r="B1" s="204"/>
      <c r="C1" s="204"/>
      <c r="D1" s="204"/>
      <c r="E1" s="204"/>
      <c r="F1" s="204"/>
      <c r="G1" s="3"/>
      <c r="H1" s="3"/>
      <c r="I1" s="3"/>
      <c r="J1" s="3"/>
      <c r="K1" s="3"/>
      <c r="L1" s="3"/>
      <c r="M1" s="3"/>
    </row>
    <row r="2" spans="1:13" ht="64.349999999999994" customHeight="1" x14ac:dyDescent="0.25">
      <c r="A2" s="203" t="s">
        <v>138</v>
      </c>
      <c r="B2" s="203"/>
      <c r="C2" s="203"/>
      <c r="D2" s="203"/>
      <c r="E2" s="203"/>
      <c r="F2" s="203"/>
      <c r="G2" s="3"/>
      <c r="H2" s="3"/>
      <c r="I2" s="3"/>
      <c r="J2" s="3"/>
      <c r="K2" s="3"/>
      <c r="L2" s="3"/>
      <c r="M2" s="3"/>
    </row>
    <row r="3" spans="1:13" ht="32.1" customHeight="1" x14ac:dyDescent="0.25">
      <c r="A3" s="208" t="s">
        <v>195</v>
      </c>
      <c r="B3" s="208"/>
      <c r="C3" s="208"/>
      <c r="D3" s="24"/>
      <c r="E3" s="3"/>
      <c r="F3" s="3"/>
      <c r="G3" s="3"/>
      <c r="H3" s="3"/>
      <c r="I3" s="3"/>
      <c r="J3" s="3"/>
      <c r="K3" s="3"/>
      <c r="L3" s="3"/>
      <c r="M3" s="3"/>
    </row>
    <row r="4" spans="1:13" ht="31.35" customHeight="1" x14ac:dyDescent="0.25">
      <c r="A4" s="209" t="s">
        <v>5</v>
      </c>
      <c r="B4" s="209"/>
      <c r="C4" s="209"/>
      <c r="D4" s="24"/>
      <c r="E4" s="3"/>
      <c r="F4" s="3"/>
      <c r="G4" s="3"/>
      <c r="H4" s="3"/>
      <c r="I4" s="3"/>
      <c r="J4" s="3"/>
      <c r="K4" s="3"/>
      <c r="L4" s="3"/>
      <c r="M4" s="3"/>
    </row>
    <row r="5" spans="1:13" ht="31.35" customHeight="1" x14ac:dyDescent="0.25">
      <c r="A5" s="209" t="s">
        <v>7</v>
      </c>
      <c r="B5" s="209"/>
      <c r="C5" s="209"/>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5" t="s">
        <v>21</v>
      </c>
      <c r="C8" s="205"/>
      <c r="D8" s="3"/>
      <c r="E8" s="3"/>
      <c r="F8" s="3"/>
    </row>
    <row r="9" spans="1:13" ht="15.75" x14ac:dyDescent="0.25">
      <c r="A9" s="5" t="s">
        <v>193</v>
      </c>
      <c r="B9" s="206">
        <v>7300</v>
      </c>
      <c r="C9" s="206"/>
      <c r="D9" s="3"/>
      <c r="E9" s="3"/>
      <c r="F9" s="3"/>
    </row>
    <row r="10" spans="1:13" ht="15.75" x14ac:dyDescent="0.25">
      <c r="A10" s="5" t="s">
        <v>192</v>
      </c>
      <c r="B10" s="207" t="s">
        <v>1760</v>
      </c>
      <c r="C10" s="207"/>
      <c r="D10" s="3"/>
      <c r="E10" s="3"/>
      <c r="F10" s="3"/>
      <c r="G10" s="27"/>
      <c r="H10" s="27"/>
      <c r="I10" s="27"/>
      <c r="J10" s="27"/>
      <c r="K10" s="27"/>
      <c r="L10" s="27"/>
      <c r="M10" s="27"/>
    </row>
    <row r="11" spans="1:13" ht="32.25" customHeight="1" x14ac:dyDescent="0.25">
      <c r="A11" s="199" t="s">
        <v>8</v>
      </c>
      <c r="B11" s="199"/>
      <c r="C11" s="199"/>
      <c r="D11" s="3"/>
      <c r="E11" s="3"/>
      <c r="F11" s="3"/>
      <c r="G11" s="29"/>
      <c r="H11" s="29"/>
      <c r="I11" s="29"/>
      <c r="J11" s="29"/>
      <c r="K11" s="29"/>
      <c r="L11" s="29"/>
      <c r="M11" s="29"/>
    </row>
    <row r="12" spans="1:13" ht="15" customHeight="1" x14ac:dyDescent="0.25">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25">
      <c r="A13" s="51" t="str">
        <f>RIGHT(B8,4)&amp;"–"&amp;RIGHT(B8,4)+1</f>
        <v>2023–2024</v>
      </c>
      <c r="B13" s="55">
        <v>771365.79667863634</v>
      </c>
      <c r="C13" s="55">
        <v>98328.22332136365</v>
      </c>
      <c r="D13" s="197" t="s">
        <v>4</v>
      </c>
      <c r="E13" s="198"/>
      <c r="F13" s="198"/>
      <c r="G13" s="29"/>
      <c r="H13" s="29"/>
      <c r="I13" s="29"/>
      <c r="J13" s="29"/>
      <c r="K13" s="29"/>
      <c r="L13" s="29"/>
      <c r="M13" s="29"/>
    </row>
    <row r="14" spans="1:13" x14ac:dyDescent="0.2">
      <c r="A14" s="51" t="str">
        <f>LEFT(A13,4)+1&amp;"–"&amp;RIGHT(A13,4)+1</f>
        <v>2024–2025</v>
      </c>
      <c r="B14" s="55">
        <v>789443.6036781905</v>
      </c>
      <c r="C14" s="55">
        <v>84639.486321809411</v>
      </c>
      <c r="D14" s="197"/>
      <c r="E14" s="198"/>
      <c r="F14" s="198"/>
    </row>
    <row r="15" spans="1:13" ht="15.75" x14ac:dyDescent="0.2">
      <c r="A15" s="51" t="str">
        <f>LEFT(A14,4)+1&amp;"–"&amp;RIGHT(A14,4)+1</f>
        <v>2025–2026</v>
      </c>
      <c r="B15" s="55">
        <v>780963.35490815295</v>
      </c>
      <c r="C15" s="55">
        <v>70145.135091847187</v>
      </c>
      <c r="D15" s="194" t="s">
        <v>125</v>
      </c>
      <c r="E15" s="194"/>
      <c r="F15" s="194"/>
      <c r="G15" s="30"/>
      <c r="H15" s="30"/>
      <c r="I15" s="30"/>
      <c r="J15" s="30"/>
      <c r="K15" s="30"/>
      <c r="L15" s="30"/>
      <c r="M15" s="30"/>
    </row>
    <row r="16" spans="1:13" x14ac:dyDescent="0.2">
      <c r="A16" s="51" t="str">
        <f>LEFT(A15,4)+1&amp;"–"&amp;RIGHT(A15,4)+1</f>
        <v>2026–2027</v>
      </c>
      <c r="B16" s="55">
        <v>572785.89965576446</v>
      </c>
      <c r="C16" s="55">
        <v>55128.220344235582</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
      <c r="A17" s="51" t="str">
        <f>LEFT(A16,4)+1&amp;"–"&amp;RIGHT(A16,4)+1</f>
        <v>2027–2028</v>
      </c>
      <c r="B17" s="55">
        <v>296621.75041770289</v>
      </c>
      <c r="C17" s="55">
        <v>40381.039582297104</v>
      </c>
      <c r="D17" s="194"/>
      <c r="E17" s="194"/>
      <c r="F17" s="194"/>
      <c r="G17" s="31"/>
      <c r="H17" s="31"/>
      <c r="I17" s="31"/>
      <c r="J17" s="31"/>
      <c r="K17" s="31"/>
    </row>
    <row r="18" spans="1:13" ht="15" customHeight="1" x14ac:dyDescent="0.25">
      <c r="A18" s="51" t="str">
        <f>LEFT(A17,4)+1&amp;"–"&amp;RIGHT(A17,4)+5</f>
        <v>2028–2033</v>
      </c>
      <c r="B18" s="55">
        <v>615975.96177915391</v>
      </c>
      <c r="C18" s="55">
        <v>33580.038220846167</v>
      </c>
      <c r="D18" s="197" t="s">
        <v>6</v>
      </c>
      <c r="E18" s="198"/>
      <c r="F18" s="198"/>
      <c r="G18" s="29"/>
      <c r="H18" s="29"/>
      <c r="I18" s="29"/>
      <c r="J18" s="29"/>
      <c r="K18" s="29"/>
      <c r="L18" s="29"/>
      <c r="M18" s="29"/>
    </row>
    <row r="19" spans="1:13" x14ac:dyDescent="0.2">
      <c r="A19" s="51" t="str">
        <f t="shared" ref="A19:A32" si="0">LEFT(A18,4)+5&amp;"–"&amp;RIGHT(A18,4)+5</f>
        <v>2033–2038</v>
      </c>
      <c r="B19" s="55"/>
      <c r="C19" s="55"/>
      <c r="D19" s="197"/>
      <c r="E19" s="198"/>
      <c r="F19" s="198"/>
    </row>
    <row r="20" spans="1:13" ht="15.75" x14ac:dyDescent="0.2">
      <c r="A20" s="51" t="str">
        <f t="shared" si="0"/>
        <v>2038–2043</v>
      </c>
      <c r="B20" s="55"/>
      <c r="C20" s="55"/>
      <c r="D20" s="194" t="s">
        <v>125</v>
      </c>
      <c r="E20" s="194"/>
      <c r="F20" s="194"/>
      <c r="G20" s="30"/>
      <c r="H20" s="30"/>
      <c r="I20" s="30"/>
      <c r="J20" s="30"/>
      <c r="K20" s="30"/>
      <c r="L20" s="30"/>
      <c r="M20" s="30"/>
    </row>
    <row r="21" spans="1:13" ht="15" customHeight="1" x14ac:dyDescent="0.2">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
      <c r="A22" s="51" t="str">
        <f t="shared" si="0"/>
        <v>2048–2053</v>
      </c>
      <c r="B22" s="55"/>
      <c r="C22" s="55"/>
      <c r="D22" s="195"/>
      <c r="E22" s="196"/>
      <c r="F22" s="196"/>
    </row>
    <row r="23" spans="1:13" x14ac:dyDescent="0.2">
      <c r="A23" s="51" t="str">
        <f t="shared" si="0"/>
        <v>2053–2058</v>
      </c>
      <c r="B23" s="55"/>
      <c r="C23" s="55"/>
      <c r="D23" s="194"/>
      <c r="E23" s="194"/>
      <c r="F23" s="194"/>
    </row>
    <row r="24" spans="1:13" x14ac:dyDescent="0.2">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
      <c r="A25" s="51" t="str">
        <f t="shared" si="0"/>
        <v>2063–2068</v>
      </c>
      <c r="B25" s="55"/>
      <c r="C25" s="55"/>
      <c r="D25" s="195"/>
      <c r="E25" s="196"/>
      <c r="F25" s="196"/>
    </row>
    <row r="26" spans="1:13" x14ac:dyDescent="0.2">
      <c r="A26" s="51" t="str">
        <f t="shared" si="0"/>
        <v>2068–2073</v>
      </c>
      <c r="B26" s="55"/>
      <c r="C26" s="55"/>
      <c r="D26" s="194"/>
      <c r="E26" s="194"/>
      <c r="F26" s="194"/>
    </row>
    <row r="27" spans="1:13" ht="15" customHeight="1" x14ac:dyDescent="0.2">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75" x14ac:dyDescent="0.2">
      <c r="A28" s="51" t="str">
        <f t="shared" si="0"/>
        <v>2078–2083</v>
      </c>
      <c r="B28" s="55"/>
      <c r="C28" s="55"/>
      <c r="D28" s="197"/>
      <c r="E28" s="198"/>
      <c r="F28" s="198"/>
      <c r="G28" s="33"/>
      <c r="H28" s="33"/>
      <c r="I28" s="33"/>
      <c r="J28" s="33"/>
      <c r="K28" s="33"/>
      <c r="L28" s="33"/>
      <c r="M28" s="33"/>
    </row>
    <row r="29" spans="1:13" ht="15.75" x14ac:dyDescent="0.2">
      <c r="A29" s="51" t="str">
        <f t="shared" si="0"/>
        <v>2083–2088</v>
      </c>
      <c r="B29" s="55"/>
      <c r="C29" s="55"/>
      <c r="D29" s="194" t="s">
        <v>125</v>
      </c>
      <c r="E29" s="194"/>
      <c r="F29" s="194"/>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4" t="s">
        <v>125</v>
      </c>
      <c r="E31" s="194"/>
      <c r="F31" s="194"/>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4"/>
      <c r="E33" s="194"/>
      <c r="F33" s="194"/>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200" t="str">
        <f>B8</f>
        <v>2022–2023</v>
      </c>
      <c r="C39" s="200"/>
      <c r="E39" s="32"/>
    </row>
    <row r="40" spans="1:13" ht="15.6" customHeight="1" x14ac:dyDescent="0.25">
      <c r="A40" s="5" t="s">
        <v>193</v>
      </c>
      <c r="B40" s="202">
        <f>B9</f>
        <v>7300</v>
      </c>
      <c r="C40" s="202"/>
      <c r="E40" s="32"/>
    </row>
    <row r="41" spans="1:13" ht="15.75" x14ac:dyDescent="0.25">
      <c r="A41" s="5" t="s">
        <v>192</v>
      </c>
      <c r="B41" s="200" t="str">
        <f>B10</f>
        <v>Agricultural Labor Relations Board</v>
      </c>
      <c r="C41" s="200"/>
      <c r="E41" s="32"/>
    </row>
    <row r="42" spans="1:13" ht="32.25" customHeight="1" x14ac:dyDescent="0.25">
      <c r="A42" s="199" t="s">
        <v>8</v>
      </c>
      <c r="B42" s="199"/>
      <c r="C42" s="199"/>
      <c r="D42" s="3"/>
      <c r="E42" s="3"/>
      <c r="F42" s="3"/>
      <c r="G42" s="29"/>
      <c r="H42" s="29"/>
      <c r="I42" s="29"/>
      <c r="J42" s="29"/>
      <c r="K42" s="29"/>
      <c r="L42" s="29"/>
      <c r="M42" s="29"/>
    </row>
    <row r="43" spans="1:13" ht="15" customHeight="1" x14ac:dyDescent="0.25">
      <c r="A43" s="51"/>
      <c r="B43" s="52" t="s">
        <v>9</v>
      </c>
      <c r="C43" s="52" t="s">
        <v>10</v>
      </c>
      <c r="D43" s="201" t="str">
        <f>"All of the below questions are for Fiscal Year "&amp;$B$8&amp;":"</f>
        <v>All of the below questions are for Fiscal Year 2022–2023:</v>
      </c>
      <c r="E43" s="201"/>
      <c r="F43" s="201"/>
    </row>
    <row r="44" spans="1:13" ht="15" customHeight="1" x14ac:dyDescent="0.2">
      <c r="A44" s="51" t="str">
        <f>RIGHT(B39,4)&amp;"–"&amp;RIGHT(B39,4)+1</f>
        <v>2023–2024</v>
      </c>
      <c r="B44" s="55"/>
      <c r="C44" s="55"/>
      <c r="D44" s="197" t="s">
        <v>4</v>
      </c>
      <c r="E44" s="198"/>
      <c r="F44" s="198"/>
    </row>
    <row r="45" spans="1:13" ht="15" customHeight="1" x14ac:dyDescent="0.2">
      <c r="A45" s="51" t="str">
        <f>LEFT(A44,4)+1&amp;"–"&amp;RIGHT(A44,4)+1</f>
        <v>2024–2025</v>
      </c>
      <c r="B45" s="55"/>
      <c r="C45" s="55"/>
      <c r="D45" s="197"/>
      <c r="E45" s="198"/>
      <c r="F45" s="198"/>
    </row>
    <row r="46" spans="1:13" x14ac:dyDescent="0.2">
      <c r="A46" s="51" t="str">
        <f>LEFT(A45,4)+1&amp;"–"&amp;RIGHT(A45,4)+1</f>
        <v>2025–2026</v>
      </c>
      <c r="B46" s="55"/>
      <c r="C46" s="55"/>
      <c r="D46" s="194"/>
      <c r="E46" s="194"/>
      <c r="F46" s="194"/>
    </row>
    <row r="47" spans="1:13" ht="15" customHeight="1" x14ac:dyDescent="0.2">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
      <c r="A48" s="51" t="str">
        <f>LEFT(A47,4)+1&amp;"–"&amp;RIGHT(A47,4)+1</f>
        <v>2027–2028</v>
      </c>
      <c r="B48" s="55"/>
      <c r="C48" s="55"/>
      <c r="D48" s="194"/>
      <c r="E48" s="194"/>
      <c r="F48" s="194"/>
    </row>
    <row r="49" spans="1:6" ht="15" customHeight="1" x14ac:dyDescent="0.2">
      <c r="A49" s="51" t="str">
        <f>LEFT(A48,4)+1&amp;"–"&amp;RIGHT(A48,4)+5</f>
        <v>2028–2033</v>
      </c>
      <c r="B49" s="55"/>
      <c r="C49" s="55"/>
      <c r="D49" s="197" t="s">
        <v>6</v>
      </c>
      <c r="E49" s="198"/>
      <c r="F49" s="198"/>
    </row>
    <row r="50" spans="1:6" x14ac:dyDescent="0.2">
      <c r="A50" s="51" t="str">
        <f t="shared" ref="A50:A63" si="1">LEFT(A49,4)+5&amp;"–"&amp;RIGHT(A49,4)+5</f>
        <v>2033–2038</v>
      </c>
      <c r="B50" s="55"/>
      <c r="C50" s="55"/>
      <c r="D50" s="197"/>
      <c r="E50" s="198"/>
      <c r="F50" s="198"/>
    </row>
    <row r="51" spans="1:6" ht="15" customHeight="1" x14ac:dyDescent="0.2">
      <c r="A51" s="51" t="str">
        <f t="shared" si="1"/>
        <v>2038–2043</v>
      </c>
      <c r="B51" s="55"/>
      <c r="C51" s="55"/>
      <c r="D51" s="194"/>
      <c r="E51" s="194"/>
      <c r="F51" s="194"/>
    </row>
    <row r="52" spans="1:6" ht="15" customHeight="1" x14ac:dyDescent="0.2">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
      <c r="A53" s="51" t="str">
        <f t="shared" si="1"/>
        <v>2048–2053</v>
      </c>
      <c r="B53" s="55"/>
      <c r="C53" s="55"/>
      <c r="D53" s="195"/>
      <c r="E53" s="196"/>
      <c r="F53" s="196"/>
    </row>
    <row r="54" spans="1:6" x14ac:dyDescent="0.2">
      <c r="A54" s="51" t="str">
        <f t="shared" si="1"/>
        <v>2053–2058</v>
      </c>
      <c r="B54" s="55"/>
      <c r="C54" s="55"/>
      <c r="D54" s="194"/>
      <c r="E54" s="194"/>
      <c r="F54" s="194"/>
    </row>
    <row r="55" spans="1:6" ht="15" customHeight="1" x14ac:dyDescent="0.2">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
      <c r="A56" s="51" t="str">
        <f t="shared" si="1"/>
        <v>2063–2068</v>
      </c>
      <c r="B56" s="55"/>
      <c r="C56" s="55"/>
      <c r="D56" s="195"/>
      <c r="E56" s="196"/>
      <c r="F56" s="196"/>
    </row>
    <row r="57" spans="1:6" x14ac:dyDescent="0.2">
      <c r="A57" s="51" t="str">
        <f t="shared" si="1"/>
        <v>2068–2073</v>
      </c>
      <c r="B57" s="55"/>
      <c r="C57" s="55"/>
      <c r="D57" s="194"/>
      <c r="E57" s="194"/>
      <c r="F57" s="194"/>
    </row>
    <row r="58" spans="1:6" x14ac:dyDescent="0.2">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
      <c r="A59" s="51" t="str">
        <f t="shared" si="1"/>
        <v>2078–2083</v>
      </c>
      <c r="B59" s="55"/>
      <c r="C59" s="55"/>
      <c r="D59" s="197"/>
      <c r="E59" s="198"/>
      <c r="F59" s="198"/>
    </row>
    <row r="60" spans="1:6" ht="15" customHeight="1" x14ac:dyDescent="0.2">
      <c r="A60" s="51" t="str">
        <f t="shared" si="1"/>
        <v>2083–2088</v>
      </c>
      <c r="B60" s="55"/>
      <c r="C60" s="55"/>
      <c r="D60" s="194"/>
      <c r="E60" s="194"/>
      <c r="F60" s="194"/>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4"/>
      <c r="E62" s="194"/>
      <c r="F62" s="194"/>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4"/>
      <c r="E64" s="194"/>
      <c r="F64" s="194"/>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200" t="str">
        <f>B8</f>
        <v>2022–2023</v>
      </c>
      <c r="C70" s="200"/>
    </row>
    <row r="71" spans="1:13" ht="15.75" x14ac:dyDescent="0.25">
      <c r="A71" s="5" t="s">
        <v>193</v>
      </c>
      <c r="B71" s="202">
        <f>B9</f>
        <v>7300</v>
      </c>
      <c r="C71" s="202"/>
    </row>
    <row r="72" spans="1:13" ht="15.75" x14ac:dyDescent="0.25">
      <c r="A72" s="5" t="s">
        <v>192</v>
      </c>
      <c r="B72" s="200" t="str">
        <f>B10</f>
        <v>Agricultural Labor Relations Board</v>
      </c>
      <c r="C72" s="200"/>
    </row>
    <row r="73" spans="1:13" ht="32.25" customHeight="1" x14ac:dyDescent="0.25">
      <c r="A73" s="199" t="s">
        <v>8</v>
      </c>
      <c r="B73" s="199"/>
      <c r="C73" s="199"/>
      <c r="D73" s="3"/>
      <c r="E73" s="3"/>
      <c r="F73" s="3"/>
      <c r="G73" s="29"/>
      <c r="H73" s="29"/>
      <c r="I73" s="29"/>
      <c r="J73" s="29"/>
      <c r="K73" s="29"/>
      <c r="L73" s="29"/>
      <c r="M73" s="29"/>
    </row>
    <row r="74" spans="1:13" ht="15.75" x14ac:dyDescent="0.25">
      <c r="A74" s="51"/>
      <c r="B74" s="52" t="s">
        <v>9</v>
      </c>
      <c r="C74" s="52" t="s">
        <v>10</v>
      </c>
      <c r="D74" s="201" t="str">
        <f>"All of the below questions are for Fiscal Year "&amp;$B$8&amp;":"</f>
        <v>All of the below questions are for Fiscal Year 2022–2023:</v>
      </c>
      <c r="E74" s="201"/>
      <c r="F74" s="201"/>
    </row>
    <row r="75" spans="1:13" ht="15" customHeight="1" x14ac:dyDescent="0.2">
      <c r="A75" s="51" t="str">
        <f>RIGHT(B70,4)&amp;"–"&amp;RIGHT(B70,4)+1</f>
        <v>2023–2024</v>
      </c>
      <c r="B75" s="55"/>
      <c r="C75" s="55"/>
      <c r="D75" s="197" t="s">
        <v>4</v>
      </c>
      <c r="E75" s="198"/>
      <c r="F75" s="198"/>
    </row>
    <row r="76" spans="1:13" x14ac:dyDescent="0.2">
      <c r="A76" s="51" t="str">
        <f>LEFT(A75,4)+1&amp;"–"&amp;RIGHT(A75,4)+1</f>
        <v>2024–2025</v>
      </c>
      <c r="B76" s="55"/>
      <c r="C76" s="55"/>
      <c r="D76" s="197"/>
      <c r="E76" s="198"/>
      <c r="F76" s="198"/>
    </row>
    <row r="77" spans="1:13" x14ac:dyDescent="0.2">
      <c r="A77" s="51" t="str">
        <f>LEFT(A76,4)+1&amp;"–"&amp;RIGHT(A76,4)+1</f>
        <v>2025–2026</v>
      </c>
      <c r="B77" s="55"/>
      <c r="C77" s="55"/>
      <c r="D77" s="194"/>
      <c r="E77" s="194"/>
      <c r="F77" s="194"/>
    </row>
    <row r="78" spans="1:13" ht="15" customHeight="1" x14ac:dyDescent="0.2">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
      <c r="A79" s="51" t="str">
        <f>LEFT(A78,4)+1&amp;"–"&amp;RIGHT(A78,4)+1</f>
        <v>2027–2028</v>
      </c>
      <c r="B79" s="55"/>
      <c r="C79" s="55"/>
      <c r="D79" s="194"/>
      <c r="E79" s="194"/>
      <c r="F79" s="194"/>
    </row>
    <row r="80" spans="1:13" ht="15" customHeight="1" x14ac:dyDescent="0.2">
      <c r="A80" s="51" t="str">
        <f>LEFT(A79,4)+1&amp;"–"&amp;RIGHT(A79,4)+5</f>
        <v>2028–2033</v>
      </c>
      <c r="B80" s="55"/>
      <c r="C80" s="55"/>
      <c r="D80" s="197" t="s">
        <v>6</v>
      </c>
      <c r="E80" s="198"/>
      <c r="F80" s="198"/>
    </row>
    <row r="81" spans="1:6" x14ac:dyDescent="0.2">
      <c r="A81" s="51" t="str">
        <f t="shared" ref="A81:A94" si="2">LEFT(A80,4)+5&amp;"–"&amp;RIGHT(A80,4)+5</f>
        <v>2033–2038</v>
      </c>
      <c r="B81" s="55"/>
      <c r="C81" s="55"/>
      <c r="D81" s="197"/>
      <c r="E81" s="198"/>
      <c r="F81" s="198"/>
    </row>
    <row r="82" spans="1:6" x14ac:dyDescent="0.2">
      <c r="A82" s="51" t="str">
        <f t="shared" si="2"/>
        <v>2038–2043</v>
      </c>
      <c r="B82" s="55"/>
      <c r="C82" s="55"/>
      <c r="D82" s="194"/>
      <c r="E82" s="194"/>
      <c r="F82" s="194"/>
    </row>
    <row r="83" spans="1:6" ht="15" customHeight="1" x14ac:dyDescent="0.2">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
      <c r="A84" s="51" t="str">
        <f t="shared" si="2"/>
        <v>2048–2053</v>
      </c>
      <c r="B84" s="55"/>
      <c r="C84" s="55"/>
      <c r="D84" s="195"/>
      <c r="E84" s="196"/>
      <c r="F84" s="196"/>
    </row>
    <row r="85" spans="1:6" x14ac:dyDescent="0.2">
      <c r="A85" s="51" t="str">
        <f t="shared" si="2"/>
        <v>2053–2058</v>
      </c>
      <c r="B85" s="55"/>
      <c r="C85" s="55"/>
      <c r="D85" s="194"/>
      <c r="E85" s="194"/>
      <c r="F85" s="194"/>
    </row>
    <row r="86" spans="1:6" ht="15" customHeight="1" x14ac:dyDescent="0.2">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
      <c r="A87" s="51" t="str">
        <f t="shared" si="2"/>
        <v>2063–2068</v>
      </c>
      <c r="B87" s="55"/>
      <c r="C87" s="55"/>
      <c r="D87" s="195"/>
      <c r="E87" s="196"/>
      <c r="F87" s="196"/>
    </row>
    <row r="88" spans="1:6" x14ac:dyDescent="0.2">
      <c r="A88" s="51" t="str">
        <f t="shared" si="2"/>
        <v>2068–2073</v>
      </c>
      <c r="B88" s="55"/>
      <c r="C88" s="55"/>
      <c r="D88" s="194"/>
      <c r="E88" s="194"/>
      <c r="F88" s="194"/>
    </row>
    <row r="89" spans="1:6" x14ac:dyDescent="0.2">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
      <c r="A90" s="51" t="str">
        <f t="shared" si="2"/>
        <v>2078–2083</v>
      </c>
      <c r="B90" s="55"/>
      <c r="C90" s="55"/>
      <c r="D90" s="197"/>
      <c r="E90" s="198"/>
      <c r="F90" s="198"/>
    </row>
    <row r="91" spans="1:6" ht="15" customHeight="1" x14ac:dyDescent="0.2">
      <c r="A91" s="51" t="str">
        <f t="shared" si="2"/>
        <v>2083–2088</v>
      </c>
      <c r="B91" s="55"/>
      <c r="C91" s="55"/>
      <c r="D91" s="194"/>
      <c r="E91" s="194"/>
      <c r="F91" s="194"/>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4"/>
      <c r="E93" s="194"/>
      <c r="F93" s="194"/>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4"/>
      <c r="E95" s="194"/>
      <c r="F95" s="194"/>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J10" sqref="J10"/>
    </sheetView>
  </sheetViews>
  <sheetFormatPr defaultColWidth="9.140625" defaultRowHeight="18" x14ac:dyDescent="0.25"/>
  <cols>
    <col min="1" max="1" width="9.140625" style="35"/>
    <col min="2" max="3" width="3.5703125" style="35" customWidth="1"/>
    <col min="4" max="4" width="35.5703125" style="35" customWidth="1"/>
    <col min="5" max="5" width="3.5703125" style="35" customWidth="1"/>
    <col min="6" max="6" width="16.85546875" style="36" customWidth="1"/>
    <col min="7" max="7" width="3.5703125" style="35" customWidth="1"/>
    <col min="8" max="8" width="16.85546875" style="36" customWidth="1"/>
    <col min="9" max="9" width="3.5703125" style="35" customWidth="1"/>
    <col min="10" max="10" width="16.85546875" style="36" customWidth="1"/>
    <col min="11" max="11" width="3.5703125" style="35" customWidth="1"/>
    <col min="12" max="12" width="16.85546875" style="36" customWidth="1"/>
    <col min="13" max="13" width="3.5703125" style="35" customWidth="1"/>
    <col min="14" max="14" width="16.85546875" style="36" customWidth="1"/>
    <col min="15" max="15" width="3.5703125" style="35" customWidth="1"/>
    <col min="16" max="16" width="17.5703125" style="36" bestFit="1" customWidth="1"/>
    <col min="17" max="17" width="3.570312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0001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7300 - Agricultural Labor Relations Board</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v>4617873</v>
      </c>
      <c r="G10" s="58"/>
      <c r="H10" s="61"/>
      <c r="I10" s="58"/>
      <c r="J10" s="61">
        <v>790717</v>
      </c>
      <c r="K10" s="58"/>
      <c r="L10" s="63">
        <f>SUM(F10+H10-J10)</f>
        <v>3827156</v>
      </c>
      <c r="M10" s="58"/>
      <c r="N10" s="61">
        <v>771366</v>
      </c>
      <c r="O10" s="58"/>
      <c r="P10" s="63">
        <f>L10-N10</f>
        <v>3055790</v>
      </c>
      <c r="Q10" s="43"/>
    </row>
    <row r="11" spans="2:17" ht="19.5" thickTop="1" thickBot="1" x14ac:dyDescent="0.3">
      <c r="B11" s="41"/>
      <c r="C11" s="45" t="s">
        <v>19</v>
      </c>
      <c r="F11" s="62">
        <f>SUM(F10:F10)</f>
        <v>4617873</v>
      </c>
      <c r="G11" s="58"/>
      <c r="H11" s="62">
        <f>SUM(H10:H10)</f>
        <v>0</v>
      </c>
      <c r="I11" s="58"/>
      <c r="J11" s="62">
        <f>SUM(J10:J10)</f>
        <v>790717</v>
      </c>
      <c r="K11" s="58"/>
      <c r="L11" s="62">
        <f>SUM(L10:L10)</f>
        <v>3827156</v>
      </c>
      <c r="M11" s="58"/>
      <c r="N11" s="62">
        <f>SUM(N10:N10)</f>
        <v>771366</v>
      </c>
      <c r="O11" s="58"/>
      <c r="P11" s="62">
        <f>SUM(P10:P10)</f>
        <v>3055790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F16" sqref="F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0" t="s">
        <v>154</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1629</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2" t="s">
        <v>143</v>
      </c>
      <c r="C13" s="212"/>
      <c r="D13" s="212"/>
      <c r="E13" s="212"/>
      <c r="F13" s="212"/>
      <c r="G13" s="212"/>
      <c r="H13" s="212"/>
      <c r="I13" s="212"/>
      <c r="J13" s="212"/>
      <c r="K13" s="212"/>
      <c r="L13" s="212"/>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IF('LS-Fund 0001 Journal Entries'!$F$8="Governmental Fund",'LS-Fund 0001 Journal Entries'!$K$23,0)</f>
        <v>4617873</v>
      </c>
      <c r="C16" s="116" t="s">
        <v>146</v>
      </c>
      <c r="D16" s="84">
        <f>IF('LS-Fund 0001 Journal Entries'!$F$8="Governmental Fund",'LS-Fund 0001 Journal Entries'!$K$48,0)</f>
        <v>0</v>
      </c>
      <c r="E16" s="118" t="s">
        <v>147</v>
      </c>
      <c r="F16" s="84">
        <f>IF('LS-Fund 0001 Journal Entries'!$F$8="Governmental Fund",'LS-Fund 0001 Journal Entries'!$J$68,0)</f>
        <v>790717</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3827156</v>
      </c>
      <c r="M16" s="86"/>
      <c r="N16" s="88">
        <f>SUM('LS-Department Note Disclosure'!B13:B36)</f>
        <v>3827156.367117601</v>
      </c>
      <c r="O16" s="85"/>
      <c r="P16" s="89">
        <f>L16-N16</f>
        <v>-0.3671176009811461</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2" t="s">
        <v>143</v>
      </c>
      <c r="C21" s="212"/>
      <c r="D21" s="212"/>
      <c r="E21" s="212"/>
      <c r="F21" s="212"/>
      <c r="G21" s="212"/>
      <c r="H21" s="212"/>
      <c r="I21" s="212"/>
      <c r="J21" s="212"/>
      <c r="K21" s="212"/>
      <c r="L21" s="212"/>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2" t="s">
        <v>143</v>
      </c>
      <c r="C30" s="212"/>
      <c r="D30" s="212"/>
      <c r="E30" s="212"/>
      <c r="F30" s="212"/>
      <c r="G30" s="212"/>
      <c r="H30" s="212"/>
      <c r="I30" s="212"/>
      <c r="J30" s="212"/>
      <c r="K30" s="212"/>
      <c r="L30" s="212"/>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2" t="s">
        <v>143</v>
      </c>
      <c r="C40" s="212"/>
      <c r="D40" s="212"/>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IF('LS-Fund 0001 Journal Entries'!$F$8="Governmental Fund",'LS-Fund 0001 Journal Entries'!$K$76,0)</f>
        <v>771366</v>
      </c>
      <c r="C42" s="92"/>
      <c r="E42" s="92"/>
      <c r="G42" s="115"/>
      <c r="H42" s="115"/>
      <c r="I42" s="115"/>
      <c r="J42" s="115"/>
      <c r="K42" s="92"/>
      <c r="L42" s="92"/>
      <c r="M42" s="93"/>
      <c r="N42" s="88">
        <f>'LS-Department Note Disclosure'!B13</f>
        <v>771365.79667863634</v>
      </c>
      <c r="O42" s="94"/>
      <c r="P42" s="89">
        <f>B42-N42</f>
        <v>0.2033213636605069</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Please review and correct the variance.</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2" t="s">
        <v>143</v>
      </c>
      <c r="C47" s="212"/>
      <c r="D47" s="212"/>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2" t="s">
        <v>143</v>
      </c>
      <c r="C55" s="212"/>
      <c r="D55" s="212"/>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3" t="s">
        <v>143</v>
      </c>
      <c r="C64" s="213"/>
      <c r="D64" s="213"/>
      <c r="E64" s="213"/>
      <c r="F64" s="213"/>
      <c r="G64" s="213"/>
      <c r="H64" s="213"/>
      <c r="I64" s="95"/>
      <c r="J64" s="77" t="s">
        <v>1628</v>
      </c>
      <c r="K64" s="95"/>
      <c r="L64" s="213" t="s">
        <v>12</v>
      </c>
      <c r="M64" s="213"/>
      <c r="N64" s="213"/>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4617873</v>
      </c>
      <c r="J66" s="97">
        <f>SUM(D66)</f>
        <v>4617873</v>
      </c>
      <c r="L66" s="98" t="str">
        <f>CONCATENATE("Balance July 1, ",LEFT('LS-Department Note Disclosure'!$B$8,4))</f>
        <v>Balance July 1, 2022</v>
      </c>
      <c r="N66" s="97">
        <f>'LS-Lease Liabilities'!F10</f>
        <v>4617873</v>
      </c>
      <c r="P66" s="89">
        <f>J66-N66</f>
        <v>0</v>
      </c>
    </row>
    <row r="67" spans="1:17" x14ac:dyDescent="0.25">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25">
      <c r="B68" s="79" t="s">
        <v>152</v>
      </c>
      <c r="D68" s="97">
        <f>$F$16</f>
        <v>790717</v>
      </c>
      <c r="E68" s="119" t="s">
        <v>146</v>
      </c>
      <c r="F68" s="79" t="s">
        <v>1753</v>
      </c>
      <c r="H68" s="97">
        <f>$H$16</f>
        <v>0</v>
      </c>
      <c r="J68" s="97">
        <f>SUM(D68,H68)</f>
        <v>790717</v>
      </c>
      <c r="L68" s="98" t="s">
        <v>14</v>
      </c>
      <c r="N68" s="97">
        <f>'LS-Lease Liabilities'!J10</f>
        <v>790717</v>
      </c>
      <c r="P68" s="89">
        <f t="shared" si="0"/>
        <v>0</v>
      </c>
    </row>
    <row r="69" spans="1:17" x14ac:dyDescent="0.25">
      <c r="B69" s="79" t="s">
        <v>156</v>
      </c>
      <c r="D69" s="97">
        <f>$B$42</f>
        <v>771366</v>
      </c>
      <c r="J69" s="97">
        <f>SUM(D69)</f>
        <v>771366</v>
      </c>
      <c r="L69" s="98" t="s">
        <v>15</v>
      </c>
      <c r="N69" s="97">
        <f>'LS-Lease Liabilities'!N10</f>
        <v>771366</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3" t="s">
        <v>143</v>
      </c>
      <c r="C75" s="213"/>
      <c r="D75" s="213"/>
      <c r="E75" s="213"/>
      <c r="F75" s="213"/>
      <c r="G75" s="213"/>
      <c r="H75" s="213"/>
      <c r="I75" s="95"/>
      <c r="J75" s="77" t="s">
        <v>1628</v>
      </c>
      <c r="K75" s="95"/>
      <c r="L75" s="213" t="s">
        <v>12</v>
      </c>
      <c r="M75" s="213"/>
      <c r="N75" s="213"/>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5.0999999999999996" customHeight="1" x14ac:dyDescent="0.25"/>
    <row r="84" spans="2:16" x14ac:dyDescent="0.25">
      <c r="B84" s="100" t="s">
        <v>162</v>
      </c>
      <c r="C84" s="100"/>
    </row>
    <row r="85" spans="2:16" x14ac:dyDescent="0.25">
      <c r="B85" s="100"/>
    </row>
    <row r="86" spans="2:16" ht="15" customHeight="1" x14ac:dyDescent="0.25">
      <c r="B86" s="213" t="s">
        <v>143</v>
      </c>
      <c r="C86" s="213"/>
      <c r="D86" s="213"/>
      <c r="E86" s="213"/>
      <c r="F86" s="213"/>
      <c r="G86" s="213"/>
      <c r="H86" s="213"/>
      <c r="I86" s="95"/>
      <c r="J86" s="77" t="s">
        <v>1628</v>
      </c>
      <c r="K86" s="95"/>
      <c r="L86" s="213" t="s">
        <v>12</v>
      </c>
      <c r="M86" s="213"/>
      <c r="N86" s="213"/>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383A45AB-5BD4-41FA-8488-2F6DAC2184A5}"/>
</file>

<file path=customXml/itemProps2.xml><?xml version="1.0" encoding="utf-8"?>
<ds:datastoreItem xmlns:ds="http://schemas.openxmlformats.org/officeDocument/2006/customXml" ds:itemID="{E431297E-FCA2-4B9B-B78C-1F67ABBECFA6}"/>
</file>

<file path=customXml/itemProps3.xml><?xml version="1.0" encoding="utf-8"?>
<ds:datastoreItem xmlns:ds="http://schemas.openxmlformats.org/officeDocument/2006/customXml" ds:itemID="{E9095E03-2CD7-45D3-BA95-984F2155CC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2024-06-17T21:21:48Z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3416500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