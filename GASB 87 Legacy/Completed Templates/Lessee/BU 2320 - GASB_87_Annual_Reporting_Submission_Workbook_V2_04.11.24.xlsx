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1A29EAE7-9CCF-4263-92A5-E9B8570917C6}"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317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0317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P18" i="2"/>
  <c r="K129" i="2" l="1"/>
  <c r="S20" i="2"/>
  <c r="K20" i="2"/>
  <c r="K125" i="2" s="1"/>
  <c r="J18" i="2" l="1"/>
  <c r="S25" i="2"/>
  <c r="S24" i="2"/>
  <c r="S23" i="2"/>
  <c r="K23" i="2"/>
  <c r="K128" i="2" s="1"/>
  <c r="S22" i="2"/>
  <c r="K22" i="2"/>
  <c r="K127" i="2" s="1"/>
  <c r="S21" i="2"/>
  <c r="K21" i="2"/>
  <c r="K126" i="2" s="1"/>
  <c r="S19" i="2"/>
  <c r="S17" i="2"/>
  <c r="J17" i="2"/>
  <c r="S16" i="2"/>
  <c r="J16" i="2"/>
  <c r="K123" i="2" s="1"/>
  <c r="S15" i="2"/>
  <c r="J15" i="2"/>
  <c r="K122" i="2" s="1"/>
  <c r="K124"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<sst xmlns="http://schemas.openxmlformats.org/spreadsheetml/2006/main" count="7784" uniqueCount="1761">
  <si>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</si>
  <si>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</si>
  <si>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</si>
  <si>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</si>
  <si>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</si>
  <si>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</si>
  <si>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</si>
  <si>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</si>
  <si>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</si>
  <si>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</si>
  <si>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</si>
  <si>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</si>
  <si>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</si>
  <si>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</si>
  <si>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</si>
  <si>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</si>
  <si>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</si>
  <si>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</si>
  <si>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</si>
  <si>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</si>
  <si>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</si>
  <si>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</si>
  <si>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</si>
  <si>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</si>
  <si>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</si>
  <si>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</si>
  <si>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</si>
  <si>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</si>
  <si>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</si>
  <si>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</si>
  <si>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</si>
  <si>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</si>
  <si>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</si>
  <si>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</si>
  <si>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</si>
  <si>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</si>
  <si>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</si>
  <si>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</si>
  <si>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</si>
  <si>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</si>
  <si>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</si>
  <si>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</si>
  <si>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</si>
  <si>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</si>
  <si>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</si>
  <si>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</si>
  <si>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</si>
  <si>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</si>
  <si>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</si>
  <si>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</si>
  <si>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</si>
  <si>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</si>
  <si>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</si>
  <si>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</si>
  <si>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</si>
  <si>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</si>
  <si>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</si>
  <si>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</si>
  <si>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</si>
  <si>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</si>
  <si>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</si>
  <si>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</si>
  <si>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</si>
  <si>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</si>
  <si>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</si>
  <si>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</si>
  <si>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</si>
  <si>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</si>
  <si>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</si>
  <si>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</si>
  <si>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</si>
  <si>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</si>
  <si>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</si>
  <si>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</si>
  <si>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</si>
  <si>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</si>
  <si>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</si>
  <si>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</si>
  <si>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</si>
  <si>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</si>
  <si>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</si>
  <si>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</si>
  <si>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</si>
  <si>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</si>
  <si>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</si>
  <si>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</si>
  <si>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</si>
  <si>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</si>
  <si>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</si>
  <si>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</si>
  <si>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</si>
  <si>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</si>
  <si>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</si>
  <si>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</si>
  <si>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</si>
  <si>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</si>
  <si>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</si>
  <si>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</si>
  <si>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</si>
  <si>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</si>
  <si>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</si>
  <si>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</si>
  <si>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</si>
  <si>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</si>
  <si>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</si>
  <si>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</si>
  <si>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</si>
  <si>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</si>
  <si>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</si>
  <si>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</si>
  <si>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</si>
  <si>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</si>
  <si>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</si>
  <si>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</si>
  <si>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</si>
  <si>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</si>
  <si>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</si>
  <si>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</si>
  <si>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</si>
  <si>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</si>
  <si>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</si>
  <si>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</si>
  <si>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</si>
  <si>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</si>
  <si>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</si>
  <si>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</si>
  <si>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</si>
  <si>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</si>
  <si>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</si>
  <si>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</si>
  <si>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</si>
  <si>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</si>
  <si>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</si>
  <si>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</si>
  <si>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</si>
  <si>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</si>
  <si>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</si>
  <si>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</si>
  <si>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</si>
  <si>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</si>
  <si>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</si>
  <si>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</si>
  <si>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</si>
  <si>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</si>
  <si>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</si>
  <si>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</si>
  <si>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</si>
  <si>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</si>
  <si>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</si>
  <si>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</si>
  <si>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</si>
  <si>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</si>
  <si>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</si>
  <si>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</si>
  <si>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</si>
  <si>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</si>
  <si>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</si>
  <si>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</si>
  <si>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</si>
  <si>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</si>
  <si>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</si>
  <si>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</si>
  <si>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</si>
  <si>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</si>
  <si>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</si>
  <si>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</si>
  <si>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</si>
  <si>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</si>
  <si>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</si>
  <si>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</si>
  <si>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</si>
  <si>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</si>
  <si>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</si>
  <si>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</si>
  <si>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</si>
  <si>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</si>
  <si>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</si>
  <si>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</si>
  <si>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</si>
  <si>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</si>
  <si>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</si>
  <si>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</si>
  <si>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</si>
  <si>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</si>
  <si>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</si>
  <si>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</si>
  <si>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</si>
  <si>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</si>
  <si>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</si>
  <si>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</si>
  <si>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</si>
  <si>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</si>
  <si>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</si>
  <si>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</si>
  <si>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</si>
  <si>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</si>
  <si>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</si>
  <si>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</si>
  <si>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</si>
  <si>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</si>
  <si>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</si>
  <si>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</si>
  <si>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</si>
  <si>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</si>
  <si>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</si>
  <si>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</si>
  <si>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</si>
  <si>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</si>
  <si>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</si>
  <si>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</si>
  <si>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</si>
  <si>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</si>
  <si>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</si>
  <si>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</si>
  <si>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</si>
  <si>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</si>
  <si>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</si>
  <si>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</si>
  <si>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</si>
  <si>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</si>
  <si>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</si>
  <si>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</si>
  <si>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</si>
  <si>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</si>
  <si>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</si>
  <si>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</si>
  <si>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</si>
  <si>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</si>
  <si>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</si>
  <si>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</si>
  <si>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</si>
  <si>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</si>
  <si>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</si>
  <si>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</si>
  <si>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</si>
  <si>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</si>
  <si>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</si>
  <si>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</si>
  <si>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</si>
  <si>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</si>
  <si>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</si>
  <si>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</si>
  <si>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</si>
  <si>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</si>
  <si>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</si>
  <si>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</si>
  <si>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</si>
  <si>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</si>
  <si>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</si>
  <si>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</si>
  <si>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</si>
  <si>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</si>
  <si>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</si>
  <si>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</si>
  <si>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</si>
  <si>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</si>
  <si>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</si>
  <si>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</si>
  <si>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</si>
  <si>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</si>
  <si>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</si>
  <si>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</si>
  <si>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</si>
  <si>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</si>
  <si>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</si>
  <si>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</si>
  <si>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</si>
  <si>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</si>
  <si>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</si>
  <si>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</si>
  <si>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</si>
  <si>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</si>
  <si>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</si>
  <si>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</si>
  <si>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</si>
  <si>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</si>
  <si>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</si>
  <si>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</si>
  <si>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</si>
  <si>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</si>
  <si>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</si>
  <si>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</si>
  <si>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</si>
  <si>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</si>
  <si>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</si>
  <si>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</si>
  <si>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</si>
  <si>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</si>
  <si>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</si>
  <si>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</si>
  <si>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</si>
  <si>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</si>
  <si>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</si>
  <si>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</si>
  <si>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</si>
  <si>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</si>
  <si>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</si>
  <si>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</si>
  <si>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</si>
  <si>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</si>
  <si>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</si>
  <si>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</si>
  <si>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</si>
  <si>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</si>
  <si>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</si>
  <si>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</si>
  <si>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</si>
  <si>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</si>
  <si>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</si>
  <si>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</si>
  <si>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</si>
  <si>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</si>
  <si>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</si>
  <si>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</si>
  <si>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</si>
  <si>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</si>
  <si>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</si>
  <si>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</si>
  <si>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</si>
  <si>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</si>
  <si>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</si>
  <si>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</si>
  <si>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</si>
  <si>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</si>
  <si>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</si>
  <si>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</si>
  <si>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</si>
  <si>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</si>
  <si>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</si>
  <si>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</si>
  <si>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</si>
  <si>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</si>
  <si>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</si>
  <si>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</si>
  <si>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</si>
  <si>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</si>
  <si>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</si>
  <si>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</si>
  <si>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</si>
  <si>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</si>
  <si>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</si>
  <si>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</si>
  <si>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</si>
  <si>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</si>
  <si>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</si>
  <si>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</si>
  <si>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</si>
  <si>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</si>
  <si>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</si>
  <si>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</si>
  <si>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</si>
  <si>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</si>
  <si>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</si>
  <si>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</si>
  <si>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</si>
  <si>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</si>
  <si>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</si>
  <si>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</si>
  <si>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</si>
  <si>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</si>
  <si>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</si>
  <si>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</si>
  <si>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</si>
  <si>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</si>
  <si>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</si>
  <si>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</si>
  <si>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</si>
  <si>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</si>
  <si>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</si>
  <si>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</si>
  <si>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</si>
  <si>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</si>
  <si>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</si>
  <si>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</si>
  <si>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</si>
  <si>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</si>
  <si>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</si>
  <si>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</si>
  <si>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</si>
  <si>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</si>
  <si>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</si>
  <si>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</si>
  <si>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</si>
  <si>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</si>
  <si>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</si>
  <si>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</si>
  <si>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</si>
  <si>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</si>
  <si>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</si>
  <si>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</si>
  <si>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</si>
  <si>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</si>
  <si>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</si>
  <si>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</si>
  <si>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</si>
  <si>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</si>
  <si>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</si>
  <si>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</si>
  <si>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</si>
  <si>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</si>
  <si>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</si>
  <si>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</si>
  <si>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</si>
  <si>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</si>
  <si>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</si>
  <si>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</si>
  <si>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</si>
  <si>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</si>
  <si>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</si>
  <si>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</si>
  <si>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</si>
  <si>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</si>
  <si>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</si>
  <si>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</si>
  <si>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</si>
  <si>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</si>
  <si>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</si>
  <si>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</si>
  <si>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</si>
  <si>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</si>
  <si>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</si>
  <si>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</si>
  <si>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</si>
  <si>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</si>
  <si>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</si>
  <si>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</si>
  <si>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</si>
  <si>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</si>
  <si>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</si>
  <si>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</si>
  <si>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</si>
  <si>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</si>
  <si>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</si>
  <si>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</si>
  <si>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</si>
  <si>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</si>
  <si>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</si>
  <si>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</si>
  <si>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</si>
  <si>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</si>
  <si>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</si>
  <si>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</si>
  <si>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</si>
  <si>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</si>
  <si>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</si>
  <si>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</si>
  <si>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</si>
  <si>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</si>
  <si>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</si>
  <si>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</si>
  <si>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</si>
  <si>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</si>
  <si>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</si>
  <si>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</si>
  <si>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</si>
  <si>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</si>
  <si>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</si>
  <si>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</si>
  <si>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</si>
  <si>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</si>
  <si>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</si>
  <si>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</si>
  <si>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</si>
  <si>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</si>
  <si>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</si>
  <si>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</si>
  <si>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</si>
  <si>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</si>
  <si>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</si>
  <si>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</si>
  <si>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</si>
  <si>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</si>
  <si>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</si>
  <si>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</si>
  <si>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</si>
  <si>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</si>
  <si>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</si>
  <si>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</si>
  <si>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</si>
  <si>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</si>
  <si>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</si>
  <si>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</si>
  <si>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</si>
  <si>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</si>
  <si>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</si>
  <si>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</si>
  <si>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</si>
  <si>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</si>
  <si>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</si>
  <si>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</si>
  <si>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</si>
  <si>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</si>
  <si>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</si>
  <si>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</si>
  <si>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</si>
  <si>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</si>
  <si>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</si>
  <si>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</si>
  <si>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</si>
  <si>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</si>
  <si>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</si>
  <si>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</si>
  <si>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</si>
  <si>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</si>
  <si>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</si>
  <si>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</si>
  <si>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</si>
  <si>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</si>
  <si>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</si>
  <si>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</si>
  <si>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</si>
  <si>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</si>
  <si>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</si>
  <si>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</si>
  <si>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</si>
  <si>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</si>
  <si>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</si>
  <si>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</si>
  <si>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</si>
  <si>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</si>
  <si>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</si>
  <si>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</si>
  <si>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</si>
  <si>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</si>
  <si>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</si>
  <si>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</si>
  <si>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</si>
  <si>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</si>
  <si>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</si>
  <si>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</si>
  <si>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</si>
  <si>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</si>
  <si>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</si>
  <si>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</si>
  <si>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</si>
  <si>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</si>
  <si>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</si>
  <si>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</si>
  <si>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</si>
  <si>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</si>
  <si>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</si>
  <si>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</si>
  <si>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</si>
  <si>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</si>
  <si>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</si>
  <si>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</si>
  <si>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</si>
  <si>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</si>
  <si>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</si>
  <si>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</si>
  <si>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</si>
  <si>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</si>
  <si>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</si>
  <si>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</si>
  <si>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</si>
  <si>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</si>
  <si>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</si>
  <si>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</si>
  <si>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</si>
  <si>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</si>
  <si>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</si>
  <si>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</si>
  <si>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</si>
  <si>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</si>
  <si>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</si>
  <si>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</si>
  <si>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</si>
  <si>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</si>
  <si>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</si>
  <si>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</si>
  <si>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</si>
  <si>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</si>
  <si>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</si>
  <si>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</si>
  <si>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</si>
  <si>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</si>
  <si>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</si>
  <si>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</si>
  <si>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</si>
  <si>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</si>
  <si>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</si>
  <si>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</si>
  <si>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</si>
  <si>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</si>
  <si>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</si>
  <si>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</si>
  <si>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</si>
  <si>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</si>
  <si>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</si>
  <si>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</si>
  <si>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</si>
  <si>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</si>
  <si>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</si>
  <si>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</si>
  <si>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</si>
  <si>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</si>
  <si>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</si>
  <si>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</si>
  <si>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</si>
  <si>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</si>
  <si>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</si>
  <si>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</si>
  <si>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</si>
  <si>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</si>
  <si>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</si>
  <si>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</si>
  <si>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</si>
  <si>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</si>
  <si>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</si>
  <si>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</si>
  <si>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</si>
  <si>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</si>
  <si>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</si>
  <si>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</si>
  <si>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</si>
  <si>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</si>
  <si>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</si>
  <si>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</si>
  <si>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</si>
  <si>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</si>
  <si>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</si>
  <si>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</si>
  <si>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</si>
  <si>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</si>
  <si>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</si>
  <si>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</si>
  <si>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</si>
  <si>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</si>
  <si>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</si>
  <si>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</si>
  <si>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</si>
  <si>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</si>
  <si>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</si>
  <si>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</si>
  <si>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</si>
  <si>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</si>
  <si>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</si>
  <si>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</si>
  <si>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</si>
  <si>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</si>
  <si>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</si>
  <si>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</si>
  <si>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</si>
  <si>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</si>
  <si>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</si>
  <si>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</si>
  <si>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</si>
  <si>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</si>
  <si>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</si>
  <si>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</si>
  <si>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</si>
  <si>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</si>
  <si>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</si>
  <si>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</si>
  <si>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</si>
  <si>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</si>
  <si>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</si>
  <si>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</si>
  <si>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</si>
  <si>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</si>
  <si>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</si>
  <si>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</si>
  <si>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</si>
  <si>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</si>
  <si>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</si>
  <si>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</si>
  <si>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</si>
  <si>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</si>
  <si>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</si>
  <si>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</si>
  <si>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</si>
  <si>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</si>
  <si>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</si>
  <si>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</si>
  <si>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</si>
  <si>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</si>
  <si>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</si>
  <si>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</si>
  <si>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</si>
  <si>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</si>
  <si>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</si>
  <si>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</si>
  <si>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</si>
  <si>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</si>
  <si>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</si>
  <si>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</si>
  <si>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</si>
  <si>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</si>
  <si>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</si>
  <si>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</si>
  <si>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</si>
  <si>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</si>
  <si>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</si>
  <si>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</si>
  <si>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</si>
  <si>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</si>
  <si>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</si>
  <si>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</si>
  <si>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</si>
  <si>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</si>
  <si>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</si>
  <si>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</si>
  <si>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</si>
  <si>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</si>
  <si>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</si>
  <si>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</si>
  <si>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</si>
  <si>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</si>
  <si>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</si>
  <si>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</si>
  <si>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</si>
  <si>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</si>
  <si>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</si>
  <si>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</si>
  <si>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</si>
  <si>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</si>
  <si>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</si>
  <si>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</si>
  <si>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</si>
  <si>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</si>
  <si>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</si>
  <si>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</si>
  <si>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</si>
  <si>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</si>
  <si>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</si>
  <si>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</si>
  <si>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</si>
  <si>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</si>
  <si>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</si>
  <si>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</si>
  <si>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</si>
  <si>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</si>
  <si>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</si>
  <si>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</si>
  <si>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</si>
  <si>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</si>
  <si>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</si>
  <si>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</si>
  <si>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</si>
  <si>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</si>
  <si>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</si>
  <si>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</si>
  <si>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</si>
  <si>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</si>
  <si>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</si>
  <si>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</si>
  <si>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</si>
  <si>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</si>
  <si>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</si>
  <si>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</si>
  <si>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</si>
  <si>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</si>
  <si>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</si>
  <si>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</si>
  <si>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</si>
  <si>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</si>
  <si>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</si>
  <si>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</si>
  <si>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</si>
  <si>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</si>
  <si>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</si>
  <si>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</si>
  <si>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</si>
  <si>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</si>
  <si>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</si>
  <si>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</si>
  <si>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</si>
  <si>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</si>
  <si>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</si>
  <si>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</si>
  <si>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</si>
  <si>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</si>
  <si>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</si>
  <si>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</si>
  <si>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</si>
  <si>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</si>
  <si>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</si>
  <si>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</si>
  <si>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</si>
  <si>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</si>
  <si>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</si>
  <si>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</si>
  <si>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</si>
  <si>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</si>
  <si>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</si>
  <si>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</si>
  <si>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</si>
  <si>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</si>
  <si>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</si>
  <si>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</si>
  <si>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</si>
  <si>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</si>
  <si>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</si>
  <si>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</si>
  <si>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</si>
  <si>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</si>
  <si>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</si>
  <si>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</si>
  <si>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</si>
  <si>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</si>
  <si>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</si>
  <si>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</si>
  <si>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</si>
  <si>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</si>
  <si>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</si>
  <si>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</si>
  <si>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</si>
  <si>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</si>
  <si>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</si>
  <si>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</si>
  <si>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</si>
  <si>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</si>
  <si>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</si>
  <si>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</si>
  <si>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</si>
  <si>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</si>
  <si>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</si>
  <si>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</si>
  <si>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</si>
  <si>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</si>
  <si>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</si>
  <si>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</si>
  <si>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</si>
  <si>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</si>
  <si>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</si>
  <si>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</si>
  <si>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</si>
  <si>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</si>
  <si>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</si>
  <si>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</si>
  <si>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</si>
  <si>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</si>
  <si>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</si>
  <si>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</si>
  <si>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</si>
  <si>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</si>
  <si>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</si>
  <si>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</si>
  <si>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</si>
  <si>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</si>
  <si>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</si>
  <si>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</si>
  <si>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</si>
  <si>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</si>
  <si>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</si>
  <si>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</si>
  <si>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</si>
  <si>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</si>
  <si>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</si>
  <si>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</si>
  <si>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</si>
  <si>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</si>
  <si>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</si>
  <si>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</si>
  <si>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</si>
  <si>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</si>
  <si>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</si>
  <si>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</si>
  <si>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</si>
  <si>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</si>
  <si>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</si>
  <si>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</si>
  <si>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</si>
  <si>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</si>
  <si>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</si>
  <si>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</si>
  <si>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</si>
  <si>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</si>
  <si>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</si>
  <si>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</si>
  <si>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</si>
  <si>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</si>
  <si>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</si>
  <si>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</si>
  <si>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</si>
  <si>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</si>
  <si>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</si>
  <si>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</si>
  <si>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</si>
  <si>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</si>
  <si>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</si>
  <si>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</si>
  <si>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</si>
  <si>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</si>
  <si>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</si>
  <si>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</si>
  <si>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</si>
  <si>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</si>
  <si>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</si>
  <si>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</si>
  <si>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</si>
  <si>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</si>
  <si>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</si>
  <si>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</si>
  <si>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</si>
  <si>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</si>
  <si>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</si>
  <si>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</si>
  <si>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</si>
  <si>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</si>
  <si>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</si>
  <si>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</si>
  <si>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</si>
  <si>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</si>
  <si>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</si>
  <si>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</si>
  <si>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</si>
  <si>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</si>
  <si>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</si>
  <si>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</si>
  <si>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</si>
  <si>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</si>
  <si>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</si>
  <si>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</si>
  <si>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</si>
  <si>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</si>
  <si>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</si>
  <si>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</si>
  <si>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</si>
  <si>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</si>
  <si>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</si>
  <si>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</si>
  <si>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</si>
  <si>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</si>
  <si>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</si>
  <si>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</si>
  <si>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</si>
  <si>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</si>
  <si>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</si>
  <si>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</si>
  <si>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</si>
  <si>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</si>
  <si>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</si>
  <si>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</si>
  <si>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</si>
  <si>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</si>
  <si>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</si>
  <si>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</si>
  <si>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</si>
  <si>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</si>
  <si>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</si>
  <si>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</si>
  <si>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</si>
  <si>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</si>
  <si>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</si>
  <si>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</si>
  <si>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</si>
  <si>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</si>
  <si>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</si>
  <si>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</si>
  <si>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</si>
  <si>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</si>
  <si>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</si>
  <si>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</si>
  <si>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</si>
  <si>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</si>
  <si>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</si>
  <si>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</si>
  <si>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</si>
  <si>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</si>
  <si>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</si>
  <si>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</si>
  <si>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</si>
  <si>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</si>
  <si>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</si>
  <si>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</si>
  <si>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</si>
  <si>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</si>
  <si>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</si>
  <si>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</si>
  <si>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</si>
  <si>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</si>
  <si>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</si>
  <si>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</si>
  <si>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</si>
  <si>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</si>
  <si>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</si>
  <si>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</si>
  <si>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</si>
  <si>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</si>
  <si>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</si>
  <si>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</si>
  <si>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</si>
  <si>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</si>
  <si>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</si>
  <si>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</si>
  <si>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</si>
  <si>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</si>
  <si>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</si>
  <si>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</si>
  <si>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</si>
  <si>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</si>
  <si>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</si>
  <si>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</si>
  <si>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</si>
  <si>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</si>
  <si>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</si>
  <si>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</si>
  <si>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</si>
  <si>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</si>
  <si>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</si>
  <si>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</si>
  <si>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</si>
  <si>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</si>
  <si>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</si>
  <si>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</si>
  <si>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</si>
  <si>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</si>
  <si>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</si>
  <si>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</si>
  <si>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</si>
  <si>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</si>
  <si>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</si>
  <si>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</si>
  <si>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</si>
  <si>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</si>
  <si>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</si>
  <si>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</si>
  <si>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</si>
  <si>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</si>
  <si>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</si>
  <si>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</si>
  <si>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</si>
  <si>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</si>
  <si>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</si>
  <si>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</si>
  <si>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</si>
  <si>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</si>
  <si>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</si>
  <si>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</si>
  <si>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</si>
  <si>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</si>
  <si>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</si>
  <si>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</si>
  <si>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</si>
  <si>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</si>
  <si>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</si>
  <si>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</si>
  <si>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</si>
  <si>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</si>
  <si>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</si>
  <si>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</si>
  <si>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</si>
  <si>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</si>
  <si>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</si>
  <si>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</si>
  <si>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</si>
  <si>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</si>
  <si>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</si>
  <si>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</si>
  <si>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</si>
  <si>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</si>
  <si>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</si>
  <si>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</si>
  <si>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</si>
  <si>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</si>
  <si>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</si>
  <si>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</si>
  <si>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</si>
  <si>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</si>
  <si>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</si>
  <si>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</si>
  <si>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</si>
  <si>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</si>
  <si>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</si>
  <si>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</si>
  <si>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</si>
  <si>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</si>
  <si>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</si>
  <si>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</si>
  <si>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</si>
  <si>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</si>
  <si>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</si>
  <si>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</si>
  <si>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</si>
  <si>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</si>
  <si>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</si>
  <si>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</si>
  <si>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</si>
  <si>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</si>
  <si>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</si>
  <si>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</si>
  <si>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</si>
  <si>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</si>
  <si>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</si>
  <si>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</si>
  <si>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</si>
  <si>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</si>
  <si>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</si>
  <si>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</si>
  <si>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</si>
  <si>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</si>
  <si>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</si>
  <si>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</si>
  <si>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</si>
  <si>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</si>
  <si>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</si>
  <si>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</si>
  <si>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</si>
  <si>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</si>
  <si>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</si>
  <si>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</si>
  <si>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</si>
  <si>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</si>
  <si>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</si>
  <si>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</si>
  <si>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</si>
  <si>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</si>
  <si>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</si>
  <si>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</si>
  <si>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</si>
  <si>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</si>
  <si>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</si>
  <si>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</si>
  <si>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</si>
  <si>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</si>
  <si>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</si>
  <si>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</si>
  <si>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</si>
  <si>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</si>
  <si>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</si>
  <si>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</si>
  <si>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</si>
  <si>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</si>
  <si>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</si>
  <si>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</si>
  <si>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</si>
  <si>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</si>
  <si>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</si>
  <si>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</si>
  <si>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</si>
  <si>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</si>
  <si>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</si>
  <si>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</si>
  <si>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</si>
  <si>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</si>
  <si>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</si>
  <si>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</si>
  <si>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</si>
  <si>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</si>
  <si>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</si>
  <si>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</si>
  <si>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</si>
  <si>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</si>
  <si>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</si>
  <si>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</si>
  <si>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</si>
  <si>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</si>
  <si>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</si>
  <si>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</si>
  <si>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</si>
  <si>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</si>
  <si>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</si>
  <si>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</si>
  <si>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</si>
  <si>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</si>
  <si>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</si>
  <si>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</si>
  <si>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</si>
  <si>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</si>
  <si>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</si>
  <si>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</si>
  <si>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</si>
  <si>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</si>
  <si>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</si>
  <si>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</si>
  <si>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</si>
  <si>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</si>
  <si>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</si>
  <si>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</si>
  <si>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</si>
  <si>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</si>
  <si>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</si>
  <si>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</si>
  <si>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</si>
  <si>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</si>
  <si>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</si>
  <si>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</si>
  <si>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</si>
  <si>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</si>
  <si>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</si>
  <si>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</si>
  <si>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</si>
  <si>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</si>
  <si>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</si>
  <si>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</si>
  <si>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</si>
  <si>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</si>
  <si>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</si>
  <si>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</si>
  <si>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</si>
  <si>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</si>
  <si>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</si>
  <si>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</si>
  <si>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</si>
  <si>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</si>
  <si>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</si>
  <si>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</si>
  <si>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</si>
  <si>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</si>
  <si>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</si>
  <si>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</si>
  <si>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</si>
  <si>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</si>
  <si>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</si>
  <si>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</si>
  <si>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</si>
  <si>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</si>
  <si>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</si>
  <si>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</si>
  <si>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</si>
  <si>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</si>
  <si>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</si>
  <si>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</si>
  <si>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</si>
  <si>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</si>
  <si>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</si>
  <si>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</si>
  <si>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</si>
  <si>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</si>
  <si>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</si>
  <si>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</si>
  <si>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</si>
  <si>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</si>
  <si>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</si>
  <si>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</si>
  <si>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</si>
  <si>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</si>
  <si>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</si>
  <si>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</si>
  <si>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</si>
  <si>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</si>
  <si>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</si>
  <si>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</si>
  <si>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</si>
  <si>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</si>
  <si>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</si>
  <si>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</si>
  <si>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</si>
  <si>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</si>
  <si>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</si>
  <si>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</si>
  <si>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</si>
  <si>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</si>
  <si>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</si>
  <si>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</si>
  <si>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</si>
  <si>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</si>
  <si>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</si>
  <si>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</si>
  <si>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</si>
  <si>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</si>
  <si>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</si>
  <si>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</si>
  <si>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</si>
  <si>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</si>
  <si>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</si>
  <si>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</si>
  <si>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</si>
  <si>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</si>
  <si>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</si>
  <si>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</si>
  <si>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</si>
  <si>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</si>
  <si>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</si>
  <si>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</si>
  <si>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</si>
  <si>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</si>
  <si>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</si>
  <si>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</si>
  <si>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</si>
  <si>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</si>
  <si>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</si>
  <si>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</si>
  <si>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</si>
  <si>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</si>
  <si>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</si>
  <si>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</si>
  <si>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</si>
  <si>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</si>
  <si>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</si>
  <si>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</si>
  <si>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</si>
  <si>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</si>
  <si>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</si>
  <si>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</si>
  <si>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</si>
  <si>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</si>
  <si>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</si>
  <si>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</si>
  <si>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</si>
  <si>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</si>
  <si>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</si>
  <si>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</si>
  <si>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</si>
  <si>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</si>
  <si>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</si>
  <si>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</si>
  <si>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</si>
  <si>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</si>
  <si>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</si>
  <si>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</si>
  <si>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</si>
  <si>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</si>
  <si>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</si>
  <si>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</si>
  <si>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</si>
  <si>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</si>
  <si>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</si>
  <si>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</si>
  <si>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</si>
  <si>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</si>
  <si>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</si>
  <si>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</si>
  <si>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</si>
  <si>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</si>
  <si>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</si>
  <si>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</si>
  <si>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</si>
  <si>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</si>
  <si>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</si>
  <si>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</si>
  <si>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</si>
  <si>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</si>
  <si>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</si>
  <si>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</si>
  <si>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</si>
  <si>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</si>
  <si>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</si>
  <si>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</si>
  <si>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</si>
  <si>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</si>
  <si>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</si>
  <si>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</si>
  <si>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</si>
  <si>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</si>
  <si>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</si>
  <si>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</si>
  <si>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</si>
  <si>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</si>
  <si>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</si>
  <si>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</si>
  <si>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</si>
  <si>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</si>
  <si>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</si>
  <si>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</si>
  <si>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</si>
  <si>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</si>
  <si>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</si>
  <si>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</si>
  <si>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</si>
  <si>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</si>
  <si>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</si>
  <si>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</si>
  <si>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</si>
  <si>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</si>
  <si>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</si>
  <si>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</si>
  <si>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</si>
  <si>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</si>
  <si>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</si>
  <si>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</si>
  <si>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</si>
  <si>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</si>
  <si>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</si>
  <si>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</si>
  <si>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</si>
  <si>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</si>
  <si>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</si>
  <si>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</si>
  <si>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</si>
  <si>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</si>
  <si>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</si>
  <si>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</si>
  <si>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</si>
  <si>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</si>
  <si>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</si>
  <si>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</si>
  <si>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</si>
  <si>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</si>
  <si>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</si>
  <si>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</si>
  <si>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</si>
  <si>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</si>
  <si>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</si>
  <si>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</si>
  <si>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</si>
  <si>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</si>
  <si>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</si>
  <si>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</si>
  <si>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</si>
  <si>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</si>
  <si>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</si>
  <si>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</si>
  <si>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</si>
  <si>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</si>
  <si>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</si>
  <si>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</si>
  <si>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</si>
  <si>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</si>
  <si>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</si>
  <si>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</si>
  <si>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</si>
  <si>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</si>
  <si>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</si>
  <si>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</si>
  <si>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</si>
  <si>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</si>
  <si>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</si>
  <si>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</si>
  <si>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</si>
  <si>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</si>
  <si>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</si>
  <si>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</si>
  <si>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</si>
  <si>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</si>
  <si>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</si>
  <si>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</si>
  <si>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</si>
  <si>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</si>
  <si>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</si>
  <si>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</si>
  <si>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</si>
  <si>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</si>
  <si>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</si>
  <si>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</si>
  <si>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</si>
  <si>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</si>
  <si>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</si>
  <si>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</si>
  <si>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</si>
  <si>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</si>
  <si>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</si>
  <si>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</si>
  <si>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</si>
  <si>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</si>
  <si>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</si>
  <si>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</si>
  <si>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</si>
  <si>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</si>
  <si>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</si>
  <si>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</si>
  <si>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</si>
  <si>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</si>
  <si>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</si>
  <si>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</si>
  <si>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</si>
  <si>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</si>
  <si>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</si>
  <si>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</si>
  <si>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</si>
  <si>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</si>
  <si>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</si>
  <si>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</si>
  <si>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</si>
  <si>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</si>
  <si>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</si>
  <si>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</si>
  <si>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</si>
  <si>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</si>
  <si>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</si>
  <si>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</si>
  <si>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</si>
  <si>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</si>
  <si>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</si>
  <si>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</si>
  <si>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</si>
  <si>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</si>
  <si>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</si>
  <si>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</si>
  <si>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</si>
  <si>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</si>
  <si>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</si>
  <si>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</si>
  <si>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</si>
  <si>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</si>
  <si>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</si>
  <si>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</si>
  <si>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</si>
  <si>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</si>
  <si>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</si>
  <si>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</si>
  <si>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</si>
  <si>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</si>
  <si>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</si>
  <si>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</si>
  <si>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</si>
  <si>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</si>
  <si>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</si>
  <si>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</si>
  <si>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</si>
  <si>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</si>
  <si>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</si>
  <si>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</si>
  <si>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</si>
  <si>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</si>
  <si>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</si>
  <si>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</si>
  <si>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</si>
  <si>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</si>
  <si>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</si>
  <si>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</si>
  <si>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</si>
  <si>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</si>
  <si>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</si>
  <si>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</si>
  <si>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</si>
  <si>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</si>
  <si>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</si>
  <si>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</si>
  <si>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</si>
  <si>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</si>
  <si>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</si>
  <si>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</si>
  <si>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</si>
  <si>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</si>
  <si>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</si>
  <si>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</si>
  <si>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</si>
  <si>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</si>
  <si>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</si>
  <si>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</si>
  <si>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</si>
  <si>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</si>
  <si>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</si>
  <si>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</si>
  <si>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</si>
  <si>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</si>
  <si>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</si>
  <si>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</si>
  <si>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</si>
  <si>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</si>
  <si>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</si>
  <si>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</si>
  <si>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</si>
  <si>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</si>
  <si>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</si>
  <si>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</si>
  <si>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</si>
  <si>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</si>
  <si>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</si>
  <si>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</si>
  <si>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</si>
  <si>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</si>
  <si>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</si>
  <si>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</si>
  <si>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</si>
  <si>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</si>
  <si>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</si>
  <si>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</si>
  <si>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</si>
  <si>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</si>
  <si>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</si>
  <si>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</si>
  <si>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</si>
  <si>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</si>
  <si>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</si>
  <si>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</si>
  <si>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</si>
  <si>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</si>
  <si>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</si>
  <si>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</si>
  <si>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</si>
  <si>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</si>
  <si>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</si>
  <si>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</si>
  <si>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</si>
  <si>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</si>
  <si>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</si>
  <si>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</si>
  <si>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</si>
  <si>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</si>
  <si>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</si>
  <si>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</si>
  <si>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</si>
  <si>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</si>
  <si>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</si>
  <si>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</si>
  <si>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</si>
  <si>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</si>
  <si>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</si>
  <si>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</si>
  <si>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</si>
  <si>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</si>
  <si>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</si>
  <si>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</si>
  <si>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</si>
  <si>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</si>
  <si>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</si>
  <si>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</si>
  <si>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</si>
  <si>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</si>
  <si>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</si>
  <si>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</si>
  <si>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</si>
  <si>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</si>
  <si>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</si>
  <si>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</si>
  <si>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</si>
  <si>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</si>
  <si>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</si>
  <si>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</si>
  <si>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</si>
  <si>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</si>
  <si>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</si>
  <si>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</si>
  <si>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</si>
  <si>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</si>
  <si>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</si>
  <si>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</si>
  <si>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</si>
  <si>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</si>
  <si>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</si>
  <si>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</si>
  <si>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</si>
  <si>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</si>
  <si>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</si>
  <si>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</si>
  <si>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</si>
  <si>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</si>
  <si>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</si>
  <si>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</si>
  <si>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</si>
  <si>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</si>
  <si>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</si>
  <si>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</si>
  <si>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</si>
  <si>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</si>
  <si>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</si>
  <si>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</si>
  <si>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</si>
  <si>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</si>
  <si>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</si>
  <si>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</si>
  <si>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</si>
  <si>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</si>
  <si>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</si>
  <si>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</si>
  <si>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</si>
  <si>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</si>
  <si>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</si>
  <si>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</si>
  <si>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</si>
  <si>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</si>
  <si>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</si>
  <si>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</si>
  <si>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</si>
  <si>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</si>
  <si>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</si>
  <si>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</si>
  <si>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</si>
  <si>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</si>
  <si>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</si>
  <si>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</si>
  <si>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</si>
  <si>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</si>
  <si>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</si>
  <si>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</si>
  <si>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</si>
  <si>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</si>
  <si>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</si>
  <si>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</si>
  <si>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</si>
  <si>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</si>
  <si>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</si>
  <si>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</si>
  <si>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</si>
  <si>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</si>
  <si>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</si>
  <si>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</si>
  <si>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</si>
  <si>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</si>
  <si>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</si>
  <si>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</si>
  <si>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</si>
  <si>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</si>
  <si>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</si>
  <si>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</si>
  <si>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</si>
  <si>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</si>
  <si>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</si>
  <si>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</si>
  <si>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</si>
  <si>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</si>
  <si>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</si>
  <si>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</si>
  <si>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</si>
  <si>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</si>
  <si>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</si>
  <si>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</si>
  <si>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</si>
  <si>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</si>
  <si>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</si>
  <si>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</si>
  <si>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</si>
  <si>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</si>
  <si>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</si>
  <si>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</si>
  <si>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</si>
  <si>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</si>
  <si>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</si>
  <si>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</si>
  <si>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</si>
  <si>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</si>
  <si>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</si>
  <si>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</si>
  <si>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</si>
  <si>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</si>
  <si>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</si>
  <si>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</si>
  <si>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</si>
  <si>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</si>
  <si>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</si>
  <si>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</si>
  <si>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</si>
  <si>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</si>
  <si>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</si>
  <si>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</si>
  <si>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</si>
  <si>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</si>
  <si>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</si>
  <si>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</si>
  <si>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</si>
  <si>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</si>
  <si>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</si>
  <si>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</si>
  <si>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</si>
  <si>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</si>
  <si>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</si>
  <si>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</si>
  <si>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</si>
  <si>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</si>
  <si>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</si>
  <si>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</si>
  <si>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</si>
  <si>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</si>
  <si>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</si>
  <si>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</si>
  <si>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</si>
  <si>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</si>
  <si>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</si>
  <si>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</si>
  <si>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</si>
  <si>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</si>
  <si>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</si>
  <si>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</si>
  <si>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</si>
  <si>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</si>
  <si>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</si>
  <si>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</si>
  <si>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</si>
  <si>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</si>
  <si>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</si>
  <si>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</si>
  <si>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</si>
  <si>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</si>
  <si>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</si>
  <si>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</si>
  <si>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</si>
  <si>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</si>
  <si>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Real Estate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</si>
</sst>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H3" sqref="H3"/>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sqref="A1:K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664</v>
      </c>
      <c r="G5" s="188"/>
      <c r="H5" s="188"/>
      <c r="I5" s="188"/>
      <c r="L5" s="12"/>
      <c r="M5" s="12"/>
      <c r="N5" s="12"/>
      <c r="O5" s="12"/>
      <c r="P5" s="12"/>
      <c r="Q5" s="12"/>
    </row>
    <row r="6" spans="1:19" ht="16.5" customHeight="1" x14ac:dyDescent="0.3">
      <c r="A6" s="186" t="s">
        <v>1635</v>
      </c>
      <c r="B6" s="186"/>
      <c r="C6" s="186"/>
      <c r="D6" s="186"/>
      <c r="E6" s="186"/>
      <c r="F6" s="189">
        <v>317</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BUS, CONSUMER SERV, HOUSING</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12866435</v>
      </c>
      <c r="M17" s="143">
        <v>12866435</v>
      </c>
      <c r="P17" s="143">
        <v>0</v>
      </c>
      <c r="Q17" s="155"/>
      <c r="S17" s="154">
        <f t="shared" si="0"/>
        <v>-12866435</v>
      </c>
    </row>
    <row r="18" spans="1:19" ht="16.5" customHeight="1" x14ac:dyDescent="0.3">
      <c r="A18" s="54"/>
      <c r="B18" s="9" t="s">
        <v>169</v>
      </c>
      <c r="C18" s="9"/>
      <c r="D18" s="9"/>
      <c r="E18" s="140"/>
      <c r="F18" s="141"/>
      <c r="G18" s="141"/>
      <c r="H18" s="142"/>
      <c r="I18" s="142"/>
      <c r="J18" s="178">
        <f>P18</f>
        <v>0</v>
      </c>
      <c r="M18" s="143">
        <v>302219</v>
      </c>
      <c r="P18" s="152">
        <f>IF(SUM($Q$20:$Q$23)&gt;SUM($P$15:$P$17),SUM($Q$20:$Q$23)-SUM($P$15:$P$17),0)</f>
        <v>0</v>
      </c>
      <c r="Q18" s="155"/>
      <c r="S18" s="154">
        <f t="shared" si="0"/>
        <v>-302219</v>
      </c>
    </row>
    <row r="19" spans="1:19" ht="16.5" customHeight="1" x14ac:dyDescent="0.3">
      <c r="A19" s="54"/>
      <c r="B19" s="9" t="s">
        <v>170</v>
      </c>
      <c r="C19" s="9"/>
      <c r="D19" s="9"/>
      <c r="E19" s="140"/>
      <c r="F19" s="141"/>
      <c r="G19" s="141"/>
      <c r="H19" s="142"/>
      <c r="I19" s="142"/>
      <c r="J19" s="178">
        <f>IF(SUM($K$20:$K$24)&gt;SUM($J$15:$J$18),SUM($K$20:$K$24)-SUM($J$15:$J$18),0)</f>
        <v>302218</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2187967</v>
      </c>
      <c r="N22" s="143">
        <v>2187967</v>
      </c>
      <c r="P22" s="155"/>
      <c r="Q22" s="143">
        <v>0</v>
      </c>
      <c r="S22" s="154">
        <f t="shared" ref="S22:S25" si="1">Q22-N22</f>
        <v>-2187967</v>
      </c>
    </row>
    <row r="23" spans="1:19" ht="16.5" customHeight="1" x14ac:dyDescent="0.3">
      <c r="A23" s="165" t="s">
        <v>1646</v>
      </c>
      <c r="B23" s="9"/>
      <c r="C23" s="9" t="s">
        <v>174</v>
      </c>
      <c r="D23" s="9"/>
      <c r="E23" s="140"/>
      <c r="F23" s="141"/>
      <c r="G23" s="141"/>
      <c r="H23" s="142"/>
      <c r="I23" s="142"/>
      <c r="J23" s="150"/>
      <c r="K23" s="178">
        <f>N23</f>
        <v>10980686</v>
      </c>
      <c r="N23" s="143">
        <v>10980686</v>
      </c>
      <c r="P23" s="155"/>
      <c r="Q23" s="143">
        <v>0</v>
      </c>
      <c r="S23" s="154">
        <f t="shared" si="1"/>
        <v>-10980686</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13168653</v>
      </c>
      <c r="K26" s="107">
        <f>SUM(K15:K25)</f>
        <v>13168653</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4350052</v>
      </c>
      <c r="K33" s="144"/>
    </row>
    <row r="34" spans="1:12" ht="16.5" customHeight="1" x14ac:dyDescent="0.3">
      <c r="A34" s="54"/>
      <c r="B34" s="9"/>
      <c r="C34" s="9" t="s">
        <v>1748</v>
      </c>
      <c r="D34" s="140"/>
      <c r="E34" s="140"/>
      <c r="F34" s="141"/>
      <c r="G34" s="141"/>
      <c r="H34" s="142"/>
      <c r="I34" s="142"/>
      <c r="J34" s="144"/>
      <c r="K34" s="143">
        <v>4350052</v>
      </c>
    </row>
    <row r="35" spans="1:12" ht="16.5" customHeight="1" x14ac:dyDescent="0.3">
      <c r="A35" s="54"/>
      <c r="B35" s="9"/>
      <c r="C35" s="9" t="str">
        <f>IF($F$7="Proprietary","Cr: Acct 0870 - SERVICES &amp; CHARGES (MG ADJ)",VLOOKUP($F$9,'Drop Down Menus'!$F$2:$G$10,2,FALSE))</f>
        <v>Cr: Acct 0825 - BUS, CONSUMER SERV, HOUSING</v>
      </c>
      <c r="D35" s="140"/>
      <c r="E35" s="140"/>
      <c r="F35" s="141"/>
      <c r="G35" s="141"/>
      <c r="H35" s="142"/>
      <c r="I35" s="142"/>
      <c r="J35" s="144"/>
      <c r="K35" s="143"/>
    </row>
    <row r="36" spans="1:12" ht="16.5" customHeight="1" x14ac:dyDescent="0.3">
      <c r="A36" s="54"/>
      <c r="C36" s="16"/>
      <c r="D36" s="16"/>
      <c r="E36" s="16"/>
      <c r="F36" s="17"/>
      <c r="G36" s="17"/>
      <c r="H36" s="18"/>
      <c r="I36" s="18"/>
      <c r="J36" s="107">
        <f>SUM(J33:J35)</f>
        <v>4350052</v>
      </c>
      <c r="K36" s="107">
        <f>SUM(K33:K35)</f>
        <v>4350052</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4350052</v>
      </c>
      <c r="K41" s="144"/>
    </row>
    <row r="42" spans="1:12" ht="16.5" customHeight="1" x14ac:dyDescent="0.3">
      <c r="A42" s="54"/>
      <c r="B42" s="9"/>
      <c r="C42" s="9" t="s">
        <v>181</v>
      </c>
      <c r="D42" s="140"/>
      <c r="E42" s="140"/>
      <c r="F42" s="141"/>
      <c r="G42" s="141"/>
      <c r="H42" s="142"/>
      <c r="I42" s="142"/>
      <c r="J42" s="144"/>
      <c r="K42" s="143">
        <v>4350052</v>
      </c>
    </row>
    <row r="43" spans="1:12" ht="16.5" customHeight="1" x14ac:dyDescent="0.3">
      <c r="A43" s="54"/>
      <c r="B43" s="130" t="s">
        <v>1640</v>
      </c>
      <c r="C43" s="16"/>
      <c r="D43" s="16"/>
      <c r="E43" s="16"/>
      <c r="F43" s="17"/>
      <c r="G43" s="17"/>
      <c r="H43" s="18"/>
      <c r="I43" s="18"/>
      <c r="J43" s="107">
        <f>SUM(J39:J42)</f>
        <v>4350052</v>
      </c>
      <c r="K43" s="107">
        <f>SUM(K39:K42)</f>
        <v>4350052</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4350052</v>
      </c>
      <c r="K47" s="144"/>
    </row>
    <row r="48" spans="1:12" ht="16.5" customHeight="1" x14ac:dyDescent="0.3">
      <c r="A48" s="165" t="s">
        <v>1646</v>
      </c>
      <c r="B48" s="9"/>
      <c r="C48" s="9" t="s">
        <v>174</v>
      </c>
      <c r="D48" s="140"/>
      <c r="E48" s="140"/>
      <c r="F48" s="141"/>
      <c r="G48" s="141"/>
      <c r="H48" s="142"/>
      <c r="I48" s="142"/>
      <c r="J48" s="144"/>
      <c r="K48" s="143">
        <v>4350052</v>
      </c>
    </row>
    <row r="49" spans="1:16" ht="16.5" customHeight="1" x14ac:dyDescent="0.3">
      <c r="A49" s="54"/>
      <c r="C49" s="16"/>
      <c r="D49" s="16"/>
      <c r="E49" s="16"/>
      <c r="F49" s="17"/>
      <c r="G49" s="17"/>
      <c r="H49" s="18"/>
      <c r="I49" s="18"/>
      <c r="J49" s="107">
        <f>SUM(J47:J48)</f>
        <v>4350052</v>
      </c>
      <c r="K49" s="107">
        <f>SUM(K47:K48)</f>
        <v>4350052</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2404767</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2404767</v>
      </c>
    </row>
    <row r="59" spans="1:16" ht="16.5" customHeight="1" x14ac:dyDescent="0.3">
      <c r="A59" s="54"/>
      <c r="C59" s="16"/>
      <c r="D59" s="16"/>
      <c r="E59" s="16"/>
      <c r="F59" s="17"/>
      <c r="G59" s="17"/>
      <c r="H59" s="18"/>
      <c r="I59" s="18"/>
      <c r="J59" s="107">
        <f>SUM(J55:J58)</f>
        <v>2404767</v>
      </c>
      <c r="K59" s="107">
        <f>SUM(K55:K58)</f>
        <v>2404767</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2185879</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352927</v>
      </c>
      <c r="K63" s="147"/>
    </row>
    <row r="64" spans="1:16" ht="16.5" customHeight="1" x14ac:dyDescent="0.3">
      <c r="A64" s="54"/>
      <c r="B64" s="9"/>
      <c r="C64" s="9" t="str">
        <f>IF($F$7="Proprietary","Cr: Acct 0870 - SERVICES &amp; CHARGES (MG ADJ)",VLOOKUP($F$9,'Drop Down Menus'!$F$2:$G$10,2,FALSE))</f>
        <v>Cr: Acct 0825 - BUS, CONSUMER SERV, HOUSING</v>
      </c>
      <c r="D64" s="140"/>
      <c r="E64" s="140"/>
      <c r="F64" s="141"/>
      <c r="G64" s="141"/>
      <c r="H64" s="142"/>
      <c r="I64" s="142"/>
      <c r="J64" s="147"/>
      <c r="K64" s="143">
        <v>2538806</v>
      </c>
    </row>
    <row r="65" spans="1:12" ht="16.5" customHeight="1" x14ac:dyDescent="0.3">
      <c r="A65" s="54"/>
      <c r="C65" s="16"/>
      <c r="D65" s="16"/>
      <c r="E65" s="16"/>
      <c r="F65" s="17"/>
      <c r="G65" s="17"/>
      <c r="H65" s="18"/>
      <c r="I65" s="18"/>
      <c r="J65" s="107">
        <f>SUM(J62:J64)</f>
        <v>2538806</v>
      </c>
      <c r="K65" s="107">
        <f>SUM(K62:K64)</f>
        <v>2538806</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2185879</v>
      </c>
      <c r="K68" s="144"/>
    </row>
    <row r="69" spans="1:12" ht="16.5" customHeight="1" x14ac:dyDescent="0.3">
      <c r="A69" s="54"/>
      <c r="B69" s="9"/>
      <c r="C69" s="9" t="s">
        <v>186</v>
      </c>
      <c r="D69" s="140"/>
      <c r="E69" s="140"/>
      <c r="F69" s="141"/>
      <c r="G69" s="141"/>
      <c r="H69" s="142"/>
      <c r="I69" s="142"/>
      <c r="J69" s="144"/>
      <c r="K69" s="143">
        <v>2185879</v>
      </c>
    </row>
    <row r="70" spans="1:12" ht="16.5" customHeight="1" x14ac:dyDescent="0.3">
      <c r="A70" s="54"/>
      <c r="C70" s="16"/>
      <c r="D70" s="16"/>
      <c r="E70" s="16"/>
      <c r="F70" s="17"/>
      <c r="G70" s="17"/>
      <c r="H70" s="18"/>
      <c r="I70" s="18"/>
      <c r="J70" s="107">
        <f>SUM(J68:J69)</f>
        <v>2185879</v>
      </c>
      <c r="K70" s="107">
        <f>SUM(K68:K69)</f>
        <v>2185879</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2346716</v>
      </c>
      <c r="K75" s="144"/>
    </row>
    <row r="76" spans="1:12" ht="16.5" customHeight="1" x14ac:dyDescent="0.3">
      <c r="A76" s="54"/>
      <c r="B76" s="9"/>
      <c r="C76" s="9" t="s">
        <v>194</v>
      </c>
      <c r="D76" s="140"/>
      <c r="E76" s="140"/>
      <c r="F76" s="141"/>
      <c r="G76" s="141"/>
      <c r="H76" s="142"/>
      <c r="I76" s="142"/>
      <c r="J76" s="144"/>
      <c r="K76" s="143">
        <v>2346716</v>
      </c>
    </row>
    <row r="77" spans="1:12" ht="16.5" customHeight="1" x14ac:dyDescent="0.25">
      <c r="A77" s="54"/>
      <c r="B77" s="193" t="s">
        <v>1735</v>
      </c>
      <c r="C77" s="193"/>
      <c r="D77" s="193"/>
      <c r="E77" s="193"/>
      <c r="F77" s="193"/>
      <c r="G77" s="193"/>
      <c r="H77" s="193"/>
      <c r="I77" s="193"/>
      <c r="J77" s="107">
        <f>SUM(J75:J76)</f>
        <v>2346716</v>
      </c>
      <c r="K77" s="107">
        <f>SUM(K75:K76)</f>
        <v>2346716</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242840</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242840</v>
      </c>
    </row>
    <row r="91" spans="1:16" ht="16.5" customHeight="1" x14ac:dyDescent="0.3">
      <c r="B91" s="130" t="s">
        <v>1641</v>
      </c>
      <c r="H91" s="10"/>
      <c r="J91" s="108">
        <f>SUM(J85:J90)</f>
        <v>242840</v>
      </c>
      <c r="K91" s="108">
        <f>SUM(K85:K90)</f>
        <v>242840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0825 - BUS, CONSUMER SERV, HOUSING</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0825 - BUS, CONSUMER SERV, HOUSING</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16973647</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-4349894</v>
      </c>
    </row>
    <row r="128" spans="1:12" ht="16.5" customHeight="1" x14ac:dyDescent="0.3">
      <c r="D128" s="140" t="s">
        <v>1657</v>
      </c>
      <c r="H128" s="10"/>
      <c r="K128" s="169">
        <f>-K23-K48+J68+J75+J96-K113</f>
        <v>-10798143</v>
      </c>
    </row>
    <row r="129" spans="4:11" ht="16.5" customHeight="1" x14ac:dyDescent="0.3">
      <c r="D129" s="140" t="s">
        <v>1658</v>
      </c>
      <c r="H129" s="10"/>
      <c r="K129" s="169">
        <f>-K76</f>
        <v>-2346716</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 zoomScale="90" zoomScaleNormal="90" workbookViewId="0">
      <selection activeCell="D29" sqref="D29:F29"/>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2320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2346716</v>
      </c>
      <c r="C13" s="55">
        <v>316257</v>
      </c>
      <c r="D13" s="197" t="s">
        <v>4</v>
      </c>
      <c r="E13" s="198"/>
      <c r="F13" s="198"/>
      <c r="G13" s="29"/>
      <c r="H13" s="29"/>
      <c r="I13" s="29"/>
      <c r="J13" s="29"/>
      <c r="K13" s="29"/>
      <c r="L13" s="29"/>
      <c r="M13" s="29"/>
    </row>
    <row r="14" spans="1:13" x14ac:dyDescent="0.25">
      <c r="A14" s="51" t="str">
        <f>LEFT(A13,4)+1&amp;"–"&amp;RIGHT(A13,4)+1</f>
        <v>2024–2025</v>
      </c>
      <c r="B14" s="55">
        <v>2436119</v>
      </c>
      <c r="C14" s="55">
        <v>255939</v>
      </c>
      <c r="D14" s="197"/>
      <c r="E14" s="198"/>
      <c r="F14" s="198"/>
    </row>
    <row r="15" spans="1:13" ht="15.6" x14ac:dyDescent="0.25">
      <c r="A15" s="51" t="str">
        <f>LEFT(A14,4)+1&amp;"–"&amp;RIGHT(A14,4)+1</f>
        <v>2025–2026</v>
      </c>
      <c r="B15" s="55">
        <v>2592230</v>
      </c>
      <c r="C15" s="55">
        <v>192411</v>
      </c>
      <c r="D15" s="194" t="s">
        <v>125</v>
      </c>
      <c r="E15" s="194"/>
      <c r="F15" s="194"/>
      <c r="G15" s="30"/>
      <c r="H15" s="30"/>
      <c r="I15" s="30"/>
      <c r="J15" s="30"/>
      <c r="K15" s="30"/>
      <c r="L15" s="30"/>
      <c r="M15" s="30"/>
    </row>
    <row r="16" spans="1:13" x14ac:dyDescent="0.25">
      <c r="A16" s="51" t="str">
        <f>LEFT(A15,4)+1&amp;"–"&amp;RIGHT(A15,4)+1</f>
        <v>2026–2027</v>
      </c>
      <c r="B16" s="55">
        <v>2524600</v>
      </c>
      <c r="C16" s="55">
        <v>125714</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741429</v>
      </c>
      <c r="C17" s="55">
        <v>82659</v>
      </c>
      <c r="D17" s="194"/>
      <c r="E17" s="194"/>
      <c r="F17" s="194"/>
      <c r="G17" s="31"/>
      <c r="H17" s="31"/>
      <c r="I17" s="31"/>
      <c r="J17" s="31"/>
      <c r="K17" s="31"/>
    </row>
    <row r="18" spans="1:13" ht="15" customHeight="1" x14ac:dyDescent="0.3">
      <c r="A18" s="51" t="str">
        <f>LEFT(A17,4)+1&amp;"–"&amp;RIGHT(A17,4)+5</f>
        <v>2028–2033</v>
      </c>
      <c r="B18" s="55">
        <v>2503765</v>
      </c>
      <c r="C18" s="55">
        <v>133977</v>
      </c>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2320</v>
      </c>
      <c r="C40" s="202"/>
      <c r="E40" s="32"/>
    </row>
    <row r="41" spans="1:13" ht="15.6" x14ac:dyDescent="0.3">
      <c r="A41" s="5" t="s">
        <v>192</v>
      </c>
      <c r="B41" s="200" t="str">
        <f>B10</f>
        <v>Department of Real Estate</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2320</v>
      </c>
      <c r="C71" s="202"/>
    </row>
    <row r="72" spans="1:13" ht="15.6" x14ac:dyDescent="0.3">
      <c r="A72" s="5" t="s">
        <v>192</v>
      </c>
      <c r="B72" s="200" t="str">
        <f>B10</f>
        <v>Department of Real Estate</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0317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2320 - Department of Real Estate</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10980686</v>
      </c>
      <c r="G10" s="58"/>
      <c r="H10" s="61">
        <v>4350052</v>
      </c>
      <c r="I10" s="58"/>
      <c r="J10" s="61">
        <v>2185879</v>
      </c>
      <c r="K10" s="58"/>
      <c r="L10" s="63">
        <f>SUM(F10+H10-J10)</f>
        <v>13144859</v>
      </c>
      <c r="M10" s="58"/>
      <c r="N10" s="61">
        <v>2346716</v>
      </c>
      <c r="O10" s="58"/>
      <c r="P10" s="63">
        <f>L10-N10</f>
        <v>10798143</v>
      </c>
      <c r="Q10" s="43"/>
    </row>
    <row r="11" spans="2:17" ht="19.2" thickTop="1" thickBot="1" x14ac:dyDescent="0.4">
      <c r="B11" s="41"/>
      <c r="C11" s="45" t="s">
        <v>19</v>
      </c>
      <c r="F11" s="62">
        <f>SUM(F10:F10)</f>
        <v>10980686</v>
      </c>
      <c r="G11" s="58"/>
      <c r="H11" s="62">
        <f>SUM(H10:H10)</f>
        <v>4350052</v>
      </c>
      <c r="I11" s="58"/>
      <c r="J11" s="62">
        <f>SUM(J10:J10)</f>
        <v>2185879</v>
      </c>
      <c r="K11" s="58"/>
      <c r="L11" s="62">
        <f>SUM(L10:L10)</f>
        <v>13144859</v>
      </c>
      <c r="M11" s="58"/>
      <c r="N11" s="62">
        <f>SUM(N10:N10)</f>
        <v>2346716</v>
      </c>
      <c r="O11" s="58"/>
      <c r="P11" s="62">
        <f>SUM(P10:P10)</f>
        <v>10798143</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B16" sqref="B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0317 Journal Entries'!$F$8="Governmental Fund",'LS-Fund 0317 Journal Entries'!$K$23,0)</f>
        <v>10980686</v>
      </c>
      <c r="C16" s="116" t="s">
        <v>146</v>
      </c>
      <c r="D16" s="84">
        <f>IF('LS-Fund 0317 Journal Entries'!$F$8="Governmental Fund",'LS-Fund 0317 Journal Entries'!$K$48,0)</f>
        <v>4350052</v>
      </c>
      <c r="E16" s="118" t="s">
        <v>147</v>
      </c>
      <c r="F16" s="84">
        <f>IF('LS-Fund 0317 Journal Entries'!$F$8="Governmental Fund",'LS-Fund 0317 Journal Entries'!$J$68,0)</f>
        <v>2185879</v>
      </c>
      <c r="G16" s="117" t="s">
        <v>147</v>
      </c>
      <c r="H16" s="84">
        <f>IF('LS-Fund 0317 Journal Entries'!$F$8="Governmental Fund",'LS-Fund 0317 Journal Entries'!$J$96,0)</f>
        <v>0</v>
      </c>
      <c r="I16" s="117" t="s">
        <v>146</v>
      </c>
      <c r="J16" s="84">
        <f>IF('LS-Fund 0317 Journal Entries'!$F$8="Governmental Fund",'LS-Fund 0317 Journal Entries'!$K$113,0)</f>
        <v>0</v>
      </c>
      <c r="K16" s="118" t="s">
        <v>150</v>
      </c>
      <c r="L16" s="87">
        <f>+B16+D16-F16-H16+J16</f>
        <v>13144859</v>
      </c>
      <c r="M16" s="86"/>
      <c r="N16" s="88">
        <f>SUM('LS-Department Note Disclosure'!B13:B36)</f>
        <v>13144859</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0317 Journal Entries'!$F$8="Proprietary - Internal Service Fund",'LS-Fund 0317 Journal Entries'!$K$23,0)</f>
        <v>0</v>
      </c>
      <c r="C24" s="116" t="s">
        <v>146</v>
      </c>
      <c r="D24" s="84">
        <f>IF('LS-Fund 0317 Journal Entries'!$F$8="Proprietary - Internal Service Fund",'LS-Fund 0317 Journal Entries'!$K$48,0)</f>
        <v>0</v>
      </c>
      <c r="E24" s="118" t="s">
        <v>147</v>
      </c>
      <c r="F24" s="84">
        <f>IF('LS-Fund 0317 Journal Entries'!$F$8="Proprietary - Internal Service Fund",'LS-Fund 0317 Journal Entries'!$J$68,0)</f>
        <v>0</v>
      </c>
      <c r="G24" s="117" t="s">
        <v>147</v>
      </c>
      <c r="H24" s="84">
        <f>IF('LS-Fund 0317 Journal Entries'!$F$8="Proprietary - Internal Service Fund",'LS-Fund 0317 Journal Entries'!$J$96,0)</f>
        <v>0</v>
      </c>
      <c r="I24" s="117" t="s">
        <v>146</v>
      </c>
      <c r="J24" s="84">
        <f>IF('LS-Fund 0317 Journal Entries'!$F$8="Proprietary - Internal Service Fund",'LS-Fund 0317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0317 Journal Entries'!$F$8="Proprietary - Enterprise Fund",'LS-Fund 0317 Journal Entries'!$K$23,0)</f>
        <v>0</v>
      </c>
      <c r="C33" s="116" t="s">
        <v>146</v>
      </c>
      <c r="D33" s="84">
        <f>IF('LS-Fund 0317 Journal Entries'!$F$8="Proprietary - Enterprise Fund",'LS-Fund 0317 Journal Entries'!$K$48,0)</f>
        <v>0</v>
      </c>
      <c r="E33" s="118" t="s">
        <v>147</v>
      </c>
      <c r="F33" s="84">
        <f>IF('LS-Fund 0317 Journal Entries'!$F$8="Proprietary - Enterprise Fund",'LS-Fund 0317 Journal Entries'!$J$68,0)</f>
        <v>0</v>
      </c>
      <c r="G33" s="117" t="s">
        <v>147</v>
      </c>
      <c r="H33" s="84">
        <f>IF('LS-Fund 0317 Journal Entries'!$F$8="Proprietary - Enterprise Fund",'LS-Fund 0317 Journal Entries'!$J$96,0)</f>
        <v>0</v>
      </c>
      <c r="I33" s="117" t="s">
        <v>146</v>
      </c>
      <c r="J33" s="84">
        <f>IF('LS-Fund 0317 Journal Entries'!$F$8="Proprietary - Enterprise Fund",'LS-Fund 0317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0317 Journal Entries'!$F$8="Governmental Fund",'LS-Fund 0317 Journal Entries'!$K$76,0)</f>
        <v>2346716</v>
      </c>
      <c r="C42" s="92"/>
      <c r="E42" s="92"/>
      <c r="G42" s="115"/>
      <c r="H42" s="115"/>
      <c r="I42" s="115"/>
      <c r="J42" s="115"/>
      <c r="K42" s="92"/>
      <c r="L42" s="92"/>
      <c r="M42" s="93"/>
      <c r="N42" s="88">
        <f>'LS-Department Note Disclosure'!B13</f>
        <v>2346716</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0317 Journal Entries'!$F$8="Proprietary - Internal Service Fund",'LS-Fund 0317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0317 Journal Entries'!$F$8="Proprietary - Enterprise Fund",'LS-Fund 0317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10980686</v>
      </c>
      <c r="J66" s="97">
        <f>SUM(D66)</f>
        <v>10980686</v>
      </c>
      <c r="L66" s="98" t="str">
        <f>CONCATENATE("Balance July 1, ",LEFT('LS-Department Note Disclosure'!$B$8,4))</f>
        <v>Balance July 1, 2022</v>
      </c>
      <c r="N66" s="97">
        <f>'LS-Lease Liabilities'!F10</f>
        <v>10980686</v>
      </c>
      <c r="P66" s="89">
        <f>J66-N66</f>
        <v>0</v>
      </c>
    </row>
    <row r="67" spans="1:17" x14ac:dyDescent="0.3">
      <c r="B67" s="79" t="s">
        <v>157</v>
      </c>
      <c r="D67" s="97">
        <f>$D$16</f>
        <v>4350052</v>
      </c>
      <c r="E67" s="119" t="s">
        <v>146</v>
      </c>
      <c r="F67" s="79" t="s">
        <v>1756</v>
      </c>
      <c r="H67" s="97">
        <f>$J$16</f>
        <v>0</v>
      </c>
      <c r="J67" s="97">
        <f>SUM(D67,H67)</f>
        <v>4350052</v>
      </c>
      <c r="L67" s="98" t="s">
        <v>13</v>
      </c>
      <c r="N67" s="97">
        <f>'LS-Lease Liabilities'!H10</f>
        <v>4350052</v>
      </c>
      <c r="P67" s="89">
        <f t="shared" ref="P67:P69" si="0">J67-N67</f>
        <v>0</v>
      </c>
    </row>
    <row r="68" spans="1:17" x14ac:dyDescent="0.3">
      <c r="B68" s="79" t="s">
        <v>152</v>
      </c>
      <c r="D68" s="97">
        <f>$F$16</f>
        <v>2185879</v>
      </c>
      <c r="E68" s="119" t="s">
        <v>146</v>
      </c>
      <c r="F68" s="79" t="s">
        <v>1753</v>
      </c>
      <c r="H68" s="97">
        <f>$H$16</f>
        <v>0</v>
      </c>
      <c r="J68" s="97">
        <f>SUM(D68,H68)</f>
        <v>2185879</v>
      </c>
      <c r="L68" s="98" t="s">
        <v>14</v>
      </c>
      <c r="N68" s="97">
        <f>'LS-Lease Liabilities'!J10</f>
        <v>2185879</v>
      </c>
      <c r="P68" s="89">
        <f t="shared" si="0"/>
        <v>0</v>
      </c>
    </row>
    <row r="69" spans="1:17" x14ac:dyDescent="0.3">
      <c r="B69" s="79" t="s">
        <v>156</v>
      </c>
      <c r="D69" s="97">
        <f>$B$42</f>
        <v>2346716</v>
      </c>
      <c r="J69" s="97">
        <f>SUM(D69)</f>
        <v>2346716</v>
      </c>
      <c r="L69" s="98" t="s">
        <v>15</v>
      </c>
      <c r="N69" s="97">
        <f>'LS-Lease Liabilities'!N10</f>
        <v>2346716</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A71F2466-CB8A-4CD6-9021-B5272D05073D}"/>
</file>

<file path=customXml/itemProps2.xml><?xml version="1.0" encoding="utf-8"?>
<ds:datastoreItem xmlns:ds="http://schemas.openxmlformats.org/officeDocument/2006/customXml" ds:itemID="{41F4FDB9-5A79-4C58-B031-F0F174C3B6FD}"/>
</file>

<file path=customXml/itemProps3.xml><?xml version="1.0" encoding="utf-8"?>
<ds:datastoreItem xmlns:ds="http://schemas.openxmlformats.org/officeDocument/2006/customXml" ds:itemID="{51777C5A-EC7C-49B5-B6CC-547725272DE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0317 Journal Entries</vt:lpstr>
      <vt:lpstr>LS-Department Note Disclosure</vt:lpstr>
      <vt:lpstr>LS-Lease Liabilities</vt:lpstr>
      <vt:lpstr>LS-Check Figures  </vt:lpstr>
      <vt:lpstr>'LS-Department Note Disclosure'!Print_Area</vt:lpstr>
      <vt:lpstr>'LS-Fund 0317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2024-04-29T22:32:04Z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3420400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