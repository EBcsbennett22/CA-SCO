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870\"/>
    </mc:Choice>
  </mc:AlternateContent>
  <xr:revisionPtr revIDLastSave="0" documentId="13_ncr:1_{C5550C76-8932-4C55-A43E-ED0623131E13}" xr6:coauthVersionLast="47" xr6:coauthVersionMax="47" xr10:uidLastSave="{00000000-0000-0000-0000-000000000000}"/>
  <bookViews>
    <workbookView xWindow="22932" yWindow="-108" windowWidth="23256" windowHeight="12576" tabRatio="950" firstSheet="2" activeTab="3" xr2:uid="{00000000-000D-0000-FFFF-FFFF00000000}"/>
  </bookViews>
  <sheets>
    <sheet name="Drop Down Menus" sheetId="1" state="hidden" r:id="rId1"/>
    <sheet name="qryIndex02a" sheetId="11" state="hidden" r:id="rId2"/>
    <sheet name="LS-Version Changes" sheetId="13" r:id="rId3"/>
    <sheet name="LS-Fund 0214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0214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J68" i="2"/>
  <c r="J63" i="2"/>
  <c r="J62" i="2"/>
  <c r="K58" i="2"/>
  <c r="J55" i="2"/>
  <c r="J75" i="2" l="1"/>
  <c r="K64" i="2"/>
  <c r="K69" i="2"/>
  <c r="Q24" i="2"/>
  <c r="P18" i="2"/>
  <c r="S20" i="2" l="1"/>
  <c r="K20" i="2"/>
  <c r="K125" i="2" s="1"/>
  <c r="J18" i="2" l="1"/>
  <c r="S25" i="2"/>
  <c r="S24" i="2"/>
  <c r="S23" i="2"/>
  <c r="K23" i="2"/>
  <c r="S22" i="2"/>
  <c r="K22" i="2"/>
  <c r="K127" i="2" s="1"/>
  <c r="S21" i="2"/>
  <c r="K21" i="2"/>
  <c r="K126" i="2" s="1"/>
  <c r="S19" i="2"/>
  <c r="S17" i="2"/>
  <c r="J17" i="2"/>
  <c r="K124" i="2" s="1"/>
  <c r="S16" i="2"/>
  <c r="J16" i="2"/>
  <c r="K123" i="2" s="1"/>
  <c r="S15" i="2"/>
  <c r="J15" i="2"/>
  <c r="K122"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8" i="7"/>
  <c r="J68" i="7" s="1"/>
  <c r="P68" i="7" s="1"/>
  <c r="D67" i="7"/>
  <c r="J67" i="7" s="1"/>
  <c r="P67" i="7" s="1"/>
  <c r="D66" i="7"/>
  <c r="J66" i="7" s="1"/>
  <c r="P66" i="7" s="1"/>
  <c r="P33" i="7" l="1"/>
  <c r="D35" i="7" s="1"/>
  <c r="P24" i="7"/>
  <c r="D26" i="7" s="1"/>
  <c r="P49" i="7"/>
  <c r="D51" i="7" s="1"/>
  <c r="P16" i="7"/>
  <c r="D18" i="7" s="1"/>
  <c r="P57" i="7"/>
  <c r="D59" i="7" s="1"/>
  <c r="D93" i="7" l="1"/>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65" i="2" l="1"/>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B42" i="7" l="1"/>
  <c r="P42" i="7" s="1"/>
  <c r="D44" i="7" s="1"/>
  <c r="K77" i="2"/>
  <c r="K128" i="2"/>
  <c r="K129" i="2"/>
  <c r="D69" i="7" l="1"/>
  <c r="J69" i="7" s="1"/>
  <c r="P69" i="7" s="1"/>
  <c r="D71" i="7" s="1"/>
  <c r="J77" i="2"/>
  <c r="L77" i="2" s="1"/>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<sst xmlns="http://schemas.openxmlformats.org/spreadsheetml/2006/main" count="7785" uniqueCount="1762">
  <si>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</si>
  <si>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</si>
  <si>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</si>
  <si>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</si>
  <si>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</si>
  <si>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</si>
  <si>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</si>
  <si>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</si>
  <si>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</si>
  <si>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</si>
  <si>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</si>
  <si>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</si>
  <si>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</si>
  <si>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</si>
  <si>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</si>
  <si>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</si>
  <si>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</si>
  <si>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</si>
  <si>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</si>
  <si>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</si>
  <si>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</si>
  <si>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</si>
  <si>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</si>
  <si>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</si>
  <si>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</si>
  <si>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</si>
  <si>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</si>
  <si>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</si>
  <si>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</si>
  <si>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</si>
  <si>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</si>
  <si>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</si>
  <si>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</si>
  <si>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</si>
  <si>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</si>
  <si>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</si>
  <si>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</si>
  <si>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</si>
  <si>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</si>
  <si>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</si>
  <si>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</si>
  <si>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</si>
  <si>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</si>
  <si>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</si>
  <si>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</si>
  <si>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</si>
  <si>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</si>
  <si>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</si>
  <si>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</si>
  <si>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</si>
  <si>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</si>
  <si>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</si>
  <si>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</si>
  <si>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</si>
  <si>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</si>
  <si>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</si>
  <si>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</si>
  <si>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</si>
  <si>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</si>
  <si>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</si>
  <si>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</si>
  <si>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</si>
  <si>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</si>
  <si>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</si>
  <si>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</si>
  <si>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</si>
  <si>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</si>
  <si>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</si>
  <si>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</si>
  <si>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</si>
  <si>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</si>
  <si>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</si>
  <si>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</si>
  <si>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</si>
  <si>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</si>
  <si>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</si>
  <si>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</si>
  <si>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</si>
  <si>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</si>
  <si>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</si>
  <si>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</si>
  <si>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</si>
  <si>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</si>
  <si>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</si>
  <si>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</si>
  <si>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</si>
  <si>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</si>
  <si>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</si>
  <si>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</si>
  <si>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</si>
  <si>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</si>
  <si>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</si>
  <si>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</si>
  <si>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</si>
  <si>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</si>
  <si>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</si>
  <si>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</si>
  <si>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</si>
  <si>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</si>
  <si>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</si>
  <si>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</si>
  <si>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</si>
  <si>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</si>
  <si>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</si>
  <si>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</si>
  <si>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</si>
  <si>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</si>
  <si>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</si>
  <si>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</si>
  <si>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</si>
  <si>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</si>
  <si>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</si>
  <si>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</si>
  <si>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</si>
  <si>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</si>
  <si>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</si>
  <si>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</si>
  <si>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</si>
  <si>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</si>
  <si>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</si>
  <si>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</si>
  <si>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</si>
  <si>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</si>
  <si>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</si>
  <si>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</si>
  <si>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</si>
  <si>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</si>
  <si>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</si>
  <si>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</si>
  <si>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</si>
  <si>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</si>
  <si>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</si>
  <si>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</si>
  <si>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</si>
  <si>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</si>
  <si>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</si>
  <si>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</si>
  <si>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</si>
  <si>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</si>
  <si>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</si>
  <si>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</si>
  <si>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</si>
  <si>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</si>
  <si>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</si>
  <si>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</si>
  <si>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</si>
  <si>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</si>
  <si>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</si>
  <si>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</si>
  <si>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</si>
  <si>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</si>
  <si>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</si>
  <si>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</si>
  <si>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</si>
  <si>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</si>
  <si>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</si>
  <si>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</si>
  <si>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</si>
  <si>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</si>
  <si>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</si>
  <si>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</si>
  <si>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</si>
  <si>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</si>
  <si>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</si>
  <si>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</si>
  <si>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</si>
  <si>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</si>
  <si>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</si>
  <si>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</si>
  <si>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</si>
  <si>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</si>
  <si>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</si>
  <si>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</si>
  <si>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</si>
  <si>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</si>
  <si>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</si>
  <si>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</si>
  <si>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</si>
  <si>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</si>
  <si>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</si>
  <si>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</si>
  <si>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</si>
  <si>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</si>
  <si>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</si>
  <si>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</si>
  <si>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</si>
  <si>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</si>
  <si>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</si>
  <si>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</si>
  <si>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</si>
  <si>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</si>
  <si>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</si>
  <si>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</si>
  <si>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</si>
  <si>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</si>
  <si>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</si>
  <si>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</si>
  <si>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</si>
  <si>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</si>
  <si>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</si>
  <si>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</si>
  <si>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</si>
  <si>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</si>
  <si>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</si>
  <si>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</si>
  <si>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</si>
  <si>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</si>
  <si>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</si>
  <si>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</si>
  <si>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</si>
  <si>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</si>
  <si>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</si>
  <si>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</si>
  <si>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</si>
  <si>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</si>
  <si>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</si>
  <si>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</si>
  <si>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</si>
  <si>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</si>
  <si>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</si>
  <si>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</si>
  <si>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</si>
  <si>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</si>
  <si>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</si>
  <si>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</si>
  <si>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</si>
  <si>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</si>
  <si>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</si>
  <si>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</si>
  <si>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</si>
  <si>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</si>
  <si>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</si>
  <si>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</si>
  <si>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</si>
  <si>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</si>
  <si>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</si>
  <si>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</si>
  <si>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</si>
  <si>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</si>
  <si>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</si>
  <si>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</si>
  <si>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</si>
  <si>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</si>
  <si>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</si>
  <si>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</si>
  <si>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</si>
  <si>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</si>
  <si>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</si>
  <si>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</si>
  <si>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</si>
  <si>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</si>
  <si>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</si>
  <si>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</si>
  <si>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</si>
  <si>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</si>
  <si>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</si>
  <si>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</si>
  <si>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</si>
  <si>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</si>
  <si>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</si>
  <si>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</si>
  <si>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</si>
  <si>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</si>
  <si>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</si>
  <si>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</si>
  <si>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</si>
  <si>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</si>
  <si>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</si>
  <si>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</si>
  <si>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</si>
  <si>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</si>
  <si>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</si>
  <si>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</si>
  <si>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</si>
  <si>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</si>
  <si>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</si>
  <si>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</si>
  <si>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</si>
  <si>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</si>
  <si>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</si>
  <si>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</si>
  <si>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</si>
  <si>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</si>
  <si>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</si>
  <si>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</si>
  <si>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</si>
  <si>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</si>
  <si>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</si>
  <si>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</si>
  <si>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</si>
  <si>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</si>
  <si>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</si>
  <si>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</si>
  <si>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</si>
  <si>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</si>
  <si>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</si>
  <si>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</si>
  <si>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</si>
  <si>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</si>
  <si>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</si>
  <si>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</si>
  <si>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</si>
  <si>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</si>
  <si>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</si>
  <si>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</si>
  <si>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</si>
  <si>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</si>
  <si>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</si>
  <si>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</si>
  <si>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</si>
  <si>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</si>
  <si>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</si>
  <si>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</si>
  <si>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</si>
  <si>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</si>
  <si>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</si>
  <si>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</si>
  <si>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</si>
  <si>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</si>
  <si>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</si>
  <si>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</si>
  <si>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</si>
  <si>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</si>
  <si>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</si>
  <si>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</si>
  <si>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</si>
  <si>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</si>
  <si>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</si>
  <si>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</si>
  <si>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</si>
  <si>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</si>
  <si>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</si>
  <si>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</si>
  <si>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</si>
  <si>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</si>
  <si>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</si>
  <si>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</si>
  <si>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</si>
  <si>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</si>
  <si>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</si>
  <si>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</si>
  <si>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</si>
  <si>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</si>
  <si>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</si>
  <si>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</si>
  <si>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</si>
  <si>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</si>
  <si>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</si>
  <si>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</si>
  <si>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</si>
  <si>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</si>
  <si>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</si>
  <si>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</si>
  <si>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</si>
  <si>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</si>
  <si>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</si>
  <si>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</si>
  <si>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</si>
  <si>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</si>
  <si>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</si>
  <si>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</si>
  <si>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</si>
  <si>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</si>
  <si>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</si>
  <si>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</si>
  <si>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</si>
  <si>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</si>
  <si>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</si>
  <si>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</si>
  <si>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</si>
  <si>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</si>
  <si>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</si>
  <si>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</si>
  <si>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</si>
  <si>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</si>
  <si>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</si>
  <si>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</si>
  <si>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</si>
  <si>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</si>
  <si>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</si>
  <si>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</si>
  <si>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</si>
  <si>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</si>
  <si>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</si>
  <si>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</si>
  <si>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</si>
  <si>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</si>
  <si>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</si>
  <si>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</si>
  <si>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</si>
  <si>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</si>
  <si>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</si>
  <si>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</si>
  <si>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</si>
  <si>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</si>
  <si>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</si>
  <si>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</si>
  <si>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</si>
  <si>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</si>
  <si>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</si>
  <si>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</si>
  <si>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</si>
  <si>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</si>
  <si>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</si>
  <si>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</si>
  <si>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</si>
  <si>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</si>
  <si>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</si>
  <si>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</si>
  <si>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</si>
  <si>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</si>
  <si>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</si>
  <si>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</si>
  <si>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</si>
  <si>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</si>
  <si>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</si>
  <si>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</si>
  <si>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</si>
  <si>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</si>
  <si>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</si>
  <si>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</si>
  <si>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</si>
  <si>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</si>
  <si>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</si>
  <si>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</si>
  <si>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</si>
  <si>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</si>
  <si>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</si>
  <si>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</si>
  <si>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</si>
  <si>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</si>
  <si>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</si>
  <si>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</si>
  <si>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</si>
  <si>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</si>
  <si>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</si>
  <si>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</si>
  <si>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</si>
  <si>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</si>
  <si>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</si>
  <si>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</si>
  <si>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</si>
  <si>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</si>
  <si>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</si>
  <si>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</si>
  <si>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</si>
  <si>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</si>
  <si>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</si>
  <si>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</si>
  <si>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</si>
  <si>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</si>
  <si>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</si>
  <si>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</si>
  <si>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</si>
  <si>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</si>
  <si>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</si>
  <si>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</si>
  <si>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</si>
  <si>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</si>
  <si>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</si>
  <si>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</si>
  <si>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</si>
  <si>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</si>
  <si>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</si>
  <si>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</si>
  <si>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</si>
  <si>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</si>
  <si>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</si>
  <si>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</si>
  <si>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</si>
  <si>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</si>
  <si>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</si>
  <si>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</si>
  <si>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</si>
  <si>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</si>
  <si>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</si>
  <si>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</si>
  <si>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</si>
  <si>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</si>
  <si>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</si>
  <si>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</si>
  <si>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</si>
  <si>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</si>
  <si>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</si>
  <si>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</si>
  <si>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</si>
  <si>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</si>
  <si>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</si>
  <si>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</si>
  <si>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</si>
  <si>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</si>
  <si>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</si>
  <si>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</si>
  <si>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</si>
  <si>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</si>
  <si>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</si>
  <si>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</si>
  <si>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</si>
  <si>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</si>
  <si>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</si>
  <si>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</si>
  <si>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</si>
  <si>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</si>
  <si>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</si>
  <si>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</si>
  <si>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</si>
  <si>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</si>
  <si>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</si>
  <si>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</si>
  <si>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</si>
  <si>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</si>
  <si>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</si>
  <si>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</si>
  <si>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</si>
  <si>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</si>
  <si>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</si>
  <si>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</si>
  <si>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</si>
  <si>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</si>
  <si>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</si>
  <si>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</si>
  <si>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</si>
  <si>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</si>
  <si>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</si>
  <si>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</si>
  <si>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</si>
  <si>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</si>
  <si>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</si>
  <si>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</si>
  <si>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</si>
  <si>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</si>
  <si>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</si>
  <si>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</si>
  <si>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</si>
  <si>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</si>
  <si>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</si>
  <si>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</si>
  <si>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</si>
  <si>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</si>
  <si>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</si>
  <si>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</si>
  <si>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</si>
  <si>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</si>
  <si>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</si>
  <si>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</si>
  <si>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</si>
  <si>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</si>
  <si>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</si>
  <si>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</si>
  <si>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</si>
  <si>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</si>
  <si>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</si>
  <si>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</si>
  <si>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</si>
  <si>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</si>
  <si>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</si>
  <si>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</si>
  <si>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</si>
  <si>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</si>
  <si>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</si>
  <si>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</si>
  <si>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</si>
  <si>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</si>
  <si>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</si>
  <si>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</si>
  <si>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</si>
  <si>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</si>
  <si>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</si>
  <si>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</si>
  <si>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</si>
  <si>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</si>
  <si>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</si>
  <si>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</si>
  <si>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</si>
  <si>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</si>
  <si>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</si>
  <si>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</si>
  <si>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</si>
  <si>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</si>
  <si>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</si>
  <si>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</si>
  <si>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</si>
  <si>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</si>
  <si>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</si>
  <si>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</si>
  <si>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</si>
  <si>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</si>
  <si>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</si>
  <si>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</si>
  <si>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</si>
  <si>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</si>
  <si>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</si>
  <si>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</si>
  <si>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</si>
  <si>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</si>
  <si>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</si>
  <si>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</si>
  <si>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</si>
  <si>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</si>
  <si>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</si>
  <si>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</si>
  <si>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</si>
  <si>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</si>
  <si>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</si>
  <si>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</si>
  <si>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</si>
  <si>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</si>
  <si>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</si>
  <si>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</si>
  <si>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</si>
  <si>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</si>
  <si>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</si>
  <si>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</si>
  <si>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</si>
  <si>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</si>
  <si>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</si>
  <si>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</si>
  <si>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</si>
  <si>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</si>
  <si>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</si>
  <si>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</si>
  <si>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</si>
  <si>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</si>
  <si>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</si>
  <si>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</si>
  <si>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</si>
  <si>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</si>
  <si>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</si>
  <si>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</si>
  <si>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</si>
  <si>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</si>
  <si>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</si>
  <si>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</si>
  <si>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</si>
  <si>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</si>
  <si>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</si>
  <si>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</si>
  <si>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</si>
  <si>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</si>
  <si>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</si>
  <si>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</si>
  <si>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</si>
  <si>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</si>
  <si>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</si>
  <si>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</si>
  <si>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</si>
  <si>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</si>
  <si>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</si>
  <si>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</si>
  <si>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</si>
  <si>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</si>
  <si>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</si>
  <si>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</si>
  <si>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</si>
  <si>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</si>
  <si>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</si>
  <si>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</si>
  <si>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</si>
  <si>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</si>
  <si>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</si>
  <si>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</si>
  <si>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</si>
  <si>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</si>
  <si>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</si>
  <si>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</si>
  <si>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</si>
  <si>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</si>
  <si>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</si>
  <si>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</si>
  <si>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</si>
  <si>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</si>
  <si>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</si>
  <si>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</si>
  <si>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</si>
  <si>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</si>
  <si>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</si>
  <si>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</si>
  <si>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</si>
  <si>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</si>
  <si>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</si>
  <si>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</si>
  <si>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</si>
  <si>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</si>
  <si>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</si>
  <si>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</si>
  <si>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</si>
  <si>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</si>
  <si>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</si>
  <si>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</si>
  <si>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</si>
  <si>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</si>
  <si>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</si>
  <si>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</si>
  <si>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</si>
  <si>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</si>
  <si>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</si>
  <si>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</si>
  <si>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</si>
  <si>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</si>
  <si>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</si>
  <si>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</si>
  <si>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</si>
  <si>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</si>
  <si>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</si>
  <si>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</si>
  <si>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</si>
  <si>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</si>
  <si>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</si>
  <si>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</si>
  <si>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</si>
  <si>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</si>
  <si>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</si>
  <si>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</si>
  <si>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</si>
  <si>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</si>
  <si>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</si>
  <si>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</si>
  <si>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</si>
  <si>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</si>
  <si>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</si>
  <si>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</si>
  <si>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</si>
  <si>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</si>
  <si>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</si>
  <si>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</si>
  <si>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</si>
  <si>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</si>
  <si>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</si>
  <si>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</si>
  <si>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</si>
  <si>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</si>
  <si>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</si>
  <si>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</si>
  <si>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</si>
  <si>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</si>
  <si>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</si>
  <si>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</si>
  <si>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</si>
  <si>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</si>
  <si>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</si>
  <si>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</si>
  <si>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</si>
  <si>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</si>
  <si>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</si>
  <si>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</si>
  <si>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</si>
  <si>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</si>
  <si>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</si>
  <si>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</si>
  <si>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</si>
  <si>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</si>
  <si>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</si>
  <si>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</si>
  <si>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</si>
  <si>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</si>
  <si>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</si>
  <si>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</si>
  <si>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</si>
  <si>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</si>
  <si>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</si>
  <si>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</si>
  <si>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</si>
  <si>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</si>
  <si>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</si>
  <si>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</si>
  <si>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</si>
  <si>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</si>
  <si>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</si>
  <si>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</si>
  <si>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</si>
  <si>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</si>
  <si>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</si>
  <si>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</si>
  <si>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</si>
  <si>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</si>
  <si>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</si>
  <si>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</si>
  <si>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</si>
  <si>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</si>
  <si>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</si>
  <si>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</si>
  <si>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</si>
  <si>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</si>
  <si>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</si>
  <si>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</si>
  <si>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</si>
  <si>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</si>
  <si>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</si>
  <si>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</si>
  <si>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</si>
  <si>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</si>
  <si>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</si>
  <si>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</si>
  <si>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</si>
  <si>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</si>
  <si>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</si>
  <si>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</si>
  <si>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</si>
  <si>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</si>
  <si>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</si>
  <si>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</si>
  <si>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</si>
  <si>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</si>
  <si>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</si>
  <si>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</si>
  <si>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</si>
  <si>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</si>
  <si>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</si>
  <si>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</si>
  <si>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</si>
  <si>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</si>
  <si>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</si>
  <si>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</si>
  <si>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</si>
  <si>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</si>
  <si>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</si>
  <si>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</si>
  <si>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</si>
  <si>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</si>
  <si>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</si>
  <si>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</si>
  <si>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</si>
  <si>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</si>
  <si>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</si>
  <si>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</si>
  <si>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</si>
  <si>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</si>
  <si>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</si>
  <si>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</si>
  <si>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</si>
  <si>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</si>
  <si>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</si>
  <si>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</si>
  <si>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</si>
  <si>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</si>
  <si>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</si>
  <si>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</si>
  <si>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</si>
  <si>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</si>
  <si>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</si>
  <si>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</si>
  <si>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</si>
  <si>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</si>
  <si>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</si>
  <si>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</si>
  <si>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</si>
  <si>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</si>
  <si>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</si>
  <si>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</si>
  <si>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</si>
  <si>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</si>
  <si>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</si>
  <si>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</si>
  <si>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</si>
  <si>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</si>
  <si>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</si>
  <si>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</si>
  <si>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</si>
  <si>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</si>
  <si>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</si>
  <si>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</si>
  <si>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</si>
  <si>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</si>
  <si>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</si>
  <si>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</si>
  <si>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</si>
  <si>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</si>
  <si>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</si>
  <si>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</si>
  <si>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</si>
  <si>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</si>
  <si>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</si>
  <si>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</si>
  <si>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</si>
  <si>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</si>
  <si>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</si>
  <si>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</si>
  <si>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</si>
  <si>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</si>
  <si>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</si>
  <si>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</si>
  <si>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</si>
  <si>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</si>
  <si>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</si>
  <si>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</si>
  <si>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</si>
  <si>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</si>
  <si>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</si>
  <si>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</si>
  <si>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</si>
  <si>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</si>
  <si>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</si>
  <si>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</si>
  <si>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</si>
  <si>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</si>
  <si>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</si>
  <si>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</si>
  <si>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</si>
  <si>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</si>
  <si>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</si>
  <si>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</si>
  <si>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</si>
  <si>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</si>
  <si>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</si>
  <si>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</si>
  <si>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</si>
  <si>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</si>
  <si>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</si>
  <si>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</si>
  <si>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</si>
  <si>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</si>
  <si>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</si>
  <si>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</si>
  <si>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</si>
  <si>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</si>
  <si>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</si>
  <si>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</si>
  <si>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</si>
  <si>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</si>
  <si>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</si>
  <si>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</si>
  <si>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</si>
  <si>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</si>
  <si>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</si>
  <si>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</si>
  <si>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</si>
  <si>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</si>
  <si>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</si>
  <si>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</si>
  <si>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</si>
  <si>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</si>
  <si>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</si>
  <si>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</si>
  <si>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</si>
  <si>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</si>
  <si>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</si>
  <si>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</si>
  <si>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</si>
  <si>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</si>
  <si>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</si>
  <si>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</si>
  <si>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</si>
  <si>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</si>
  <si>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</si>
  <si>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</si>
  <si>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</si>
  <si>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</si>
  <si>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</si>
  <si>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</si>
  <si>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</si>
  <si>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</si>
  <si>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</si>
  <si>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</si>
  <si>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</si>
  <si>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</si>
  <si>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</si>
  <si>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</si>
  <si>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</si>
  <si>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</si>
  <si>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</si>
  <si>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</si>
  <si>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</si>
  <si>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</si>
  <si>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</si>
  <si>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</si>
  <si>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</si>
  <si>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</si>
  <si>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</si>
  <si>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</si>
  <si>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</si>
  <si>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</si>
  <si>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</si>
  <si>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</si>
  <si>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</si>
  <si>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</si>
  <si>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</si>
  <si>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</si>
  <si>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</si>
  <si>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</si>
  <si>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</si>
  <si>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</si>
  <si>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</si>
  <si>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</si>
  <si>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</si>
  <si>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</si>
  <si>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</si>
  <si>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</si>
  <si>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</si>
  <si>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</si>
  <si>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</si>
  <si>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</si>
  <si>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</si>
  <si>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</si>
  <si>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</si>
  <si>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</si>
  <si>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</si>
  <si>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</si>
  <si>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</si>
  <si>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</si>
  <si>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</si>
  <si>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</si>
  <si>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</si>
  <si>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</si>
  <si>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</si>
  <si>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</si>
  <si>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</si>
  <si>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</si>
  <si>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</si>
  <si>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</si>
  <si>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</si>
  <si>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</si>
  <si>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</si>
  <si>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</si>
  <si>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</si>
  <si>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</si>
  <si>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</si>
  <si>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</si>
  <si>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</si>
  <si>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</si>
  <si>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</si>
  <si>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</si>
  <si>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</si>
  <si>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</si>
  <si>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</si>
  <si>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</si>
  <si>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</si>
  <si>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</si>
  <si>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</si>
  <si>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</si>
  <si>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</si>
  <si>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</si>
  <si>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</si>
  <si>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</si>
  <si>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</si>
  <si>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</si>
  <si>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</si>
  <si>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</si>
  <si>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</si>
  <si>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</si>
  <si>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</si>
  <si>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</si>
  <si>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</si>
  <si>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</si>
  <si>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</si>
  <si>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</si>
  <si>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</si>
  <si>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</si>
  <si>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</si>
  <si>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</si>
  <si>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</si>
  <si>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</si>
  <si>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</si>
  <si>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</si>
  <si>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</si>
  <si>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</si>
  <si>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</si>
  <si>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</si>
  <si>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</si>
  <si>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</si>
  <si>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</si>
  <si>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</si>
  <si>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</si>
  <si>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</si>
  <si>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</si>
  <si>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</si>
  <si>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</si>
  <si>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</si>
  <si>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</si>
  <si>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</si>
  <si>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</si>
  <si>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</si>
  <si>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</si>
  <si>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</si>
  <si>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</si>
  <si>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</si>
  <si>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</si>
  <si>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</si>
  <si>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</si>
  <si>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</si>
  <si>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</si>
  <si>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</si>
  <si>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</si>
  <si>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</si>
  <si>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</si>
  <si>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</si>
  <si>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</si>
  <si>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</si>
  <si>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</si>
  <si>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</si>
  <si>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</si>
  <si>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</si>
  <si>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</si>
  <si>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</si>
  <si>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</si>
  <si>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</si>
  <si>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</si>
  <si>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</si>
  <si>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</si>
  <si>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</si>
  <si>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</si>
  <si>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</si>
  <si>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</si>
  <si>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</si>
  <si>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</si>
  <si>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</si>
  <si>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</si>
  <si>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</si>
  <si>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</si>
  <si>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</si>
  <si>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</si>
  <si>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</si>
  <si>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</si>
  <si>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</si>
  <si>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</si>
  <si>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</si>
  <si>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</si>
  <si>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</si>
  <si>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</si>
  <si>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</si>
  <si>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</si>
  <si>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</si>
  <si>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</si>
  <si>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</si>
  <si>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</si>
  <si>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</si>
  <si>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</si>
  <si>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</si>
  <si>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</si>
  <si>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</si>
  <si>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</si>
  <si>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</si>
  <si>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</si>
  <si>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</si>
  <si>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</si>
  <si>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</si>
  <si>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</si>
  <si>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</si>
  <si>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</si>
  <si>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</si>
  <si>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</si>
  <si>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</si>
  <si>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</si>
  <si>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</si>
  <si>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</si>
  <si>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</si>
  <si>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</si>
  <si>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</si>
  <si>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</si>
  <si>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</si>
  <si>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</si>
  <si>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</si>
  <si>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</si>
  <si>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</si>
  <si>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</si>
  <si>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</si>
  <si>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</si>
  <si>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</si>
  <si>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</si>
  <si>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</si>
  <si>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</si>
  <si>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</si>
  <si>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</si>
  <si>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</si>
  <si>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</si>
  <si>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</si>
  <si>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</si>
  <si>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</si>
  <si>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</si>
  <si>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</si>
  <si>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</si>
  <si>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</si>
  <si>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</si>
  <si>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</si>
  <si>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</si>
  <si>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</si>
  <si>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</si>
  <si>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</si>
  <si>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</si>
  <si>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</si>
  <si>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</si>
  <si>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</si>
  <si>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</si>
  <si>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</si>
  <si>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</si>
  <si>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</si>
  <si>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</si>
  <si>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</si>
  <si>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</si>
  <si>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</si>
  <si>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</si>
  <si>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</si>
  <si>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</si>
  <si>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</si>
  <si>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</si>
  <si>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</si>
  <si>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</si>
  <si>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</si>
  <si>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</si>
  <si>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</si>
  <si>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</si>
  <si>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</si>
  <si>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</si>
  <si>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</si>
  <si>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</si>
  <si>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</si>
  <si>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</si>
  <si>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</si>
  <si>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</si>
  <si>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</si>
  <si>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</si>
  <si>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</si>
  <si>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</si>
  <si>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</si>
  <si>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</si>
  <si>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</si>
  <si>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</si>
  <si>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</si>
  <si>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</si>
  <si>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</si>
  <si>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</si>
  <si>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</si>
  <si>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</si>
  <si>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</si>
  <si>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</si>
  <si>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</si>
  <si>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</si>
  <si>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</si>
  <si>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</si>
  <si>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</si>
  <si>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</si>
  <si>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</si>
  <si>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</si>
  <si>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</si>
  <si>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</si>
  <si>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</si>
  <si>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</si>
  <si>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</si>
  <si>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</si>
  <si>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</si>
  <si>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</si>
  <si>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</si>
  <si>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</si>
  <si>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</si>
  <si>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</si>
  <si>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</si>
  <si>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</si>
  <si>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</si>
  <si>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</si>
  <si>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</si>
  <si>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</si>
  <si>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</si>
  <si>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</si>
  <si>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</si>
  <si>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</si>
  <si>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</si>
  <si>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</si>
  <si>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</si>
  <si>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</si>
  <si>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</si>
  <si>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</si>
  <si>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</si>
  <si>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</si>
  <si>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</si>
  <si>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</si>
  <si>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</si>
  <si>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</si>
  <si>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</si>
  <si>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</si>
  <si>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</si>
  <si>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</si>
  <si>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</si>
  <si>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</si>
  <si>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</si>
  <si>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</si>
  <si>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</si>
  <si>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</si>
  <si>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</si>
  <si>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</si>
  <si>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</si>
  <si>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</si>
  <si>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</si>
  <si>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</si>
  <si>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</si>
  <si>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</si>
  <si>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</si>
  <si>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</si>
  <si>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</si>
  <si>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</si>
  <si>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</si>
  <si>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</si>
  <si>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</si>
  <si>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</si>
  <si>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</si>
  <si>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</si>
  <si>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</si>
  <si>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</si>
  <si>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</si>
  <si>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</si>
  <si>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</si>
  <si>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</si>
  <si>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</si>
  <si>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</si>
  <si>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</si>
  <si>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</si>
  <si>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</si>
  <si>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</si>
  <si>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</si>
  <si>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</si>
  <si>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</si>
  <si>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</si>
  <si>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</si>
  <si>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</si>
  <si>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</si>
  <si>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</si>
  <si>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</si>
  <si>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</si>
  <si>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</si>
  <si>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</si>
  <si>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</si>
  <si>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</si>
  <si>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</si>
  <si>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</si>
  <si>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</si>
  <si>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</si>
  <si>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</si>
  <si>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</si>
  <si>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</si>
  <si>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</si>
  <si>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</si>
  <si>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</si>
  <si>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</si>
  <si>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</si>
  <si>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</si>
  <si>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</si>
  <si>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</si>
  <si>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</si>
  <si>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</si>
  <si>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</si>
  <si>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</si>
  <si>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</si>
  <si>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</si>
  <si>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</si>
  <si>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</si>
  <si>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</si>
  <si>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</si>
  <si>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</si>
  <si>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</si>
  <si>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</si>
  <si>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</si>
  <si>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</si>
  <si>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</si>
  <si>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</si>
  <si>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</si>
  <si>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</si>
  <si>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</si>
  <si>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</si>
  <si>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</si>
  <si>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</si>
  <si>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</si>
  <si>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</si>
  <si>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</si>
  <si>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</si>
  <si>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</si>
  <si>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</si>
  <si>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</si>
  <si>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</si>
  <si>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</si>
  <si>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</si>
  <si>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</si>
  <si>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</si>
  <si>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</si>
  <si>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</si>
  <si>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</si>
  <si>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</si>
  <si>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</si>
  <si>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</si>
  <si>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</si>
  <si>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</si>
  <si>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</si>
  <si>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</si>
  <si>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</si>
  <si>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</si>
  <si>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</si>
  <si>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</si>
  <si>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</si>
  <si>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</si>
  <si>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</si>
  <si>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</si>
  <si>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</si>
  <si>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</si>
  <si>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</si>
  <si>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</si>
  <si>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</si>
  <si>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</si>
  <si>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</si>
  <si>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</si>
  <si>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</si>
  <si>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</si>
  <si>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</si>
  <si>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</si>
  <si>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</si>
  <si>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</si>
  <si>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</si>
  <si>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</si>
  <si>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</si>
  <si>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</si>
  <si>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</si>
  <si>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</si>
  <si>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</si>
  <si>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</si>
  <si>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</si>
  <si>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</si>
  <si>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</si>
  <si>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</si>
  <si>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</si>
  <si>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</si>
  <si>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</si>
  <si>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</si>
  <si>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</si>
  <si>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</si>
  <si>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</si>
  <si>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</si>
  <si>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</si>
  <si>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</si>
  <si>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</si>
  <si>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</si>
  <si>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</si>
  <si>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</si>
  <si>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</si>
  <si>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</si>
  <si>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</si>
  <si>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</si>
  <si>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</si>
  <si>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</si>
  <si>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</si>
  <si>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</si>
  <si>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</si>
  <si>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</si>
  <si>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</si>
  <si>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</si>
  <si>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</si>
  <si>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</si>
  <si>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</si>
  <si>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</si>
  <si>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</si>
  <si>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</si>
  <si>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</si>
  <si>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</si>
  <si>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</si>
  <si>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</si>
  <si>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</si>
  <si>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</si>
  <si>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</si>
  <si>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</si>
  <si>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</si>
  <si>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</si>
  <si>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</si>
  <si>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</si>
  <si>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</si>
  <si>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</si>
  <si>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</si>
  <si>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</si>
  <si>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</si>
  <si>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</si>
  <si>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</si>
  <si>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</si>
  <si>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</si>
  <si>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</si>
  <si>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</si>
  <si>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</si>
  <si>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</si>
  <si>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</si>
  <si>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</si>
  <si>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</si>
  <si>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</si>
  <si>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</si>
  <si>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</si>
  <si>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</si>
  <si>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</si>
  <si>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</si>
  <si>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</si>
  <si>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</si>
  <si>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</si>
  <si>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</si>
  <si>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</si>
  <si>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</si>
  <si>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</si>
  <si>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</si>
  <si>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</si>
  <si>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</si>
  <si>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</si>
  <si>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</si>
  <si>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</si>
  <si>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</si>
  <si>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</si>
  <si>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</si>
  <si>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</si>
  <si>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</si>
  <si>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</si>
  <si>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</si>
  <si>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</si>
  <si>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</si>
  <si>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</si>
  <si>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</si>
  <si>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</si>
  <si>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</si>
  <si>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</si>
  <si>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</si>
  <si>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</si>
  <si>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</si>
  <si>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</si>
  <si>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</si>
  <si>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</si>
  <si>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</si>
  <si>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</si>
  <si>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</si>
  <si>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</si>
  <si>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</si>
  <si>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</si>
  <si>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</si>
  <si>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</si>
  <si>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</si>
  <si>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</si>
  <si>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</si>
  <si>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</si>
  <si>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</si>
  <si>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</si>
  <si>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</si>
  <si>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</si>
  <si>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</si>
  <si>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</si>
  <si>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</si>
  <si>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</si>
  <si>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</si>
  <si>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</si>
  <si>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</si>
  <si>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</si>
  <si>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</si>
  <si>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</si>
  <si>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</si>
  <si>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</si>
  <si>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</si>
  <si>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</si>
  <si>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</si>
  <si>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</si>
  <si>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</si>
  <si>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</si>
  <si>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</si>
  <si>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</si>
  <si>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</si>
  <si>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</si>
  <si>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</si>
  <si>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</si>
  <si>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</si>
  <si>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</si>
  <si>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</si>
  <si>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</si>
  <si>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</si>
  <si>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</si>
  <si>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</si>
  <si>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</si>
  <si>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</si>
  <si>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</si>
  <si>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</si>
  <si>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</si>
  <si>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</si>
  <si>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</si>
  <si>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</si>
  <si>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</si>
  <si>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</si>
  <si>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</si>
  <si>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</si>
  <si>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</si>
  <si>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</si>
  <si>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</si>
  <si>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</si>
  <si>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</si>
  <si>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</si>
  <si>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</si>
  <si>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</si>
  <si>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</si>
  <si>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</si>
  <si>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</si>
  <si>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</si>
  <si>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</si>
  <si>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</si>
  <si>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</si>
  <si>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</si>
  <si>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</si>
  <si>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</si>
  <si>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</si>
  <si>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</si>
  <si>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</si>
  <si>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</si>
  <si>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</si>
  <si>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</si>
  <si>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</si>
  <si>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</si>
  <si>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</si>
  <si>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</si>
  <si>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</si>
  <si>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</si>
  <si>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</si>
  <si>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</si>
  <si>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</si>
  <si>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</si>
  <si>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</si>
  <si>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</si>
  <si>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</si>
  <si>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</si>
  <si>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</si>
  <si>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</si>
  <si>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</si>
  <si>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</si>
  <si>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</si>
  <si>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</si>
  <si>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</si>
  <si>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</si>
  <si>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</si>
  <si>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</si>
  <si>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</si>
  <si>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</si>
  <si>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</si>
  <si>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</si>
  <si>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</si>
  <si>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</si>
  <si>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</si>
  <si>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</si>
  <si>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</si>
  <si>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</si>
  <si>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</si>
  <si>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</si>
  <si>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</si>
  <si>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</si>
  <si>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</si>
  <si>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</si>
  <si>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</si>
  <si>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</si>
  <si>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</si>
  <si>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</si>
  <si>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</si>
  <si>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</si>
  <si>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</si>
  <si>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</si>
  <si>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</si>
  <si>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</si>
  <si>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</si>
  <si>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</si>
  <si>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</si>
  <si>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</si>
  <si>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</si>
  <si>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</si>
  <si>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</si>
  <si>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</si>
  <si>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</si>
  <si>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</si>
  <si>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</si>
  <si>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</si>
  <si>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</si>
  <si>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</si>
  <si>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</si>
  <si>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</si>
  <si>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</si>
  <si>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</si>
  <si>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</si>
  <si>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</si>
  <si>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</si>
  <si>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</si>
  <si>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</si>
  <si>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</si>
  <si>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</si>
  <si>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</si>
  <si>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</si>
  <si>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</si>
  <si>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</si>
  <si>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</si>
  <si>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</si>
  <si>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</si>
  <si>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</si>
  <si>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</si>
  <si>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</si>
  <si>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</si>
  <si>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</si>
  <si>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</si>
  <si>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</si>
  <si>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</si>
  <si>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</si>
  <si>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</si>
  <si>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</si>
  <si>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</si>
  <si>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</si>
  <si>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</si>
  <si>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</si>
  <si>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</si>
  <si>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</si>
  <si>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</si>
  <si>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</si>
  <si>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</si>
  <si>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</si>
  <si>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</si>
  <si>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</si>
  <si>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</si>
  <si>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</si>
  <si>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</si>
  <si>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</si>
  <si>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</si>
  <si>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</si>
  <si>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</si>
  <si>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</si>
  <si>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</si>
  <si>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</si>
  <si>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</si>
  <si>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</si>
  <si>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</si>
  <si>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</si>
  <si>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</si>
  <si>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</si>
  <si>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</si>
  <si>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</si>
  <si>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</si>
  <si>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</si>
  <si>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</si>
  <si>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</si>
  <si>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</si>
  <si>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</si>
  <si>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</si>
  <si>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</si>
  <si>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</si>
  <si>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</si>
  <si>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</si>
  <si>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</si>
  <si>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</si>
  <si>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</si>
  <si>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</si>
  <si>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</si>
  <si>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</si>
  <si>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</si>
  <si>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</si>
  <si>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</si>
  <si>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</si>
  <si>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</si>
  <si>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</si>
  <si>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</si>
  <si>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</si>
  <si>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</si>
  <si>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</si>
  <si>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</si>
  <si>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</si>
  <si>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</si>
  <si>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</si>
  <si>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</si>
  <si>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</si>
  <si>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</si>
  <si>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</si>
  <si>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</si>
  <si>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</si>
  <si>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</si>
  <si>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</si>
  <si>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</si>
  <si>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</si>
  <si>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Victim Compensation Board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</si>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</sst>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26" activePane="bottomLeft" state="frozen"/>
      <selection activeCell="H56" sqref="H56"/>
      <selection pane="bottomLeft" activeCell="C35" sqref="C35"/>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1223</v>
      </c>
      <c r="G5" s="191"/>
      <c r="H5" s="191"/>
      <c r="I5" s="191"/>
      <c r="L5" s="12"/>
      <c r="M5" s="12"/>
      <c r="N5" s="12"/>
      <c r="O5" s="12"/>
      <c r="P5" s="12"/>
      <c r="Q5" s="12"/>
    </row>
    <row r="6" spans="1:19" ht="16.5" customHeight="1" x14ac:dyDescent="0.3">
      <c r="A6" s="185" t="s">
        <v>1635</v>
      </c>
      <c r="B6" s="185"/>
      <c r="C6" s="185"/>
      <c r="D6" s="185"/>
      <c r="E6" s="185"/>
      <c r="F6" s="192">
        <v>214</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2950680</v>
      </c>
      <c r="M17" s="143">
        <v>2950680</v>
      </c>
      <c r="P17" s="143"/>
      <c r="Q17" s="155"/>
      <c r="S17" s="154">
        <f t="shared" si="0"/>
        <v>-2950680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1087</v>
      </c>
      <c r="M19" s="143">
        <v>1087</v>
      </c>
      <c r="P19" s="155"/>
      <c r="Q19" s="155"/>
      <c r="S19" s="154">
        <f t="shared" si="0"/>
        <v>-1087</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1863587</v>
      </c>
      <c r="N22" s="143">
        <v>1863587</v>
      </c>
      <c r="P22" s="155"/>
      <c r="Q22" s="143"/>
      <c r="S22" s="154">
        <f t="shared" ref="S22:S25" si="1">Q22-N22</f>
        <v>-1863587</v>
      </c>
    </row>
    <row r="23" spans="1:19" ht="16.5" customHeight="1" x14ac:dyDescent="0.3">
      <c r="A23" s="165" t="s">
        <v>1646</v>
      </c>
      <c r="B23" s="9"/>
      <c r="C23" s="9" t="s">
        <v>174</v>
      </c>
      <c r="D23" s="9"/>
      <c r="E23" s="140"/>
      <c r="F23" s="141"/>
      <c r="G23" s="141"/>
      <c r="H23" s="142"/>
      <c r="I23" s="142"/>
      <c r="J23" s="150"/>
      <c r="K23" s="178">
        <f>N23</f>
        <v>1088180</v>
      </c>
      <c r="N23" s="143">
        <v>1088180</v>
      </c>
      <c r="P23" s="155"/>
      <c r="Q23" s="143"/>
      <c r="S23" s="154">
        <f>Q23-N23</f>
        <v>-1088180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2951767</v>
      </c>
      <c r="K26" s="107">
        <f>SUM(K15:K25)</f>
        <v>2951767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12700352</v>
      </c>
      <c r="K33" s="144"/>
    </row>
    <row r="34" spans="1:12" ht="16.5" customHeight="1" x14ac:dyDescent="0.3">
      <c r="A34" s="54"/>
      <c r="B34" s="9"/>
      <c r="C34" s="9" t="s">
        <v>1748</v>
      </c>
      <c r="D34" s="140"/>
      <c r="E34" s="140"/>
      <c r="F34" s="141"/>
      <c r="G34" s="141"/>
      <c r="H34" s="142"/>
      <c r="I34" s="142"/>
      <c r="J34" s="144"/>
      <c r="K34" s="143">
        <v>12700352</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12700352</v>
      </c>
      <c r="K36" s="107">
        <f>SUM(K33:K35)</f>
        <v>12700352</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12700352</v>
      </c>
      <c r="K41" s="144"/>
    </row>
    <row r="42" spans="1:12" ht="16.5" customHeight="1" x14ac:dyDescent="0.3">
      <c r="A42" s="54"/>
      <c r="B42" s="9"/>
      <c r="C42" s="9" t="s">
        <v>181</v>
      </c>
      <c r="D42" s="140"/>
      <c r="E42" s="140"/>
      <c r="F42" s="141"/>
      <c r="G42" s="141"/>
      <c r="H42" s="142"/>
      <c r="I42" s="142"/>
      <c r="J42" s="144"/>
      <c r="K42" s="143">
        <v>12700352</v>
      </c>
    </row>
    <row r="43" spans="1:12" ht="16.5" customHeight="1" x14ac:dyDescent="0.3">
      <c r="A43" s="54"/>
      <c r="B43" s="130" t="s">
        <v>1640</v>
      </c>
      <c r="C43" s="16"/>
      <c r="D43" s="16"/>
      <c r="E43" s="16"/>
      <c r="F43" s="17"/>
      <c r="G43" s="17"/>
      <c r="H43" s="18"/>
      <c r="I43" s="18"/>
      <c r="J43" s="107">
        <f>SUM(J39:J42)</f>
        <v>12700352</v>
      </c>
      <c r="K43" s="107">
        <f>SUM(K39:K42)</f>
        <v>12700352</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12700352</v>
      </c>
      <c r="K47" s="144"/>
    </row>
    <row r="48" spans="1:12" ht="16.5" customHeight="1" x14ac:dyDescent="0.3">
      <c r="A48" s="165" t="s">
        <v>1646</v>
      </c>
      <c r="B48" s="9"/>
      <c r="C48" s="9" t="s">
        <v>174</v>
      </c>
      <c r="D48" s="140"/>
      <c r="E48" s="140"/>
      <c r="F48" s="141"/>
      <c r="G48" s="141"/>
      <c r="H48" s="142"/>
      <c r="I48" s="142"/>
      <c r="J48" s="144"/>
      <c r="K48" s="143">
        <v>12700352</v>
      </c>
    </row>
    <row r="49" spans="1:16" ht="16.5" customHeight="1" x14ac:dyDescent="0.3">
      <c r="A49" s="54"/>
      <c r="C49" s="16"/>
      <c r="D49" s="16"/>
      <c r="E49" s="16"/>
      <c r="F49" s="17"/>
      <c r="G49" s="17"/>
      <c r="H49" s="18"/>
      <c r="I49" s="18"/>
      <c r="J49" s="107">
        <f>SUM(J47:J48)</f>
        <v>12700352</v>
      </c>
      <c r="K49" s="107">
        <f>SUM(K47:K48)</f>
        <v>12700352</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641477+1087093</f>
        <v>1728570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641477+1087093</f>
        <v>1728570</v>
      </c>
    </row>
    <row r="59" spans="1:16" ht="16.5" customHeight="1" x14ac:dyDescent="0.3">
      <c r="A59" s="54"/>
      <c r="C59" s="16"/>
      <c r="D59" s="16"/>
      <c r="E59" s="16"/>
      <c r="F59" s="17"/>
      <c r="G59" s="17"/>
      <c r="H59" s="18"/>
      <c r="I59" s="18"/>
      <c r="J59" s="107">
        <f>SUM(J55:J58)</f>
        <v>1728570</v>
      </c>
      <c r="K59" s="107">
        <f>SUM(K55:K58)</f>
        <v>1728570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547064+1088180</f>
        <v>1635244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148224+726</f>
        <v>148950</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SUM(J62:J63)</f>
        <v>1784194</v>
      </c>
    </row>
    <row r="65" spans="1:12" ht="16.5" customHeight="1" x14ac:dyDescent="0.3">
      <c r="A65" s="54"/>
      <c r="C65" s="16"/>
      <c r="D65" s="16"/>
      <c r="E65" s="16"/>
      <c r="F65" s="17"/>
      <c r="G65" s="17"/>
      <c r="H65" s="18"/>
      <c r="I65" s="18"/>
      <c r="J65" s="107">
        <f>SUM(J62:J64)</f>
        <v>1784194</v>
      </c>
      <c r="K65" s="107">
        <f>SUM(K62:K64)</f>
        <v>1784194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547064+1088180</f>
        <v>1635244</v>
      </c>
      <c r="K68" s="144"/>
    </row>
    <row r="69" spans="1:12" ht="16.5" customHeight="1" x14ac:dyDescent="0.3">
      <c r="A69" s="54"/>
      <c r="B69" s="9"/>
      <c r="C69" s="9" t="s">
        <v>186</v>
      </c>
      <c r="D69" s="140"/>
      <c r="E69" s="140"/>
      <c r="F69" s="141"/>
      <c r="G69" s="141"/>
      <c r="H69" s="142"/>
      <c r="I69" s="142"/>
      <c r="J69" s="144"/>
      <c r="K69" s="143">
        <f>J62</f>
        <v>1635244</v>
      </c>
    </row>
    <row r="70" spans="1:12" ht="16.5" customHeight="1" x14ac:dyDescent="0.3">
      <c r="A70" s="54"/>
      <c r="C70" s="16"/>
      <c r="D70" s="16"/>
      <c r="E70" s="16"/>
      <c r="F70" s="17"/>
      <c r="G70" s="17"/>
      <c r="H70" s="18"/>
      <c r="I70" s="18"/>
      <c r="J70" s="107">
        <f>SUM(J68:J69)</f>
        <v>1635244</v>
      </c>
      <c r="K70" s="107">
        <f>SUM(K68:K69)</f>
        <v>1635244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f>K76</f>
        <v>1072588</v>
      </c>
      <c r="K75" s="144"/>
    </row>
    <row r="76" spans="1:12" ht="16.5" customHeight="1" x14ac:dyDescent="0.3">
      <c r="A76" s="54"/>
      <c r="B76" s="9"/>
      <c r="C76" s="9" t="s">
        <v>194</v>
      </c>
      <c r="D76" s="140"/>
      <c r="E76" s="140"/>
      <c r="F76" s="141"/>
      <c r="G76" s="141"/>
      <c r="H76" s="142"/>
      <c r="I76" s="142"/>
      <c r="J76" s="144"/>
      <c r="K76" s="143">
        <v>1072588</v>
      </c>
    </row>
    <row r="77" spans="1:12" ht="16.5" customHeight="1" x14ac:dyDescent="0.25">
      <c r="A77" s="54"/>
      <c r="B77" s="188" t="s">
        <v>1735</v>
      </c>
      <c r="C77" s="188"/>
      <c r="D77" s="188"/>
      <c r="E77" s="188"/>
      <c r="F77" s="188"/>
      <c r="G77" s="188"/>
      <c r="H77" s="188"/>
      <c r="I77" s="188"/>
      <c r="J77" s="107">
        <f>SUM(J75:J76)</f>
        <v>1072588</v>
      </c>
      <c r="K77" s="107">
        <f>SUM(K75:K76)</f>
        <v>1072588</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2950680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2950680</v>
      </c>
    </row>
    <row r="91" spans="1:16" ht="16.5" customHeight="1" x14ac:dyDescent="0.3">
      <c r="B91" s="130" t="s">
        <v>1641</v>
      </c>
      <c r="H91" s="10"/>
      <c r="J91" s="108">
        <f>SUM(J85:J90)</f>
        <v>2950680</v>
      </c>
      <c r="K91" s="108">
        <f>SUM(K85:K90)</f>
        <v>2950680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12700352</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-641477</v>
      </c>
    </row>
    <row r="128" spans="1:12" ht="16.5" customHeight="1" x14ac:dyDescent="0.3">
      <c r="D128" s="140" t="s">
        <v>1657</v>
      </c>
      <c r="H128" s="10"/>
      <c r="K128" s="169">
        <f>-K23-K48+J68+J75+J96-K113</f>
        <v>-11080700</v>
      </c>
    </row>
    <row r="129" spans="4:11" ht="16.5" customHeight="1" x14ac:dyDescent="0.3">
      <c r="D129" s="140" t="s">
        <v>1658</v>
      </c>
      <c r="H129" s="10"/>
      <c r="K129" s="169">
        <f>-K76</f>
        <v>-1072588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C19" sqref="C1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7870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1072588</v>
      </c>
      <c r="C13" s="55">
        <v>331894</v>
      </c>
      <c r="D13" s="197" t="s">
        <v>4</v>
      </c>
      <c r="E13" s="198"/>
      <c r="F13" s="198"/>
      <c r="G13" s="29"/>
      <c r="H13" s="29"/>
      <c r="I13" s="29"/>
      <c r="J13" s="29"/>
      <c r="K13" s="29"/>
      <c r="L13" s="29"/>
      <c r="M13" s="29"/>
    </row>
    <row r="14" spans="1:13" x14ac:dyDescent="0.25">
      <c r="A14" s="51" t="str">
        <f>LEFT(A13,4)+1&amp;"–"&amp;RIGHT(A13,4)+1</f>
        <v>2024–2025</v>
      </c>
      <c r="B14" s="55">
        <v>1430872</v>
      </c>
      <c r="C14" s="55">
        <v>297353</v>
      </c>
      <c r="D14" s="197"/>
      <c r="E14" s="198"/>
      <c r="F14" s="198"/>
    </row>
    <row r="15" spans="1:13" ht="15.6" x14ac:dyDescent="0.25">
      <c r="A15" s="51" t="str">
        <f>LEFT(A14,4)+1&amp;"–"&amp;RIGHT(A14,4)+1</f>
        <v>2025–2026</v>
      </c>
      <c r="B15" s="55">
        <v>1515960</v>
      </c>
      <c r="C15" s="55">
        <v>255471</v>
      </c>
      <c r="D15" s="194" t="s">
        <v>125</v>
      </c>
      <c r="E15" s="194"/>
      <c r="F15" s="194"/>
      <c r="G15" s="30"/>
      <c r="H15" s="30"/>
      <c r="I15" s="30"/>
      <c r="J15" s="30"/>
      <c r="K15" s="30"/>
      <c r="L15" s="30"/>
      <c r="M15" s="30"/>
    </row>
    <row r="16" spans="1:13" x14ac:dyDescent="0.25">
      <c r="A16" s="51" t="str">
        <f>LEFT(A15,4)+1&amp;"–"&amp;RIGHT(A15,4)+1</f>
        <v>2026–2027</v>
      </c>
      <c r="B16" s="55">
        <v>1604598</v>
      </c>
      <c r="C16" s="55">
        <v>211118</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1696918</v>
      </c>
      <c r="C17" s="55">
        <v>164191</v>
      </c>
      <c r="D17" s="194"/>
      <c r="E17" s="194"/>
      <c r="F17" s="194"/>
      <c r="G17" s="31"/>
      <c r="H17" s="31"/>
      <c r="I17" s="31"/>
      <c r="J17" s="31"/>
      <c r="K17" s="31"/>
    </row>
    <row r="18" spans="1:13" ht="15" customHeight="1" x14ac:dyDescent="0.3">
      <c r="A18" s="51" t="str">
        <f>LEFT(A17,4)+1&amp;"–"&amp;RIGHT(A17,4)+5</f>
        <v>2028–2033</v>
      </c>
      <c r="B18" s="55">
        <v>4832352</v>
      </c>
      <c r="C18" s="55">
        <v>187683</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1761</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7870</v>
      </c>
      <c r="C40" s="202"/>
      <c r="E40" s="32"/>
    </row>
    <row r="41" spans="1:13" ht="15.6" x14ac:dyDescent="0.3">
      <c r="A41" s="5" t="s">
        <v>192</v>
      </c>
      <c r="B41" s="200" t="str">
        <f>B10</f>
        <v>California Victim Compensation Board</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7870</v>
      </c>
      <c r="C71" s="202"/>
    </row>
    <row r="72" spans="1:13" ht="15.6" x14ac:dyDescent="0.3">
      <c r="A72" s="5" t="s">
        <v>192</v>
      </c>
      <c r="B72" s="200" t="str">
        <f>B10</f>
        <v>California Victim Compensation Board</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B1" zoomScale="85" zoomScaleNormal="85"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0214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7870 - California Victim Compensation Board</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1088180</v>
      </c>
      <c r="G10" s="58"/>
      <c r="H10" s="61">
        <v>12700352</v>
      </c>
      <c r="I10" s="58"/>
      <c r="J10" s="61">
        <f>547064+1088180</f>
        <v>1635244</v>
      </c>
      <c r="K10" s="58"/>
      <c r="L10" s="63">
        <f>SUM(F10+H10-J10)</f>
        <v>12153288</v>
      </c>
      <c r="M10" s="58"/>
      <c r="N10" s="61">
        <v>1072588</v>
      </c>
      <c r="O10" s="58"/>
      <c r="P10" s="63">
        <f>L10-N10</f>
        <v>11080700</v>
      </c>
      <c r="Q10" s="43"/>
    </row>
    <row r="11" spans="2:17" ht="19.2" thickTop="1" thickBot="1" x14ac:dyDescent="0.4">
      <c r="B11" s="41"/>
      <c r="C11" s="45" t="s">
        <v>19</v>
      </c>
      <c r="F11" s="62">
        <f>SUM(F10:F10)</f>
        <v>1088180</v>
      </c>
      <c r="G11" s="58"/>
      <c r="H11" s="62">
        <f>SUM(H10:H10)</f>
        <v>12700352</v>
      </c>
      <c r="I11" s="58"/>
      <c r="J11" s="62">
        <f>SUM(J10:J10)</f>
        <v>1635244</v>
      </c>
      <c r="K11" s="58"/>
      <c r="L11" s="62">
        <f>SUM(L10:L10)</f>
        <v>12153288</v>
      </c>
      <c r="M11" s="58"/>
      <c r="N11" s="62">
        <f>SUM(N10:N10)</f>
        <v>1072588</v>
      </c>
      <c r="O11" s="58"/>
      <c r="P11" s="62">
        <f>SUM(P10:P10)</f>
        <v>11080700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85" zoomScaleNormal="85" workbookViewId="0">
      <selection activeCell="N16" sqref="N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0214 Journal Entries'!$F$8="Governmental Fund",'LS-Fund 0214 Journal Entries'!$K$23,0)</f>
        <v>1088180</v>
      </c>
      <c r="C16" s="116" t="s">
        <v>146</v>
      </c>
      <c r="D16" s="84">
        <f>IF('LS-Fund 0214 Journal Entries'!$F$8="Governmental Fund",'LS-Fund 0214 Journal Entries'!$K$48,0)</f>
        <v>12700352</v>
      </c>
      <c r="E16" s="118" t="s">
        <v>147</v>
      </c>
      <c r="F16" s="84">
        <f>IF('LS-Fund 0214 Journal Entries'!$F$8="Governmental Fund",'LS-Fund 0214 Journal Entries'!$J$68,0)</f>
        <v>1635244</v>
      </c>
      <c r="G16" s="117" t="s">
        <v>147</v>
      </c>
      <c r="H16" s="84">
        <f>IF('LS-Fund 0214 Journal Entries'!$F$8="Governmental Fund",'LS-Fund 0214 Journal Entries'!$J$96,0)</f>
        <v>0</v>
      </c>
      <c r="I16" s="117" t="s">
        <v>146</v>
      </c>
      <c r="J16" s="84">
        <f>IF('LS-Fund 0214 Journal Entries'!$F$8="Governmental Fund",'LS-Fund 0214 Journal Entries'!$K$113,0)</f>
        <v>0</v>
      </c>
      <c r="K16" s="118" t="s">
        <v>150</v>
      </c>
      <c r="L16" s="87">
        <f>+B16+D16-F16-H16+J16</f>
        <v>12153288</v>
      </c>
      <c r="M16" s="86"/>
      <c r="N16" s="88">
        <f>SUM('LS-Department Note Disclosure'!B13:B36)</f>
        <v>12153288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0214 Journal Entries'!$F$8="Proprietary - Internal Service Fund",'LS-Fund 0214 Journal Entries'!$K$23,0)</f>
        <v>0</v>
      </c>
      <c r="C24" s="116" t="s">
        <v>146</v>
      </c>
      <c r="D24" s="84">
        <f>IF('LS-Fund 0214 Journal Entries'!$F$8="Proprietary - Internal Service Fund",'LS-Fund 0214 Journal Entries'!$K$48,0)</f>
        <v>0</v>
      </c>
      <c r="E24" s="118" t="s">
        <v>147</v>
      </c>
      <c r="F24" s="84">
        <f>IF('LS-Fund 0214 Journal Entries'!$F$8="Proprietary - Internal Service Fund",'LS-Fund 0214 Journal Entries'!$J$68,0)</f>
        <v>0</v>
      </c>
      <c r="G24" s="117" t="s">
        <v>147</v>
      </c>
      <c r="H24" s="84">
        <f>IF('LS-Fund 0214 Journal Entries'!$F$8="Proprietary - Internal Service Fund",'LS-Fund 0214 Journal Entries'!$J$96,0)</f>
        <v>0</v>
      </c>
      <c r="I24" s="117" t="s">
        <v>146</v>
      </c>
      <c r="J24" s="84">
        <f>IF('LS-Fund 0214 Journal Entries'!$F$8="Proprietary - Internal Service Fund",'LS-Fund 0214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0214 Journal Entries'!$F$8="Proprietary - Enterprise Fund",'LS-Fund 0214 Journal Entries'!$K$23,0)</f>
        <v>0</v>
      </c>
      <c r="C33" s="116" t="s">
        <v>146</v>
      </c>
      <c r="D33" s="84">
        <f>IF('LS-Fund 0214 Journal Entries'!$F$8="Proprietary - Enterprise Fund",'LS-Fund 0214 Journal Entries'!$K$48,0)</f>
        <v>0</v>
      </c>
      <c r="E33" s="118" t="s">
        <v>147</v>
      </c>
      <c r="F33" s="84">
        <f>IF('LS-Fund 0214 Journal Entries'!$F$8="Proprietary - Enterprise Fund",'LS-Fund 0214 Journal Entries'!$J$68,0)</f>
        <v>0</v>
      </c>
      <c r="G33" s="117" t="s">
        <v>147</v>
      </c>
      <c r="H33" s="84">
        <f>IF('LS-Fund 0214 Journal Entries'!$F$8="Proprietary - Enterprise Fund",'LS-Fund 0214 Journal Entries'!$J$96,0)</f>
        <v>0</v>
      </c>
      <c r="I33" s="117" t="s">
        <v>146</v>
      </c>
      <c r="J33" s="84">
        <f>IF('LS-Fund 0214 Journal Entries'!$F$8="Proprietary - Enterprise Fund",'LS-Fund 0214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0214 Journal Entries'!$F$8="Governmental Fund",'LS-Fund 0214 Journal Entries'!$K$76,0)</f>
        <v>1072588</v>
      </c>
      <c r="C42" s="92"/>
      <c r="E42" s="92"/>
      <c r="G42" s="115"/>
      <c r="H42" s="115"/>
      <c r="I42" s="115"/>
      <c r="J42" s="115"/>
      <c r="K42" s="92"/>
      <c r="L42" s="92"/>
      <c r="M42" s="93"/>
      <c r="N42" s="88">
        <f>'LS-Department Note Disclosure'!B13</f>
        <v>1072588</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0214 Journal Entries'!$F$8="Proprietary - Internal Service Fund",'LS-Fund 0214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0214 Journal Entries'!$F$8="Proprietary - Enterprise Fund",'LS-Fund 0214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1088180</v>
      </c>
      <c r="J66" s="97">
        <f>SUM(D66)</f>
        <v>1088180</v>
      </c>
      <c r="L66" s="98" t="str">
        <f>CONCATENATE("Balance July 1, ",LEFT('LS-Department Note Disclosure'!$B$8,4))</f>
        <v>Balance July 1, 2022</v>
      </c>
      <c r="N66" s="97">
        <f>'LS-Lease Liabilities'!F10</f>
        <v>1088180</v>
      </c>
      <c r="P66" s="89">
        <f>J66-N66</f>
        <v>0</v>
      </c>
    </row>
    <row r="67" spans="1:17" x14ac:dyDescent="0.3">
      <c r="B67" s="79" t="s">
        <v>157</v>
      </c>
      <c r="D67" s="97">
        <f>$D$16</f>
        <v>12700352</v>
      </c>
      <c r="E67" s="119" t="s">
        <v>146</v>
      </c>
      <c r="F67" s="79" t="s">
        <v>1756</v>
      </c>
      <c r="H67" s="97">
        <f>$J$16</f>
        <v>0</v>
      </c>
      <c r="J67" s="97">
        <f>SUM(D67,H67)</f>
        <v>12700352</v>
      </c>
      <c r="L67" s="98" t="s">
        <v>13</v>
      </c>
      <c r="N67" s="97">
        <f>'LS-Lease Liabilities'!H10</f>
        <v>12700352</v>
      </c>
      <c r="P67" s="89">
        <f t="shared" ref="P67:P69" si="0">J67-N67</f>
        <v>0</v>
      </c>
    </row>
    <row r="68" spans="1:17" x14ac:dyDescent="0.3">
      <c r="B68" s="79" t="s">
        <v>152</v>
      </c>
      <c r="D68" s="97">
        <f>$F$16</f>
        <v>1635244</v>
      </c>
      <c r="E68" s="119" t="s">
        <v>146</v>
      </c>
      <c r="F68" s="79" t="s">
        <v>1753</v>
      </c>
      <c r="H68" s="97">
        <f>$H$16</f>
        <v>0</v>
      </c>
      <c r="J68" s="97">
        <f>SUM(D68,H68)</f>
        <v>1635244</v>
      </c>
      <c r="L68" s="98" t="s">
        <v>14</v>
      </c>
      <c r="N68" s="97">
        <f>'LS-Lease Liabilities'!J10</f>
        <v>1635244</v>
      </c>
      <c r="P68" s="89">
        <f t="shared" si="0"/>
        <v>0</v>
      </c>
    </row>
    <row r="69" spans="1:17" x14ac:dyDescent="0.3">
      <c r="B69" s="79" t="s">
        <v>156</v>
      </c>
      <c r="D69" s="97">
        <f>$B$42</f>
        <v>1072588</v>
      </c>
      <c r="J69" s="97">
        <f>SUM(D69)</f>
        <v>1072588</v>
      </c>
      <c r="L69" s="98" t="s">
        <v>15</v>
      </c>
      <c r="N69" s="97">
        <f>'LS-Lease Liabilities'!N10</f>
        <v>1072588</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050A5BF-3A6A-486D-B315-E63880A7FB57}"/>
</file>

<file path=customXml/itemProps2.xml><?xml version="1.0" encoding="utf-8"?>
<ds:datastoreItem xmlns:ds="http://schemas.openxmlformats.org/officeDocument/2006/customXml" ds:itemID="{BB055109-3FC0-4934-92CC-E1E705063F77}"/>
</file>

<file path=customXml/itemProps3.xml><?xml version="1.0" encoding="utf-8"?>
<ds:datastoreItem xmlns:ds="http://schemas.openxmlformats.org/officeDocument/2006/customXml" ds:itemID="{034EFFDC-83DC-488E-A89E-27B63E988B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0214 Journal Entries</vt:lpstr>
      <vt:lpstr>LS-Department Note Disclosure</vt:lpstr>
      <vt:lpstr>LS-Lease Liabilities</vt:lpstr>
      <vt:lpstr>LS-Check Figures  </vt:lpstr>
      <vt:lpstr>'LS-Department Note Disclosure'!Print_Area</vt:lpstr>
      <vt:lpstr>'LS-Fund 0214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2024-05-30T17:32:58Z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