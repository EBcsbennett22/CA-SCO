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https://eidebailly-my.sharepoint.com/personal/cbennett_eidebailly_com/Documents/Current Projects/State of California/Accounting Standards/Current Year/GASB 87/Completed Templates/Lessee/"/>
    </mc:Choice>
  </mc:AlternateContent>
  <xr:revisionPtr revIDLastSave="2" documentId="13_ncr:1_{E2982CAC-536C-4ADF-BD32-600170333DC1}" xr6:coauthVersionLast="47" xr6:coauthVersionMax="47" xr10:uidLastSave="{B91C2AF0-4263-4384-B146-379E7D4A2022}"/>
  <bookViews>
    <workbookView xWindow="-28860" yWindow="-16470" windowWidth="29040" windowHeight="15720" tabRatio="914" firstSheet="10" activeTab="12" xr2:uid="{00000000-000D-0000-FFFF-FFFF00000000}"/>
  </bookViews>
  <sheets>
    <sheet name="Drop Down Menus" sheetId="1" state="hidden" r:id="rId1"/>
    <sheet name="qryIndex02a" sheetId="11" state="hidden" r:id="rId2"/>
    <sheet name="LS-Version Changes" sheetId="13" state="hidden" r:id="rId3"/>
    <sheet name="LS-Fund 0001 Journal Entries" sheetId="2" r:id="rId4"/>
    <sheet name="LS-Fund 0159 Journal Entries" sheetId="16" r:id="rId5"/>
    <sheet name="LS-Fund 0587 Journal Entries" sheetId="17" r:id="rId6"/>
    <sheet name="LS-Fund 0890 Journal Entries" sheetId="18" r:id="rId7"/>
    <sheet name="LS-Fund 0932 Journal Entries" sheetId="19" r:id="rId8"/>
    <sheet name="LS-Fund 3037 Journal Entries" sheetId="20" r:id="rId9"/>
    <sheet name="LS-Fund 3060 Journal Entries" sheetId="21" r:id="rId10"/>
    <sheet name="LS-Fund 3066 Journal Entries" sheetId="22" r:id="rId11"/>
    <sheet name="LS-Fund 3085 Journal Entries" sheetId="23" r:id="rId12"/>
    <sheet name="LS-Department Note Disclosure" sheetId="3" r:id="rId13"/>
    <sheet name="LS-Lease Liabilities" sheetId="4" r:id="rId14"/>
    <sheet name="LS-Check Figures  " sheetId="7" r:id="rId15"/>
    <sheet name="LR-Version Changes" sheetId="15" state="hidden" r:id="rId16"/>
    <sheet name="LR-Fund 3037 Journal Entries" sheetId="5" r:id="rId17"/>
    <sheet name="LR-Fund 3066 Journal Entries" sheetId="24" r:id="rId18"/>
    <sheet name="LR-Department Note Disclosure" sheetId="6" r:id="rId19"/>
    <sheet name="LR-Check Figures" sheetId="12" r:id="rId20"/>
    <sheet name="FP-Version Changes" sheetId="14" state="hidden" r:id="rId21"/>
    <sheet name="FP-Fund #### Journal Entries" sheetId="8" state="hidden" r:id="rId22"/>
    <sheet name="FP-Lease Liabilities" sheetId="10" state="hidden" r:id="rId23"/>
  </sheets>
  <externalReferences>
    <externalReference r:id="rId24"/>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20">#REF!</definedName>
    <definedName name="AgencyCode" localSheetId="19">#REF!</definedName>
    <definedName name="AgencyCode" localSheetId="15">#REF!</definedName>
    <definedName name="AgencyCode">#REF!</definedName>
    <definedName name="AgencyCode1" localSheetId="20">#REF!</definedName>
    <definedName name="AgencyCode1" localSheetId="19">#REF!</definedName>
    <definedName name="AgencyCode1" localSheetId="15">#REF!</definedName>
    <definedName name="AgencyCode1">#REF!</definedName>
    <definedName name="AnalystGASB">[1]DeveloperInfo!$D$20</definedName>
    <definedName name="Annuity" localSheetId="20">#REF!</definedName>
    <definedName name="Annuity" localSheetId="19">#REF!</definedName>
    <definedName name="Annuity" localSheetId="15">#REF!</definedName>
    <definedName name="Annuity">#REF!</definedName>
    <definedName name="Annuity1" localSheetId="20">#REF!</definedName>
    <definedName name="Annuity1" localSheetId="19">#REF!</definedName>
    <definedName name="Annuity1" localSheetId="15">#REF!</definedName>
    <definedName name="Annuity1">#REF!</definedName>
    <definedName name="AnnuityLY" localSheetId="20">#REF!</definedName>
    <definedName name="AnnuityLY" localSheetId="19">#REF!</definedName>
    <definedName name="AnnuityLY" localSheetId="15">#REF!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20">#REF!</definedName>
    <definedName name="EmployerRates" localSheetId="19">#REF!</definedName>
    <definedName name="EmployerRates" localSheetId="15">#REF!</definedName>
    <definedName name="EmployerRates">#REF!</definedName>
    <definedName name="EmployerRates1" localSheetId="20">#REF!</definedName>
    <definedName name="EmployerRates1" localSheetId="19">#REF!</definedName>
    <definedName name="EmployerRates1" localSheetId="15">#REF!</definedName>
    <definedName name="EmployerRates1">#REF!</definedName>
    <definedName name="EmployerRatesLEO" localSheetId="20">#REF!</definedName>
    <definedName name="EmployerRatesLEO" localSheetId="19">#REF!</definedName>
    <definedName name="EmployerRatesLEO" localSheetId="15">#REF!</definedName>
    <definedName name="EmployerRatesLEO">#REF!</definedName>
    <definedName name="EmployerRatesLEO1" localSheetId="20">#REF!</definedName>
    <definedName name="EmployerRatesLEO1" localSheetId="19">#REF!</definedName>
    <definedName name="EmployerRatesLEO1" localSheetId="15">#REF!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20">#REF!</definedName>
    <definedName name="Pension" localSheetId="19">#REF!</definedName>
    <definedName name="Pension" localSheetId="15">#REF!</definedName>
    <definedName name="Pension">#REF!</definedName>
    <definedName name="Pension1" localSheetId="20">#REF!</definedName>
    <definedName name="Pension1" localSheetId="19">#REF!</definedName>
    <definedName name="Pension1" localSheetId="15">#REF!</definedName>
    <definedName name="Pension1">#REF!</definedName>
    <definedName name="PensionLY" localSheetId="20">#REF!</definedName>
    <definedName name="PensionLY" localSheetId="19">#REF!</definedName>
    <definedName name="PensionLY" localSheetId="15">#REF!</definedName>
    <definedName name="PensionLY">#REF!</definedName>
    <definedName name="PlanNameLongGASB">[1]DeveloperInfo!$D$7</definedName>
    <definedName name="PlanNameShortGASB">[1]DeveloperInfo!$D$8</definedName>
    <definedName name="_xlnm.Print_Area" localSheetId="21">'FP-Fund #### Journal Entries'!$A$1:$J$9</definedName>
    <definedName name="_xlnm.Print_Area" localSheetId="22">'FP-Lease Liabilities'!$B$2:$Q$17</definedName>
    <definedName name="_xlnm.Print_Area" localSheetId="18">'LR-Department Note Disclosure'!$A$1:$C$93</definedName>
    <definedName name="_xlnm.Print_Area" localSheetId="16">'LR-Fund 3037 Journal Entries'!$B$1:$K$67</definedName>
    <definedName name="_xlnm.Print_Area" localSheetId="17">'LR-Fund 3066 Journal Entries'!$B$1:$K$67</definedName>
    <definedName name="_xlnm.Print_Area" localSheetId="12">'LS-Department Note Disclosure'!$A$1:$C$85</definedName>
    <definedName name="_xlnm.Print_Area" localSheetId="3">'LS-Fund 0001 Journal Entries'!$A$1:$J$9</definedName>
    <definedName name="_xlnm.Print_Area" localSheetId="4">'LS-Fund 0159 Journal Entries'!$A$1:$J$9</definedName>
    <definedName name="_xlnm.Print_Area" localSheetId="5">'LS-Fund 0587 Journal Entries'!$A$1:$J$9</definedName>
    <definedName name="_xlnm.Print_Area" localSheetId="6">'LS-Fund 0890 Journal Entries'!$A$1:$J$9</definedName>
    <definedName name="_xlnm.Print_Area" localSheetId="7">'LS-Fund 0932 Journal Entries'!$A$1:$J$9</definedName>
    <definedName name="_xlnm.Print_Area" localSheetId="8">'LS-Fund 3037 Journal Entries'!$A$1:$J$9</definedName>
    <definedName name="_xlnm.Print_Area" localSheetId="9">'LS-Fund 3060 Journal Entries'!$A$1:$J$9</definedName>
    <definedName name="_xlnm.Print_Area" localSheetId="10">'LS-Fund 3066 Journal Entries'!$A$1:$J$9</definedName>
    <definedName name="_xlnm.Print_Area" localSheetId="11">'LS-Fund 3085 Journal Entries'!$A$1:$J$9</definedName>
    <definedName name="_xlnm.Print_Area" localSheetId="13">'LS-Lease Liabilities'!$B$2:$Q$17</definedName>
    <definedName name="ProjDisc?">[1]DeveloperInfo!$D$65</definedName>
    <definedName name="ProValResults" localSheetId="20">#REF!</definedName>
    <definedName name="ProValResults" localSheetId="19">#REF!</definedName>
    <definedName name="ProValResults" localSheetId="15">#REF!</definedName>
    <definedName name="ProValResults">#REF!</definedName>
    <definedName name="ProValResults1" localSheetId="20">#REF!</definedName>
    <definedName name="ProValResults1" localSheetId="19">#REF!</definedName>
    <definedName name="ProValResults1" localSheetId="15">#REF!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20">#REF!</definedName>
    <definedName name="TableData" localSheetId="19">#REF!</definedName>
    <definedName name="TableData" localSheetId="15">#REF!</definedName>
    <definedName name="TableData">#REF!</definedName>
    <definedName name="TableData1" localSheetId="20">#REF!</definedName>
    <definedName name="TableData1" localSheetId="19">#REF!</definedName>
    <definedName name="TableData1" localSheetId="15">#REF!</definedName>
    <definedName name="TableData1">#REF!</definedName>
    <definedName name="Type" localSheetId="20">#REF!</definedName>
    <definedName name="Type" localSheetId="19">#REF!</definedName>
    <definedName name="Type" localSheetId="15">#REF!</definedName>
    <definedName name="Type">#REF!</definedName>
    <definedName name="TypeAnnuity" localSheetId="20">#REF!</definedName>
    <definedName name="TypeAnnuity" localSheetId="19">#REF!</definedName>
    <definedName name="TypeAnnuity" localSheetId="15">#REF!</definedName>
    <definedName name="TypeAnnuity">#REF!</definedName>
    <definedName name="TypeAnnuity1" localSheetId="20">#REF!</definedName>
    <definedName name="TypeAnnuity1" localSheetId="19">#REF!</definedName>
    <definedName name="TypeAnnuity1" localSheetId="15">#REF!</definedName>
    <definedName name="TypeAnnuity1">#REF!</definedName>
    <definedName name="TypePension" localSheetId="20">#REF!</definedName>
    <definedName name="TypePension" localSheetId="19">#REF!</definedName>
    <definedName name="TypePension" localSheetId="15">#REF!</definedName>
    <definedName name="TypePension">#REF!</definedName>
    <definedName name="TypePension1" localSheetId="20">#REF!</definedName>
    <definedName name="TypePension1" localSheetId="19">#REF!</definedName>
    <definedName name="TypePension1" localSheetId="15">#REF!</definedName>
    <definedName name="TypePension1">#REF!</definedName>
    <definedName name="UnfundedData" localSheetId="20">#REF!</definedName>
    <definedName name="UnfundedData" localSheetId="19">#REF!</definedName>
    <definedName name="UnfundedData" localSheetId="15">#REF!</definedName>
    <definedName name="UnfundedData">#REF!</definedName>
    <definedName name="UnfundedData1" localSheetId="20">#REF!</definedName>
    <definedName name="UnfundedData1" localSheetId="19">#REF!</definedName>
    <definedName name="UnfundedData1" localSheetId="15">#REF!</definedName>
    <definedName name="UnfundedData1">#REF!</definedName>
    <definedName name="UnfundedLY" localSheetId="20">#REF!</definedName>
    <definedName name="UnfundedLY" localSheetId="19">#REF!</definedName>
    <definedName name="UnfundedLY" localSheetId="15">#REF!</definedName>
    <definedName name="UnfundedLY">#REF!</definedName>
    <definedName name="UnfundedLY1" localSheetId="20">#REF!</definedName>
    <definedName name="UnfundedLY1" localSheetId="19">#REF!</definedName>
    <definedName name="UnfundedLY1" localSheetId="15">#REF!</definedName>
    <definedName name="UnfundedLY1">#REF!</definedName>
    <definedName name="UnfundedLYLEO1" localSheetId="20">#REF!</definedName>
    <definedName name="UnfundedLYLEO1" localSheetId="19">#REF!</definedName>
    <definedName name="UnfundedLYLEO1" localSheetId="15">#REF!</definedName>
    <definedName name="UnfundedLYLEO1">#REF!</definedName>
    <definedName name="UnfunedLYLEO" localSheetId="20">#REF!</definedName>
    <definedName name="UnfunedLYLEO" localSheetId="19">#REF!</definedName>
    <definedName name="UnfunedLYLEO" localSheetId="15">#REF!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 i="24" l="1"/>
  <c r="Q17" i="24"/>
  <c r="N18" i="24"/>
  <c r="Q17" i="5" l="1"/>
  <c r="N18" i="5"/>
  <c r="N22" i="21" l="1"/>
  <c r="N22" i="22"/>
  <c r="M18" i="2" l="1"/>
  <c r="Q23" i="23" l="1"/>
  <c r="Q22" i="23"/>
  <c r="M18" i="23"/>
  <c r="Q23" i="22"/>
  <c r="Q22" i="22"/>
  <c r="M18" i="22"/>
  <c r="Q23" i="21"/>
  <c r="Q22" i="21"/>
  <c r="M18" i="21"/>
  <c r="Q23" i="20"/>
  <c r="Q22" i="20"/>
  <c r="M18" i="20"/>
  <c r="M18" i="19"/>
  <c r="Q23" i="19"/>
  <c r="Q22" i="19"/>
  <c r="M18" i="18"/>
  <c r="Q23" i="18"/>
  <c r="Q22" i="18"/>
  <c r="M18" i="17"/>
  <c r="Q23" i="17"/>
  <c r="Q22" i="17"/>
  <c r="Q23" i="16"/>
  <c r="Q22" i="16"/>
  <c r="M18" i="16"/>
  <c r="Q23" i="2"/>
  <c r="Q22" i="2"/>
  <c r="B42" i="12" l="1"/>
  <c r="F16" i="12" l="1"/>
  <c r="J16" i="7" l="1"/>
  <c r="J10" i="4" l="1"/>
  <c r="H16" i="7" l="1"/>
  <c r="F16" i="7"/>
  <c r="D16" i="7"/>
  <c r="B42" i="7"/>
  <c r="K48" i="22"/>
  <c r="K42" i="22"/>
  <c r="K68" i="24" l="1"/>
  <c r="K60" i="24"/>
  <c r="J60" i="24"/>
  <c r="L60" i="24" s="1"/>
  <c r="K55" i="24"/>
  <c r="J55" i="24"/>
  <c r="L55" i="24" s="1"/>
  <c r="K43" i="24"/>
  <c r="J43" i="24"/>
  <c r="L43" i="24" s="1"/>
  <c r="K38" i="24"/>
  <c r="J38" i="24"/>
  <c r="C37" i="24"/>
  <c r="K33" i="24"/>
  <c r="J33" i="24"/>
  <c r="C32" i="24"/>
  <c r="B30" i="24"/>
  <c r="K26" i="24"/>
  <c r="J26" i="24"/>
  <c r="L26" i="24" s="1"/>
  <c r="S19" i="24"/>
  <c r="Q18" i="24"/>
  <c r="S18" i="24" s="1"/>
  <c r="S17" i="24"/>
  <c r="K17" i="24"/>
  <c r="K69" i="24" s="1"/>
  <c r="S16" i="24"/>
  <c r="P15" i="24"/>
  <c r="S15" i="24" s="1"/>
  <c r="S14" i="24"/>
  <c r="J14" i="24"/>
  <c r="K67" i="24" s="1"/>
  <c r="K129" i="23"/>
  <c r="K114" i="23"/>
  <c r="J114" i="23"/>
  <c r="L114" i="23" s="1"/>
  <c r="K105" i="23"/>
  <c r="J105" i="23"/>
  <c r="L105" i="23" s="1"/>
  <c r="K91" i="23"/>
  <c r="J91" i="23"/>
  <c r="L91" i="23" s="1"/>
  <c r="K77" i="23"/>
  <c r="J77" i="23"/>
  <c r="K70" i="23"/>
  <c r="J70" i="23"/>
  <c r="K65" i="23"/>
  <c r="J65" i="23"/>
  <c r="B63" i="23"/>
  <c r="K59" i="23"/>
  <c r="J59" i="23"/>
  <c r="L59" i="23" s="1"/>
  <c r="K49" i="23"/>
  <c r="J49" i="23"/>
  <c r="L49" i="23" s="1"/>
  <c r="K43" i="23"/>
  <c r="J43" i="23"/>
  <c r="L43" i="23" s="1"/>
  <c r="L36" i="23"/>
  <c r="K36" i="23"/>
  <c r="J36" i="23"/>
  <c r="S25" i="23"/>
  <c r="Q24" i="23"/>
  <c r="S24" i="23" s="1"/>
  <c r="K24" i="23"/>
  <c r="S23" i="23"/>
  <c r="K23" i="23"/>
  <c r="K128" i="23" s="1"/>
  <c r="S22" i="23"/>
  <c r="K22" i="23"/>
  <c r="K127" i="23" s="1"/>
  <c r="S21" i="23"/>
  <c r="K21" i="23"/>
  <c r="K126" i="23" s="1"/>
  <c r="S20" i="23"/>
  <c r="K20" i="23"/>
  <c r="S19" i="23"/>
  <c r="P18" i="23"/>
  <c r="S18" i="23" s="1"/>
  <c r="S17" i="23"/>
  <c r="J17" i="23"/>
  <c r="K124" i="23" s="1"/>
  <c r="S16" i="23"/>
  <c r="J16" i="23"/>
  <c r="K123" i="23" s="1"/>
  <c r="S15" i="23"/>
  <c r="J15" i="23"/>
  <c r="F9" i="23"/>
  <c r="C35" i="23" s="1"/>
  <c r="K129" i="22"/>
  <c r="K122" i="22"/>
  <c r="K114" i="22"/>
  <c r="J114" i="22"/>
  <c r="K105" i="22"/>
  <c r="J105" i="22"/>
  <c r="C104" i="22"/>
  <c r="B100" i="22"/>
  <c r="K91" i="22"/>
  <c r="J91" i="22"/>
  <c r="L91" i="22" s="1"/>
  <c r="K77" i="22"/>
  <c r="J77" i="22"/>
  <c r="K70" i="22"/>
  <c r="J70" i="22"/>
  <c r="K65" i="22"/>
  <c r="J65" i="22"/>
  <c r="B63" i="22"/>
  <c r="K59" i="22"/>
  <c r="J59" i="22"/>
  <c r="K49" i="22"/>
  <c r="J49" i="22"/>
  <c r="K43" i="22"/>
  <c r="J43" i="22"/>
  <c r="L43" i="22" s="1"/>
  <c r="K36" i="22"/>
  <c r="J36" i="22"/>
  <c r="S25" i="22"/>
  <c r="Q24" i="22"/>
  <c r="S24" i="22" s="1"/>
  <c r="S23" i="22"/>
  <c r="K23" i="22"/>
  <c r="K128" i="22" s="1"/>
  <c r="S22" i="22"/>
  <c r="K22" i="22"/>
  <c r="K127" i="22" s="1"/>
  <c r="S21" i="22"/>
  <c r="K21" i="22"/>
  <c r="K126" i="22" s="1"/>
  <c r="S20" i="22"/>
  <c r="K20" i="22"/>
  <c r="S19" i="22"/>
  <c r="P18" i="22"/>
  <c r="S18" i="22" s="1"/>
  <c r="S17" i="22"/>
  <c r="J17" i="22"/>
  <c r="K124" i="22" s="1"/>
  <c r="S16" i="22"/>
  <c r="J16" i="22"/>
  <c r="S15" i="22"/>
  <c r="J15" i="22"/>
  <c r="F9" i="22"/>
  <c r="C35" i="22" s="1"/>
  <c r="K129" i="21"/>
  <c r="K114" i="21"/>
  <c r="J114" i="21"/>
  <c r="L114" i="21" s="1"/>
  <c r="K105" i="21"/>
  <c r="J105" i="21"/>
  <c r="L105" i="21" s="1"/>
  <c r="K91" i="21"/>
  <c r="J91" i="21"/>
  <c r="L91" i="21" s="1"/>
  <c r="K77" i="21"/>
  <c r="J77" i="21"/>
  <c r="K70" i="21"/>
  <c r="J70" i="21"/>
  <c r="K65" i="21"/>
  <c r="J65" i="21"/>
  <c r="B63" i="21"/>
  <c r="K59" i="21"/>
  <c r="J59" i="21"/>
  <c r="L59" i="21" s="1"/>
  <c r="K49" i="21"/>
  <c r="J49" i="21"/>
  <c r="L49" i="21" s="1"/>
  <c r="K43" i="21"/>
  <c r="J43" i="21"/>
  <c r="L43" i="21" s="1"/>
  <c r="L36" i="21"/>
  <c r="K36" i="21"/>
  <c r="J36" i="21"/>
  <c r="S25" i="21"/>
  <c r="Q24" i="21"/>
  <c r="S24" i="21" s="1"/>
  <c r="S23" i="21"/>
  <c r="K23" i="21"/>
  <c r="K128" i="21" s="1"/>
  <c r="S22" i="21"/>
  <c r="K22" i="21"/>
  <c r="K127" i="21" s="1"/>
  <c r="S21" i="21"/>
  <c r="K21" i="21"/>
  <c r="K126" i="21" s="1"/>
  <c r="S20" i="21"/>
  <c r="K20" i="21"/>
  <c r="S19" i="21"/>
  <c r="P18" i="21"/>
  <c r="S18" i="21" s="1"/>
  <c r="S17" i="21"/>
  <c r="J17" i="21"/>
  <c r="K124" i="21" s="1"/>
  <c r="S16" i="21"/>
  <c r="J16" i="21"/>
  <c r="K123" i="21" s="1"/>
  <c r="S15" i="21"/>
  <c r="J15" i="21"/>
  <c r="F9" i="21"/>
  <c r="C35" i="21" s="1"/>
  <c r="K129" i="20"/>
  <c r="K122" i="20"/>
  <c r="K114" i="20"/>
  <c r="J114" i="20"/>
  <c r="L114" i="20" s="1"/>
  <c r="K105" i="20"/>
  <c r="J105" i="20"/>
  <c r="L105" i="20" s="1"/>
  <c r="K91" i="20"/>
  <c r="J91" i="20"/>
  <c r="K77" i="20"/>
  <c r="J77" i="20"/>
  <c r="K70" i="20"/>
  <c r="J70" i="20"/>
  <c r="K65" i="20"/>
  <c r="J65" i="20"/>
  <c r="B63" i="20"/>
  <c r="K59" i="20"/>
  <c r="J59" i="20"/>
  <c r="K49" i="20"/>
  <c r="J49" i="20"/>
  <c r="L49" i="20" s="1"/>
  <c r="K43" i="20"/>
  <c r="J43" i="20"/>
  <c r="K36" i="20"/>
  <c r="L36" i="20" s="1"/>
  <c r="J36" i="20"/>
  <c r="S25" i="20"/>
  <c r="Q24" i="20"/>
  <c r="S24" i="20" s="1"/>
  <c r="S23" i="20"/>
  <c r="K23" i="20"/>
  <c r="K128" i="20" s="1"/>
  <c r="S22" i="20"/>
  <c r="K22" i="20"/>
  <c r="K127" i="20" s="1"/>
  <c r="S21" i="20"/>
  <c r="K21" i="20"/>
  <c r="K126" i="20" s="1"/>
  <c r="S20" i="20"/>
  <c r="K20" i="20"/>
  <c r="S19" i="20"/>
  <c r="P18" i="20"/>
  <c r="S18" i="20" s="1"/>
  <c r="S17" i="20"/>
  <c r="J17" i="20"/>
  <c r="K124" i="20" s="1"/>
  <c r="S16" i="20"/>
  <c r="J16" i="20"/>
  <c r="S15" i="20"/>
  <c r="J15" i="20"/>
  <c r="F9" i="20"/>
  <c r="C35" i="20" s="1"/>
  <c r="K129" i="19"/>
  <c r="K114" i="19"/>
  <c r="J114" i="19"/>
  <c r="L114" i="19" s="1"/>
  <c r="K105" i="19"/>
  <c r="J105" i="19"/>
  <c r="K91" i="19"/>
  <c r="J91" i="19"/>
  <c r="K77" i="19"/>
  <c r="J77" i="19"/>
  <c r="K70" i="19"/>
  <c r="J70" i="19"/>
  <c r="K65" i="19"/>
  <c r="J65" i="19"/>
  <c r="B63" i="19"/>
  <c r="K59" i="19"/>
  <c r="J59" i="19"/>
  <c r="K49" i="19"/>
  <c r="J49" i="19"/>
  <c r="L49" i="19" s="1"/>
  <c r="K43" i="19"/>
  <c r="J43" i="19"/>
  <c r="K36" i="19"/>
  <c r="J36" i="19"/>
  <c r="L36" i="19" s="1"/>
  <c r="S25" i="19"/>
  <c r="Q24" i="19"/>
  <c r="S24" i="19" s="1"/>
  <c r="S23" i="19"/>
  <c r="K23" i="19"/>
  <c r="K128" i="19" s="1"/>
  <c r="S22" i="19"/>
  <c r="K22" i="19"/>
  <c r="K127" i="19" s="1"/>
  <c r="S21" i="19"/>
  <c r="K21" i="19"/>
  <c r="K126" i="19" s="1"/>
  <c r="S20" i="19"/>
  <c r="K20" i="19"/>
  <c r="S19" i="19"/>
  <c r="P18" i="19"/>
  <c r="S18" i="19" s="1"/>
  <c r="S17" i="19"/>
  <c r="J17" i="19"/>
  <c r="K124" i="19" s="1"/>
  <c r="S16" i="19"/>
  <c r="J16" i="19"/>
  <c r="S15" i="19"/>
  <c r="J15" i="19"/>
  <c r="K122" i="19" s="1"/>
  <c r="F9" i="19"/>
  <c r="C35" i="19" s="1"/>
  <c r="K129" i="18"/>
  <c r="K114" i="18"/>
  <c r="J114" i="18"/>
  <c r="L114" i="18" s="1"/>
  <c r="K105" i="18"/>
  <c r="J105" i="18"/>
  <c r="L105" i="18" s="1"/>
  <c r="K91" i="18"/>
  <c r="J91" i="18"/>
  <c r="L91" i="18" s="1"/>
  <c r="K77" i="18"/>
  <c r="J77" i="18"/>
  <c r="K70" i="18"/>
  <c r="J70" i="18"/>
  <c r="K65" i="18"/>
  <c r="J65" i="18"/>
  <c r="B63" i="18"/>
  <c r="K59" i="18"/>
  <c r="J59" i="18"/>
  <c r="K49" i="18"/>
  <c r="J49" i="18"/>
  <c r="L49" i="18" s="1"/>
  <c r="K43" i="18"/>
  <c r="J43" i="18"/>
  <c r="L43" i="18" s="1"/>
  <c r="L36" i="18"/>
  <c r="K36" i="18"/>
  <c r="J36" i="18"/>
  <c r="S25" i="18"/>
  <c r="Q24" i="18"/>
  <c r="S24" i="18" s="1"/>
  <c r="S23" i="18"/>
  <c r="K23" i="18"/>
  <c r="K128" i="18" s="1"/>
  <c r="S22" i="18"/>
  <c r="K22" i="18"/>
  <c r="K127" i="18" s="1"/>
  <c r="S21" i="18"/>
  <c r="K21" i="18"/>
  <c r="K126" i="18" s="1"/>
  <c r="S20" i="18"/>
  <c r="K20" i="18"/>
  <c r="S19" i="18"/>
  <c r="P18" i="18"/>
  <c r="S18" i="18" s="1"/>
  <c r="S17" i="18"/>
  <c r="J17" i="18"/>
  <c r="K124" i="18" s="1"/>
  <c r="S16" i="18"/>
  <c r="J16" i="18"/>
  <c r="K123" i="18" s="1"/>
  <c r="S15" i="18"/>
  <c r="J15" i="18"/>
  <c r="K122" i="18" s="1"/>
  <c r="F9" i="18"/>
  <c r="B100" i="18" s="1"/>
  <c r="K129" i="17"/>
  <c r="K122" i="17"/>
  <c r="K114" i="17"/>
  <c r="J114" i="17"/>
  <c r="L114" i="17" s="1"/>
  <c r="K105" i="17"/>
  <c r="J105" i="17"/>
  <c r="L105" i="17" s="1"/>
  <c r="K91" i="17"/>
  <c r="J91" i="17"/>
  <c r="L91" i="17" s="1"/>
  <c r="K77" i="17"/>
  <c r="J77" i="17"/>
  <c r="K70" i="17"/>
  <c r="J70" i="17"/>
  <c r="K65" i="17"/>
  <c r="J65" i="17"/>
  <c r="B63" i="17"/>
  <c r="K59" i="17"/>
  <c r="J59" i="17"/>
  <c r="L59" i="17" s="1"/>
  <c r="K49" i="17"/>
  <c r="J49" i="17"/>
  <c r="L49" i="17" s="1"/>
  <c r="K43" i="17"/>
  <c r="J43" i="17"/>
  <c r="L43" i="17" s="1"/>
  <c r="L36" i="17"/>
  <c r="K36" i="17"/>
  <c r="J36" i="17"/>
  <c r="S25" i="17"/>
  <c r="Q24" i="17"/>
  <c r="S24" i="17" s="1"/>
  <c r="S23" i="17"/>
  <c r="K23" i="17"/>
  <c r="K128" i="17" s="1"/>
  <c r="S22" i="17"/>
  <c r="K22" i="17"/>
  <c r="K127" i="17" s="1"/>
  <c r="S21" i="17"/>
  <c r="K21" i="17"/>
  <c r="K126" i="17" s="1"/>
  <c r="S20" i="17"/>
  <c r="K20" i="17"/>
  <c r="S19" i="17"/>
  <c r="P18" i="17"/>
  <c r="S18" i="17" s="1"/>
  <c r="S17" i="17"/>
  <c r="J17" i="17"/>
  <c r="K124" i="17" s="1"/>
  <c r="S16" i="17"/>
  <c r="J16" i="17"/>
  <c r="S15" i="17"/>
  <c r="J15" i="17"/>
  <c r="F9" i="17"/>
  <c r="C35" i="17" s="1"/>
  <c r="K129" i="16"/>
  <c r="K114" i="16"/>
  <c r="J114" i="16"/>
  <c r="L114" i="16" s="1"/>
  <c r="K105" i="16"/>
  <c r="J105" i="16"/>
  <c r="L105" i="16" s="1"/>
  <c r="C104" i="16"/>
  <c r="B100" i="16"/>
  <c r="K91" i="16"/>
  <c r="J91" i="16"/>
  <c r="L91" i="16" s="1"/>
  <c r="K77" i="16"/>
  <c r="J77" i="16"/>
  <c r="K70" i="16"/>
  <c r="J70" i="16"/>
  <c r="K65" i="16"/>
  <c r="J65" i="16"/>
  <c r="B63" i="16"/>
  <c r="K59" i="16"/>
  <c r="J59" i="16"/>
  <c r="L59" i="16" s="1"/>
  <c r="K49" i="16"/>
  <c r="J49" i="16"/>
  <c r="L49" i="16" s="1"/>
  <c r="K43" i="16"/>
  <c r="J43" i="16"/>
  <c r="L43" i="16" s="1"/>
  <c r="L36" i="16"/>
  <c r="K36" i="16"/>
  <c r="J36" i="16"/>
  <c r="S25" i="16"/>
  <c r="Q24" i="16"/>
  <c r="S24" i="16" s="1"/>
  <c r="S23" i="16"/>
  <c r="K23" i="16"/>
  <c r="K128" i="16" s="1"/>
  <c r="S22" i="16"/>
  <c r="K22" i="16"/>
  <c r="K127" i="16" s="1"/>
  <c r="S21" i="16"/>
  <c r="K21" i="16"/>
  <c r="K126" i="16" s="1"/>
  <c r="S20" i="16"/>
  <c r="K20" i="16"/>
  <c r="S19" i="16"/>
  <c r="P18" i="16"/>
  <c r="S18" i="16" s="1"/>
  <c r="J18" i="16"/>
  <c r="S17" i="16"/>
  <c r="J17" i="16"/>
  <c r="K124" i="16" s="1"/>
  <c r="S16" i="16"/>
  <c r="J16" i="16"/>
  <c r="K123" i="16" s="1"/>
  <c r="S15" i="16"/>
  <c r="J15" i="16"/>
  <c r="F9" i="16"/>
  <c r="C35" i="16" s="1"/>
  <c r="K24" i="16" l="1"/>
  <c r="L70" i="18"/>
  <c r="L65" i="18"/>
  <c r="L77" i="17"/>
  <c r="L77" i="16"/>
  <c r="L77" i="21"/>
  <c r="L77" i="20"/>
  <c r="L38" i="24"/>
  <c r="L33" i="24"/>
  <c r="K18" i="24"/>
  <c r="J15" i="24"/>
  <c r="L114" i="22"/>
  <c r="L91" i="19"/>
  <c r="L105" i="22"/>
  <c r="L91" i="20"/>
  <c r="L105" i="19"/>
  <c r="K24" i="22"/>
  <c r="J18" i="21"/>
  <c r="J18" i="20"/>
  <c r="K24" i="18"/>
  <c r="K24" i="17"/>
  <c r="L77" i="23"/>
  <c r="L77" i="22"/>
  <c r="L77" i="19"/>
  <c r="L77" i="18"/>
  <c r="L70" i="23"/>
  <c r="L65" i="23"/>
  <c r="L70" i="22"/>
  <c r="L65" i="22"/>
  <c r="L70" i="21"/>
  <c r="L65" i="21"/>
  <c r="L70" i="20"/>
  <c r="L65" i="20"/>
  <c r="L70" i="19"/>
  <c r="L43" i="19"/>
  <c r="L65" i="19"/>
  <c r="L70" i="17"/>
  <c r="L65" i="17"/>
  <c r="L70" i="16"/>
  <c r="L65" i="16"/>
  <c r="L59" i="22"/>
  <c r="L59" i="19"/>
  <c r="L59" i="18"/>
  <c r="L59" i="20"/>
  <c r="L43" i="20"/>
  <c r="L49" i="22"/>
  <c r="L36" i="22"/>
  <c r="J18" i="23"/>
  <c r="J19" i="23" s="1"/>
  <c r="J26" i="23" s="1"/>
  <c r="J18" i="22"/>
  <c r="K24" i="21"/>
  <c r="K24" i="20"/>
  <c r="J18" i="19"/>
  <c r="K24" i="19"/>
  <c r="J18" i="18"/>
  <c r="J18" i="17"/>
  <c r="K25" i="17" s="1"/>
  <c r="K26" i="17" s="1"/>
  <c r="J19" i="16"/>
  <c r="J26" i="16" s="1"/>
  <c r="J16" i="24"/>
  <c r="J20" i="24" s="1"/>
  <c r="K19" i="24"/>
  <c r="K20" i="24" s="1"/>
  <c r="B100" i="23"/>
  <c r="C104" i="23"/>
  <c r="K122" i="23"/>
  <c r="K125" i="23"/>
  <c r="C64" i="23"/>
  <c r="C64" i="22"/>
  <c r="K123" i="22"/>
  <c r="K125" i="22"/>
  <c r="C64" i="21"/>
  <c r="K122" i="21"/>
  <c r="K125" i="21"/>
  <c r="B100" i="21"/>
  <c r="C104" i="21"/>
  <c r="C64" i="20"/>
  <c r="B100" i="20"/>
  <c r="C104" i="20"/>
  <c r="K123" i="20"/>
  <c r="K125" i="20"/>
  <c r="C64" i="19"/>
  <c r="B100" i="19"/>
  <c r="C104" i="19"/>
  <c r="K123" i="19"/>
  <c r="K125" i="19"/>
  <c r="C104" i="18"/>
  <c r="C64" i="18"/>
  <c r="C35" i="18"/>
  <c r="K125" i="18"/>
  <c r="C64" i="17"/>
  <c r="B100" i="17"/>
  <c r="C104" i="17"/>
  <c r="K123" i="17"/>
  <c r="K125" i="17"/>
  <c r="C64" i="16"/>
  <c r="K25" i="16"/>
  <c r="K26" i="16" s="1"/>
  <c r="K122" i="16"/>
  <c r="K125" i="16"/>
  <c r="K25" i="22" l="1"/>
  <c r="K26" i="22" s="1"/>
  <c r="K25" i="21"/>
  <c r="J19" i="20"/>
  <c r="J26" i="20" s="1"/>
  <c r="J19" i="19"/>
  <c r="J26" i="19" s="1"/>
  <c r="K25" i="18"/>
  <c r="K26" i="18" s="1"/>
  <c r="L20" i="24"/>
  <c r="J19" i="22"/>
  <c r="J26" i="22" s="1"/>
  <c r="L26" i="22" s="1"/>
  <c r="J19" i="18"/>
  <c r="J26" i="18" s="1"/>
  <c r="L26" i="16"/>
  <c r="K25" i="19"/>
  <c r="K26" i="19" s="1"/>
  <c r="L26" i="19" s="1"/>
  <c r="K25" i="23"/>
  <c r="K26" i="23" s="1"/>
  <c r="L26" i="23" s="1"/>
  <c r="J19" i="21"/>
  <c r="J26" i="21" s="1"/>
  <c r="K26" i="21"/>
  <c r="K25" i="20"/>
  <c r="K26" i="20" s="1"/>
  <c r="L26" i="20" s="1"/>
  <c r="J19" i="17"/>
  <c r="J26" i="17" s="1"/>
  <c r="L26" i="17" s="1"/>
  <c r="L26" i="18" l="1"/>
  <c r="L26" i="21"/>
  <c r="Q24" i="2"/>
  <c r="P18" i="2"/>
  <c r="H16" i="12"/>
  <c r="B57" i="12"/>
  <c r="B49" i="12"/>
  <c r="J33" i="12"/>
  <c r="H33" i="12"/>
  <c r="F33" i="12"/>
  <c r="D33" i="12"/>
  <c r="J24" i="12"/>
  <c r="H24" i="12"/>
  <c r="F24" i="12"/>
  <c r="D24" i="12"/>
  <c r="B24" i="12"/>
  <c r="J16" i="12"/>
  <c r="D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P42" i="12"/>
  <c r="D44" i="12" s="1"/>
  <c r="P15" i="5"/>
  <c r="S19" i="5"/>
  <c r="S17" i="5"/>
  <c r="S16" i="5"/>
  <c r="S14" i="5"/>
  <c r="J18" i="2"/>
  <c r="S25" i="2"/>
  <c r="S24" i="2"/>
  <c r="S23" i="2"/>
  <c r="K23" i="2"/>
  <c r="S22" i="2"/>
  <c r="K22" i="2"/>
  <c r="K127" i="2" s="1"/>
  <c r="S21" i="2"/>
  <c r="K21" i="2"/>
  <c r="K126" i="2" s="1"/>
  <c r="S19" i="2"/>
  <c r="S17" i="2"/>
  <c r="J17" i="2"/>
  <c r="S16" i="2"/>
  <c r="J16" i="2"/>
  <c r="K123" i="2" s="1"/>
  <c r="S15" i="2"/>
  <c r="J15" i="2"/>
  <c r="K122" i="2" s="1"/>
  <c r="S22" i="8"/>
  <c r="S25" i="8"/>
  <c r="S19" i="8"/>
  <c r="Q24" i="8"/>
  <c r="K24" i="8" s="1"/>
  <c r="P18" i="8"/>
  <c r="J18" i="8" s="1"/>
  <c r="K128" i="2" l="1"/>
  <c r="B16" i="7"/>
  <c r="K124" i="2"/>
  <c r="K24" i="2"/>
  <c r="J19" i="2" s="1"/>
  <c r="K17" i="5"/>
  <c r="K69" i="5" s="1"/>
  <c r="J14" i="5"/>
  <c r="S18" i="8"/>
  <c r="S24" i="8"/>
  <c r="S18" i="2"/>
  <c r="K23" i="8"/>
  <c r="K82" i="8" s="1"/>
  <c r="K22" i="8"/>
  <c r="K81" i="8" s="1"/>
  <c r="K21" i="8"/>
  <c r="K80" i="8" s="1"/>
  <c r="J17" i="8"/>
  <c r="K79" i="8" s="1"/>
  <c r="K78" i="8"/>
  <c r="K77" i="8"/>
  <c r="S21" i="8"/>
  <c r="S17" i="8"/>
  <c r="S16" i="8"/>
  <c r="S15" i="8"/>
  <c r="S23" i="8"/>
  <c r="B16" i="12" l="1"/>
  <c r="L16" i="12" s="1"/>
  <c r="P16" i="12" s="1"/>
  <c r="D18" i="12" s="1"/>
  <c r="K25" i="2"/>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tc={02B02D95-1560-4E6A-A3E7-795B037B63C9}</author>
    <author>tc={582C7CD0-46BC-471F-A59A-A7013BB4474C}</author>
  </authors>
  <commentList>
    <comment ref="M14" authorId="0" shapeId="0" xr:uid="{02B02D95-1560-4E6A-A3E7-795B037B63C9}">
      <text>
        <t>[Threaded comment]
Your version of Excel allows you to read this threaded comment; however, any edits to it will get removed if the file is opened in a newer version of Excel. Learn more: https://go.microsoft.com/fwlink/?linkid=870924
Comment:
    PY workbook, acct 1599600, JE#1-JE#2</t>
      </text>
    </comment>
    <comment ref="N17" authorId="1" shapeId="0" xr:uid="{582C7CD0-46BC-471F-A59A-A7013BB4474C}">
      <text>
        <t>[Threaded comment]
Your version of Excel allows you to read this threaded comment; however, any edits to it will get removed if the file is opened in a newer version of Excel. Learn more: https://go.microsoft.com/fwlink/?linkid=870924
Comment:
    PY workbook,  acct 2999700, JE#1-JE#3</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tc={FF21E375-4D65-4D4F-986B-3FF2E4646CA6}</author>
    <author>tc={E59324F2-3B25-4CBE-A71C-396C68AE4FB5}</author>
  </authors>
  <commentList>
    <comment ref="M14" authorId="0" shapeId="0" xr:uid="{FF21E375-4D65-4D4F-986B-3FF2E4646CA6}">
      <text>
        <t>[Threaded comment]
Your version of Excel allows you to read this threaded comment; however, any edits to it will get removed if the file is opened in a newer version of Excel. Learn more: https://go.microsoft.com/fwlink/?linkid=870924
Comment:
    PY workbook, acct 1599600, JE#1-JE#2</t>
      </text>
    </comment>
    <comment ref="N17" authorId="1" shapeId="0" xr:uid="{E59324F2-3B25-4CBE-A71C-396C68AE4FB5}">
      <text>
        <t>[Threaded comment]
Your version of Excel allows you to read this threaded comment; however, any edits to it will get removed if the file is opened in a newer version of Excel. Learn more: https://go.microsoft.com/fwlink/?linkid=870924
Comment:
    PY workbook,  acct 2999700, JE#1-JE#3</t>
      </text>
    </comment>
  </commentList>
</comments>
</file>

<file path=xl/sharedStrings.xml><?xml version="1.0" encoding="utf-8"?>
<sst xmlns="http://schemas.openxmlformats.org/spreadsheetml/2006/main" count="9271" uniqueCount="1885">
  <si>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</si>
  <si>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</si>
  <si>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</si>
  <si>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</si>
  <si>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</si>
  <si>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</si>
  <si>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</si>
  <si>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</si>
  <si>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</si>
  <si>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</si>
  <si>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</si>
  <si>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</si>
  <si>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</si>
  <si>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</si>
  <si>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</si>
  <si>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</si>
  <si>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</si>
  <si>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</si>
  <si>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</si>
  <si>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</si>
  <si>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</si>
  <si>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</si>
  <si>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</si>
  <si>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</si>
  <si>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</si>
  <si>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</si>
  <si>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</si>
  <si>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</si>
  <si>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</si>
  <si>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</si>
  <si>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</si>
  <si>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</si>
  <si>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</si>
  <si>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</si>
  <si>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</si>
  <si>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</si>
  <si>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</si>
  <si>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</si>
  <si>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</si>
  <si>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</si>
  <si>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</si>
  <si>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</si>
  <si>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</si>
  <si>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</si>
  <si>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</si>
  <si>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</si>
  <si>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</si>
  <si>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</si>
  <si>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</si>
  <si>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</si>
  <si>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</si>
  <si>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</si>
  <si>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</si>
  <si>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</si>
  <si>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</si>
  <si>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</si>
  <si>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</si>
  <si>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</si>
  <si>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</si>
  <si>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</si>
  <si>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</si>
  <si>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</si>
  <si>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</si>
  <si>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</si>
  <si>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</si>
  <si>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</si>
  <si>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</si>
  <si>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</si>
  <si>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</si>
  <si>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</si>
  <si>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</si>
  <si>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</si>
  <si>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</si>
  <si>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</si>
  <si>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</si>
  <si>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</si>
  <si>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</si>
  <si>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</si>
  <si>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</si>
  <si>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</si>
  <si>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</si>
  <si>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</si>
  <si>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</si>
  <si>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</si>
  <si>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</si>
  <si>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</si>
  <si>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</si>
  <si>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</si>
  <si>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</si>
  <si>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</si>
  <si>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</si>
  <si>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</si>
  <si>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</si>
  <si>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</si>
  <si>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</si>
  <si>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</si>
  <si>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</si>
  <si>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</si>
  <si>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</si>
  <si>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</si>
  <si>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</si>
  <si>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</si>
  <si>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</si>
  <si>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</si>
  <si>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</si>
  <si>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</si>
  <si>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</si>
  <si>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</si>
  <si>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</si>
  <si>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</si>
  <si>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</si>
  <si>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</si>
  <si>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</si>
  <si>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</si>
  <si>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</si>
  <si>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</si>
  <si>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</si>
  <si>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</si>
  <si>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</si>
  <si>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</si>
  <si>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</si>
  <si>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</si>
  <si>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</si>
  <si>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</si>
  <si>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</si>
  <si>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</si>
  <si>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</si>
  <si>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</si>
  <si>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</si>
  <si>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</si>
  <si>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</si>
  <si>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</si>
  <si>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</si>
  <si>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</si>
  <si>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</si>
  <si>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</si>
  <si>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</si>
  <si>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</si>
  <si>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</si>
  <si>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</si>
  <si>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</si>
  <si>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</si>
  <si>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</si>
  <si>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</si>
  <si>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</si>
  <si>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</si>
  <si>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</si>
  <si>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</si>
  <si>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</si>
  <si>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</si>
  <si>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</si>
  <si>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</si>
  <si>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</si>
  <si>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</si>
  <si>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</si>
  <si>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</si>
  <si>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</si>
  <si>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</si>
  <si>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</si>
  <si>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</si>
  <si>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</si>
  <si>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</si>
  <si>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</si>
  <si>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</si>
  <si>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</si>
  <si>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</si>
  <si>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</si>
  <si>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</si>
  <si>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</si>
  <si>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</si>
  <si>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</si>
  <si>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</si>
  <si>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</si>
  <si>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</si>
  <si>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</si>
  <si>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</si>
  <si>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</si>
  <si>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</si>
  <si>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</si>
  <si>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</si>
  <si>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</si>
  <si>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</si>
  <si>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</si>
  <si>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</si>
  <si>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</si>
  <si>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</si>
  <si>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</si>
  <si>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</si>
  <si>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</si>
  <si>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</si>
  <si>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</si>
  <si>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</si>
  <si>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</si>
  <si>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</si>
  <si>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</si>
  <si>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</si>
  <si>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</si>
  <si>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</si>
  <si>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</si>
  <si>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</si>
  <si>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</si>
  <si>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</si>
  <si>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</si>
  <si>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</si>
  <si>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</si>
  <si>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</si>
  <si>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</si>
  <si>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</si>
  <si>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</si>
  <si>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</si>
  <si>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</si>
  <si>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</si>
  <si>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</si>
  <si>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</si>
  <si>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</si>
  <si>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</si>
  <si>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</si>
  <si>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</si>
  <si>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</si>
  <si>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</si>
  <si>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</si>
  <si>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</si>
  <si>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</si>
  <si>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</si>
  <si>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</si>
  <si>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</si>
  <si>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</si>
  <si>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</si>
  <si>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</si>
  <si>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</si>
  <si>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</si>
  <si>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</si>
  <si>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</si>
  <si>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</si>
  <si>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</si>
  <si>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</si>
  <si>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</si>
  <si>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</si>
  <si>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</si>
  <si>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</si>
  <si>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</si>
  <si>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</si>
  <si>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</si>
  <si>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</si>
  <si>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</si>
  <si>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</si>
  <si>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</si>
  <si>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</si>
  <si>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</si>
  <si>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</si>
  <si>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</si>
  <si>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</si>
  <si>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</si>
  <si>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</si>
  <si>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</si>
  <si>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</si>
  <si>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</si>
  <si>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</si>
  <si>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</si>
  <si>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</si>
  <si>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</si>
  <si>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</si>
  <si>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</si>
  <si>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</si>
  <si>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</si>
  <si>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</si>
  <si>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</si>
  <si>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</si>
  <si>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</si>
  <si>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</si>
  <si>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</si>
  <si>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</si>
  <si>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</si>
  <si>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</si>
  <si>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</si>
  <si>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</si>
  <si>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</si>
  <si>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</si>
  <si>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</si>
  <si>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</si>
  <si>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</si>
  <si>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</si>
  <si>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</si>
  <si>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</si>
  <si>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</si>
  <si>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</si>
  <si>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</si>
  <si>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</si>
  <si>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</si>
  <si>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</si>
  <si>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</si>
  <si>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</si>
  <si>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</si>
  <si>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</si>
  <si>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</si>
  <si>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</si>
  <si>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</si>
  <si>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</si>
  <si>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</si>
  <si>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</si>
  <si>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</si>
  <si>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</si>
  <si>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</si>
  <si>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</si>
  <si>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</si>
  <si>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</si>
  <si>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</si>
  <si>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</si>
  <si>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</si>
  <si>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</si>
  <si>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</si>
  <si>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</si>
  <si>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</si>
  <si>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</si>
  <si>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</si>
  <si>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</si>
  <si>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</si>
  <si>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</si>
  <si>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</si>
  <si>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</si>
  <si>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</si>
  <si>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</si>
  <si>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</si>
  <si>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</si>
  <si>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</si>
  <si>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</si>
  <si>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</si>
  <si>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</si>
  <si>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</si>
  <si>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</si>
  <si>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</si>
  <si>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</si>
  <si>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</si>
  <si>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</si>
  <si>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</si>
  <si>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</si>
  <si>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</si>
  <si>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</si>
  <si>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</si>
  <si>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</si>
  <si>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</si>
  <si>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</si>
  <si>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</si>
  <si>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</si>
  <si>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</si>
  <si>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</si>
  <si>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</si>
  <si>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</si>
  <si>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</si>
  <si>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</si>
  <si>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</si>
  <si>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</si>
  <si>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</si>
  <si>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</si>
  <si>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</si>
  <si>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</si>
  <si>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</si>
  <si>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</si>
  <si>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</si>
  <si>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</si>
  <si>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</si>
  <si>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</si>
  <si>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</si>
  <si>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</si>
  <si>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</si>
  <si>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</si>
  <si>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</si>
  <si>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</si>
  <si>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</si>
  <si>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</si>
  <si>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</si>
  <si>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</si>
  <si>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</si>
  <si>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</si>
  <si>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</si>
  <si>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</si>
  <si>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</si>
  <si>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</si>
  <si>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</si>
  <si>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</si>
  <si>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</si>
  <si>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</si>
  <si>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</si>
  <si>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</si>
  <si>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</si>
  <si>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</si>
  <si>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</si>
  <si>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</si>
  <si>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</si>
  <si>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</si>
  <si>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</si>
  <si>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</si>
  <si>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</si>
  <si>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</si>
  <si>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</si>
  <si>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</si>
  <si>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</si>
  <si>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</si>
  <si>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</si>
  <si>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</si>
  <si>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</si>
  <si>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</si>
  <si>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</si>
  <si>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</si>
  <si>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</si>
  <si>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</si>
  <si>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</si>
  <si>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</si>
  <si>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</si>
  <si>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</si>
  <si>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</si>
  <si>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</si>
  <si>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</si>
  <si>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</si>
  <si>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</si>
  <si>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</si>
  <si>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</si>
  <si>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</si>
  <si>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</si>
  <si>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</si>
  <si>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</si>
  <si>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</si>
  <si>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</si>
  <si>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</si>
  <si>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</si>
  <si>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</si>
  <si>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</si>
  <si>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</si>
  <si>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</si>
  <si>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</si>
  <si>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</si>
  <si>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</si>
  <si>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</si>
  <si>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</si>
  <si>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</si>
  <si>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</si>
  <si>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</si>
  <si>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</si>
  <si>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</si>
  <si>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</si>
  <si>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</si>
  <si>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</si>
  <si>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</si>
  <si>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</si>
  <si>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</si>
  <si>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</si>
  <si>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</si>
  <si>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</si>
  <si>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</si>
  <si>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</si>
  <si>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</si>
  <si>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</si>
  <si>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</si>
  <si>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</si>
  <si>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</si>
  <si>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</si>
  <si>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</si>
  <si>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</si>
  <si>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</si>
  <si>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</si>
  <si>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</si>
  <si>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</si>
  <si>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</si>
  <si>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</si>
  <si>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</si>
  <si>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</si>
  <si>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</si>
  <si>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</si>
  <si>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</si>
  <si>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</si>
  <si>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</si>
  <si>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</si>
  <si>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</si>
  <si>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</si>
  <si>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</si>
  <si>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</si>
  <si>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</si>
  <si>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</si>
  <si>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</si>
  <si>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</si>
  <si>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</si>
  <si>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</si>
  <si>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</si>
  <si>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</si>
  <si>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</si>
  <si>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</si>
  <si>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</si>
  <si>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</si>
  <si>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</si>
  <si>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</si>
  <si>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</si>
  <si>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</si>
  <si>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</si>
  <si>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</si>
  <si>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</si>
  <si>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</si>
  <si>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</si>
  <si>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</si>
  <si>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</si>
  <si>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</si>
  <si>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</si>
  <si>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</si>
  <si>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</si>
  <si>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</si>
  <si>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</si>
  <si>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</si>
  <si>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</si>
  <si>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</si>
  <si>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</si>
  <si>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</si>
  <si>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</si>
  <si>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</si>
  <si>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</si>
  <si>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</si>
  <si>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</si>
  <si>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</si>
  <si>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</si>
  <si>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</si>
  <si>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</si>
  <si>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</si>
  <si>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</si>
  <si>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</si>
  <si>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</si>
  <si>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</si>
  <si>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</si>
  <si>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</si>
  <si>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</si>
  <si>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</si>
  <si>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</si>
  <si>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</si>
  <si>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</si>
  <si>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</si>
  <si>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</si>
  <si>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</si>
  <si>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</si>
  <si>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</si>
  <si>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</si>
  <si>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</si>
  <si>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</si>
  <si>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</si>
  <si>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</si>
  <si>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</si>
  <si>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</si>
  <si>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</si>
  <si>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</si>
  <si>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</si>
  <si>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</si>
  <si>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</si>
  <si>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</si>
  <si>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</si>
  <si>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</si>
  <si>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</si>
  <si>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</si>
  <si>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</si>
  <si>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</si>
  <si>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</si>
  <si>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</si>
  <si>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</si>
  <si>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</si>
  <si>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</si>
  <si>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</si>
  <si>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</si>
  <si>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</si>
  <si>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</si>
  <si>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</si>
  <si>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</si>
  <si>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</si>
  <si>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</si>
  <si>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</si>
  <si>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</si>
  <si>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</si>
  <si>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</si>
  <si>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</si>
  <si>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</si>
  <si>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</si>
  <si>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</si>
  <si>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</si>
  <si>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</si>
  <si>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</si>
  <si>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</si>
  <si>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</si>
  <si>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</si>
  <si>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</si>
  <si>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</si>
  <si>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</si>
  <si>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</si>
  <si>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</si>
  <si>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</si>
  <si>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</si>
  <si>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</si>
  <si>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</si>
  <si>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</si>
  <si>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</si>
  <si>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</si>
  <si>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</si>
  <si>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</si>
  <si>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</si>
  <si>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</si>
  <si>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</si>
  <si>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</si>
  <si>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</si>
  <si>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</si>
  <si>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</si>
  <si>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</si>
  <si>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</si>
  <si>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</si>
  <si>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</si>
  <si>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</si>
  <si>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</si>
  <si>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</si>
  <si>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</si>
  <si>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</si>
  <si>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</si>
  <si>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</si>
  <si>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</si>
  <si>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</si>
  <si>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</si>
  <si>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</si>
  <si>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</si>
  <si>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</si>
  <si>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</si>
  <si>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</si>
  <si>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</si>
  <si>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</si>
  <si>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</si>
  <si>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</si>
  <si>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</si>
  <si>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</si>
  <si>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</si>
  <si>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</si>
  <si>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</si>
  <si>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</si>
  <si>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</si>
  <si>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</si>
  <si>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</si>
  <si>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</si>
  <si>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</si>
  <si>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</si>
  <si>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</si>
  <si>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</si>
  <si>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</si>
  <si>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</si>
  <si>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</si>
  <si>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</si>
  <si>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</si>
  <si>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</si>
  <si>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</si>
  <si>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</si>
  <si>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</si>
  <si>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</si>
  <si>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</si>
  <si>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</si>
  <si>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</si>
  <si>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</si>
  <si>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</si>
  <si>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</si>
  <si>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</si>
  <si>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</si>
  <si>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</si>
  <si>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</si>
  <si>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</si>
  <si>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</si>
  <si>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</si>
  <si>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</si>
  <si>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</si>
  <si>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</si>
  <si>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</si>
  <si>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</si>
  <si>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</si>
  <si>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</si>
  <si>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</si>
  <si>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</si>
  <si>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</si>
  <si>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</si>
  <si>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</si>
  <si>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</si>
  <si>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</si>
  <si>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</si>
  <si>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</si>
  <si>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</si>
  <si>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</si>
  <si>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</si>
  <si>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</si>
  <si>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</si>
  <si>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</si>
  <si>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</si>
  <si>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</si>
  <si>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</si>
  <si>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</si>
  <si>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</si>
  <si>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</si>
  <si>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</si>
  <si>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</si>
  <si>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</si>
  <si>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</si>
  <si>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</si>
  <si>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</si>
  <si>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</si>
  <si>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</si>
  <si>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</si>
  <si>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</si>
  <si>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</si>
  <si>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</si>
  <si>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</si>
  <si>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</si>
  <si>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</si>
  <si>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</si>
  <si>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</si>
  <si>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</si>
  <si>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</si>
  <si>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</si>
  <si>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</si>
  <si>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</si>
  <si>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</si>
  <si>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</si>
  <si>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</si>
  <si>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</si>
  <si>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</si>
  <si>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</si>
  <si>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</si>
  <si>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</si>
  <si>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</si>
  <si>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</si>
  <si>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</si>
  <si>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</si>
  <si>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</si>
  <si>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</si>
  <si>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</si>
  <si>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</si>
  <si>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</si>
  <si>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</si>
  <si>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</si>
  <si>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</si>
  <si>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</si>
  <si>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</si>
  <si>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</si>
  <si>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</si>
  <si>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</si>
  <si>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</si>
  <si>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</si>
  <si>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</si>
  <si>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</si>
  <si>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</si>
  <si>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</si>
  <si>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</si>
  <si>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</si>
  <si>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</si>
  <si>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</si>
  <si>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</si>
  <si>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</si>
  <si>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</si>
  <si>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</si>
  <si>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</si>
  <si>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</si>
  <si>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</si>
  <si>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</si>
  <si>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</si>
  <si>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</si>
  <si>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</si>
  <si>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</si>
  <si>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</si>
  <si>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</si>
  <si>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</si>
  <si>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</si>
  <si>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</si>
  <si>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</si>
  <si>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</si>
  <si>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</si>
  <si>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</si>
  <si>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</si>
  <si>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</si>
  <si>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</si>
  <si>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</si>
  <si>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</si>
  <si>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</si>
  <si>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</si>
  <si>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</si>
  <si>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</si>
  <si>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</si>
  <si>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</si>
  <si>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</si>
  <si>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</si>
  <si>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</si>
  <si>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</si>
  <si>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</si>
  <si>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</si>
  <si>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</si>
  <si>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</si>
  <si>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</si>
  <si>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</si>
  <si>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</si>
  <si>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</si>
  <si>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</si>
  <si>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</si>
  <si>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</si>
  <si>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</si>
  <si>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</si>
  <si>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</si>
  <si>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</si>
  <si>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</si>
  <si>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</si>
  <si>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</si>
  <si>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</si>
  <si>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</si>
  <si>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</si>
  <si>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</si>
  <si>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</si>
  <si>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</si>
  <si>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</si>
  <si>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</si>
  <si>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</si>
  <si>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</si>
  <si>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</si>
  <si>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</si>
  <si>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</si>
  <si>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</si>
  <si>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</si>
  <si>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</si>
  <si>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</si>
  <si>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</si>
  <si>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</si>
  <si>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</si>
  <si>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</si>
  <si>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</si>
  <si>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</si>
  <si>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</si>
  <si>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</si>
  <si>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</si>
  <si>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</si>
  <si>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</si>
  <si>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</si>
  <si>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</si>
  <si>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</si>
  <si>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</si>
  <si>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</si>
  <si>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</si>
  <si>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</si>
  <si>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</si>
  <si>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</si>
  <si>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</si>
  <si>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</si>
  <si>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</si>
  <si>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</si>
  <si>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</si>
  <si>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</si>
  <si>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</si>
  <si>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</si>
  <si>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</si>
  <si>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</si>
  <si>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</si>
  <si>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</si>
  <si>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</si>
  <si>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</si>
  <si>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</si>
  <si>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</si>
  <si>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</si>
  <si>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</si>
  <si>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</si>
  <si>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</si>
  <si>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</si>
  <si>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</si>
  <si>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</si>
  <si>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</si>
  <si>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</si>
  <si>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</si>
  <si>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</si>
  <si>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</si>
  <si>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</si>
  <si>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</si>
  <si>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</si>
  <si>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</si>
  <si>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</si>
  <si>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</si>
  <si>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</si>
  <si>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</si>
  <si>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</si>
  <si>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</si>
  <si>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</si>
  <si>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</si>
  <si>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</si>
  <si>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</si>
  <si>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</si>
  <si>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</si>
  <si>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</si>
  <si>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</si>
  <si>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</si>
  <si>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</si>
  <si>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</si>
  <si>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</si>
  <si>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</si>
  <si>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</si>
  <si>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</si>
  <si>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</si>
  <si>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</si>
  <si>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</si>
  <si>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</si>
  <si>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</si>
  <si>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</si>
  <si>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</si>
  <si>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</si>
  <si>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</si>
  <si>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</si>
  <si>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</si>
  <si>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</si>
  <si>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</si>
  <si>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</si>
  <si>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</si>
  <si>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</si>
  <si>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</si>
  <si>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</si>
  <si>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</si>
  <si>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</si>
  <si>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</si>
  <si>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</si>
  <si>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</si>
  <si>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</si>
  <si>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</si>
  <si>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</si>
  <si>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</si>
  <si>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</si>
  <si>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</si>
  <si>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</si>
  <si>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</si>
  <si>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</si>
  <si>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</si>
  <si>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</si>
  <si>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</si>
  <si>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</si>
  <si>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</si>
  <si>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</si>
  <si>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</si>
  <si>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</si>
  <si>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</si>
  <si>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</si>
  <si>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</si>
  <si>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</si>
  <si>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</si>
  <si>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</si>
  <si>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</si>
  <si>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</si>
  <si>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</si>
  <si>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</si>
  <si>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</si>
  <si>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</si>
  <si>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</si>
  <si>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</si>
  <si>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</si>
  <si>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</si>
  <si>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</si>
  <si>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</si>
  <si>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</si>
  <si>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</si>
  <si>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</si>
  <si>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</si>
  <si>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</si>
  <si>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</si>
  <si>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</si>
  <si>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</si>
  <si>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</si>
  <si>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</si>
  <si>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</si>
  <si>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</si>
  <si>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</si>
  <si>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</si>
  <si>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</si>
  <si>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</si>
  <si>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</si>
  <si>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</si>
  <si>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</si>
  <si>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</si>
  <si>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</si>
  <si>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</si>
  <si>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</si>
  <si>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</si>
  <si>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</si>
  <si>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</si>
  <si>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</si>
  <si>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</si>
  <si>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</si>
  <si>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</si>
  <si>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</si>
  <si>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</si>
  <si>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</si>
  <si>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</si>
  <si>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</si>
  <si>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</si>
  <si>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</si>
  <si>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</si>
  <si>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</si>
  <si>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</si>
  <si>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</si>
  <si>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</si>
  <si>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</si>
  <si>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</si>
  <si>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</si>
  <si>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</si>
  <si>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</si>
  <si>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</si>
  <si>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</si>
  <si>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</si>
  <si>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</si>
  <si>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</si>
  <si>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</si>
  <si>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</si>
  <si>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</si>
  <si>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</si>
  <si>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</si>
  <si>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</si>
  <si>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</si>
  <si>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</si>
  <si>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</si>
  <si>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</si>
  <si>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</si>
  <si>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</si>
  <si>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</si>
  <si>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</si>
  <si>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</si>
  <si>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</si>
  <si>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</si>
  <si>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</si>
  <si>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</si>
  <si>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</si>
  <si>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</si>
  <si>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</si>
  <si>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</si>
  <si>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</si>
  <si>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</si>
  <si>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</si>
  <si>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</si>
  <si>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</si>
  <si>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</si>
  <si>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</si>
  <si>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</si>
  <si>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</si>
  <si>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</si>
  <si>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</si>
  <si>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</si>
  <si>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</si>
  <si>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</si>
  <si>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</si>
  <si>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</si>
  <si>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</si>
  <si>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</si>
  <si>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</si>
  <si>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</si>
  <si>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</si>
  <si>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</si>
  <si>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</si>
  <si>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</si>
  <si>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</si>
  <si>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</si>
  <si>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</si>
  <si>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</si>
  <si>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</si>
  <si>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</si>
  <si>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</si>
  <si>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</si>
  <si>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</si>
  <si>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</si>
  <si>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</si>
  <si>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</si>
  <si>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</si>
  <si>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</si>
  <si>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</si>
  <si>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</si>
  <si>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</si>
  <si>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</si>
  <si>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</si>
  <si>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</si>
  <si>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</si>
  <si>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</si>
  <si>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</si>
  <si>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</si>
  <si>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</si>
  <si>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</si>
  <si>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</si>
  <si>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</si>
  <si>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</si>
  <si>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</si>
  <si>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</si>
  <si>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</si>
  <si>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</si>
  <si>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</si>
  <si>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</si>
  <si>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</si>
  <si>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</si>
  <si>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</si>
  <si>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</si>
  <si>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</si>
  <si>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</si>
  <si>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</si>
  <si>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</si>
  <si>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</si>
  <si>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</si>
  <si>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</si>
  <si>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</si>
  <si>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</si>
  <si>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</si>
  <si>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</si>
  <si>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</si>
  <si>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</si>
  <si>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</si>
  <si>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</si>
  <si>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</si>
  <si>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</si>
  <si>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</si>
  <si>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</si>
  <si>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</si>
  <si>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</si>
  <si>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</si>
  <si>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</si>
  <si>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</si>
  <si>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</si>
  <si>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</si>
  <si>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</si>
  <si>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</si>
  <si>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</si>
  <si>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</si>
  <si>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</si>
  <si>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</si>
  <si>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</si>
  <si>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</si>
  <si>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</si>
  <si>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</si>
  <si>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</si>
  <si>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</si>
  <si>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</si>
  <si>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</si>
  <si>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</si>
  <si>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</si>
  <si>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</si>
  <si>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</si>
  <si>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</si>
  <si>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</si>
  <si>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</si>
  <si>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</si>
  <si>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</si>
  <si>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</si>
  <si>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</si>
  <si>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</si>
  <si>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</si>
  <si>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</si>
  <si>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</si>
  <si>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</si>
  <si>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</si>
  <si>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</si>
  <si>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</si>
  <si>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</si>
  <si>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</si>
  <si>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</si>
  <si>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</si>
  <si>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</si>
  <si>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</si>
  <si>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</si>
  <si>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</si>
  <si>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</si>
  <si>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</si>
  <si>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</si>
  <si>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</si>
  <si>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</si>
  <si>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</si>
  <si>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</si>
  <si>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</si>
  <si>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</si>
  <si>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</si>
  <si>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</si>
  <si>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</si>
  <si>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</si>
  <si>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</si>
  <si>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</si>
  <si>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</si>
  <si>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</si>
  <si>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</si>
  <si>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</si>
  <si>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</si>
  <si>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</si>
  <si>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</si>
  <si>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</si>
  <si>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</si>
  <si>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</si>
  <si>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</si>
  <si>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</si>
  <si>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</si>
  <si>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</si>
  <si>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</si>
  <si>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</si>
  <si>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</si>
  <si>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</si>
  <si>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</si>
  <si>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</si>
  <si>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</si>
  <si>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</si>
  <si>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</si>
  <si>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</si>
  <si>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</si>
  <si>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</si>
  <si>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</si>
  <si>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</si>
  <si>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</si>
  <si>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</si>
  <si>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</si>
  <si>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</si>
  <si>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</si>
  <si>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</si>
  <si>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</si>
  <si>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</si>
  <si>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</si>
  <si>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</si>
  <si>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</si>
  <si>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</si>
  <si>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</si>
  <si>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</si>
  <si>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</si>
  <si>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</si>
  <si>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</si>
  <si>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</si>
  <si>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</si>
  <si>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</si>
  <si>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</si>
  <si>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</si>
  <si>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</si>
  <si>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</si>
  <si>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</si>
  <si>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</si>
  <si>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</si>
  <si>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</si>
  <si>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</si>
  <si>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</si>
  <si>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</si>
  <si>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</si>
  <si>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</si>
  <si>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</si>
  <si>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</si>
  <si>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</si>
  <si>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</si>
  <si>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</si>
  <si>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</si>
  <si>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</si>
  <si>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</si>
  <si>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</si>
  <si>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</si>
  <si>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</si>
  <si>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</si>
  <si>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</si>
  <si>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</si>
  <si>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</si>
  <si>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</si>
  <si>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</si>
  <si>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</si>
  <si>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</si>
  <si>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</si>
  <si>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</si>
  <si>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</si>
  <si>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</si>
  <si>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</si>
  <si>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</si>
  <si>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</si>
  <si>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</si>
  <si>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</si>
  <si>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</si>
  <si>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</si>
  <si>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</si>
  <si>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</si>
  <si>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</si>
  <si>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</si>
  <si>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</si>
  <si>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</si>
  <si>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</si>
  <si>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</si>
  <si>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</si>
  <si>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</si>
  <si>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</si>
  <si>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</si>
  <si>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</si>
  <si>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</si>
  <si>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</si>
  <si>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</si>
  <si>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</si>
  <si>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</si>
  <si>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</si>
  <si>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</si>
  <si>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</si>
  <si>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</si>
  <si>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</si>
  <si>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</si>
  <si>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</si>
  <si>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</si>
  <si>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</si>
  <si>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</si>
  <si>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</si>
  <si>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</si>
  <si>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</si>
  <si>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</si>
  <si>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</si>
  <si>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</si>
  <si>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</si>
  <si>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</si>
  <si>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</si>
  <si>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</si>
  <si>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</si>
  <si>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</si>
  <si>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</si>
  <si>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</si>
  <si>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</si>
  <si>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</si>
  <si>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</si>
  <si>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</si>
  <si>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</si>
  <si>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</si>
  <si>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</si>
  <si>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</si>
  <si>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</si>
  <si>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</si>
  <si>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</si>
  <si>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</si>
  <si>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</si>
  <si>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</si>
  <si>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</si>
  <si>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</si>
  <si>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</si>
  <si>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</si>
  <si>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</si>
  <si>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</si>
  <si>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</si>
  <si>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</si>
  <si>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</si>
  <si>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</si>
  <si>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</si>
  <si>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</si>
  <si>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</si>
  <si>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</si>
  <si>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</si>
  <si>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</si>
  <si>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</si>
  <si>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</si>
  <si>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</si>
  <si>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</si>
  <si>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</si>
  <si>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</si>
  <si>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</si>
  <si>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</si>
  <si>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</si>
  <si>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</si>
  <si>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</si>
  <si>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</si>
  <si>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</si>
  <si>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</si>
  <si>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</si>
  <si>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</si>
  <si>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</si>
  <si>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</si>
  <si>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</si>
  <si>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</si>
  <si>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</si>
  <si>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</si>
  <si>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</si>
  <si>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</si>
  <si>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</si>
  <si>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</si>
  <si>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</si>
  <si>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</si>
  <si>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</si>
  <si>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</si>
  <si>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</si>
  <si>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</si>
  <si>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</si>
  <si>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</si>
  <si>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</si>
  <si>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</si>
  <si>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</si>
  <si>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</si>
  <si>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</si>
  <si>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</si>
  <si>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</si>
  <si>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</si>
  <si>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</si>
  <si>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</si>
  <si>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</si>
  <si>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</si>
  <si>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</si>
  <si>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</si>
  <si>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</si>
  <si>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</si>
  <si>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</si>
  <si>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</si>
  <si>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</si>
  <si>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</si>
  <si>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</si>
  <si>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</si>
  <si>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</si>
  <si>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</si>
  <si>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</si>
  <si>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</si>
  <si>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</si>
  <si>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</si>
  <si>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</si>
  <si>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</si>
  <si>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</si>
  <si>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</si>
  <si>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</si>
  <si>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</si>
  <si>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</si>
  <si>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</si>
  <si>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</si>
  <si>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</si>
  <si>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</si>
  <si>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</si>
  <si>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</si>
  <si>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</si>
  <si>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</si>
  <si>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</si>
  <si>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</si>
  <si>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</si>
  <si>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</si>
  <si>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</si>
  <si>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</si>
  <si>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</si>
  <si>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</si>
  <si>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</si>
  <si>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</si>
  <si>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</si>
  <si>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</si>
  <si>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</si>
  <si>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</si>
  <si>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</si>
  <si>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</si>
  <si>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</si>
  <si>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</si>
  <si>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</si>
  <si>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</si>
  <si>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</si>
  <si>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</si>
  <si>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</si>
  <si>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</si>
  <si>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</si>
  <si>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</si>
  <si>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</si>
  <si>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</si>
  <si>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</si>
  <si>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</si>
  <si>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</si>
  <si>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</si>
  <si>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</si>
  <si>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</si>
  <si>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</si>
  <si>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</si>
  <si>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</si>
  <si>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</si>
  <si>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</si>
  <si>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</si>
  <si>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</si>
  <si>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</si>
  <si>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</si>
  <si>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</si>
  <si>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</si>
  <si>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</si>
  <si>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</si>
  <si>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</si>
  <si>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</si>
  <si>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</si>
  <si>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</si>
  <si>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</si>
  <si>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</si>
  <si>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</si>
  <si>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</si>
  <si>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</si>
  <si>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</si>
  <si>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</si>
  <si>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</si>
  <si>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</si>
  <si>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</si>
  <si>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</si>
  <si>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</si>
  <si>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</si>
  <si>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</si>
  <si>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</si>
  <si>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</si>
  <si>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</si>
  <si>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</si>
  <si>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</si>
  <si>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</si>
  <si>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</si>
  <si>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</si>
  <si>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</si>
  <si>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</si>
  <si>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</si>
  <si>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</si>
  <si>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</si>
  <si>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</si>
  <si>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</si>
  <si>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</si>
  <si>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</si>
  <si>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</si>
  <si>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</si>
  <si>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</si>
  <si>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</si>
  <si>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</si>
  <si>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</si>
  <si>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</si>
  <si>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</si>
  <si>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</si>
  <si>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</si>
  <si>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</si>
  <si>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</si>
  <si>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</si>
  <si>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</si>
  <si>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</si>
  <si>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</si>
  <si>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</si>
  <si>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</si>
  <si>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</si>
  <si>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</si>
  <si>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</si>
  <si>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</si>
  <si>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</si>
  <si>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</si>
  <si>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</si>
  <si>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</si>
  <si>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</si>
  <si>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</si>
  <si>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</si>
  <si>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</si>
  <si>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</si>
  <si>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</si>
  <si>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</si>
  <si>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</si>
  <si>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</si>
  <si>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</si>
  <si>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</si>
  <si>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</si>
  <si>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</si>
  <si>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</si>
  <si>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</si>
  <si>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</si>
  <si>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</si>
  <si>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</si>
  <si>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</si>
  <si>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</si>
  <si>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</si>
  <si>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</si>
  <si>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</si>
  <si>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</si>
  <si>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</si>
  <si>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</si>
  <si>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</si>
  <si>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</si>
  <si>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</si>
  <si>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</si>
  <si>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</si>
  <si>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</si>
  <si>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</si>
  <si>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</si>
  <si>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</si>
  <si>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</si>
  <si>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</si>
  <si>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</si>
  <si>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</si>
  <si>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</si>
  <si>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</si>
  <si>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</si>
  <si>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</si>
  <si>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</si>
  <si>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</si>
  <si>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</si>
  <si>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</si>
  <si>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</si>
  <si>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</si>
  <si>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</si>
  <si>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</si>
  <si>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</si>
  <si>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</si>
  <si>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</si>
  <si>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</si>
  <si>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</si>
  <si>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</si>
  <si>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</si>
  <si>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</si>
  <si>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</si>
  <si>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</si>
  <si>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</si>
  <si>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</si>
  <si>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</si>
  <si>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</si>
  <si>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</si>
  <si>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</si>
  <si>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</si>
  <si>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</si>
  <si>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</si>
  <si>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</si>
  <si>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</si>
  <si>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</si>
  <si>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</si>
  <si>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</si>
  <si>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</si>
  <si>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</si>
  <si>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</si>
  <si>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</si>
  <si>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</si>
  <si>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</si>
  <si>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</si>
  <si>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</si>
  <si>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</si>
  <si>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</si>
  <si>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</si>
  <si>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</si>
  <si>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</si>
  <si>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</si>
  <si>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</si>
  <si>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</si>
  <si>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</si>
  <si>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</si>
  <si>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</si>
  <si>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</si>
  <si>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</si>
  <si>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</si>
  <si>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</si>
  <si>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</si>
  <si>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</si>
  <si>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</si>
  <si>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</si>
  <si>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</si>
  <si>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</si>
  <si>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</si>
  <si>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</si>
  <si>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</si>
  <si>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</si>
  <si>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</si>
  <si>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</si>
  <si>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</si>
  <si>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</si>
  <si>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</si>
  <si>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</si>
  <si>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</si>
  <si>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</si>
  <si>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</si>
  <si>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</si>
  <si>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</si>
  <si>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</si>
  <si>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</si>
  <si>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</si>
  <si>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</si>
  <si>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</si>
  <si>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</si>
  <si>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</si>
  <si>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</si>
  <si>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</si>
  <si>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</si>
  <si>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</si>
  <si>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</si>
  <si>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</si>
  <si>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</si>
  <si>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</si>
  <si>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</si>
  <si>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</si>
  <si>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</si>
  <si>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</si>
  <si>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</si>
  <si>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</si>
  <si>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</si>
  <si>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</si>
  <si>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</si>
  <si>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</si>
  <si>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</si>
  <si>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</si>
  <si>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</si>
  <si>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</si>
  <si>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</si>
  <si>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</si>
  <si>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</si>
  <si>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</si>
  <si>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</si>
  <si>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</si>
  <si>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</si>
  <si>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</si>
  <si>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</si>
  <si>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</si>
  <si>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</si>
  <si>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</si>
  <si>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</si>
  <si>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</si>
  <si>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</si>
  <si>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</si>
  <si>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</si>
  <si>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</si>
  <si>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</si>
  <si>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</si>
  <si>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</si>
  <si>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</si>
  <si>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</si>
  <si>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</si>
  <si>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</si>
  <si>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</si>
  <si>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</si>
  <si>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</si>
  <si>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</si>
  <si>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</si>
  <si>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</si>
  <si>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</si>
  <si>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</si>
  <si>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</si>
  <si>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</si>
  <si>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</si>
  <si>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</si>
  <si>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</si>
  <si>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</si>
  <si>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</si>
  <si>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</si>
  <si>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</si>
  <si>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</si>
  <si>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</si>
  <si>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</si>
  <si>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</si>
  <si>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</si>
  <si>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</si>
  <si>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</si>
  <si>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</si>
  <si>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</si>
  <si>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</si>
  <si>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</si>
  <si>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</si>
  <si>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</si>
  <si>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</si>
  <si>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</si>
  <si>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</si>
  <si>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</si>
  <si>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</si>
  <si>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</si>
  <si>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</si>
  <si>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</si>
  <si>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</si>
  <si>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</si>
  <si>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</si>
  <si>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</si>
  <si>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</si>
  <si>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</si>
  <si>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</si>
  <si>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</si>
  <si>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</si>
  <si>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</si>
  <si>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</si>
  <si>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</si>
  <si>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</si>
  <si>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</si>
  <si>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</si>
  <si>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</si>
  <si>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</si>
  <si>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</si>
  <si>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</si>
  <si>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</si>
  <si>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</si>
  <si>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</si>
  <si>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</si>
  <si>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</si>
  <si>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</si>
  <si>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</si>
  <si>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</si>
  <si>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</si>
  <si>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</si>
  <si>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</si>
  <si>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</si>
  <si>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</si>
  <si>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</si>
  <si>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</si>
  <si>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</si>
  <si>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</si>
  <si>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</si>
  <si>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</si>
  <si>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</si>
  <si>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</si>
  <si>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</si>
  <si>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</si>
  <si>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</si>
  <si>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</si>
  <si>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</si>
  <si>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</si>
  <si>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</si>
  <si>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</si>
  <si>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</si>
  <si>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</si>
  <si>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</si>
  <si>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</si>
  <si>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</si>
  <si>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</si>
  <si>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</si>
  <si>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</si>
  <si>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</si>
  <si>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</si>
  <si>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</si>
  <si>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</si>
  <si>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</si>
  <si>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</si>
  <si>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</si>
  <si>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</si>
  <si>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</si>
  <si>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</si>
  <si>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</si>
  <si>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</si>
  <si>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</si>
  <si>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</si>
  <si>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</si>
  <si>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</si>
  <si>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</si>
  <si>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</si>
  <si>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</si>
  <si>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</si>
  <si>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</si>
  <si>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</si>
  <si>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</si>
  <si>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</si>
  <si>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</si>
  <si>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</si>
  <si>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</si>
  <si>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</si>
  <si>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</si>
  <si>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</si>
  <si>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</si>
  <si>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</si>
  <si>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</si>
  <si>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</si>
  <si>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</si>
  <si>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</si>
  <si>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</si>
  <si>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</si>
  <si>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</si>
  <si>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</si>
  <si>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</si>
  <si>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</si>
  <si>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</si>
  <si>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</si>
  <si>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</si>
  <si>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</si>
  <si>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</si>
  <si>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</si>
  <si>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</si>
  <si>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</si>
  <si>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</si>
  <si>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</si>
  <si>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</si>
  <si>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</si>
  <si>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</si>
  <si>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</si>
  <si>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</si>
  <si>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</si>
  <si>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</si>
  <si>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</si>
  <si>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</si>
  <si>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</si>
  <si>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</si>
  <si>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</si>
  <si>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</si>
  <si>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</si>
  <si>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</si>
  <si>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</si>
  <si>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</si>
  <si>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</si>
  <si>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</si>
  <si>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</si>
  <si>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</si>
  <si>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</si>
  <si>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</si>
  <si>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</si>
  <si>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</si>
  <si>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</si>
  <si>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</si>
  <si>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</si>
  <si>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</si>
  <si>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</si>
  <si>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</si>
  <si>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</si>
  <si>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</si>
  <si>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</si>
  <si>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</si>
  <si>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</si>
  <si>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</si>
  <si>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</si>
  <si>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</si>
  <si>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</si>
  <si>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</si>
  <si>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</si>
  <si>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</si>
  <si>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</si>
  <si>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</si>
  <si>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</si>
  <si>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Judicial Council of California</t>
  </si>
  <si>
    <t>$100,000 early termination penalty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</si>
</sst>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2">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0" fontId="39" fillId="0" borderId="0" xfId="0" applyFont="1"/>
    <xf numFmtId="0" fontId="3" fillId="0" borderId="0" xfId="0" applyFont="1"/>
    <xf numFmtId="0" fontId="6" fillId="2" borderId="0" xfId="0" applyFont="1" applyFill="1" applyAlignment="1" applyProtection="1">
      <alignment horizontal="left"/>
      <protection locked="0"/>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persons/person.xml><?xml version="1.0" encoding="utf-8"?>
<personList xmlns="http://schemas.microsoft.com/office/spreadsheetml/2018/threadedcomments" xmlns:x="http://schemas.openxmlformats.org/spreadsheetml/2006/main">
  <person displayName="Pang, Maggie" id="{166F5A12-34F2-4CE7-A76E-9C984D36464B}" userId="S::Maggie.Pang@jud.ca.gov::4545b620-3ad0-446f-a9de-8c20d8b8acf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4" dT="2024-06-20T18:45:43.46" personId="{166F5A12-34F2-4CE7-A76E-9C984D36464B}" id="{02B02D95-1560-4E6A-A3E7-795B037B63C9}">
    <text>PY workbook, acct 1599600, JE#1-JE#2</text>
  </threadedComment>
  <threadedComment ref="N17" dT="2024-06-20T18:45:19.71" personId="{166F5A12-34F2-4CE7-A76E-9C984D36464B}" id="{582C7CD0-46BC-471F-A59A-A7013BB4474C}">
    <text>PY workbook,  acct 2999700, JE#1-JE#3</text>
  </threadedComment>
</ThreadedComments>
</file>

<file path=xl/threadedComments/threadedComment2.xml><?xml version="1.0" encoding="utf-8"?>
<ThreadedComments xmlns="http://schemas.microsoft.com/office/spreadsheetml/2018/threadedcomments" xmlns:x="http://schemas.openxmlformats.org/spreadsheetml/2006/main">
  <threadedComment ref="M14" dT="2024-06-20T18:44:23.42" personId="{166F5A12-34F2-4CE7-A76E-9C984D36464B}" id="{FF21E375-4D65-4D4F-986B-3FF2E4646CA6}">
    <text>PY workbook, acct 1599600, JE#1-JE#2</text>
  </threadedComment>
  <threadedComment ref="N17" dT="2024-06-20T18:41:53.16" personId="{166F5A12-34F2-4CE7-A76E-9C984D36464B}" id="{E59324F2-3B25-4CBE-A71C-396C68AE4FB5}">
    <text>PY workbook,  acct 2999700, JE#1-JE#3</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6.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7.bin"/><Relationship Id="rId4" Type="http://schemas.microsoft.com/office/2017/10/relationships/threadedComment" Target="../threadedComments/threadedComment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23</v>
      </c>
      <c r="B1" s="1" t="s">
        <v>124</v>
      </c>
      <c r="C1" s="1" t="s">
        <v>126</v>
      </c>
      <c r="D1" s="1" t="s">
        <v>132</v>
      </c>
      <c r="E1" s="1" t="s">
        <v>165</v>
      </c>
      <c r="F1" s="162" t="s">
        <v>234</v>
      </c>
      <c r="G1" s="163" t="s">
        <v>1622</v>
      </c>
    </row>
    <row r="2" spans="1:8" ht="15.6" x14ac:dyDescent="0.3">
      <c r="A2" s="1" t="s">
        <v>24</v>
      </c>
      <c r="B2" s="1" t="s">
        <v>125</v>
      </c>
      <c r="C2" s="1" t="s">
        <v>127</v>
      </c>
      <c r="D2" s="1" t="s">
        <v>131</v>
      </c>
      <c r="E2" s="1" t="s">
        <v>142</v>
      </c>
      <c r="F2" s="162" t="s">
        <v>1623</v>
      </c>
      <c r="G2" t="s">
        <v>1624</v>
      </c>
      <c r="H2" t="s">
        <v>1644</v>
      </c>
    </row>
    <row r="3" spans="1:8" ht="15.6" x14ac:dyDescent="0.3">
      <c r="A3" s="1" t="s">
        <v>25</v>
      </c>
      <c r="E3" s="1" t="s">
        <v>141</v>
      </c>
      <c r="F3" s="162" t="s">
        <v>1625</v>
      </c>
      <c r="G3" t="s">
        <v>1626</v>
      </c>
      <c r="H3" t="s">
        <v>1645</v>
      </c>
    </row>
    <row r="4" spans="1:8" ht="15.6" x14ac:dyDescent="0.3">
      <c r="A4" s="1" t="s">
        <v>26</v>
      </c>
      <c r="F4" s="162" t="s">
        <v>1627</v>
      </c>
      <c r="G4" t="s">
        <v>1628</v>
      </c>
      <c r="H4" t="s">
        <v>1646</v>
      </c>
    </row>
    <row r="5" spans="1:8" ht="15.6" x14ac:dyDescent="0.3">
      <c r="A5" s="1" t="s">
        <v>27</v>
      </c>
      <c r="F5" s="162" t="s">
        <v>1629</v>
      </c>
      <c r="G5" t="s">
        <v>1630</v>
      </c>
      <c r="H5" t="s">
        <v>1647</v>
      </c>
    </row>
    <row r="6" spans="1:8" ht="15.6" x14ac:dyDescent="0.3">
      <c r="A6" s="1" t="s">
        <v>28</v>
      </c>
      <c r="F6" s="164" t="s">
        <v>327</v>
      </c>
      <c r="G6" t="s">
        <v>1631</v>
      </c>
      <c r="H6" t="s">
        <v>1648</v>
      </c>
    </row>
    <row r="7" spans="1:8" ht="15.6" x14ac:dyDescent="0.3">
      <c r="A7" s="1" t="s">
        <v>29</v>
      </c>
      <c r="F7" s="162" t="s">
        <v>1632</v>
      </c>
      <c r="G7" t="s">
        <v>1633</v>
      </c>
      <c r="H7" t="s">
        <v>1649</v>
      </c>
    </row>
    <row r="8" spans="1:8" ht="15.6" x14ac:dyDescent="0.3">
      <c r="A8" s="1" t="s">
        <v>30</v>
      </c>
      <c r="F8" s="162" t="s">
        <v>928</v>
      </c>
      <c r="G8" t="s">
        <v>1634</v>
      </c>
      <c r="H8" t="s">
        <v>1650</v>
      </c>
    </row>
    <row r="9" spans="1:8" ht="15.6" x14ac:dyDescent="0.3">
      <c r="A9" s="1" t="s">
        <v>31</v>
      </c>
      <c r="F9" s="162" t="s">
        <v>1635</v>
      </c>
      <c r="G9" t="s">
        <v>1636</v>
      </c>
      <c r="H9" t="s">
        <v>1651</v>
      </c>
    </row>
    <row r="10" spans="1:8" ht="15.6" x14ac:dyDescent="0.3">
      <c r="A10" s="1" t="s">
        <v>32</v>
      </c>
      <c r="F10" t="s">
        <v>1637</v>
      </c>
      <c r="G10" t="s">
        <v>1638</v>
      </c>
      <c r="H10" t="s">
        <v>1652</v>
      </c>
    </row>
    <row r="11" spans="1:8" x14ac:dyDescent="0.25">
      <c r="A11" s="1" t="s">
        <v>33</v>
      </c>
    </row>
    <row r="12" spans="1:8" x14ac:dyDescent="0.25">
      <c r="A12" s="1" t="s">
        <v>34</v>
      </c>
    </row>
    <row r="13" spans="1:8" x14ac:dyDescent="0.25">
      <c r="A13" s="1" t="s">
        <v>35</v>
      </c>
    </row>
    <row r="14" spans="1:8" x14ac:dyDescent="0.25">
      <c r="A14" s="1" t="s">
        <v>36</v>
      </c>
    </row>
    <row r="15" spans="1:8" x14ac:dyDescent="0.25">
      <c r="A15" s="1" t="s">
        <v>37</v>
      </c>
    </row>
    <row r="16" spans="1:8" x14ac:dyDescent="0.25">
      <c r="A16" s="1" t="s">
        <v>38</v>
      </c>
    </row>
    <row r="17" spans="1:1" x14ac:dyDescent="0.25">
      <c r="A17" s="1" t="s">
        <v>39</v>
      </c>
    </row>
    <row r="18" spans="1:1" x14ac:dyDescent="0.25">
      <c r="A18" s="1" t="s">
        <v>40</v>
      </c>
    </row>
    <row r="19" spans="1:1" x14ac:dyDescent="0.25">
      <c r="A19" s="1" t="s">
        <v>41</v>
      </c>
    </row>
    <row r="20" spans="1:1" x14ac:dyDescent="0.25">
      <c r="A20" s="1" t="s">
        <v>42</v>
      </c>
    </row>
    <row r="21" spans="1:1" x14ac:dyDescent="0.25">
      <c r="A21" s="1" t="s">
        <v>43</v>
      </c>
    </row>
    <row r="22" spans="1:1" x14ac:dyDescent="0.25">
      <c r="A22" s="1" t="s">
        <v>44</v>
      </c>
    </row>
    <row r="23" spans="1:1" x14ac:dyDescent="0.25">
      <c r="A23" s="1" t="s">
        <v>45</v>
      </c>
    </row>
    <row r="24" spans="1:1" x14ac:dyDescent="0.25">
      <c r="A24" s="1" t="s">
        <v>46</v>
      </c>
    </row>
    <row r="25" spans="1:1" x14ac:dyDescent="0.25">
      <c r="A25" s="1" t="s">
        <v>47</v>
      </c>
    </row>
    <row r="26" spans="1:1" x14ac:dyDescent="0.25">
      <c r="A26" s="1" t="s">
        <v>48</v>
      </c>
    </row>
    <row r="27" spans="1:1" x14ac:dyDescent="0.25">
      <c r="A27" s="1" t="s">
        <v>49</v>
      </c>
    </row>
    <row r="28" spans="1:1" x14ac:dyDescent="0.25">
      <c r="A28" s="1" t="s">
        <v>50</v>
      </c>
    </row>
    <row r="29" spans="1:1" x14ac:dyDescent="0.25">
      <c r="A29" s="1" t="s">
        <v>51</v>
      </c>
    </row>
    <row r="30" spans="1:1" x14ac:dyDescent="0.25">
      <c r="A30" s="1" t="s">
        <v>52</v>
      </c>
    </row>
    <row r="31" spans="1:1" x14ac:dyDescent="0.25">
      <c r="A31" s="1" t="s">
        <v>53</v>
      </c>
    </row>
    <row r="32" spans="1:1" x14ac:dyDescent="0.25">
      <c r="A32" s="1" t="s">
        <v>54</v>
      </c>
    </row>
    <row r="33" spans="1:1" x14ac:dyDescent="0.25">
      <c r="A33" s="1" t="s">
        <v>55</v>
      </c>
    </row>
    <row r="34" spans="1:1" x14ac:dyDescent="0.25">
      <c r="A34" s="1" t="s">
        <v>56</v>
      </c>
    </row>
    <row r="35" spans="1:1" x14ac:dyDescent="0.25">
      <c r="A35" s="1" t="s">
        <v>57</v>
      </c>
    </row>
    <row r="36" spans="1:1" x14ac:dyDescent="0.25">
      <c r="A36" s="1" t="s">
        <v>58</v>
      </c>
    </row>
    <row r="37" spans="1:1" x14ac:dyDescent="0.25">
      <c r="A37" s="1" t="s">
        <v>59</v>
      </c>
    </row>
    <row r="38" spans="1:1" x14ac:dyDescent="0.25">
      <c r="A38" s="1" t="s">
        <v>60</v>
      </c>
    </row>
    <row r="39" spans="1:1" x14ac:dyDescent="0.25">
      <c r="A39" s="1" t="s">
        <v>61</v>
      </c>
    </row>
    <row r="40" spans="1:1" x14ac:dyDescent="0.25">
      <c r="A40" s="1" t="s">
        <v>62</v>
      </c>
    </row>
    <row r="41" spans="1:1" x14ac:dyDescent="0.25">
      <c r="A41" s="1" t="s">
        <v>63</v>
      </c>
    </row>
    <row r="42" spans="1:1" x14ac:dyDescent="0.25">
      <c r="A42" s="1" t="s">
        <v>64</v>
      </c>
    </row>
    <row r="43" spans="1:1" x14ac:dyDescent="0.25">
      <c r="A43" s="1" t="s">
        <v>65</v>
      </c>
    </row>
    <row r="44" spans="1:1" x14ac:dyDescent="0.25">
      <c r="A44" s="1" t="s">
        <v>66</v>
      </c>
    </row>
    <row r="45" spans="1:1" x14ac:dyDescent="0.25">
      <c r="A45" s="1" t="s">
        <v>67</v>
      </c>
    </row>
    <row r="46" spans="1:1" x14ac:dyDescent="0.25">
      <c r="A46" s="1" t="s">
        <v>68</v>
      </c>
    </row>
    <row r="47" spans="1:1" x14ac:dyDescent="0.25">
      <c r="A47" s="1" t="s">
        <v>69</v>
      </c>
    </row>
    <row r="48" spans="1:1" x14ac:dyDescent="0.25">
      <c r="A48" s="1" t="s">
        <v>70</v>
      </c>
    </row>
    <row r="49" spans="1:1" x14ac:dyDescent="0.25">
      <c r="A49" s="1" t="s">
        <v>71</v>
      </c>
    </row>
    <row r="50" spans="1:1" x14ac:dyDescent="0.25">
      <c r="A50" s="1" t="s">
        <v>72</v>
      </c>
    </row>
    <row r="51" spans="1:1" x14ac:dyDescent="0.25">
      <c r="A51" s="1" t="s">
        <v>73</v>
      </c>
    </row>
    <row r="52" spans="1:1" x14ac:dyDescent="0.25">
      <c r="A52" s="1" t="s">
        <v>74</v>
      </c>
    </row>
    <row r="53" spans="1:1" x14ac:dyDescent="0.25">
      <c r="A53" s="1" t="s">
        <v>75</v>
      </c>
    </row>
    <row r="54" spans="1:1" x14ac:dyDescent="0.25">
      <c r="A54" s="1" t="s">
        <v>76</v>
      </c>
    </row>
    <row r="55" spans="1:1" x14ac:dyDescent="0.25">
      <c r="A55" s="1" t="s">
        <v>77</v>
      </c>
    </row>
    <row r="56" spans="1:1" x14ac:dyDescent="0.25">
      <c r="A56" s="1" t="s">
        <v>78</v>
      </c>
    </row>
    <row r="57" spans="1:1" x14ac:dyDescent="0.25">
      <c r="A57" s="1" t="s">
        <v>79</v>
      </c>
    </row>
    <row r="58" spans="1:1" x14ac:dyDescent="0.25">
      <c r="A58" s="1" t="s">
        <v>80</v>
      </c>
    </row>
    <row r="59" spans="1:1" x14ac:dyDescent="0.25">
      <c r="A59" s="1" t="s">
        <v>81</v>
      </c>
    </row>
    <row r="60" spans="1:1" x14ac:dyDescent="0.25">
      <c r="A60" s="1" t="s">
        <v>82</v>
      </c>
    </row>
    <row r="61" spans="1:1" x14ac:dyDescent="0.25">
      <c r="A61" s="1" t="s">
        <v>83</v>
      </c>
    </row>
    <row r="62" spans="1:1" x14ac:dyDescent="0.25">
      <c r="A62" s="1" t="s">
        <v>84</v>
      </c>
    </row>
    <row r="63" spans="1:1" x14ac:dyDescent="0.25">
      <c r="A63" s="1" t="s">
        <v>85</v>
      </c>
    </row>
    <row r="64" spans="1:1" x14ac:dyDescent="0.25">
      <c r="A64" s="1" t="s">
        <v>86</v>
      </c>
    </row>
    <row r="65" spans="1:1" x14ac:dyDescent="0.25">
      <c r="A65" s="1" t="s">
        <v>87</v>
      </c>
    </row>
    <row r="66" spans="1:1" x14ac:dyDescent="0.25">
      <c r="A66" s="1" t="s">
        <v>88</v>
      </c>
    </row>
    <row r="67" spans="1:1" x14ac:dyDescent="0.25">
      <c r="A67" s="1" t="s">
        <v>89</v>
      </c>
    </row>
    <row r="68" spans="1:1" x14ac:dyDescent="0.25">
      <c r="A68" s="1" t="s">
        <v>90</v>
      </c>
    </row>
    <row r="69" spans="1:1" x14ac:dyDescent="0.25">
      <c r="A69" s="1" t="s">
        <v>91</v>
      </c>
    </row>
    <row r="70" spans="1:1" x14ac:dyDescent="0.25">
      <c r="A70" s="1" t="s">
        <v>92</v>
      </c>
    </row>
    <row r="71" spans="1:1" x14ac:dyDescent="0.25">
      <c r="A71" s="1" t="s">
        <v>93</v>
      </c>
    </row>
    <row r="72" spans="1:1" x14ac:dyDescent="0.25">
      <c r="A72" s="1" t="s">
        <v>94</v>
      </c>
    </row>
    <row r="73" spans="1:1" x14ac:dyDescent="0.25">
      <c r="A73" s="1" t="s">
        <v>95</v>
      </c>
    </row>
    <row r="74" spans="1:1" x14ac:dyDescent="0.25">
      <c r="A74" s="1" t="s">
        <v>96</v>
      </c>
    </row>
    <row r="75" spans="1:1" x14ac:dyDescent="0.25">
      <c r="A75" s="1" t="s">
        <v>97</v>
      </c>
    </row>
    <row r="76" spans="1:1" x14ac:dyDescent="0.25">
      <c r="A76" s="1" t="s">
        <v>98</v>
      </c>
    </row>
    <row r="77" spans="1:1" x14ac:dyDescent="0.25">
      <c r="A77" s="1" t="s">
        <v>99</v>
      </c>
    </row>
    <row r="78" spans="1:1" x14ac:dyDescent="0.25">
      <c r="A78" s="1" t="s">
        <v>100</v>
      </c>
    </row>
    <row r="79" spans="1:1" x14ac:dyDescent="0.25">
      <c r="A79" s="1" t="s">
        <v>101</v>
      </c>
    </row>
    <row r="80" spans="1:1" x14ac:dyDescent="0.25">
      <c r="A80" s="1" t="s">
        <v>102</v>
      </c>
    </row>
    <row r="81" spans="1:1" x14ac:dyDescent="0.25">
      <c r="A81" s="1" t="s">
        <v>103</v>
      </c>
    </row>
    <row r="82" spans="1:1" x14ac:dyDescent="0.25">
      <c r="A82" s="1" t="s">
        <v>104</v>
      </c>
    </row>
    <row r="83" spans="1:1" x14ac:dyDescent="0.25">
      <c r="A83" s="1" t="s">
        <v>105</v>
      </c>
    </row>
    <row r="84" spans="1:1" x14ac:dyDescent="0.25">
      <c r="A84" s="1" t="s">
        <v>106</v>
      </c>
    </row>
    <row r="85" spans="1:1" x14ac:dyDescent="0.25">
      <c r="A85" s="1" t="s">
        <v>107</v>
      </c>
    </row>
    <row r="86" spans="1:1" x14ac:dyDescent="0.25">
      <c r="A86" s="1" t="s">
        <v>108</v>
      </c>
    </row>
    <row r="87" spans="1:1" x14ac:dyDescent="0.25">
      <c r="A87" s="1" t="s">
        <v>109</v>
      </c>
    </row>
    <row r="88" spans="1:1" x14ac:dyDescent="0.25">
      <c r="A88" s="1" t="s">
        <v>110</v>
      </c>
    </row>
    <row r="89" spans="1:1" x14ac:dyDescent="0.25">
      <c r="A89" s="1" t="s">
        <v>111</v>
      </c>
    </row>
    <row r="90" spans="1:1" x14ac:dyDescent="0.25">
      <c r="A90" s="1" t="s">
        <v>112</v>
      </c>
    </row>
    <row r="91" spans="1:1" x14ac:dyDescent="0.25">
      <c r="A91" s="1" t="s">
        <v>113</v>
      </c>
    </row>
    <row r="92" spans="1:1" x14ac:dyDescent="0.25">
      <c r="A92" s="1" t="s">
        <v>114</v>
      </c>
    </row>
    <row r="93" spans="1:1" x14ac:dyDescent="0.25">
      <c r="A93" s="1" t="s">
        <v>115</v>
      </c>
    </row>
    <row r="94" spans="1:1" x14ac:dyDescent="0.25">
      <c r="A94" s="1" t="s">
        <v>116</v>
      </c>
    </row>
    <row r="95" spans="1:1" x14ac:dyDescent="0.25">
      <c r="A95" s="1" t="s">
        <v>117</v>
      </c>
    </row>
    <row r="96" spans="1:1" x14ac:dyDescent="0.25">
      <c r="A96" s="1" t="s">
        <v>118</v>
      </c>
    </row>
    <row r="97" spans="1:1" x14ac:dyDescent="0.25">
      <c r="A97" s="1" t="s">
        <v>119</v>
      </c>
    </row>
    <row r="98" spans="1:1" x14ac:dyDescent="0.25">
      <c r="A98" s="1" t="s">
        <v>120</v>
      </c>
    </row>
    <row r="99" spans="1:1" x14ac:dyDescent="0.25">
      <c r="A99" s="1" t="s">
        <v>121</v>
      </c>
    </row>
    <row r="100" spans="1:1" x14ac:dyDescent="0.25">
      <c r="A100" s="1" t="s">
        <v>122</v>
      </c>
    </row>
    <row r="101" spans="1:1" x14ac:dyDescent="0.25">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59" t="s">
        <v>220</v>
      </c>
      <c r="B1" s="159" t="s">
        <v>221</v>
      </c>
      <c r="C1" s="159" t="s">
        <v>222</v>
      </c>
      <c r="D1" s="159" t="s">
        <v>223</v>
      </c>
      <c r="E1" s="159" t="s">
        <v>224</v>
      </c>
      <c r="F1" s="159" t="s">
        <v>225</v>
      </c>
      <c r="G1" s="159" t="s">
        <v>226</v>
      </c>
      <c r="H1" s="159" t="s">
        <v>227</v>
      </c>
      <c r="I1" s="159" t="s">
        <v>228</v>
      </c>
      <c r="J1" s="159" t="s">
        <v>229</v>
      </c>
      <c r="K1" s="159" t="s">
        <v>230</v>
      </c>
    </row>
    <row r="2" spans="1:11" x14ac:dyDescent="0.3">
      <c r="A2" s="160" t="s">
        <v>231</v>
      </c>
      <c r="B2" s="160" t="s">
        <v>232</v>
      </c>
      <c r="C2" s="160" t="s">
        <v>233</v>
      </c>
      <c r="D2" s="160" t="s">
        <v>232</v>
      </c>
      <c r="E2" s="160" t="s">
        <v>234</v>
      </c>
      <c r="F2" s="160" t="s">
        <v>235</v>
      </c>
      <c r="G2" s="160" t="s">
        <v>236</v>
      </c>
      <c r="H2" s="160" t="s">
        <v>231</v>
      </c>
      <c r="I2" s="160" t="s">
        <v>231</v>
      </c>
      <c r="J2" s="160" t="s">
        <v>237</v>
      </c>
      <c r="K2" s="160" t="s">
        <v>238</v>
      </c>
    </row>
    <row r="3" spans="1:11" x14ac:dyDescent="0.3">
      <c r="A3" s="160" t="s">
        <v>239</v>
      </c>
      <c r="B3" s="160" t="s">
        <v>240</v>
      </c>
      <c r="C3" s="160" t="s">
        <v>241</v>
      </c>
      <c r="D3" s="160" t="s">
        <v>242</v>
      </c>
      <c r="E3" s="160" t="s">
        <v>234</v>
      </c>
      <c r="F3" s="160" t="s">
        <v>231</v>
      </c>
      <c r="G3" s="160" t="s">
        <v>231</v>
      </c>
      <c r="H3" s="160" t="s">
        <v>231</v>
      </c>
      <c r="I3" s="160" t="s">
        <v>231</v>
      </c>
      <c r="J3" s="160" t="s">
        <v>243</v>
      </c>
      <c r="K3" s="160" t="s">
        <v>238</v>
      </c>
    </row>
    <row r="4" spans="1:11" x14ac:dyDescent="0.3">
      <c r="A4" s="160" t="s">
        <v>244</v>
      </c>
      <c r="B4" s="160" t="s">
        <v>245</v>
      </c>
      <c r="C4" s="160" t="s">
        <v>241</v>
      </c>
      <c r="D4" s="160" t="s">
        <v>242</v>
      </c>
      <c r="E4" s="160" t="s">
        <v>234</v>
      </c>
      <c r="F4" s="160" t="s">
        <v>231</v>
      </c>
      <c r="G4" s="160" t="s">
        <v>231</v>
      </c>
      <c r="H4" s="160" t="s">
        <v>231</v>
      </c>
      <c r="I4" s="160" t="s">
        <v>231</v>
      </c>
      <c r="J4" s="160" t="s">
        <v>246</v>
      </c>
      <c r="K4" s="160" t="s">
        <v>238</v>
      </c>
    </row>
    <row r="5" spans="1:11" x14ac:dyDescent="0.3">
      <c r="A5" s="160" t="s">
        <v>247</v>
      </c>
      <c r="B5" s="160" t="s">
        <v>248</v>
      </c>
      <c r="C5" s="160" t="s">
        <v>241</v>
      </c>
      <c r="D5" s="160" t="s">
        <v>242</v>
      </c>
      <c r="E5" s="160" t="s">
        <v>234</v>
      </c>
      <c r="F5" s="160" t="s">
        <v>231</v>
      </c>
      <c r="G5" s="160" t="s">
        <v>231</v>
      </c>
      <c r="H5" s="160" t="s">
        <v>231</v>
      </c>
      <c r="I5" s="160" t="s">
        <v>231</v>
      </c>
      <c r="J5" s="160" t="s">
        <v>246</v>
      </c>
      <c r="K5" s="160" t="s">
        <v>238</v>
      </c>
    </row>
    <row r="6" spans="1:11" x14ac:dyDescent="0.3">
      <c r="A6" s="160" t="s">
        <v>249</v>
      </c>
      <c r="B6" s="160" t="s">
        <v>250</v>
      </c>
      <c r="C6" s="160" t="s">
        <v>241</v>
      </c>
      <c r="D6" s="160" t="s">
        <v>242</v>
      </c>
      <c r="E6" s="160" t="s">
        <v>234</v>
      </c>
      <c r="F6" s="160" t="s">
        <v>231</v>
      </c>
      <c r="G6" s="160" t="s">
        <v>231</v>
      </c>
      <c r="H6" s="160" t="s">
        <v>231</v>
      </c>
      <c r="I6" s="160" t="s">
        <v>231</v>
      </c>
      <c r="J6" s="160" t="s">
        <v>246</v>
      </c>
      <c r="K6" s="160" t="s">
        <v>238</v>
      </c>
    </row>
    <row r="7" spans="1:11" x14ac:dyDescent="0.3">
      <c r="A7" s="160" t="s">
        <v>251</v>
      </c>
      <c r="B7" s="160" t="s">
        <v>252</v>
      </c>
      <c r="C7" s="160" t="s">
        <v>241</v>
      </c>
      <c r="D7" s="160" t="s">
        <v>242</v>
      </c>
      <c r="E7" s="160" t="s">
        <v>234</v>
      </c>
      <c r="F7" s="160" t="s">
        <v>231</v>
      </c>
      <c r="G7" s="160" t="s">
        <v>231</v>
      </c>
      <c r="H7" s="160" t="s">
        <v>231</v>
      </c>
      <c r="I7" s="160" t="s">
        <v>231</v>
      </c>
      <c r="J7" s="160" t="s">
        <v>253</v>
      </c>
      <c r="K7" s="160" t="s">
        <v>238</v>
      </c>
    </row>
    <row r="8" spans="1:11" x14ac:dyDescent="0.3">
      <c r="A8" s="160" t="s">
        <v>254</v>
      </c>
      <c r="B8" s="160" t="s">
        <v>255</v>
      </c>
      <c r="C8" s="160" t="s">
        <v>241</v>
      </c>
      <c r="D8" s="160" t="s">
        <v>242</v>
      </c>
      <c r="E8" s="160" t="s">
        <v>234</v>
      </c>
      <c r="F8" s="160" t="s">
        <v>231</v>
      </c>
      <c r="G8" s="160" t="s">
        <v>231</v>
      </c>
      <c r="H8" s="160" t="s">
        <v>231</v>
      </c>
      <c r="I8" s="160" t="s">
        <v>231</v>
      </c>
      <c r="J8" s="160" t="s">
        <v>253</v>
      </c>
      <c r="K8" s="160" t="s">
        <v>238</v>
      </c>
    </row>
    <row r="9" spans="1:11" x14ac:dyDescent="0.3">
      <c r="A9" s="160" t="s">
        <v>256</v>
      </c>
      <c r="B9" s="160" t="s">
        <v>257</v>
      </c>
      <c r="C9" s="160" t="s">
        <v>241</v>
      </c>
      <c r="D9" s="160" t="s">
        <v>242</v>
      </c>
      <c r="E9" s="160" t="s">
        <v>234</v>
      </c>
      <c r="F9" s="160" t="s">
        <v>231</v>
      </c>
      <c r="G9" s="160" t="s">
        <v>231</v>
      </c>
      <c r="H9" s="160" t="s">
        <v>231</v>
      </c>
      <c r="I9" s="160" t="s">
        <v>231</v>
      </c>
      <c r="J9" s="160" t="s">
        <v>253</v>
      </c>
      <c r="K9" s="160" t="s">
        <v>238</v>
      </c>
    </row>
    <row r="10" spans="1:11" x14ac:dyDescent="0.3">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3">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3">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3">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3">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3">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3">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3">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3">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3">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3">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3">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3">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3">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3">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3">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3">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3">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3">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3">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3">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3">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3">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3">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3">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3">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3">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3">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3">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3">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3">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3">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3">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3">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3">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3">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3">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3">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3">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3">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3">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3">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3">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3">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3">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3">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3">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3">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3">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3">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3">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3">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3">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3">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3">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3">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3">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3">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3">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3">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3">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3">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3">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3">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3">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3">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3">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3">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3">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3">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3">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3">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3">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3">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3">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3">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3">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3">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3">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3">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3">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3">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3">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3">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3">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3">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3">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3">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3">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3">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3">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3">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3">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3">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3">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3">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3">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3">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3">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3">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3">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3">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3">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3">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3">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3">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3">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3">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3">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3">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3">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3">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3">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3">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3">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3">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3">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3">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3">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3">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3">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3">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3">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3">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3">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3">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3">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3">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3">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3">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3">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3">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3">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3">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3">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3">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3">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3">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3">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3">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3">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3">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3">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3">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3">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3">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3">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3">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3">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3">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3">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3">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3">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3">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3">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3">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3">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3">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3">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3">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3">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3">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3">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3">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3">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3">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3">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3">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3">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3">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3">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3">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3">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3">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3">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3">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3">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3">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3">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3">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3">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3">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3">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3">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3">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3">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3">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3">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3">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3">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3">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3">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3">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3">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3">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3">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3">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3">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3">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3">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3">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3">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3">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3">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3">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3">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3">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3">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3">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3">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3">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3">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3">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3">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3">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3">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3">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3">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3">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3">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3">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3">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3">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3">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3">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3">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3">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3">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3">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3">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3">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3">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3">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3">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3">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3">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3">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3">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3">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3">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3">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3">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3">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3">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3">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3">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3">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3">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3">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3">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3">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3">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3">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3">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3">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3">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3">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3">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3">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3">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3">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3">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3">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3">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3">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3">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3">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3">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3">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3">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3">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3">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3">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3">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3">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3">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3">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3">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3">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3">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3">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3">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3">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3">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3">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3">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3">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3">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3">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3">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3">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3">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3">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3">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3">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3">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3">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3">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3">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3">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3">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3">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3">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3">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3">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3">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3">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3">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3">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3">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3">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3">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3">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3">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3">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3">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3">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3">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3">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3">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3">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3">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3">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3">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3">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3">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3">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3">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3">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3">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3">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3">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3">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3">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3">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3">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3">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3">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3">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3">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3">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3">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3">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3">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3">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3">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3">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3">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3">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3">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3">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3">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3">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3">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3">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3">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3">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3">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3">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3">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3">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3">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3">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3">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3">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3">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3">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3">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3">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3">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3">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3">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3">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3">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3">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3">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3">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3">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3">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3">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3">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3">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3">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3">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3">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3">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3">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3">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3">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3">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3">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3">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3">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3">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3">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3">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3">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3">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3">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3">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3">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3">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3">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3">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3">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3">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3">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3">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3">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3">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3">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3">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3">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3">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3">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3">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3">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3">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3">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3">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3">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3">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3">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3">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3">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3">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3">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3">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3">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3">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3">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3">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3">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3">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3">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3">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3">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3">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3">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3">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3">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3">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3">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3">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3">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3">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3">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3">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3">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3">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3">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3">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3">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3">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3">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3">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3">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3">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3">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3">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3">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3">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3">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3">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3">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3">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3">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3">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3">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3">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3">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3">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3">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3">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3">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3">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3">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3">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3">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3">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3">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3">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3">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3">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3">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3">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3">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3">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3">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3">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3">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3">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3">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3">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3">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3">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3">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3">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3">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3">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3">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3">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3">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3">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3">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3">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3">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3">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3">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3">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3">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3">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3">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3">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3">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3">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3">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3">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3">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3">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3">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3">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3">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3">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3">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3">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3">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3">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3">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3">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3">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3">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3">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3">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3">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3">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3">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3">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3">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3">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3">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3">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3">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3">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3">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3">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3">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3">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3">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3">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3">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3">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3">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3">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3">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3">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3">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3">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3">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3">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3">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3">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3">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3">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3">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3">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3">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3">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3">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3">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3">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3">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3">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3">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3">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3">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3">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3">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3">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3">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3">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3">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3">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3">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3">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3">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3">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3">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3">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3">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3">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3">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3">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3">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3">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3">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3">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3">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3">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3">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3">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3">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3">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3">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3">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3">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3">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3">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3">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3">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3">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3">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3">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3">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3">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3">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3">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3">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3">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3">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3">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3">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3">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3">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3">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3">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3">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3">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3">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3">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3">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3">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3">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3">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3">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3">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3">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3">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3">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3">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3">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3">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3">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3">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3">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80" zoomScaleNormal="80" workbookViewId="0">
      <pane ySplit="10" topLeftCell="A30" activePane="bottomLeft" state="frozen"/>
      <selection activeCell="H56" sqref="H56"/>
      <selection pane="bottomLeft" activeCell="B3" sqref="B1:B1048576"/>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7" t="s">
        <v>1767</v>
      </c>
      <c r="B1" s="258"/>
      <c r="C1" s="258"/>
      <c r="D1" s="258"/>
      <c r="E1" s="258"/>
      <c r="F1" s="259"/>
    </row>
    <row r="2" spans="1:6" x14ac:dyDescent="0.3">
      <c r="A2" s="260"/>
      <c r="B2" s="261"/>
      <c r="C2" s="261"/>
      <c r="D2" s="261"/>
      <c r="E2" s="261"/>
      <c r="F2" s="262"/>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1745</v>
      </c>
      <c r="B11" s="240" t="s">
        <v>1732</v>
      </c>
      <c r="C11" s="240" t="s">
        <v>1733</v>
      </c>
      <c r="D11" s="240" t="s">
        <v>1733</v>
      </c>
      <c r="E11" s="240" t="s">
        <v>1775</v>
      </c>
      <c r="F11" s="240" t="s">
        <v>1746</v>
      </c>
    </row>
    <row r="12" spans="1:6" ht="27.6" x14ac:dyDescent="0.3">
      <c r="A12" s="240" t="s">
        <v>1745</v>
      </c>
      <c r="B12" s="240" t="s">
        <v>1750</v>
      </c>
      <c r="C12" s="240" t="s">
        <v>1735</v>
      </c>
      <c r="D12" s="240" t="s">
        <v>1742</v>
      </c>
      <c r="E12" s="240" t="s">
        <v>1748</v>
      </c>
      <c r="F12" s="240" t="s">
        <v>1749</v>
      </c>
    </row>
    <row r="13" spans="1:6" ht="55.2" x14ac:dyDescent="0.3">
      <c r="A13" s="240" t="s">
        <v>1745</v>
      </c>
      <c r="B13" s="240" t="s">
        <v>1751</v>
      </c>
      <c r="C13" s="240" t="s">
        <v>1734</v>
      </c>
      <c r="D13" s="240" t="s">
        <v>1735</v>
      </c>
      <c r="E13" s="240" t="s">
        <v>1736</v>
      </c>
      <c r="F13" s="240" t="s">
        <v>1737</v>
      </c>
    </row>
    <row r="14" spans="1:6" ht="27.6" x14ac:dyDescent="0.3">
      <c r="A14" s="240" t="s">
        <v>1745</v>
      </c>
      <c r="B14" s="240" t="s">
        <v>1738</v>
      </c>
      <c r="C14" s="240" t="s">
        <v>1735</v>
      </c>
      <c r="D14" s="240" t="s">
        <v>1743</v>
      </c>
      <c r="E14" s="240" t="s">
        <v>1739</v>
      </c>
      <c r="F14" s="240" t="s">
        <v>1740</v>
      </c>
    </row>
    <row r="15" spans="1:6" ht="41.4" x14ac:dyDescent="0.3">
      <c r="A15" s="240" t="s">
        <v>1745</v>
      </c>
      <c r="B15" s="240" t="s">
        <v>1741</v>
      </c>
      <c r="C15" s="240" t="s">
        <v>1735</v>
      </c>
      <c r="D15" s="240" t="s">
        <v>1747</v>
      </c>
      <c r="E15" s="240" t="s">
        <v>1845</v>
      </c>
      <c r="F15" s="240" t="s">
        <v>1737</v>
      </c>
    </row>
    <row r="16" spans="1:6" ht="27.6" x14ac:dyDescent="0.3">
      <c r="A16" s="240" t="s">
        <v>1745</v>
      </c>
      <c r="B16" s="240" t="s">
        <v>1752</v>
      </c>
      <c r="C16" s="240" t="s">
        <v>1735</v>
      </c>
      <c r="D16" s="240" t="s">
        <v>1843</v>
      </c>
      <c r="E16" s="240" t="s">
        <v>1753</v>
      </c>
      <c r="F16" s="240" t="s">
        <v>1737</v>
      </c>
    </row>
    <row r="17" spans="1:6" ht="69" x14ac:dyDescent="0.3">
      <c r="A17" s="240" t="s">
        <v>1745</v>
      </c>
      <c r="B17" s="240" t="s">
        <v>1758</v>
      </c>
      <c r="C17" s="240" t="s">
        <v>1735</v>
      </c>
      <c r="D17" s="240" t="s">
        <v>1844</v>
      </c>
      <c r="E17" s="240" t="s">
        <v>1794</v>
      </c>
      <c r="F17" s="240" t="s">
        <v>1737</v>
      </c>
    </row>
    <row r="18" spans="1:6" ht="82.8" x14ac:dyDescent="0.3">
      <c r="A18" s="240" t="s">
        <v>1745</v>
      </c>
      <c r="B18" s="240" t="s">
        <v>1754</v>
      </c>
      <c r="C18" s="240" t="s">
        <v>1755</v>
      </c>
      <c r="D18" s="240" t="s">
        <v>1756</v>
      </c>
      <c r="E18" s="240" t="s">
        <v>1795</v>
      </c>
      <c r="F18" s="240" t="s">
        <v>1757</v>
      </c>
    </row>
    <row r="19" spans="1:6" ht="96.6" x14ac:dyDescent="0.3">
      <c r="A19" s="240" t="s">
        <v>1745</v>
      </c>
      <c r="B19" s="240" t="s">
        <v>1796</v>
      </c>
      <c r="C19" s="240" t="s">
        <v>1759</v>
      </c>
      <c r="D19" s="240" t="s">
        <v>1760</v>
      </c>
      <c r="E19" s="240" t="s">
        <v>1797</v>
      </c>
      <c r="F19" s="240" t="s">
        <v>1737</v>
      </c>
    </row>
    <row r="20" spans="1:6" ht="82.8" x14ac:dyDescent="0.3">
      <c r="A20" s="240" t="s">
        <v>1745</v>
      </c>
      <c r="B20" s="240" t="s">
        <v>1744</v>
      </c>
      <c r="C20" s="240" t="s">
        <v>1735</v>
      </c>
      <c r="D20" s="240" t="s">
        <v>1761</v>
      </c>
      <c r="E20" s="240" t="s">
        <v>1798</v>
      </c>
      <c r="F20" s="240" t="s">
        <v>1762</v>
      </c>
    </row>
    <row r="21" spans="1:6" ht="110.4" x14ac:dyDescent="0.3">
      <c r="A21" s="240" t="s">
        <v>1745</v>
      </c>
      <c r="B21" s="240" t="s">
        <v>1846</v>
      </c>
      <c r="C21" s="240" t="s">
        <v>1735</v>
      </c>
      <c r="D21" s="240" t="s">
        <v>1852</v>
      </c>
      <c r="E21" s="240" t="s">
        <v>1847</v>
      </c>
      <c r="F21" s="240" t="s">
        <v>1848</v>
      </c>
    </row>
    <row r="22" spans="1:6" ht="96.6" x14ac:dyDescent="0.3">
      <c r="A22" s="240" t="s">
        <v>1745</v>
      </c>
      <c r="B22" s="240" t="s">
        <v>1849</v>
      </c>
      <c r="C22" s="240" t="s">
        <v>1735</v>
      </c>
      <c r="D22" s="240" t="s">
        <v>1853</v>
      </c>
      <c r="E22" s="240" t="s">
        <v>1850</v>
      </c>
      <c r="F22" s="240" t="s">
        <v>1851</v>
      </c>
    </row>
    <row r="23" spans="1:6" ht="27.6" x14ac:dyDescent="0.3">
      <c r="A23" s="240" t="s">
        <v>1745</v>
      </c>
      <c r="B23" s="240" t="s">
        <v>1765</v>
      </c>
      <c r="C23" s="240" t="s">
        <v>1735</v>
      </c>
      <c r="D23" s="240" t="s">
        <v>1854</v>
      </c>
      <c r="E23" s="240" t="s">
        <v>1766</v>
      </c>
      <c r="F23" s="240" t="s">
        <v>1737</v>
      </c>
    </row>
    <row r="24" spans="1:6" ht="69" x14ac:dyDescent="0.3">
      <c r="A24" s="240" t="s">
        <v>1768</v>
      </c>
      <c r="B24" s="240" t="s">
        <v>1732</v>
      </c>
      <c r="C24" s="240" t="s">
        <v>1769</v>
      </c>
      <c r="D24" s="240" t="s">
        <v>1770</v>
      </c>
      <c r="E24" s="240" t="s">
        <v>1776</v>
      </c>
      <c r="F24" s="240" t="s">
        <v>1771</v>
      </c>
    </row>
    <row r="25" spans="1:6" ht="69" x14ac:dyDescent="0.3">
      <c r="A25" s="240" t="s">
        <v>1768</v>
      </c>
      <c r="B25" s="240" t="s">
        <v>1772</v>
      </c>
      <c r="C25" s="240" t="s">
        <v>1735</v>
      </c>
      <c r="D25" s="240" t="s">
        <v>1773</v>
      </c>
      <c r="E25" s="240" t="s">
        <v>1774</v>
      </c>
      <c r="F25" s="240" t="s">
        <v>1771</v>
      </c>
    </row>
    <row r="26" spans="1:6" ht="41.4" x14ac:dyDescent="0.3">
      <c r="A26" s="240" t="s">
        <v>1768</v>
      </c>
      <c r="B26" s="240" t="s">
        <v>1780</v>
      </c>
      <c r="C26" s="240" t="s">
        <v>1777</v>
      </c>
      <c r="D26" s="240" t="s">
        <v>1778</v>
      </c>
      <c r="E26" s="240" t="s">
        <v>1781</v>
      </c>
      <c r="F26" s="240" t="s">
        <v>1779</v>
      </c>
    </row>
    <row r="27" spans="1:6" ht="110.4" x14ac:dyDescent="0.3">
      <c r="A27" s="240" t="s">
        <v>1782</v>
      </c>
      <c r="B27" s="240" t="s">
        <v>1783</v>
      </c>
      <c r="C27" s="240" t="s">
        <v>1784</v>
      </c>
      <c r="D27" s="240" t="s">
        <v>1784</v>
      </c>
      <c r="E27" s="240" t="s">
        <v>1807</v>
      </c>
      <c r="F27" s="240" t="s">
        <v>1771</v>
      </c>
    </row>
    <row r="28" spans="1:6" ht="41.4" x14ac:dyDescent="0.3">
      <c r="A28" s="240" t="s">
        <v>1782</v>
      </c>
      <c r="B28" s="240" t="s">
        <v>1791</v>
      </c>
      <c r="C28" s="240" t="s">
        <v>1735</v>
      </c>
      <c r="D28" s="240" t="s">
        <v>1743</v>
      </c>
      <c r="E28" s="240" t="s">
        <v>1785</v>
      </c>
      <c r="F28" s="240" t="s">
        <v>1737</v>
      </c>
    </row>
    <row r="29" spans="1:6" ht="96.6" x14ac:dyDescent="0.3">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70" zoomScaleNormal="70" workbookViewId="0">
      <selection activeCell="Q23" sqref="Q23"/>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7" t="s">
        <v>1661</v>
      </c>
      <c r="B1" s="267"/>
      <c r="C1" s="267"/>
      <c r="D1" s="267"/>
      <c r="E1" s="267"/>
      <c r="F1" s="267"/>
      <c r="G1" s="267"/>
      <c r="H1" s="267"/>
      <c r="I1" s="267"/>
      <c r="J1" s="267"/>
      <c r="K1" s="267"/>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3" t="s">
        <v>13</v>
      </c>
      <c r="B3" s="263"/>
      <c r="C3" s="263"/>
      <c r="D3" s="263"/>
      <c r="E3" s="263"/>
      <c r="F3" s="268" t="s">
        <v>24</v>
      </c>
      <c r="G3" s="268"/>
      <c r="H3" s="268"/>
      <c r="I3" s="268"/>
    </row>
    <row r="4" spans="1:19" ht="16.5" customHeight="1" x14ac:dyDescent="0.25">
      <c r="A4" s="263" t="s">
        <v>209</v>
      </c>
      <c r="B4" s="263"/>
      <c r="C4" s="263"/>
      <c r="D4" s="263"/>
      <c r="E4" s="263"/>
      <c r="F4" s="269" t="s">
        <v>1883</v>
      </c>
      <c r="G4" s="269"/>
      <c r="H4" s="269"/>
      <c r="I4" s="269"/>
    </row>
    <row r="5" spans="1:19" ht="16.5" customHeight="1" x14ac:dyDescent="0.25">
      <c r="A5" s="263" t="s">
        <v>1640</v>
      </c>
      <c r="B5" s="263"/>
      <c r="C5" s="263"/>
      <c r="D5" s="263"/>
      <c r="E5" s="263"/>
      <c r="F5" s="269" t="s">
        <v>274</v>
      </c>
      <c r="G5" s="269"/>
      <c r="H5" s="269"/>
      <c r="I5" s="269"/>
      <c r="L5" s="39"/>
      <c r="M5" s="39"/>
      <c r="N5" s="39"/>
      <c r="O5" s="39"/>
      <c r="P5" s="39"/>
      <c r="Q5" s="39"/>
    </row>
    <row r="6" spans="1:19" ht="16.5" customHeight="1" x14ac:dyDescent="0.3">
      <c r="A6" s="263" t="s">
        <v>1683</v>
      </c>
      <c r="B6" s="263"/>
      <c r="C6" s="263"/>
      <c r="D6" s="263"/>
      <c r="E6" s="263"/>
      <c r="F6" s="270">
        <v>1</v>
      </c>
      <c r="G6" s="270"/>
      <c r="H6" s="270"/>
      <c r="I6" s="270"/>
      <c r="L6" s="40"/>
      <c r="M6" s="40"/>
      <c r="N6" s="40"/>
      <c r="O6" s="40"/>
      <c r="P6" s="39"/>
      <c r="Q6" s="39"/>
    </row>
    <row r="7" spans="1:19" ht="16.5" customHeight="1" x14ac:dyDescent="0.3">
      <c r="A7" s="263" t="s">
        <v>3</v>
      </c>
      <c r="B7" s="263"/>
      <c r="C7" s="263"/>
      <c r="D7" s="263"/>
      <c r="E7" s="263"/>
      <c r="F7" s="270" t="s">
        <v>124</v>
      </c>
      <c r="G7" s="270"/>
      <c r="H7" s="270"/>
      <c r="I7" s="270"/>
      <c r="K7" s="96"/>
      <c r="L7" s="40"/>
      <c r="M7" s="40"/>
      <c r="N7" s="40"/>
      <c r="O7" s="40"/>
      <c r="P7" s="39"/>
      <c r="Q7" s="39"/>
    </row>
    <row r="8" spans="1:19" ht="16.5" customHeight="1" x14ac:dyDescent="0.3">
      <c r="A8" s="263" t="s">
        <v>1641</v>
      </c>
      <c r="B8" s="263"/>
      <c r="C8" s="263"/>
      <c r="D8" s="263"/>
      <c r="E8" s="263"/>
      <c r="F8" s="270" t="s">
        <v>165</v>
      </c>
      <c r="G8" s="270"/>
      <c r="H8" s="270"/>
      <c r="I8" s="270"/>
      <c r="K8" s="96"/>
      <c r="L8" s="40"/>
      <c r="M8" s="40"/>
      <c r="N8" s="40"/>
      <c r="O8" s="40"/>
      <c r="P8" s="39"/>
      <c r="Q8" s="39"/>
    </row>
    <row r="9" spans="1:19" ht="16.5" customHeight="1" x14ac:dyDescent="0.3">
      <c r="A9" s="263" t="s">
        <v>1639</v>
      </c>
      <c r="B9" s="263"/>
      <c r="C9" s="263"/>
      <c r="D9" s="263"/>
      <c r="E9" s="263"/>
      <c r="F9" s="271" t="str">
        <f>IFERROR(IF(F7="Proprietary","Proprietary Fund",VLOOKUP(F5,qryIndex02a!$A$2:$K$654,4,FALSE)),"Unidentified")</f>
        <v>GENERAL GOVERNMENT</v>
      </c>
      <c r="G9" s="271"/>
      <c r="H9" s="271"/>
      <c r="I9" s="271"/>
      <c r="K9" s="39"/>
      <c r="L9" s="39"/>
      <c r="M9" s="39"/>
      <c r="N9" s="39"/>
      <c r="O9" s="39"/>
      <c r="P9" s="39"/>
    </row>
    <row r="10" spans="1:19" ht="16.5" customHeight="1" x14ac:dyDescent="0.3">
      <c r="A10" s="38"/>
      <c r="B10" s="38"/>
      <c r="C10" s="38"/>
      <c r="D10" s="38"/>
      <c r="E10" s="40"/>
      <c r="F10" s="39"/>
      <c r="G10" s="39"/>
      <c r="H10" s="41"/>
      <c r="I10" s="39"/>
      <c r="J10" s="39"/>
      <c r="K10" s="39"/>
      <c r="L10" s="39"/>
      <c r="M10" s="39"/>
      <c r="N10" s="39"/>
      <c r="O10" s="39"/>
      <c r="P10" s="39"/>
    </row>
    <row r="11" spans="1:19" ht="16.5" customHeight="1" x14ac:dyDescent="0.3">
      <c r="A11" s="38"/>
      <c r="B11" s="38"/>
      <c r="C11" s="38"/>
      <c r="D11" s="38"/>
      <c r="E11" s="40"/>
      <c r="F11" s="39"/>
      <c r="G11" s="39"/>
      <c r="H11" s="41"/>
      <c r="I11" s="39"/>
      <c r="J11" s="39"/>
      <c r="K11" s="39"/>
      <c r="L11" s="39"/>
      <c r="M11" s="39"/>
      <c r="N11" s="39"/>
      <c r="O11" s="39"/>
      <c r="P11" s="39"/>
    </row>
    <row r="12" spans="1:19" s="178" customFormat="1" ht="21" customHeight="1" x14ac:dyDescent="0.4">
      <c r="A12" s="172" t="s">
        <v>175</v>
      </c>
      <c r="B12" s="173"/>
      <c r="C12" s="174"/>
      <c r="D12" s="174"/>
      <c r="E12" s="174"/>
      <c r="F12" s="175"/>
      <c r="G12" s="175"/>
      <c r="H12" s="176"/>
      <c r="I12" s="176"/>
      <c r="J12" s="175"/>
      <c r="K12" s="175"/>
      <c r="L12" s="39"/>
      <c r="M12" s="39"/>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4" t="s">
        <v>1673</v>
      </c>
      <c r="N14" s="265"/>
      <c r="O14" s="188"/>
      <c r="P14" s="264" t="s">
        <v>1668</v>
      </c>
      <c r="Q14" s="265"/>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69696236</v>
      </c>
      <c r="M17" s="196">
        <v>69696236</v>
      </c>
      <c r="P17" s="196">
        <v>69696236</v>
      </c>
      <c r="Q17" s="224"/>
      <c r="S17" s="223">
        <f t="shared" si="0"/>
        <v>0</v>
      </c>
    </row>
    <row r="18" spans="1:19" ht="16.5" customHeight="1" x14ac:dyDescent="0.3">
      <c r="A18" s="99"/>
      <c r="B18" s="26" t="s">
        <v>179</v>
      </c>
      <c r="C18" s="26"/>
      <c r="D18" s="26"/>
      <c r="E18" s="193"/>
      <c r="F18" s="194"/>
      <c r="G18" s="194"/>
      <c r="H18" s="195"/>
      <c r="I18" s="195"/>
      <c r="J18" s="248">
        <f>P18</f>
        <v>1220896</v>
      </c>
      <c r="M18" s="196">
        <f>+N22+N23-M17</f>
        <v>1220896</v>
      </c>
      <c r="P18" s="221">
        <f>IF(SUM($Q$20:$Q$23)&gt;SUM($P$15:$P$17),SUM($Q$20:$Q$23)-SUM($P$15:$P$17),0)</f>
        <v>1220896</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10165255</v>
      </c>
      <c r="N22" s="196">
        <v>10165255</v>
      </c>
      <c r="P22" s="224"/>
      <c r="Q22" s="196">
        <f>+N22</f>
        <v>10165255</v>
      </c>
      <c r="S22" s="223">
        <f t="shared" ref="S22:S25" si="1">Q22-N22</f>
        <v>0</v>
      </c>
    </row>
    <row r="23" spans="1:19" ht="16.5" customHeight="1" x14ac:dyDescent="0.3">
      <c r="A23" s="234" t="s">
        <v>1698</v>
      </c>
      <c r="B23" s="26"/>
      <c r="C23" s="26" t="s">
        <v>184</v>
      </c>
      <c r="D23" s="26"/>
      <c r="E23" s="193"/>
      <c r="F23" s="194"/>
      <c r="G23" s="194"/>
      <c r="H23" s="195"/>
      <c r="I23" s="195"/>
      <c r="J23" s="213"/>
      <c r="K23" s="248">
        <f>N23</f>
        <v>60751877</v>
      </c>
      <c r="N23" s="196">
        <v>60751877</v>
      </c>
      <c r="P23" s="224"/>
      <c r="Q23" s="196">
        <f>+N23</f>
        <v>60751877</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70917132</v>
      </c>
      <c r="K26" s="155">
        <f>SUM(K15:K25)</f>
        <v>70917132</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39"/>
      <c r="M31" s="39"/>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v>1119151.29</v>
      </c>
      <c r="K33" s="197"/>
    </row>
    <row r="34" spans="1:12" ht="16.5" customHeight="1" x14ac:dyDescent="0.3">
      <c r="A34" s="99"/>
      <c r="B34" s="26"/>
      <c r="C34" s="26" t="s">
        <v>1861</v>
      </c>
      <c r="D34" s="193"/>
      <c r="E34" s="193"/>
      <c r="F34" s="194"/>
      <c r="G34" s="194"/>
      <c r="H34" s="195"/>
      <c r="I34" s="195"/>
      <c r="J34" s="197"/>
      <c r="K34" s="196">
        <v>1119151.29</v>
      </c>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1119151.29</v>
      </c>
      <c r="K36" s="155">
        <f>SUM(K33:K35)</f>
        <v>1119151.29</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v>1119151.29</v>
      </c>
      <c r="K41" s="197"/>
    </row>
    <row r="42" spans="1:12" ht="16.5" customHeight="1" x14ac:dyDescent="0.3">
      <c r="A42" s="99"/>
      <c r="B42" s="26"/>
      <c r="C42" s="26" t="s">
        <v>198</v>
      </c>
      <c r="D42" s="193"/>
      <c r="E42" s="193"/>
      <c r="F42" s="194"/>
      <c r="G42" s="194"/>
      <c r="H42" s="195"/>
      <c r="I42" s="195"/>
      <c r="J42" s="197"/>
      <c r="K42" s="196">
        <v>1119151.29</v>
      </c>
    </row>
    <row r="43" spans="1:12" ht="16.5" customHeight="1" x14ac:dyDescent="0.3">
      <c r="A43" s="99"/>
      <c r="B43" s="182" t="s">
        <v>1692</v>
      </c>
      <c r="C43" s="43"/>
      <c r="D43" s="43"/>
      <c r="E43" s="43"/>
      <c r="F43" s="44"/>
      <c r="G43" s="44"/>
      <c r="H43" s="45"/>
      <c r="I43" s="45"/>
      <c r="J43" s="155">
        <f>SUM(J39:J42)</f>
        <v>1119151.29</v>
      </c>
      <c r="K43" s="155">
        <f>SUM(K39:K42)</f>
        <v>1119151.29</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v>1119151.29</v>
      </c>
      <c r="K47" s="197"/>
    </row>
    <row r="48" spans="1:12" ht="16.5" customHeight="1" x14ac:dyDescent="0.3">
      <c r="A48" s="234" t="s">
        <v>1698</v>
      </c>
      <c r="B48" s="26"/>
      <c r="C48" s="26" t="s">
        <v>184</v>
      </c>
      <c r="D48" s="193"/>
      <c r="E48" s="193"/>
      <c r="F48" s="194"/>
      <c r="G48" s="194"/>
      <c r="H48" s="195"/>
      <c r="I48" s="195"/>
      <c r="J48" s="197"/>
      <c r="K48" s="196">
        <v>1119151.29</v>
      </c>
    </row>
    <row r="49" spans="1:16" ht="16.5" customHeight="1" x14ac:dyDescent="0.3">
      <c r="A49" s="99"/>
      <c r="C49" s="43"/>
      <c r="D49" s="43"/>
      <c r="E49" s="43"/>
      <c r="F49" s="44"/>
      <c r="G49" s="44"/>
      <c r="H49" s="45"/>
      <c r="I49" s="45"/>
      <c r="J49" s="155">
        <f>SUM(J47:J48)</f>
        <v>1119151.29</v>
      </c>
      <c r="K49" s="155">
        <f>SUM(K47:K48)</f>
        <v>1119151.29</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39"/>
      <c r="M53" s="39"/>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10168191.930000009</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10168191.930000009</v>
      </c>
    </row>
    <row r="59" spans="1:16" ht="16.5" customHeight="1" x14ac:dyDescent="0.3">
      <c r="A59" s="99"/>
      <c r="C59" s="43"/>
      <c r="D59" s="43"/>
      <c r="E59" s="43"/>
      <c r="F59" s="44"/>
      <c r="G59" s="44"/>
      <c r="H59" s="45"/>
      <c r="I59" s="45"/>
      <c r="J59" s="155">
        <f>SUM(J55:J58)</f>
        <v>10168191.930000009</v>
      </c>
      <c r="K59" s="155">
        <f>SUM(K55:K58)</f>
        <v>10168191.930000009</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9428603</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518014</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9946617</v>
      </c>
    </row>
    <row r="65" spans="1:12" ht="16.5" customHeight="1" x14ac:dyDescent="0.3">
      <c r="A65" s="99"/>
      <c r="C65" s="43"/>
      <c r="D65" s="43"/>
      <c r="E65" s="43"/>
      <c r="F65" s="44"/>
      <c r="G65" s="44"/>
      <c r="H65" s="45"/>
      <c r="I65" s="45"/>
      <c r="J65" s="155">
        <f>SUM(J62:J64)</f>
        <v>9946617</v>
      </c>
      <c r="K65" s="155">
        <f>SUM(K62:K64)</f>
        <v>9946617</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9428603</v>
      </c>
      <c r="K68" s="197"/>
    </row>
    <row r="69" spans="1:12" ht="16.5" customHeight="1" x14ac:dyDescent="0.3">
      <c r="A69" s="99"/>
      <c r="B69" s="26"/>
      <c r="C69" s="26" t="s">
        <v>203</v>
      </c>
      <c r="D69" s="193"/>
      <c r="E69" s="193"/>
      <c r="F69" s="194"/>
      <c r="G69" s="194"/>
      <c r="H69" s="195"/>
      <c r="I69" s="195"/>
      <c r="J69" s="197"/>
      <c r="K69" s="196">
        <v>9428603</v>
      </c>
    </row>
    <row r="70" spans="1:12" ht="16.5" customHeight="1" x14ac:dyDescent="0.3">
      <c r="A70" s="99"/>
      <c r="C70" s="43"/>
      <c r="D70" s="43"/>
      <c r="E70" s="43"/>
      <c r="F70" s="44"/>
      <c r="G70" s="44"/>
      <c r="H70" s="45"/>
      <c r="I70" s="45"/>
      <c r="J70" s="155">
        <f>SUM(J68:J69)</f>
        <v>9428603</v>
      </c>
      <c r="K70" s="155">
        <f>SUM(K68:K69)</f>
        <v>9428603</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9962336.2215853613</v>
      </c>
      <c r="K75" s="197"/>
    </row>
    <row r="76" spans="1:12" ht="16.5" customHeight="1" x14ac:dyDescent="0.3">
      <c r="A76" s="99"/>
      <c r="B76" s="26"/>
      <c r="C76" s="26" t="s">
        <v>211</v>
      </c>
      <c r="D76" s="193"/>
      <c r="E76" s="193"/>
      <c r="F76" s="194"/>
      <c r="G76" s="194"/>
      <c r="H76" s="195"/>
      <c r="I76" s="195"/>
      <c r="J76" s="197"/>
      <c r="K76" s="196">
        <v>9962336.2215853613</v>
      </c>
    </row>
    <row r="77" spans="1:12" ht="16.5" customHeight="1" x14ac:dyDescent="0.25">
      <c r="A77" s="99"/>
      <c r="B77" s="266" t="s">
        <v>1841</v>
      </c>
      <c r="C77" s="266"/>
      <c r="D77" s="266"/>
      <c r="E77" s="266"/>
      <c r="F77" s="266"/>
      <c r="G77" s="266"/>
      <c r="H77" s="266"/>
      <c r="I77" s="266"/>
      <c r="J77" s="155">
        <f>SUM(J75:J76)</f>
        <v>9962336.2215853613</v>
      </c>
      <c r="K77" s="155">
        <f>SUM(K75:K76)</f>
        <v>9962336.2215853613</v>
      </c>
      <c r="L77" s="21" t="str">
        <f>IF(J77=K77,"&lt;- Debits and Credits equal each other.","&lt;- Debits and Credits do not equal each other.")</f>
        <v>&lt;- Debits and Credits equal each other.</v>
      </c>
    </row>
    <row r="78" spans="1:12" ht="16.5" customHeight="1" x14ac:dyDescent="0.25">
      <c r="A78" s="99"/>
      <c r="B78" s="266"/>
      <c r="C78" s="266"/>
      <c r="D78" s="266"/>
      <c r="E78" s="266"/>
      <c r="F78" s="266"/>
      <c r="G78" s="266"/>
      <c r="H78" s="266"/>
      <c r="I78" s="266"/>
      <c r="J78" s="155"/>
      <c r="K78" s="155"/>
      <c r="L78" s="21"/>
    </row>
    <row r="79" spans="1:12" ht="24.6" customHeight="1" x14ac:dyDescent="0.25">
      <c r="A79" s="99"/>
      <c r="B79" s="266"/>
      <c r="C79" s="266"/>
      <c r="D79" s="266"/>
      <c r="E79" s="266"/>
      <c r="F79" s="266"/>
      <c r="G79" s="266"/>
      <c r="H79" s="266"/>
      <c r="I79" s="266"/>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39"/>
      <c r="M83" s="39"/>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39"/>
      <c r="M94" s="39"/>
      <c r="N94" s="177"/>
      <c r="O94" s="177"/>
      <c r="P94" s="177"/>
    </row>
    <row r="95" spans="1:16" s="188" customFormat="1" ht="16.5" customHeight="1" x14ac:dyDescent="0.35">
      <c r="A95" s="184">
        <v>9</v>
      </c>
      <c r="B95" s="215" t="s">
        <v>1874</v>
      </c>
      <c r="C95" s="189"/>
      <c r="D95" s="189"/>
      <c r="E95" s="189"/>
      <c r="F95" s="189"/>
      <c r="G95" s="189"/>
      <c r="H95" s="189"/>
      <c r="I95" s="189"/>
      <c r="J95" s="190"/>
      <c r="K95" s="190"/>
    </row>
    <row r="96" spans="1:16" ht="16.5" customHeight="1" x14ac:dyDescent="0.25">
      <c r="A96" s="234" t="s">
        <v>1698</v>
      </c>
      <c r="B96" s="26" t="s">
        <v>202</v>
      </c>
      <c r="C96" s="26"/>
      <c r="D96" s="20"/>
      <c r="E96" s="20"/>
      <c r="F96" s="20"/>
      <c r="G96" s="20"/>
      <c r="H96" s="20"/>
      <c r="I96" s="20"/>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189"/>
      <c r="D109" s="189"/>
    </row>
    <row r="110" spans="1:12" ht="16.5" customHeight="1" x14ac:dyDescent="0.25">
      <c r="A110" s="228" t="s">
        <v>1690</v>
      </c>
      <c r="B110" s="26" t="s">
        <v>181</v>
      </c>
      <c r="C110" s="26"/>
      <c r="D110" s="20"/>
      <c r="E110" s="53"/>
      <c r="F110" s="53"/>
      <c r="G110" s="53"/>
      <c r="H110" s="53"/>
      <c r="I110" s="53"/>
      <c r="J110" s="196"/>
      <c r="K110" s="53"/>
    </row>
    <row r="111" spans="1:12" ht="16.5" customHeight="1" x14ac:dyDescent="0.25">
      <c r="A111" s="228" t="s">
        <v>1690</v>
      </c>
      <c r="B111" s="26" t="s">
        <v>182</v>
      </c>
      <c r="C111" s="26"/>
      <c r="D111" s="20"/>
      <c r="E111" s="53"/>
      <c r="F111" s="53"/>
      <c r="G111" s="53"/>
      <c r="H111" s="53"/>
      <c r="I111" s="53"/>
      <c r="J111" s="196"/>
      <c r="K111" s="53"/>
    </row>
    <row r="112" spans="1:12" ht="16.5" customHeight="1" x14ac:dyDescent="0.25">
      <c r="A112" s="228" t="s">
        <v>1690</v>
      </c>
      <c r="B112" s="26" t="s">
        <v>183</v>
      </c>
      <c r="C112" s="26"/>
      <c r="D112" s="20"/>
      <c r="E112" s="53"/>
      <c r="F112" s="53"/>
      <c r="G112" s="53"/>
      <c r="H112" s="53"/>
      <c r="I112" s="53"/>
      <c r="J112" s="196">
        <v>820662.75</v>
      </c>
      <c r="K112" s="53"/>
    </row>
    <row r="113" spans="1:12" ht="16.5" customHeight="1" x14ac:dyDescent="0.25">
      <c r="A113" s="234" t="s">
        <v>1698</v>
      </c>
      <c r="B113" s="26"/>
      <c r="C113" s="26" t="s">
        <v>184</v>
      </c>
      <c r="D113" s="20"/>
      <c r="E113" s="53"/>
      <c r="F113" s="53"/>
      <c r="G113" s="53"/>
      <c r="H113" s="53"/>
      <c r="I113" s="53"/>
      <c r="J113" s="53"/>
      <c r="K113" s="196">
        <v>820662.75</v>
      </c>
    </row>
    <row r="114" spans="1:12" ht="16.5" customHeight="1" x14ac:dyDescent="0.3">
      <c r="A114" s="15"/>
      <c r="B114" s="182" t="s">
        <v>1692</v>
      </c>
      <c r="C114" s="166"/>
      <c r="D114" s="166"/>
      <c r="H114" s="37"/>
      <c r="J114" s="156">
        <f>SUM(J110:J113)</f>
        <v>820662.75</v>
      </c>
      <c r="K114" s="156">
        <f>SUM(K110:K113)</f>
        <v>820662.75</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71636050.040000007</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-20333446.930000007</v>
      </c>
    </row>
    <row r="128" spans="1:12" ht="16.5" customHeight="1" x14ac:dyDescent="0.3">
      <c r="D128" s="193" t="s">
        <v>1709</v>
      </c>
      <c r="H128" s="37"/>
      <c r="K128" s="238">
        <f>-K23-K48+J68+J75+J96-K113</f>
        <v>-43300751.818414636</v>
      </c>
    </row>
    <row r="129" spans="4:11" ht="16.5" customHeight="1" x14ac:dyDescent="0.3">
      <c r="D129" s="193" t="s">
        <v>1710</v>
      </c>
      <c r="H129" s="37"/>
      <c r="K129" s="238">
        <f>-K76</f>
        <v>-9962336.2215853613</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42F78-FBF6-4615-941B-E4B6A0843940}">
  <sheetPr>
    <tabColor theme="9" tint="0.59999389629810485"/>
    <pageSetUpPr fitToPage="1"/>
  </sheetPr>
  <dimension ref="A1:S193"/>
  <sheetViews>
    <sheetView zoomScale="70" zoomScaleNormal="70" workbookViewId="0">
      <selection activeCell="M18" sqref="M18"/>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7" t="s">
        <v>1661</v>
      </c>
      <c r="B1" s="267"/>
      <c r="C1" s="267"/>
      <c r="D1" s="267"/>
      <c r="E1" s="267"/>
      <c r="F1" s="267"/>
      <c r="G1" s="267"/>
      <c r="H1" s="267"/>
      <c r="I1" s="267"/>
      <c r="J1" s="267"/>
      <c r="K1" s="267"/>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3" t="s">
        <v>13</v>
      </c>
      <c r="B3" s="263"/>
      <c r="C3" s="263"/>
      <c r="D3" s="263"/>
      <c r="E3" s="263"/>
      <c r="F3" s="268" t="s">
        <v>24</v>
      </c>
      <c r="G3" s="268"/>
      <c r="H3" s="268"/>
      <c r="I3" s="268"/>
    </row>
    <row r="4" spans="1:19" ht="16.5" customHeight="1" x14ac:dyDescent="0.25">
      <c r="A4" s="263" t="s">
        <v>209</v>
      </c>
      <c r="B4" s="263"/>
      <c r="C4" s="263"/>
      <c r="D4" s="263"/>
      <c r="E4" s="263"/>
      <c r="F4" s="269" t="s">
        <v>1883</v>
      </c>
      <c r="G4" s="269"/>
      <c r="H4" s="269"/>
      <c r="I4" s="269"/>
    </row>
    <row r="5" spans="1:19" ht="16.5" customHeight="1" x14ac:dyDescent="0.25">
      <c r="A5" s="263" t="s">
        <v>1640</v>
      </c>
      <c r="B5" s="263"/>
      <c r="C5" s="263"/>
      <c r="D5" s="263"/>
      <c r="E5" s="263"/>
      <c r="F5" s="269" t="s">
        <v>274</v>
      </c>
      <c r="G5" s="269"/>
      <c r="H5" s="269"/>
      <c r="I5" s="269"/>
      <c r="L5" s="252"/>
      <c r="M5" s="252"/>
      <c r="N5" s="252"/>
      <c r="O5" s="252"/>
      <c r="P5" s="252"/>
      <c r="Q5" s="252"/>
    </row>
    <row r="6" spans="1:19" ht="16.5" customHeight="1" x14ac:dyDescent="0.3">
      <c r="A6" s="263" t="s">
        <v>1683</v>
      </c>
      <c r="B6" s="263"/>
      <c r="C6" s="263"/>
      <c r="D6" s="263"/>
      <c r="E6" s="263"/>
      <c r="F6" s="270">
        <v>159</v>
      </c>
      <c r="G6" s="270"/>
      <c r="H6" s="270"/>
      <c r="I6" s="270"/>
      <c r="L6" s="40"/>
      <c r="M6" s="40"/>
      <c r="N6" s="40"/>
      <c r="O6" s="40"/>
      <c r="P6" s="252"/>
      <c r="Q6" s="252"/>
    </row>
    <row r="7" spans="1:19" ht="16.5" customHeight="1" x14ac:dyDescent="0.3">
      <c r="A7" s="263" t="s">
        <v>3</v>
      </c>
      <c r="B7" s="263"/>
      <c r="C7" s="263"/>
      <c r="D7" s="263"/>
      <c r="E7" s="263"/>
      <c r="F7" s="270" t="s">
        <v>124</v>
      </c>
      <c r="G7" s="270"/>
      <c r="H7" s="270"/>
      <c r="I7" s="270"/>
      <c r="K7" s="96"/>
      <c r="L7" s="40"/>
      <c r="M7" s="40"/>
      <c r="N7" s="40"/>
      <c r="O7" s="40"/>
      <c r="P7" s="252"/>
      <c r="Q7" s="252"/>
    </row>
    <row r="8" spans="1:19" ht="16.5" customHeight="1" x14ac:dyDescent="0.3">
      <c r="A8" s="263" t="s">
        <v>1641</v>
      </c>
      <c r="B8" s="263"/>
      <c r="C8" s="263"/>
      <c r="D8" s="263"/>
      <c r="E8" s="263"/>
      <c r="F8" s="270" t="s">
        <v>165</v>
      </c>
      <c r="G8" s="270"/>
      <c r="H8" s="270"/>
      <c r="I8" s="270"/>
      <c r="K8" s="96"/>
      <c r="L8" s="40"/>
      <c r="M8" s="40"/>
      <c r="N8" s="40"/>
      <c r="O8" s="40"/>
      <c r="P8" s="252"/>
      <c r="Q8" s="252"/>
    </row>
    <row r="9" spans="1:19" ht="16.5" customHeight="1" x14ac:dyDescent="0.3">
      <c r="A9" s="263" t="s">
        <v>1639</v>
      </c>
      <c r="B9" s="263"/>
      <c r="C9" s="263"/>
      <c r="D9" s="263"/>
      <c r="E9" s="263"/>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4" t="s">
        <v>1673</v>
      </c>
      <c r="N14" s="265"/>
      <c r="O14" s="188"/>
      <c r="P14" s="264" t="s">
        <v>1668</v>
      </c>
      <c r="Q14" s="265"/>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439288</v>
      </c>
      <c r="M17" s="196">
        <v>439288</v>
      </c>
      <c r="P17" s="196">
        <v>439288</v>
      </c>
      <c r="Q17" s="224"/>
      <c r="S17" s="223">
        <f t="shared" si="0"/>
        <v>0</v>
      </c>
    </row>
    <row r="18" spans="1:19" ht="16.5" customHeight="1" x14ac:dyDescent="0.3">
      <c r="A18" s="99"/>
      <c r="B18" s="26" t="s">
        <v>179</v>
      </c>
      <c r="C18" s="26"/>
      <c r="D18" s="26"/>
      <c r="E18" s="193"/>
      <c r="F18" s="194"/>
      <c r="G18" s="194"/>
      <c r="H18" s="195"/>
      <c r="I18" s="195"/>
      <c r="J18" s="248">
        <f>P18</f>
        <v>5974</v>
      </c>
      <c r="M18" s="196">
        <f>+N22+N23-M17</f>
        <v>5974</v>
      </c>
      <c r="P18" s="221">
        <f>IF(SUM($Q$20:$Q$23)&gt;SUM($P$15:$P$17),SUM($Q$20:$Q$23)-SUM($P$15:$P$17),0)</f>
        <v>5974</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61469</v>
      </c>
      <c r="N22" s="196">
        <v>61469</v>
      </c>
      <c r="P22" s="224"/>
      <c r="Q22" s="196">
        <f>+N22</f>
        <v>61469</v>
      </c>
      <c r="S22" s="223">
        <f t="shared" ref="S22:S25" si="1">Q22-N22</f>
        <v>0</v>
      </c>
    </row>
    <row r="23" spans="1:19" ht="16.5" customHeight="1" x14ac:dyDescent="0.3">
      <c r="A23" s="234" t="s">
        <v>1698</v>
      </c>
      <c r="B23" s="26"/>
      <c r="C23" s="26" t="s">
        <v>184</v>
      </c>
      <c r="D23" s="26"/>
      <c r="E23" s="193"/>
      <c r="F23" s="194"/>
      <c r="G23" s="194"/>
      <c r="H23" s="195"/>
      <c r="I23" s="195"/>
      <c r="J23" s="213"/>
      <c r="K23" s="248">
        <f>N23</f>
        <v>383793</v>
      </c>
      <c r="N23" s="196">
        <v>383793</v>
      </c>
      <c r="P23" s="224"/>
      <c r="Q23" s="196">
        <f>+N23</f>
        <v>383793</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445262</v>
      </c>
      <c r="K26" s="155">
        <f>SUM(K15:K25)</f>
        <v>445262</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61468.599999999991</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61468.599999999991</v>
      </c>
    </row>
    <row r="59" spans="1:16" ht="16.5" customHeight="1" x14ac:dyDescent="0.3">
      <c r="A59" s="99"/>
      <c r="C59" s="43"/>
      <c r="D59" s="43"/>
      <c r="E59" s="43"/>
      <c r="F59" s="44"/>
      <c r="G59" s="44"/>
      <c r="H59" s="45"/>
      <c r="I59" s="45"/>
      <c r="J59" s="155">
        <f>SUM(J55:J58)</f>
        <v>61468.599999999991</v>
      </c>
      <c r="K59" s="155">
        <f>SUM(K55:K58)</f>
        <v>61468.599999999991</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57283</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3219</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60502</v>
      </c>
    </row>
    <row r="65" spans="1:12" ht="16.5" customHeight="1" x14ac:dyDescent="0.3">
      <c r="A65" s="99"/>
      <c r="C65" s="43"/>
      <c r="D65" s="43"/>
      <c r="E65" s="43"/>
      <c r="F65" s="44"/>
      <c r="G65" s="44"/>
      <c r="H65" s="45"/>
      <c r="I65" s="45"/>
      <c r="J65" s="155">
        <f>SUM(J62:J64)</f>
        <v>60502</v>
      </c>
      <c r="K65" s="155">
        <f>SUM(K62:K64)</f>
        <v>60502</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57283</v>
      </c>
      <c r="K68" s="197"/>
    </row>
    <row r="69" spans="1:12" ht="16.5" customHeight="1" x14ac:dyDescent="0.3">
      <c r="A69" s="99"/>
      <c r="B69" s="26"/>
      <c r="C69" s="26" t="s">
        <v>203</v>
      </c>
      <c r="D69" s="193"/>
      <c r="E69" s="193"/>
      <c r="F69" s="194"/>
      <c r="G69" s="194"/>
      <c r="H69" s="195"/>
      <c r="I69" s="195"/>
      <c r="J69" s="197"/>
      <c r="K69" s="196">
        <v>57283</v>
      </c>
    </row>
    <row r="70" spans="1:12" ht="16.5" customHeight="1" x14ac:dyDescent="0.3">
      <c r="A70" s="99"/>
      <c r="C70" s="43"/>
      <c r="D70" s="43"/>
      <c r="E70" s="43"/>
      <c r="F70" s="44"/>
      <c r="G70" s="44"/>
      <c r="H70" s="45"/>
      <c r="I70" s="45"/>
      <c r="J70" s="155">
        <f>SUM(J68:J69)</f>
        <v>57283</v>
      </c>
      <c r="K70" s="155">
        <f>SUM(K68:K69)</f>
        <v>57283</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57347.19221623351</v>
      </c>
      <c r="K75" s="197"/>
    </row>
    <row r="76" spans="1:12" ht="16.5" customHeight="1" x14ac:dyDescent="0.3">
      <c r="A76" s="99"/>
      <c r="B76" s="26"/>
      <c r="C76" s="26" t="s">
        <v>211</v>
      </c>
      <c r="D76" s="193"/>
      <c r="E76" s="193"/>
      <c r="F76" s="194"/>
      <c r="G76" s="194"/>
      <c r="H76" s="195"/>
      <c r="I76" s="195"/>
      <c r="J76" s="197"/>
      <c r="K76" s="196">
        <v>57347.19221623351</v>
      </c>
    </row>
    <row r="77" spans="1:12" ht="16.5" customHeight="1" x14ac:dyDescent="0.25">
      <c r="A77" s="99"/>
      <c r="B77" s="266" t="s">
        <v>1841</v>
      </c>
      <c r="C77" s="266"/>
      <c r="D77" s="266"/>
      <c r="E77" s="266"/>
      <c r="F77" s="266"/>
      <c r="G77" s="266"/>
      <c r="H77" s="266"/>
      <c r="I77" s="266"/>
      <c r="J77" s="155">
        <f>SUM(J75:J76)</f>
        <v>57347.19221623351</v>
      </c>
      <c r="K77" s="155">
        <f>SUM(K75:K76)</f>
        <v>57347.19221623351</v>
      </c>
      <c r="L77" s="21" t="str">
        <f>IF(J77=K77,"&lt;- Debits and Credits equal each other.","&lt;- Debits and Credits do not equal each other.")</f>
        <v>&lt;- Debits and Credits equal each other.</v>
      </c>
    </row>
    <row r="78" spans="1:12" ht="16.5" customHeight="1" x14ac:dyDescent="0.25">
      <c r="A78" s="99"/>
      <c r="B78" s="266"/>
      <c r="C78" s="266"/>
      <c r="D78" s="266"/>
      <c r="E78" s="266"/>
      <c r="F78" s="266"/>
      <c r="G78" s="266"/>
      <c r="H78" s="266"/>
      <c r="I78" s="266"/>
      <c r="J78" s="155"/>
      <c r="K78" s="155"/>
      <c r="L78" s="21"/>
    </row>
    <row r="79" spans="1:12" ht="24.6" customHeight="1" x14ac:dyDescent="0.25">
      <c r="A79" s="99"/>
      <c r="B79" s="266"/>
      <c r="C79" s="266"/>
      <c r="D79" s="266"/>
      <c r="E79" s="266"/>
      <c r="F79" s="266"/>
      <c r="G79" s="266"/>
      <c r="H79" s="266"/>
      <c r="I79" s="266"/>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c r="K112" s="53"/>
    </row>
    <row r="113" spans="1:12" ht="16.5" customHeight="1" x14ac:dyDescent="0.25">
      <c r="A113" s="234" t="s">
        <v>1698</v>
      </c>
      <c r="B113" s="26"/>
      <c r="C113" s="26" t="s">
        <v>184</v>
      </c>
      <c r="D113" s="255"/>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439288</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-122937.59999999999</v>
      </c>
    </row>
    <row r="128" spans="1:12" ht="16.5" customHeight="1" x14ac:dyDescent="0.3">
      <c r="D128" s="193" t="s">
        <v>1709</v>
      </c>
      <c r="H128" s="37"/>
      <c r="K128" s="238">
        <f>-K23-K48+J68+J75+J96-K113</f>
        <v>-269162.80778376648</v>
      </c>
    </row>
    <row r="129" spans="4:11" ht="16.5" customHeight="1" x14ac:dyDescent="0.3">
      <c r="D129" s="193" t="s">
        <v>1710</v>
      </c>
      <c r="H129" s="37"/>
      <c r="K129" s="238">
        <f>-K76</f>
        <v>-57347.19221623351</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94EE4638-3EF4-4CED-8787-1D5EBB6E268F}">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02A51A8-CA2C-40D7-98AB-5C32AB8A789D}">
      <formula1>0</formula1>
    </dataValidation>
    <dataValidation operator="lessThan" allowBlank="1" showInputMessage="1" showErrorMessage="1" sqref="A3:A8" xr:uid="{F424D7CD-C396-4DA0-A5C1-A8283A5D56C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E3A35201-F676-4BE5-B7D8-FF1647771E54}">
          <x14:formula1>
            <xm:f>'Drop Down Menus'!$E$1:$E$3</xm:f>
          </x14:formula1>
          <xm:sqref>F8</xm:sqref>
        </x14:dataValidation>
        <x14:dataValidation type="list" allowBlank="1" showInputMessage="1" showErrorMessage="1" xr:uid="{CD63521A-5B67-4103-A376-C93CA9F4A4DE}">
          <x14:formula1>
            <xm:f>'Drop Down Menus'!$B$1:$B$2</xm:f>
          </x14:formula1>
          <xm:sqref>F7</xm:sqref>
        </x14:dataValidation>
        <x14:dataValidation type="list" allowBlank="1" showInputMessage="1" showErrorMessage="1" xr:uid="{25FADB1B-395F-436F-87BF-6EA10387FC2C}">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1C574-C786-461A-857C-5E9E9022766A}">
  <sheetPr>
    <tabColor theme="9" tint="0.59999389629810485"/>
    <pageSetUpPr fitToPage="1"/>
  </sheetPr>
  <dimension ref="A1:S193"/>
  <sheetViews>
    <sheetView zoomScale="70" zoomScaleNormal="70" workbookViewId="0">
      <selection activeCell="M18" sqref="M18"/>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7" t="s">
        <v>1661</v>
      </c>
      <c r="B1" s="267"/>
      <c r="C1" s="267"/>
      <c r="D1" s="267"/>
      <c r="E1" s="267"/>
      <c r="F1" s="267"/>
      <c r="G1" s="267"/>
      <c r="H1" s="267"/>
      <c r="I1" s="267"/>
      <c r="J1" s="267"/>
      <c r="K1" s="267"/>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3" t="s">
        <v>13</v>
      </c>
      <c r="B3" s="263"/>
      <c r="C3" s="263"/>
      <c r="D3" s="263"/>
      <c r="E3" s="263"/>
      <c r="F3" s="268" t="s">
        <v>24</v>
      </c>
      <c r="G3" s="268"/>
      <c r="H3" s="268"/>
      <c r="I3" s="268"/>
    </row>
    <row r="4" spans="1:19" ht="16.5" customHeight="1" x14ac:dyDescent="0.25">
      <c r="A4" s="263" t="s">
        <v>209</v>
      </c>
      <c r="B4" s="263"/>
      <c r="C4" s="263"/>
      <c r="D4" s="263"/>
      <c r="E4" s="263"/>
      <c r="F4" s="269" t="s">
        <v>1883</v>
      </c>
      <c r="G4" s="269"/>
      <c r="H4" s="269"/>
      <c r="I4" s="269"/>
    </row>
    <row r="5" spans="1:19" ht="16.5" customHeight="1" x14ac:dyDescent="0.25">
      <c r="A5" s="263" t="s">
        <v>1640</v>
      </c>
      <c r="B5" s="263"/>
      <c r="C5" s="263"/>
      <c r="D5" s="263"/>
      <c r="E5" s="263"/>
      <c r="F5" s="269" t="s">
        <v>274</v>
      </c>
      <c r="G5" s="269"/>
      <c r="H5" s="269"/>
      <c r="I5" s="269"/>
      <c r="L5" s="252"/>
      <c r="M5" s="252"/>
      <c r="N5" s="252"/>
      <c r="O5" s="252"/>
      <c r="P5" s="252"/>
      <c r="Q5" s="252"/>
    </row>
    <row r="6" spans="1:19" ht="16.5" customHeight="1" x14ac:dyDescent="0.3">
      <c r="A6" s="263" t="s">
        <v>1683</v>
      </c>
      <c r="B6" s="263"/>
      <c r="C6" s="263"/>
      <c r="D6" s="263"/>
      <c r="E6" s="263"/>
      <c r="F6" s="270">
        <v>587</v>
      </c>
      <c r="G6" s="270"/>
      <c r="H6" s="270"/>
      <c r="I6" s="270"/>
      <c r="L6" s="40"/>
      <c r="M6" s="40"/>
      <c r="N6" s="40"/>
      <c r="O6" s="40"/>
      <c r="P6" s="252"/>
      <c r="Q6" s="252"/>
    </row>
    <row r="7" spans="1:19" ht="16.5" customHeight="1" x14ac:dyDescent="0.3">
      <c r="A7" s="263" t="s">
        <v>3</v>
      </c>
      <c r="B7" s="263"/>
      <c r="C7" s="263"/>
      <c r="D7" s="263"/>
      <c r="E7" s="263"/>
      <c r="F7" s="270" t="s">
        <v>124</v>
      </c>
      <c r="G7" s="270"/>
      <c r="H7" s="270"/>
      <c r="I7" s="270"/>
      <c r="K7" s="96"/>
      <c r="L7" s="40"/>
      <c r="M7" s="40"/>
      <c r="N7" s="40"/>
      <c r="O7" s="40"/>
      <c r="P7" s="252"/>
      <c r="Q7" s="252"/>
    </row>
    <row r="8" spans="1:19" ht="16.5" customHeight="1" x14ac:dyDescent="0.3">
      <c r="A8" s="263" t="s">
        <v>1641</v>
      </c>
      <c r="B8" s="263"/>
      <c r="C8" s="263"/>
      <c r="D8" s="263"/>
      <c r="E8" s="263"/>
      <c r="F8" s="270" t="s">
        <v>165</v>
      </c>
      <c r="G8" s="270"/>
      <c r="H8" s="270"/>
      <c r="I8" s="270"/>
      <c r="K8" s="96"/>
      <c r="L8" s="40"/>
      <c r="M8" s="40"/>
      <c r="N8" s="40"/>
      <c r="O8" s="40"/>
      <c r="P8" s="252"/>
      <c r="Q8" s="252"/>
    </row>
    <row r="9" spans="1:19" ht="16.5" customHeight="1" x14ac:dyDescent="0.3">
      <c r="A9" s="263" t="s">
        <v>1639</v>
      </c>
      <c r="B9" s="263"/>
      <c r="C9" s="263"/>
      <c r="D9" s="263"/>
      <c r="E9" s="263"/>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4" t="s">
        <v>1673</v>
      </c>
      <c r="N14" s="265"/>
      <c r="O14" s="188"/>
      <c r="P14" s="264" t="s">
        <v>1668</v>
      </c>
      <c r="Q14" s="265"/>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196228</v>
      </c>
      <c r="M17" s="196">
        <v>196228</v>
      </c>
      <c r="P17" s="196">
        <v>196228</v>
      </c>
      <c r="Q17" s="224"/>
      <c r="S17" s="223">
        <f t="shared" si="0"/>
        <v>0</v>
      </c>
    </row>
    <row r="18" spans="1:19" ht="16.5" customHeight="1" x14ac:dyDescent="0.3">
      <c r="A18" s="99"/>
      <c r="B18" s="26" t="s">
        <v>179</v>
      </c>
      <c r="C18" s="26"/>
      <c r="D18" s="26"/>
      <c r="E18" s="193"/>
      <c r="F18" s="194"/>
      <c r="G18" s="194"/>
      <c r="H18" s="195"/>
      <c r="I18" s="195"/>
      <c r="J18" s="248">
        <f>P18</f>
        <v>2523</v>
      </c>
      <c r="M18" s="196">
        <f>+N22+N23-M17</f>
        <v>2523</v>
      </c>
      <c r="P18" s="221">
        <f>IF(SUM($Q$20:$Q$23)&gt;SUM($P$15:$P$17),SUM($Q$20:$Q$23)-SUM($P$15:$P$17),0)</f>
        <v>2523</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27066</v>
      </c>
      <c r="N22" s="196">
        <v>27066</v>
      </c>
      <c r="P22" s="224"/>
      <c r="Q22" s="196">
        <f>+N22</f>
        <v>27066</v>
      </c>
      <c r="S22" s="223">
        <f t="shared" ref="S22:S25" si="1">Q22-N22</f>
        <v>0</v>
      </c>
    </row>
    <row r="23" spans="1:19" ht="16.5" customHeight="1" x14ac:dyDescent="0.3">
      <c r="A23" s="234" t="s">
        <v>1698</v>
      </c>
      <c r="B23" s="26"/>
      <c r="C23" s="26" t="s">
        <v>184</v>
      </c>
      <c r="D23" s="26"/>
      <c r="E23" s="193"/>
      <c r="F23" s="194"/>
      <c r="G23" s="194"/>
      <c r="H23" s="195"/>
      <c r="I23" s="195"/>
      <c r="J23" s="213"/>
      <c r="K23" s="248">
        <f>N23</f>
        <v>171685</v>
      </c>
      <c r="N23" s="196">
        <v>171685</v>
      </c>
      <c r="P23" s="224"/>
      <c r="Q23" s="196">
        <f>+N23</f>
        <v>171685</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198751</v>
      </c>
      <c r="K26" s="155">
        <f>SUM(K15:K25)</f>
        <v>198751</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27065.889999999992</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27065.889999999992</v>
      </c>
    </row>
    <row r="59" spans="1:16" ht="16.5" customHeight="1" x14ac:dyDescent="0.3">
      <c r="A59" s="99"/>
      <c r="C59" s="43"/>
      <c r="D59" s="43"/>
      <c r="E59" s="43"/>
      <c r="F59" s="44"/>
      <c r="G59" s="44"/>
      <c r="H59" s="45"/>
      <c r="I59" s="45"/>
      <c r="J59" s="155">
        <f>SUM(J55:J58)</f>
        <v>27065.889999999992</v>
      </c>
      <c r="K59" s="155">
        <f>SUM(K55:K58)</f>
        <v>27065.889999999992</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25337</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1441</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26778</v>
      </c>
    </row>
    <row r="65" spans="1:12" ht="16.5" customHeight="1" x14ac:dyDescent="0.3">
      <c r="A65" s="99"/>
      <c r="C65" s="43"/>
      <c r="D65" s="43"/>
      <c r="E65" s="43"/>
      <c r="F65" s="44"/>
      <c r="G65" s="44"/>
      <c r="H65" s="45"/>
      <c r="I65" s="45"/>
      <c r="J65" s="155">
        <f>SUM(J62:J64)</f>
        <v>26778</v>
      </c>
      <c r="K65" s="155">
        <f>SUM(K62:K64)</f>
        <v>26778</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25337</v>
      </c>
      <c r="K68" s="197"/>
    </row>
    <row r="69" spans="1:12" ht="16.5" customHeight="1" x14ac:dyDescent="0.3">
      <c r="A69" s="99"/>
      <c r="B69" s="26"/>
      <c r="C69" s="26" t="s">
        <v>203</v>
      </c>
      <c r="D69" s="193"/>
      <c r="E69" s="193"/>
      <c r="F69" s="194"/>
      <c r="G69" s="194"/>
      <c r="H69" s="195"/>
      <c r="I69" s="195"/>
      <c r="J69" s="197"/>
      <c r="K69" s="196">
        <v>25337</v>
      </c>
    </row>
    <row r="70" spans="1:12" ht="16.5" customHeight="1" x14ac:dyDescent="0.3">
      <c r="A70" s="99"/>
      <c r="C70" s="43"/>
      <c r="D70" s="43"/>
      <c r="E70" s="43"/>
      <c r="F70" s="44"/>
      <c r="G70" s="44"/>
      <c r="H70" s="45"/>
      <c r="I70" s="45"/>
      <c r="J70" s="155">
        <f>SUM(J68:J69)</f>
        <v>25337</v>
      </c>
      <c r="K70" s="155">
        <f>SUM(K68:K69)</f>
        <v>25337</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26137.697778152466</v>
      </c>
      <c r="K75" s="197"/>
    </row>
    <row r="76" spans="1:12" ht="16.5" customHeight="1" x14ac:dyDescent="0.3">
      <c r="A76" s="99"/>
      <c r="B76" s="26"/>
      <c r="C76" s="26" t="s">
        <v>211</v>
      </c>
      <c r="D76" s="193"/>
      <c r="E76" s="193"/>
      <c r="F76" s="194"/>
      <c r="G76" s="194"/>
      <c r="H76" s="195"/>
      <c r="I76" s="195"/>
      <c r="J76" s="197"/>
      <c r="K76" s="196">
        <v>26137.697778152466</v>
      </c>
    </row>
    <row r="77" spans="1:12" ht="16.5" customHeight="1" x14ac:dyDescent="0.25">
      <c r="A77" s="99"/>
      <c r="B77" s="266" t="s">
        <v>1841</v>
      </c>
      <c r="C77" s="266"/>
      <c r="D77" s="266"/>
      <c r="E77" s="266"/>
      <c r="F77" s="266"/>
      <c r="G77" s="266"/>
      <c r="H77" s="266"/>
      <c r="I77" s="266"/>
      <c r="J77" s="155">
        <f>SUM(J75:J76)</f>
        <v>26137.697778152466</v>
      </c>
      <c r="K77" s="155">
        <f>SUM(K75:K76)</f>
        <v>26137.697778152466</v>
      </c>
      <c r="L77" s="21" t="str">
        <f>IF(J77=K77,"&lt;- Debits and Credits equal each other.","&lt;- Debits and Credits do not equal each other.")</f>
        <v>&lt;- Debits and Credits equal each other.</v>
      </c>
    </row>
    <row r="78" spans="1:12" ht="16.5" customHeight="1" x14ac:dyDescent="0.25">
      <c r="A78" s="99"/>
      <c r="B78" s="266"/>
      <c r="C78" s="266"/>
      <c r="D78" s="266"/>
      <c r="E78" s="266"/>
      <c r="F78" s="266"/>
      <c r="G78" s="266"/>
      <c r="H78" s="266"/>
      <c r="I78" s="266"/>
      <c r="J78" s="155"/>
      <c r="K78" s="155"/>
      <c r="L78" s="21"/>
    </row>
    <row r="79" spans="1:12" ht="24.6" customHeight="1" x14ac:dyDescent="0.25">
      <c r="A79" s="99"/>
      <c r="B79" s="266"/>
      <c r="C79" s="266"/>
      <c r="D79" s="266"/>
      <c r="E79" s="266"/>
      <c r="F79" s="266"/>
      <c r="G79" s="266"/>
      <c r="H79" s="266"/>
      <c r="I79" s="266"/>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c r="K112" s="53"/>
    </row>
    <row r="113" spans="1:12" ht="16.5" customHeight="1" x14ac:dyDescent="0.25">
      <c r="A113" s="234" t="s">
        <v>1698</v>
      </c>
      <c r="B113" s="26"/>
      <c r="C113" s="26" t="s">
        <v>184</v>
      </c>
      <c r="D113" s="255"/>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196228</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-54131.889999999992</v>
      </c>
    </row>
    <row r="128" spans="1:12" ht="16.5" customHeight="1" x14ac:dyDescent="0.3">
      <c r="D128" s="193" t="s">
        <v>1709</v>
      </c>
      <c r="H128" s="37"/>
      <c r="K128" s="238">
        <f>-K23-K48+J68+J75+J96-K113</f>
        <v>-120210.30222184754</v>
      </c>
    </row>
    <row r="129" spans="4:11" ht="16.5" customHeight="1" x14ac:dyDescent="0.3">
      <c r="D129" s="193" t="s">
        <v>1710</v>
      </c>
      <c r="H129" s="37"/>
      <c r="K129" s="238">
        <f>-K76</f>
        <v>-26137.697778152466</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689FF1E3-EF89-4D75-A5D5-B9169480258E}"/>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D5B73B5-1FEA-4F0F-B591-92D89A74F61B}">
      <formula1>0</formula1>
    </dataValidation>
    <dataValidation type="textLength" operator="equal" allowBlank="1" showInputMessage="1" showErrorMessage="1" errorTitle="4-Digit Org Code" error="Enter the Org Code/BU as 4 digits." sqref="F5" xr:uid="{47F9D0CF-C8C7-4A81-A92F-89BBA2A9EFB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751DBB91-0E90-4E58-AF11-0BD34A178CE4}">
          <x14:formula1>
            <xm:f>'Drop Down Menus'!$A$1:$A$101</xm:f>
          </x14:formula1>
          <xm:sqref>F3</xm:sqref>
        </x14:dataValidation>
        <x14:dataValidation type="list" allowBlank="1" showInputMessage="1" showErrorMessage="1" xr:uid="{7F9C2980-88EE-49BC-B07F-0E347B2374F3}">
          <x14:formula1>
            <xm:f>'Drop Down Menus'!$B$1:$B$2</xm:f>
          </x14:formula1>
          <xm:sqref>F7</xm:sqref>
        </x14:dataValidation>
        <x14:dataValidation type="list" allowBlank="1" showInputMessage="1" showErrorMessage="1" xr:uid="{4AD09FFE-B1FE-479E-9821-AB6F73A8EE3E}">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F6681-C046-4990-97B5-564743F31E2C}">
  <sheetPr>
    <tabColor theme="9" tint="0.59999389629810485"/>
    <pageSetUpPr fitToPage="1"/>
  </sheetPr>
  <dimension ref="A1:S193"/>
  <sheetViews>
    <sheetView topLeftCell="A5" zoomScale="70" zoomScaleNormal="70" workbookViewId="0">
      <selection activeCell="M17" sqref="M17"/>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7" t="s">
        <v>1661</v>
      </c>
      <c r="B1" s="267"/>
      <c r="C1" s="267"/>
      <c r="D1" s="267"/>
      <c r="E1" s="267"/>
      <c r="F1" s="267"/>
      <c r="G1" s="267"/>
      <c r="H1" s="267"/>
      <c r="I1" s="267"/>
      <c r="J1" s="267"/>
      <c r="K1" s="267"/>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3" t="s">
        <v>13</v>
      </c>
      <c r="B3" s="263"/>
      <c r="C3" s="263"/>
      <c r="D3" s="263"/>
      <c r="E3" s="263"/>
      <c r="F3" s="268" t="s">
        <v>24</v>
      </c>
      <c r="G3" s="268"/>
      <c r="H3" s="268"/>
      <c r="I3" s="268"/>
    </row>
    <row r="4" spans="1:19" ht="16.5" customHeight="1" x14ac:dyDescent="0.25">
      <c r="A4" s="263" t="s">
        <v>209</v>
      </c>
      <c r="B4" s="263"/>
      <c r="C4" s="263"/>
      <c r="D4" s="263"/>
      <c r="E4" s="263"/>
      <c r="F4" s="269" t="s">
        <v>1883</v>
      </c>
      <c r="G4" s="269"/>
      <c r="H4" s="269"/>
      <c r="I4" s="269"/>
    </row>
    <row r="5" spans="1:19" ht="16.5" customHeight="1" x14ac:dyDescent="0.25">
      <c r="A5" s="263" t="s">
        <v>1640</v>
      </c>
      <c r="B5" s="263"/>
      <c r="C5" s="263"/>
      <c r="D5" s="263"/>
      <c r="E5" s="263"/>
      <c r="F5" s="269" t="s">
        <v>274</v>
      </c>
      <c r="G5" s="269"/>
      <c r="H5" s="269"/>
      <c r="I5" s="269"/>
      <c r="L5" s="252"/>
      <c r="M5" s="252"/>
      <c r="N5" s="252"/>
      <c r="O5" s="252"/>
      <c r="P5" s="252"/>
      <c r="Q5" s="252"/>
    </row>
    <row r="6" spans="1:19" ht="16.5" customHeight="1" x14ac:dyDescent="0.3">
      <c r="A6" s="263" t="s">
        <v>1683</v>
      </c>
      <c r="B6" s="263"/>
      <c r="C6" s="263"/>
      <c r="D6" s="263"/>
      <c r="E6" s="263"/>
      <c r="F6" s="270">
        <v>890</v>
      </c>
      <c r="G6" s="270"/>
      <c r="H6" s="270"/>
      <c r="I6" s="270"/>
      <c r="L6" s="40"/>
      <c r="M6" s="40"/>
      <c r="N6" s="40"/>
      <c r="O6" s="40"/>
      <c r="P6" s="252"/>
      <c r="Q6" s="252"/>
    </row>
    <row r="7" spans="1:19" ht="16.5" customHeight="1" x14ac:dyDescent="0.3">
      <c r="A7" s="263" t="s">
        <v>3</v>
      </c>
      <c r="B7" s="263"/>
      <c r="C7" s="263"/>
      <c r="D7" s="263"/>
      <c r="E7" s="263"/>
      <c r="F7" s="270" t="s">
        <v>124</v>
      </c>
      <c r="G7" s="270"/>
      <c r="H7" s="270"/>
      <c r="I7" s="270"/>
      <c r="K7" s="96"/>
      <c r="L7" s="40"/>
      <c r="M7" s="40"/>
      <c r="N7" s="40"/>
      <c r="O7" s="40"/>
      <c r="P7" s="252"/>
      <c r="Q7" s="252"/>
    </row>
    <row r="8" spans="1:19" ht="16.5" customHeight="1" x14ac:dyDescent="0.3">
      <c r="A8" s="263" t="s">
        <v>1641</v>
      </c>
      <c r="B8" s="263"/>
      <c r="C8" s="263"/>
      <c r="D8" s="263"/>
      <c r="E8" s="263"/>
      <c r="F8" s="270" t="s">
        <v>165</v>
      </c>
      <c r="G8" s="270"/>
      <c r="H8" s="270"/>
      <c r="I8" s="270"/>
      <c r="K8" s="96"/>
      <c r="L8" s="40"/>
      <c r="M8" s="40"/>
      <c r="N8" s="40"/>
      <c r="O8" s="40"/>
      <c r="P8" s="252"/>
      <c r="Q8" s="252"/>
    </row>
    <row r="9" spans="1:19" ht="16.5" customHeight="1" x14ac:dyDescent="0.3">
      <c r="A9" s="263" t="s">
        <v>1639</v>
      </c>
      <c r="B9" s="263"/>
      <c r="C9" s="263"/>
      <c r="D9" s="263"/>
      <c r="E9" s="263"/>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4" t="s">
        <v>1673</v>
      </c>
      <c r="N14" s="265"/>
      <c r="O14" s="188"/>
      <c r="P14" s="264" t="s">
        <v>1668</v>
      </c>
      <c r="Q14" s="265"/>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65008</v>
      </c>
      <c r="M17" s="196">
        <v>65008</v>
      </c>
      <c r="P17" s="196">
        <v>65008</v>
      </c>
      <c r="Q17" s="224"/>
      <c r="S17" s="223">
        <f t="shared" si="0"/>
        <v>0</v>
      </c>
    </row>
    <row r="18" spans="1:19" ht="16.5" customHeight="1" x14ac:dyDescent="0.3">
      <c r="A18" s="99"/>
      <c r="B18" s="26" t="s">
        <v>179</v>
      </c>
      <c r="C18" s="26"/>
      <c r="D18" s="26"/>
      <c r="E18" s="193"/>
      <c r="F18" s="194"/>
      <c r="G18" s="194"/>
      <c r="H18" s="195"/>
      <c r="I18" s="195"/>
      <c r="J18" s="248">
        <f>P18</f>
        <v>836</v>
      </c>
      <c r="M18" s="196">
        <f>+N22+N23-M17</f>
        <v>836</v>
      </c>
      <c r="P18" s="221">
        <f>IF(SUM($Q$20:$Q$23)&gt;SUM($P$15:$P$17),SUM($Q$20:$Q$23)-SUM($P$15:$P$17),0)</f>
        <v>836</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8967</v>
      </c>
      <c r="N22" s="196">
        <v>8967</v>
      </c>
      <c r="P22" s="224"/>
      <c r="Q22" s="196">
        <f>+N22</f>
        <v>8967</v>
      </c>
      <c r="S22" s="223">
        <f t="shared" ref="S22:S25" si="1">Q22-N22</f>
        <v>0</v>
      </c>
    </row>
    <row r="23" spans="1:19" ht="16.5" customHeight="1" x14ac:dyDescent="0.3">
      <c r="A23" s="234" t="s">
        <v>1698</v>
      </c>
      <c r="B23" s="26"/>
      <c r="C23" s="26" t="s">
        <v>184</v>
      </c>
      <c r="D23" s="26"/>
      <c r="E23" s="193"/>
      <c r="F23" s="194"/>
      <c r="G23" s="194"/>
      <c r="H23" s="195"/>
      <c r="I23" s="195"/>
      <c r="J23" s="213"/>
      <c r="K23" s="248">
        <f>N23</f>
        <v>56877</v>
      </c>
      <c r="N23" s="196">
        <v>56877</v>
      </c>
      <c r="P23" s="224"/>
      <c r="Q23" s="196">
        <f>+N23</f>
        <v>56877</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65844</v>
      </c>
      <c r="K26" s="155">
        <f>SUM(K15:K25)</f>
        <v>65844</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8966.61</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8966.61</v>
      </c>
    </row>
    <row r="59" spans="1:16" ht="16.5" customHeight="1" x14ac:dyDescent="0.3">
      <c r="A59" s="99"/>
      <c r="C59" s="43"/>
      <c r="D59" s="43"/>
      <c r="E59" s="43"/>
      <c r="F59" s="44"/>
      <c r="G59" s="44"/>
      <c r="H59" s="45"/>
      <c r="I59" s="45"/>
      <c r="J59" s="155">
        <f>SUM(J55:J58)</f>
        <v>8966.61</v>
      </c>
      <c r="K59" s="155">
        <f>SUM(K55:K58)</f>
        <v>8966.61</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8394</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477</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8871</v>
      </c>
    </row>
    <row r="65" spans="1:12" ht="16.5" customHeight="1" x14ac:dyDescent="0.3">
      <c r="A65" s="99"/>
      <c r="C65" s="43"/>
      <c r="D65" s="43"/>
      <c r="E65" s="43"/>
      <c r="F65" s="44"/>
      <c r="G65" s="44"/>
      <c r="H65" s="45"/>
      <c r="I65" s="45"/>
      <c r="J65" s="155">
        <f>SUM(J62:J64)</f>
        <v>8871</v>
      </c>
      <c r="K65" s="155">
        <f>SUM(K62:K64)</f>
        <v>8871</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8394</v>
      </c>
      <c r="K68" s="197"/>
    </row>
    <row r="69" spans="1:12" ht="16.5" customHeight="1" x14ac:dyDescent="0.3">
      <c r="A69" s="99"/>
      <c r="B69" s="26"/>
      <c r="C69" s="26" t="s">
        <v>203</v>
      </c>
      <c r="D69" s="193"/>
      <c r="E69" s="193"/>
      <c r="F69" s="194"/>
      <c r="G69" s="194"/>
      <c r="H69" s="195"/>
      <c r="I69" s="195"/>
      <c r="J69" s="197"/>
      <c r="K69" s="196">
        <v>8394</v>
      </c>
    </row>
    <row r="70" spans="1:12" ht="16.5" customHeight="1" x14ac:dyDescent="0.3">
      <c r="A70" s="99"/>
      <c r="C70" s="43"/>
      <c r="D70" s="43"/>
      <c r="E70" s="43"/>
      <c r="F70" s="44"/>
      <c r="G70" s="44"/>
      <c r="H70" s="45"/>
      <c r="I70" s="45"/>
      <c r="J70" s="155">
        <f>SUM(J68:J69)</f>
        <v>8394</v>
      </c>
      <c r="K70" s="155">
        <f>SUM(K68:K69)</f>
        <v>8394</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8659.0823711599987</v>
      </c>
      <c r="K75" s="197"/>
    </row>
    <row r="76" spans="1:12" ht="16.5" customHeight="1" x14ac:dyDescent="0.3">
      <c r="A76" s="99"/>
      <c r="B76" s="26"/>
      <c r="C76" s="26" t="s">
        <v>211</v>
      </c>
      <c r="D76" s="193"/>
      <c r="E76" s="193"/>
      <c r="F76" s="194"/>
      <c r="G76" s="194"/>
      <c r="H76" s="195"/>
      <c r="I76" s="195"/>
      <c r="J76" s="197"/>
      <c r="K76" s="196">
        <v>8659.0823711599987</v>
      </c>
    </row>
    <row r="77" spans="1:12" ht="16.5" customHeight="1" x14ac:dyDescent="0.25">
      <c r="A77" s="99"/>
      <c r="B77" s="266" t="s">
        <v>1841</v>
      </c>
      <c r="C77" s="266"/>
      <c r="D77" s="266"/>
      <c r="E77" s="266"/>
      <c r="F77" s="266"/>
      <c r="G77" s="266"/>
      <c r="H77" s="266"/>
      <c r="I77" s="266"/>
      <c r="J77" s="155">
        <f>SUM(J75:J76)</f>
        <v>8659.0823711599987</v>
      </c>
      <c r="K77" s="155">
        <f>SUM(K75:K76)</f>
        <v>8659.0823711599987</v>
      </c>
      <c r="L77" s="21" t="str">
        <f>IF(J77=K77,"&lt;- Debits and Credits equal each other.","&lt;- Debits and Credits do not equal each other.")</f>
        <v>&lt;- Debits and Credits equal each other.</v>
      </c>
    </row>
    <row r="78" spans="1:12" ht="16.5" customHeight="1" x14ac:dyDescent="0.25">
      <c r="A78" s="99"/>
      <c r="B78" s="266"/>
      <c r="C78" s="266"/>
      <c r="D78" s="266"/>
      <c r="E78" s="266"/>
      <c r="F78" s="266"/>
      <c r="G78" s="266"/>
      <c r="H78" s="266"/>
      <c r="I78" s="266"/>
      <c r="J78" s="155"/>
      <c r="K78" s="155"/>
      <c r="L78" s="21"/>
    </row>
    <row r="79" spans="1:12" ht="24.6" customHeight="1" x14ac:dyDescent="0.25">
      <c r="A79" s="99"/>
      <c r="B79" s="266"/>
      <c r="C79" s="266"/>
      <c r="D79" s="266"/>
      <c r="E79" s="266"/>
      <c r="F79" s="266"/>
      <c r="G79" s="266"/>
      <c r="H79" s="266"/>
      <c r="I79" s="266"/>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c r="K112" s="53"/>
    </row>
    <row r="113" spans="1:12" ht="16.5" customHeight="1" x14ac:dyDescent="0.25">
      <c r="A113" s="234" t="s">
        <v>1698</v>
      </c>
      <c r="B113" s="26"/>
      <c r="C113" s="26" t="s">
        <v>184</v>
      </c>
      <c r="D113" s="255"/>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65008</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-17933.61</v>
      </c>
    </row>
    <row r="128" spans="1:12" ht="16.5" customHeight="1" x14ac:dyDescent="0.3">
      <c r="D128" s="193" t="s">
        <v>1709</v>
      </c>
      <c r="H128" s="37"/>
      <c r="K128" s="238">
        <f>-K23-K48+J68+J75+J96-K113</f>
        <v>-39823.917628840005</v>
      </c>
    </row>
    <row r="129" spans="4:11" ht="16.5" customHeight="1" x14ac:dyDescent="0.3">
      <c r="D129" s="193" t="s">
        <v>1710</v>
      </c>
      <c r="H129" s="37"/>
      <c r="K129" s="238">
        <f>-K76</f>
        <v>-8659.0823711599987</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5EBA9EC1-E245-41B6-877F-60F78FEECC16}">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0618163-79B8-4FFE-A27D-E94C4F489C04}">
      <formula1>0</formula1>
    </dataValidation>
    <dataValidation operator="lessThan" allowBlank="1" showInputMessage="1" showErrorMessage="1" sqref="A3:A8" xr:uid="{F51647FD-D639-41D5-BCCC-5C8CE63E160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6CC54DF2-DE87-4913-8AE6-578E02E6EE0D}">
          <x14:formula1>
            <xm:f>'Drop Down Menus'!$E$1:$E$3</xm:f>
          </x14:formula1>
          <xm:sqref>F8</xm:sqref>
        </x14:dataValidation>
        <x14:dataValidation type="list" allowBlank="1" showInputMessage="1" showErrorMessage="1" xr:uid="{AE7DB423-EFCC-45E1-8E10-8C6F0BB441A9}">
          <x14:formula1>
            <xm:f>'Drop Down Menus'!$B$1:$B$2</xm:f>
          </x14:formula1>
          <xm:sqref>F7</xm:sqref>
        </x14:dataValidation>
        <x14:dataValidation type="list" allowBlank="1" showInputMessage="1" showErrorMessage="1" xr:uid="{CCE7E4B2-2E3A-4FA8-8C19-C57636AD9672}">
          <x14:formula1>
            <xm:f>'Drop Down Menus'!$A$1:$A$101</xm:f>
          </x14:formula1>
          <xm:sqref>F3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60608-3EC9-4EE6-9AFC-6BEC4EEDAD88}">
  <sheetPr>
    <tabColor theme="9" tint="0.59999389629810485"/>
    <pageSetUpPr fitToPage="1"/>
  </sheetPr>
  <dimension ref="A1:S193"/>
  <sheetViews>
    <sheetView zoomScale="70" zoomScaleNormal="70" workbookViewId="0">
      <selection activeCell="M18" sqref="M18"/>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7" t="s">
        <v>1661</v>
      </c>
      <c r="B1" s="267"/>
      <c r="C1" s="267"/>
      <c r="D1" s="267"/>
      <c r="E1" s="267"/>
      <c r="F1" s="267"/>
      <c r="G1" s="267"/>
      <c r="H1" s="267"/>
      <c r="I1" s="267"/>
      <c r="J1" s="267"/>
      <c r="K1" s="267"/>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3" t="s">
        <v>13</v>
      </c>
      <c r="B3" s="263"/>
      <c r="C3" s="263"/>
      <c r="D3" s="263"/>
      <c r="E3" s="263"/>
      <c r="F3" s="268" t="s">
        <v>24</v>
      </c>
      <c r="G3" s="268"/>
      <c r="H3" s="268"/>
      <c r="I3" s="268"/>
    </row>
    <row r="4" spans="1:19" ht="16.5" customHeight="1" x14ac:dyDescent="0.25">
      <c r="A4" s="263" t="s">
        <v>209</v>
      </c>
      <c r="B4" s="263"/>
      <c r="C4" s="263"/>
      <c r="D4" s="263"/>
      <c r="E4" s="263"/>
      <c r="F4" s="269" t="s">
        <v>1883</v>
      </c>
      <c r="G4" s="269"/>
      <c r="H4" s="269"/>
      <c r="I4" s="269"/>
    </row>
    <row r="5" spans="1:19" ht="16.5" customHeight="1" x14ac:dyDescent="0.25">
      <c r="A5" s="263" t="s">
        <v>1640</v>
      </c>
      <c r="B5" s="263"/>
      <c r="C5" s="263"/>
      <c r="D5" s="263"/>
      <c r="E5" s="263"/>
      <c r="F5" s="269" t="s">
        <v>274</v>
      </c>
      <c r="G5" s="269"/>
      <c r="H5" s="269"/>
      <c r="I5" s="269"/>
      <c r="L5" s="252"/>
      <c r="M5" s="252"/>
      <c r="N5" s="252"/>
      <c r="O5" s="252"/>
      <c r="P5" s="252"/>
      <c r="Q5" s="252"/>
    </row>
    <row r="6" spans="1:19" ht="16.5" customHeight="1" x14ac:dyDescent="0.3">
      <c r="A6" s="263" t="s">
        <v>1683</v>
      </c>
      <c r="B6" s="263"/>
      <c r="C6" s="263"/>
      <c r="D6" s="263"/>
      <c r="E6" s="263"/>
      <c r="F6" s="270">
        <v>932</v>
      </c>
      <c r="G6" s="270"/>
      <c r="H6" s="270"/>
      <c r="I6" s="270"/>
      <c r="L6" s="40"/>
      <c r="M6" s="40"/>
      <c r="N6" s="40"/>
      <c r="O6" s="40"/>
      <c r="P6" s="252"/>
      <c r="Q6" s="252"/>
    </row>
    <row r="7" spans="1:19" ht="16.5" customHeight="1" x14ac:dyDescent="0.3">
      <c r="A7" s="263" t="s">
        <v>3</v>
      </c>
      <c r="B7" s="263"/>
      <c r="C7" s="263"/>
      <c r="D7" s="263"/>
      <c r="E7" s="263"/>
      <c r="F7" s="270" t="s">
        <v>124</v>
      </c>
      <c r="G7" s="270"/>
      <c r="H7" s="270"/>
      <c r="I7" s="270"/>
      <c r="K7" s="96"/>
      <c r="L7" s="40"/>
      <c r="M7" s="40"/>
      <c r="N7" s="40"/>
      <c r="O7" s="40"/>
      <c r="P7" s="252"/>
      <c r="Q7" s="252"/>
    </row>
    <row r="8" spans="1:19" ht="16.5" customHeight="1" x14ac:dyDescent="0.3">
      <c r="A8" s="263" t="s">
        <v>1641</v>
      </c>
      <c r="B8" s="263"/>
      <c r="C8" s="263"/>
      <c r="D8" s="263"/>
      <c r="E8" s="263"/>
      <c r="F8" s="270" t="s">
        <v>165</v>
      </c>
      <c r="G8" s="270"/>
      <c r="H8" s="270"/>
      <c r="I8" s="270"/>
      <c r="K8" s="96"/>
      <c r="L8" s="40"/>
      <c r="M8" s="40"/>
      <c r="N8" s="40"/>
      <c r="O8" s="40"/>
      <c r="P8" s="252"/>
      <c r="Q8" s="252"/>
    </row>
    <row r="9" spans="1:19" ht="16.5" customHeight="1" x14ac:dyDescent="0.3">
      <c r="A9" s="263" t="s">
        <v>1639</v>
      </c>
      <c r="B9" s="263"/>
      <c r="C9" s="263"/>
      <c r="D9" s="263"/>
      <c r="E9" s="263"/>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4" t="s">
        <v>1673</v>
      </c>
      <c r="N14" s="265"/>
      <c r="O14" s="188"/>
      <c r="P14" s="264" t="s">
        <v>1668</v>
      </c>
      <c r="Q14" s="265"/>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4678863</v>
      </c>
      <c r="M17" s="196">
        <v>4678863</v>
      </c>
      <c r="P17" s="196">
        <v>4678863</v>
      </c>
      <c r="Q17" s="224"/>
      <c r="S17" s="223">
        <f t="shared" si="0"/>
        <v>0</v>
      </c>
    </row>
    <row r="18" spans="1:19" ht="16.5" customHeight="1" x14ac:dyDescent="0.3">
      <c r="A18" s="99"/>
      <c r="B18" s="26" t="s">
        <v>179</v>
      </c>
      <c r="C18" s="26"/>
      <c r="D18" s="26"/>
      <c r="E18" s="193"/>
      <c r="F18" s="194"/>
      <c r="G18" s="194"/>
      <c r="H18" s="195"/>
      <c r="I18" s="195"/>
      <c r="J18" s="248">
        <f>P18</f>
        <v>65248</v>
      </c>
      <c r="M18" s="196">
        <f>+N22+N23-M17</f>
        <v>65248</v>
      </c>
      <c r="P18" s="221">
        <f>IF(SUM($Q$20:$Q$23)&gt;SUM($P$15:$P$17),SUM($Q$20:$Q$23)-SUM($P$15:$P$17),0)</f>
        <v>65248</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1065536</v>
      </c>
      <c r="N22" s="196">
        <v>1065536</v>
      </c>
      <c r="P22" s="224"/>
      <c r="Q22" s="196">
        <f>+N22</f>
        <v>1065536</v>
      </c>
      <c r="S22" s="223">
        <f t="shared" ref="S22:S25" si="1">Q22-N22</f>
        <v>0</v>
      </c>
    </row>
    <row r="23" spans="1:19" ht="16.5" customHeight="1" x14ac:dyDescent="0.3">
      <c r="A23" s="234" t="s">
        <v>1698</v>
      </c>
      <c r="B23" s="26"/>
      <c r="C23" s="26" t="s">
        <v>184</v>
      </c>
      <c r="D23" s="26"/>
      <c r="E23" s="193"/>
      <c r="F23" s="194"/>
      <c r="G23" s="194"/>
      <c r="H23" s="195"/>
      <c r="I23" s="195"/>
      <c r="J23" s="213"/>
      <c r="K23" s="248">
        <f>N23</f>
        <v>3678575</v>
      </c>
      <c r="N23" s="196">
        <v>3678575</v>
      </c>
      <c r="P23" s="224"/>
      <c r="Q23" s="196">
        <f>+N23</f>
        <v>3678575</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4744111</v>
      </c>
      <c r="K26" s="155">
        <f>SUM(K15:K25)</f>
        <v>4744111</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861624.65000000014</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861624.65000000014</v>
      </c>
    </row>
    <row r="59" spans="1:16" ht="16.5" customHeight="1" x14ac:dyDescent="0.3">
      <c r="A59" s="99"/>
      <c r="C59" s="43"/>
      <c r="D59" s="43"/>
      <c r="E59" s="43"/>
      <c r="F59" s="44"/>
      <c r="G59" s="44"/>
      <c r="H59" s="45"/>
      <c r="I59" s="45"/>
      <c r="J59" s="155">
        <f>SUM(J55:J58)</f>
        <v>861624.65000000014</v>
      </c>
      <c r="K59" s="155">
        <f>SUM(K55:K58)</f>
        <v>861624.65000000014</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828644</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23665</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852309</v>
      </c>
    </row>
    <row r="65" spans="1:12" ht="16.5" customHeight="1" x14ac:dyDescent="0.3">
      <c r="A65" s="99"/>
      <c r="C65" s="43"/>
      <c r="D65" s="43"/>
      <c r="E65" s="43"/>
      <c r="F65" s="44"/>
      <c r="G65" s="44"/>
      <c r="H65" s="45"/>
      <c r="I65" s="45"/>
      <c r="J65" s="155">
        <f>SUM(J62:J64)</f>
        <v>852309</v>
      </c>
      <c r="K65" s="155">
        <f>SUM(K62:K64)</f>
        <v>852309</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828644</v>
      </c>
      <c r="K68" s="197"/>
    </row>
    <row r="69" spans="1:12" ht="16.5" customHeight="1" x14ac:dyDescent="0.3">
      <c r="A69" s="99"/>
      <c r="B69" s="26"/>
      <c r="C69" s="26" t="s">
        <v>203</v>
      </c>
      <c r="D69" s="193"/>
      <c r="E69" s="193"/>
      <c r="F69" s="194"/>
      <c r="G69" s="194"/>
      <c r="H69" s="195"/>
      <c r="I69" s="195"/>
      <c r="J69" s="197"/>
      <c r="K69" s="196">
        <v>828644</v>
      </c>
    </row>
    <row r="70" spans="1:12" ht="16.5" customHeight="1" x14ac:dyDescent="0.3">
      <c r="A70" s="99"/>
      <c r="C70" s="43"/>
      <c r="D70" s="43"/>
      <c r="E70" s="43"/>
      <c r="F70" s="44"/>
      <c r="G70" s="44"/>
      <c r="H70" s="45"/>
      <c r="I70" s="45"/>
      <c r="J70" s="155">
        <f>SUM(J68:J69)</f>
        <v>828644</v>
      </c>
      <c r="K70" s="155">
        <f>SUM(K68:K69)</f>
        <v>828644</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898367.31847915961</v>
      </c>
      <c r="K75" s="197"/>
    </row>
    <row r="76" spans="1:12" ht="16.5" customHeight="1" x14ac:dyDescent="0.3">
      <c r="A76" s="99"/>
      <c r="B76" s="26"/>
      <c r="C76" s="26" t="s">
        <v>211</v>
      </c>
      <c r="D76" s="193"/>
      <c r="E76" s="193"/>
      <c r="F76" s="194"/>
      <c r="G76" s="194"/>
      <c r="H76" s="195"/>
      <c r="I76" s="195"/>
      <c r="J76" s="197"/>
      <c r="K76" s="196">
        <v>898367.31847915961</v>
      </c>
    </row>
    <row r="77" spans="1:12" ht="16.5" customHeight="1" x14ac:dyDescent="0.25">
      <c r="A77" s="99"/>
      <c r="B77" s="266" t="s">
        <v>1841</v>
      </c>
      <c r="C77" s="266"/>
      <c r="D77" s="266"/>
      <c r="E77" s="266"/>
      <c r="F77" s="266"/>
      <c r="G77" s="266"/>
      <c r="H77" s="266"/>
      <c r="I77" s="266"/>
      <c r="J77" s="155">
        <f>SUM(J75:J76)</f>
        <v>898367.31847915961</v>
      </c>
      <c r="K77" s="155">
        <f>SUM(K75:K76)</f>
        <v>898367.31847915961</v>
      </c>
      <c r="L77" s="21" t="str">
        <f>IF(J77=K77,"&lt;- Debits and Credits equal each other.","&lt;- Debits and Credits do not equal each other.")</f>
        <v>&lt;- Debits and Credits equal each other.</v>
      </c>
    </row>
    <row r="78" spans="1:12" ht="16.5" customHeight="1" x14ac:dyDescent="0.25">
      <c r="A78" s="99"/>
      <c r="B78" s="266"/>
      <c r="C78" s="266"/>
      <c r="D78" s="266"/>
      <c r="E78" s="266"/>
      <c r="F78" s="266"/>
      <c r="G78" s="266"/>
      <c r="H78" s="266"/>
      <c r="I78" s="266"/>
      <c r="J78" s="155"/>
      <c r="K78" s="155"/>
      <c r="L78" s="21"/>
    </row>
    <row r="79" spans="1:12" ht="24.6" customHeight="1" x14ac:dyDescent="0.25">
      <c r="A79" s="99"/>
      <c r="B79" s="266"/>
      <c r="C79" s="266"/>
      <c r="D79" s="266"/>
      <c r="E79" s="266"/>
      <c r="F79" s="266"/>
      <c r="G79" s="266"/>
      <c r="H79" s="266"/>
      <c r="I79" s="266"/>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v>58309</v>
      </c>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v>145651</v>
      </c>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v>203911</v>
      </c>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v>49</v>
      </c>
    </row>
    <row r="105" spans="1:12" ht="16.5" customHeight="1" x14ac:dyDescent="0.3">
      <c r="B105" s="182" t="s">
        <v>1693</v>
      </c>
      <c r="H105" s="37"/>
      <c r="J105" s="156">
        <f>SUM(J96:J104)</f>
        <v>203960</v>
      </c>
      <c r="K105" s="156">
        <f>SUM(K96:K104)</f>
        <v>203960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c r="K112" s="53"/>
    </row>
    <row r="113" spans="1:12" ht="16.5" customHeight="1" x14ac:dyDescent="0.25">
      <c r="A113" s="234" t="s">
        <v>1698</v>
      </c>
      <c r="B113" s="26"/>
      <c r="C113" s="26" t="s">
        <v>184</v>
      </c>
      <c r="D113" s="255"/>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4474952</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-1781509.6500000001</v>
      </c>
    </row>
    <row r="128" spans="1:12" ht="16.5" customHeight="1" x14ac:dyDescent="0.3">
      <c r="D128" s="193" t="s">
        <v>1709</v>
      </c>
      <c r="H128" s="37"/>
      <c r="K128" s="238">
        <f>-K23-K48+J68+J75+J96-K113</f>
        <v>-1893254.6815208404</v>
      </c>
    </row>
    <row r="129" spans="4:11" ht="16.5" customHeight="1" x14ac:dyDescent="0.3">
      <c r="D129" s="193" t="s">
        <v>1710</v>
      </c>
      <c r="H129" s="37"/>
      <c r="K129" s="238">
        <f>-K76</f>
        <v>-898367.31847915961</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937BE029-CF5A-4AB2-AEF3-AEAE5591B5C7}"/>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5F89AAE-E3E7-45D9-99FD-C09EC1F6F878}">
      <formula1>0</formula1>
    </dataValidation>
    <dataValidation type="textLength" operator="equal" allowBlank="1" showInputMessage="1" showErrorMessage="1" errorTitle="4-Digit Org Code" error="Enter the Org Code/BU as 4 digits." sqref="F5" xr:uid="{62CD15C9-E6B5-4213-B09A-9F915DF1D22F}">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5D84ABC4-C06E-4926-84EE-1CB351C488E9}">
          <x14:formula1>
            <xm:f>'Drop Down Menus'!$A$1:$A$101</xm:f>
          </x14:formula1>
          <xm:sqref>F3</xm:sqref>
        </x14:dataValidation>
        <x14:dataValidation type="list" allowBlank="1" showInputMessage="1" showErrorMessage="1" xr:uid="{C795543B-FF63-4DFE-A599-BAD98D58181F}">
          <x14:formula1>
            <xm:f>'Drop Down Menus'!$B$1:$B$2</xm:f>
          </x14:formula1>
          <xm:sqref>F7</xm:sqref>
        </x14:dataValidation>
        <x14:dataValidation type="list" allowBlank="1" showInputMessage="1" showErrorMessage="1" xr:uid="{34B2020C-17F3-4961-899B-A56DC5C3A550}">
          <x14:formula1>
            <xm:f>'Drop Down Menus'!$E$1:$E$3</xm:f>
          </x14:formula1>
          <xm:sqref>F8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DD7F-C0EF-4539-9C5A-40C1E7BCB57B}">
  <sheetPr>
    <tabColor theme="9" tint="0.59999389629810485"/>
    <pageSetUpPr fitToPage="1"/>
  </sheetPr>
  <dimension ref="A1:S193"/>
  <sheetViews>
    <sheetView topLeftCell="A3" zoomScale="70" zoomScaleNormal="70" workbookViewId="0">
      <selection activeCell="M17" sqref="M17"/>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7" t="s">
        <v>1661</v>
      </c>
      <c r="B1" s="267"/>
      <c r="C1" s="267"/>
      <c r="D1" s="267"/>
      <c r="E1" s="267"/>
      <c r="F1" s="267"/>
      <c r="G1" s="267"/>
      <c r="H1" s="267"/>
      <c r="I1" s="267"/>
      <c r="J1" s="267"/>
      <c r="K1" s="267"/>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3" t="s">
        <v>13</v>
      </c>
      <c r="B3" s="263"/>
      <c r="C3" s="263"/>
      <c r="D3" s="263"/>
      <c r="E3" s="263"/>
      <c r="F3" s="268" t="s">
        <v>24</v>
      </c>
      <c r="G3" s="268"/>
      <c r="H3" s="268"/>
      <c r="I3" s="268"/>
    </row>
    <row r="4" spans="1:19" ht="16.5" customHeight="1" x14ac:dyDescent="0.25">
      <c r="A4" s="263" t="s">
        <v>209</v>
      </c>
      <c r="B4" s="263"/>
      <c r="C4" s="263"/>
      <c r="D4" s="263"/>
      <c r="E4" s="263"/>
      <c r="F4" s="269" t="s">
        <v>1883</v>
      </c>
      <c r="G4" s="269"/>
      <c r="H4" s="269"/>
      <c r="I4" s="269"/>
    </row>
    <row r="5" spans="1:19" ht="16.5" customHeight="1" x14ac:dyDescent="0.25">
      <c r="A5" s="263" t="s">
        <v>1640</v>
      </c>
      <c r="B5" s="263"/>
      <c r="C5" s="263"/>
      <c r="D5" s="263"/>
      <c r="E5" s="263"/>
      <c r="F5" s="269" t="s">
        <v>274</v>
      </c>
      <c r="G5" s="269"/>
      <c r="H5" s="269"/>
      <c r="I5" s="269"/>
      <c r="L5" s="252"/>
      <c r="M5" s="252"/>
      <c r="N5" s="252"/>
      <c r="O5" s="252"/>
      <c r="P5" s="252"/>
      <c r="Q5" s="252"/>
    </row>
    <row r="6" spans="1:19" ht="16.5" customHeight="1" x14ac:dyDescent="0.3">
      <c r="A6" s="263" t="s">
        <v>1683</v>
      </c>
      <c r="B6" s="263"/>
      <c r="C6" s="263"/>
      <c r="D6" s="263"/>
      <c r="E6" s="263"/>
      <c r="F6" s="270">
        <v>3037</v>
      </c>
      <c r="G6" s="270"/>
      <c r="H6" s="270"/>
      <c r="I6" s="270"/>
      <c r="L6" s="40"/>
      <c r="M6" s="40"/>
      <c r="N6" s="40"/>
      <c r="O6" s="40"/>
      <c r="P6" s="252"/>
      <c r="Q6" s="252"/>
    </row>
    <row r="7" spans="1:19" ht="16.5" customHeight="1" x14ac:dyDescent="0.3">
      <c r="A7" s="263" t="s">
        <v>3</v>
      </c>
      <c r="B7" s="263"/>
      <c r="C7" s="263"/>
      <c r="D7" s="263"/>
      <c r="E7" s="263"/>
      <c r="F7" s="270" t="s">
        <v>124</v>
      </c>
      <c r="G7" s="270"/>
      <c r="H7" s="270"/>
      <c r="I7" s="270"/>
      <c r="K7" s="96"/>
      <c r="L7" s="40"/>
      <c r="M7" s="40"/>
      <c r="N7" s="40"/>
      <c r="O7" s="40"/>
      <c r="P7" s="252"/>
      <c r="Q7" s="252"/>
    </row>
    <row r="8" spans="1:19" ht="16.5" customHeight="1" x14ac:dyDescent="0.3">
      <c r="A8" s="263" t="s">
        <v>1641</v>
      </c>
      <c r="B8" s="263"/>
      <c r="C8" s="263"/>
      <c r="D8" s="263"/>
      <c r="E8" s="263"/>
      <c r="F8" s="270" t="s">
        <v>165</v>
      </c>
      <c r="G8" s="270"/>
      <c r="H8" s="270"/>
      <c r="I8" s="270"/>
      <c r="K8" s="96"/>
      <c r="L8" s="40"/>
      <c r="M8" s="40"/>
      <c r="N8" s="40"/>
      <c r="O8" s="40"/>
      <c r="P8" s="252"/>
      <c r="Q8" s="252"/>
    </row>
    <row r="9" spans="1:19" ht="16.5" customHeight="1" x14ac:dyDescent="0.3">
      <c r="A9" s="263" t="s">
        <v>1639</v>
      </c>
      <c r="B9" s="263"/>
      <c r="C9" s="263"/>
      <c r="D9" s="263"/>
      <c r="E9" s="263"/>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4" t="s">
        <v>1673</v>
      </c>
      <c r="N14" s="265"/>
      <c r="O14" s="188"/>
      <c r="P14" s="264" t="s">
        <v>1668</v>
      </c>
      <c r="Q14" s="265"/>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4179012</v>
      </c>
      <c r="M17" s="196">
        <v>4179012</v>
      </c>
      <c r="P17" s="196">
        <v>4179012</v>
      </c>
      <c r="Q17" s="224"/>
      <c r="S17" s="223">
        <f t="shared" si="0"/>
        <v>0</v>
      </c>
    </row>
    <row r="18" spans="1:19" ht="16.5" customHeight="1" x14ac:dyDescent="0.3">
      <c r="A18" s="99"/>
      <c r="B18" s="26" t="s">
        <v>179</v>
      </c>
      <c r="C18" s="26"/>
      <c r="D18" s="26"/>
      <c r="E18" s="193"/>
      <c r="F18" s="194"/>
      <c r="G18" s="194"/>
      <c r="H18" s="195"/>
      <c r="I18" s="195"/>
      <c r="J18" s="248">
        <f>P18</f>
        <v>60435</v>
      </c>
      <c r="M18" s="196">
        <f>+N23+N22-M17</f>
        <v>60435</v>
      </c>
      <c r="P18" s="221">
        <f>IF(SUM($Q$20:$Q$23)&gt;SUM($P$15:$P$17),SUM($Q$20:$Q$23)-SUM($P$15:$P$17),0)</f>
        <v>60435</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594487</v>
      </c>
      <c r="N22" s="196">
        <v>594487</v>
      </c>
      <c r="P22" s="224"/>
      <c r="Q22" s="196">
        <f>+N22</f>
        <v>594487</v>
      </c>
      <c r="S22" s="223">
        <f t="shared" ref="S22:S25" si="1">Q22-N22</f>
        <v>0</v>
      </c>
    </row>
    <row r="23" spans="1:19" ht="16.5" customHeight="1" x14ac:dyDescent="0.3">
      <c r="A23" s="234" t="s">
        <v>1698</v>
      </c>
      <c r="B23" s="26"/>
      <c r="C23" s="26" t="s">
        <v>184</v>
      </c>
      <c r="D23" s="26"/>
      <c r="E23" s="193"/>
      <c r="F23" s="194"/>
      <c r="G23" s="194"/>
      <c r="H23" s="195"/>
      <c r="I23" s="195"/>
      <c r="J23" s="213"/>
      <c r="K23" s="248">
        <f>N23</f>
        <v>3644960</v>
      </c>
      <c r="N23" s="196">
        <v>3644960</v>
      </c>
      <c r="P23" s="224"/>
      <c r="Q23" s="196">
        <f>+N23</f>
        <v>3644960</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4239447</v>
      </c>
      <c r="K26" s="155">
        <f>SUM(K15:K25)</f>
        <v>4239447</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v>11302010.779999999</v>
      </c>
      <c r="K33" s="197"/>
    </row>
    <row r="34" spans="1:12" ht="16.5" customHeight="1" x14ac:dyDescent="0.3">
      <c r="A34" s="99"/>
      <c r="B34" s="26"/>
      <c r="C34" s="26" t="s">
        <v>1861</v>
      </c>
      <c r="D34" s="193"/>
      <c r="E34" s="193"/>
      <c r="F34" s="194"/>
      <c r="G34" s="194"/>
      <c r="H34" s="195"/>
      <c r="I34" s="195"/>
      <c r="J34" s="197"/>
      <c r="K34" s="196">
        <v>11302010.779999999</v>
      </c>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11302010.779999999</v>
      </c>
      <c r="K36" s="155">
        <f>SUM(K33:K35)</f>
        <v>11302010.779999999</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v>11302011</v>
      </c>
      <c r="K41" s="197"/>
    </row>
    <row r="42" spans="1:12" ht="16.5" customHeight="1" x14ac:dyDescent="0.3">
      <c r="A42" s="99"/>
      <c r="B42" s="26"/>
      <c r="C42" s="26" t="s">
        <v>198</v>
      </c>
      <c r="D42" s="193"/>
      <c r="E42" s="193"/>
      <c r="F42" s="194"/>
      <c r="G42" s="194"/>
      <c r="H42" s="195"/>
      <c r="I42" s="195"/>
      <c r="J42" s="197"/>
      <c r="K42" s="196">
        <v>11302011</v>
      </c>
    </row>
    <row r="43" spans="1:12" ht="16.5" customHeight="1" x14ac:dyDescent="0.3">
      <c r="A43" s="99"/>
      <c r="B43" s="182" t="s">
        <v>1692</v>
      </c>
      <c r="C43" s="43"/>
      <c r="D43" s="43"/>
      <c r="E43" s="43"/>
      <c r="F43" s="44"/>
      <c r="G43" s="44"/>
      <c r="H43" s="45"/>
      <c r="I43" s="45"/>
      <c r="J43" s="155">
        <f>SUM(J39:J42)</f>
        <v>11302011</v>
      </c>
      <c r="K43" s="155">
        <f>SUM(K39:K42)</f>
        <v>11302011</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v>11302011</v>
      </c>
      <c r="K47" s="197"/>
    </row>
    <row r="48" spans="1:12" ht="16.5" customHeight="1" x14ac:dyDescent="0.3">
      <c r="A48" s="234" t="s">
        <v>1698</v>
      </c>
      <c r="B48" s="26"/>
      <c r="C48" s="26" t="s">
        <v>184</v>
      </c>
      <c r="D48" s="193"/>
      <c r="E48" s="193"/>
      <c r="F48" s="194"/>
      <c r="G48" s="194"/>
      <c r="H48" s="195"/>
      <c r="I48" s="195"/>
      <c r="J48" s="197"/>
      <c r="K48" s="196">
        <v>11302011</v>
      </c>
    </row>
    <row r="49" spans="1:16" ht="16.5" customHeight="1" x14ac:dyDescent="0.3">
      <c r="A49" s="99"/>
      <c r="C49" s="43"/>
      <c r="D49" s="43"/>
      <c r="E49" s="43"/>
      <c r="F49" s="44"/>
      <c r="G49" s="44"/>
      <c r="H49" s="45"/>
      <c r="I49" s="45"/>
      <c r="J49" s="155">
        <f>SUM(J47:J48)</f>
        <v>11302011</v>
      </c>
      <c r="K49" s="155">
        <f>SUM(K47:K48)</f>
        <v>11302011</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873537.4800000008</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873537.4800000008</v>
      </c>
    </row>
    <row r="59" spans="1:16" ht="16.5" customHeight="1" x14ac:dyDescent="0.3">
      <c r="A59" s="99"/>
      <c r="C59" s="43"/>
      <c r="D59" s="43"/>
      <c r="E59" s="43"/>
      <c r="F59" s="44"/>
      <c r="G59" s="44"/>
      <c r="H59" s="45"/>
      <c r="I59" s="45"/>
      <c r="J59" s="155">
        <f>SUM(J55:J58)</f>
        <v>873537.4800000008</v>
      </c>
      <c r="K59" s="155">
        <f>SUM(K55:K58)</f>
        <v>873537.4800000008</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809674</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52370</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862044</v>
      </c>
    </row>
    <row r="65" spans="1:12" ht="16.5" customHeight="1" x14ac:dyDescent="0.3">
      <c r="A65" s="99"/>
      <c r="C65" s="43"/>
      <c r="D65" s="43"/>
      <c r="E65" s="43"/>
      <c r="F65" s="44"/>
      <c r="G65" s="44"/>
      <c r="H65" s="45"/>
      <c r="I65" s="45"/>
      <c r="J65" s="155">
        <f>SUM(J62:J64)</f>
        <v>862044</v>
      </c>
      <c r="K65" s="155">
        <f>SUM(K62:K64)</f>
        <v>862044</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809674</v>
      </c>
      <c r="K68" s="197"/>
    </row>
    <row r="69" spans="1:12" ht="16.5" customHeight="1" x14ac:dyDescent="0.3">
      <c r="A69" s="99"/>
      <c r="B69" s="26"/>
      <c r="C69" s="26" t="s">
        <v>203</v>
      </c>
      <c r="D69" s="193"/>
      <c r="E69" s="193"/>
      <c r="F69" s="194"/>
      <c r="G69" s="194"/>
      <c r="H69" s="195"/>
      <c r="I69" s="195"/>
      <c r="J69" s="197"/>
      <c r="K69" s="196">
        <v>809674</v>
      </c>
    </row>
    <row r="70" spans="1:12" ht="16.5" customHeight="1" x14ac:dyDescent="0.3">
      <c r="A70" s="99"/>
      <c r="C70" s="43"/>
      <c r="D70" s="43"/>
      <c r="E70" s="43"/>
      <c r="F70" s="44"/>
      <c r="G70" s="44"/>
      <c r="H70" s="45"/>
      <c r="I70" s="45"/>
      <c r="J70" s="155">
        <f>SUM(J68:J69)</f>
        <v>809674</v>
      </c>
      <c r="K70" s="155">
        <f>SUM(K68:K69)</f>
        <v>809674</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1493135.9375344124</v>
      </c>
      <c r="K75" s="197"/>
    </row>
    <row r="76" spans="1:12" ht="16.5" customHeight="1" x14ac:dyDescent="0.3">
      <c r="A76" s="99"/>
      <c r="B76" s="26"/>
      <c r="C76" s="26" t="s">
        <v>211</v>
      </c>
      <c r="D76" s="193"/>
      <c r="E76" s="193"/>
      <c r="F76" s="194"/>
      <c r="G76" s="194"/>
      <c r="H76" s="195"/>
      <c r="I76" s="195"/>
      <c r="J76" s="197"/>
      <c r="K76" s="196">
        <v>1493135.9375344124</v>
      </c>
    </row>
    <row r="77" spans="1:12" ht="16.5" customHeight="1" x14ac:dyDescent="0.25">
      <c r="A77" s="99"/>
      <c r="B77" s="266" t="s">
        <v>1841</v>
      </c>
      <c r="C77" s="266"/>
      <c r="D77" s="266"/>
      <c r="E77" s="266"/>
      <c r="F77" s="266"/>
      <c r="G77" s="266"/>
      <c r="H77" s="266"/>
      <c r="I77" s="266"/>
      <c r="J77" s="155">
        <f>SUM(J75:J76)</f>
        <v>1493135.9375344124</v>
      </c>
      <c r="K77" s="155">
        <f>SUM(K75:K76)</f>
        <v>1493135.9375344124</v>
      </c>
      <c r="L77" s="21" t="str">
        <f>IF(J77=K77,"&lt;- Debits and Credits equal each other.","&lt;- Debits and Credits do not equal each other.")</f>
        <v>&lt;- Debits and Credits equal each other.</v>
      </c>
    </row>
    <row r="78" spans="1:12" ht="16.5" customHeight="1" x14ac:dyDescent="0.25">
      <c r="A78" s="99"/>
      <c r="B78" s="266"/>
      <c r="C78" s="266"/>
      <c r="D78" s="266"/>
      <c r="E78" s="266"/>
      <c r="F78" s="266"/>
      <c r="G78" s="266"/>
      <c r="H78" s="266"/>
      <c r="I78" s="266"/>
      <c r="J78" s="155"/>
      <c r="K78" s="155"/>
      <c r="L78" s="21"/>
    </row>
    <row r="79" spans="1:12" ht="24.6" customHeight="1" x14ac:dyDescent="0.25">
      <c r="A79" s="99"/>
      <c r="B79" s="266"/>
      <c r="C79" s="266"/>
      <c r="D79" s="266"/>
      <c r="E79" s="266"/>
      <c r="F79" s="266"/>
      <c r="G79" s="266"/>
      <c r="H79" s="266"/>
      <c r="I79" s="266"/>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v>5627990.4299999997</v>
      </c>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v>5627990.4299999997</v>
      </c>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3">
      <c r="B105" s="182" t="s">
        <v>1693</v>
      </c>
      <c r="H105" s="37"/>
      <c r="J105" s="156">
        <f>SUM(J96:J104)</f>
        <v>5627990.4299999997</v>
      </c>
      <c r="K105" s="156">
        <f>SUM(K96:K104)</f>
        <v>5627990.4299999997</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c r="K112" s="53"/>
    </row>
    <row r="113" spans="1:12" ht="16.5" customHeight="1" x14ac:dyDescent="0.25">
      <c r="A113" s="234" t="s">
        <v>1698</v>
      </c>
      <c r="B113" s="26"/>
      <c r="C113" s="26" t="s">
        <v>184</v>
      </c>
      <c r="D113" s="255"/>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9853032.5700000003</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-1468024.4800000009</v>
      </c>
    </row>
    <row r="128" spans="1:12" ht="16.5" customHeight="1" x14ac:dyDescent="0.3">
      <c r="D128" s="193" t="s">
        <v>1709</v>
      </c>
      <c r="H128" s="37"/>
      <c r="K128" s="238">
        <f>-K23-K48+J68+J75+J96-K113</f>
        <v>-7016170.6324655879</v>
      </c>
    </row>
    <row r="129" spans="4:11" ht="16.5" customHeight="1" x14ac:dyDescent="0.3">
      <c r="D129" s="193" t="s">
        <v>1710</v>
      </c>
      <c r="H129" s="37"/>
      <c r="K129" s="238">
        <f>-K76</f>
        <v>-1493135.9375344124</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3D134D48-9C92-4600-B0B6-DC2FFE3110F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D311072-7F7F-4B23-AF0A-5B59A015CB3A}">
      <formula1>0</formula1>
    </dataValidation>
    <dataValidation operator="lessThan" allowBlank="1" showInputMessage="1" showErrorMessage="1" sqref="A3:A8" xr:uid="{27AFB7A7-1B88-481D-A09A-2BC2DACC9AA6}"/>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424B04C9-5484-454A-B395-BFB426571064}">
          <x14:formula1>
            <xm:f>'Drop Down Menus'!$E$1:$E$3</xm:f>
          </x14:formula1>
          <xm:sqref>F8</xm:sqref>
        </x14:dataValidation>
        <x14:dataValidation type="list" allowBlank="1" showInputMessage="1" showErrorMessage="1" xr:uid="{CAE65184-26B5-413B-8221-B505ED923E70}">
          <x14:formula1>
            <xm:f>'Drop Down Menus'!$B$1:$B$2</xm:f>
          </x14:formula1>
          <xm:sqref>F7</xm:sqref>
        </x14:dataValidation>
        <x14:dataValidation type="list" allowBlank="1" showInputMessage="1" showErrorMessage="1" xr:uid="{F0ACFAB7-38AF-48EE-9373-3D7CD34A72D2}">
          <x14:formula1>
            <xm:f>'Drop Down Menus'!$A$1:$A$101</xm:f>
          </x14:formula1>
          <xm:sqref>F3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A4FD5-DB2D-4FBA-8E99-A5DF857B03B8}">
  <sheetPr>
    <tabColor theme="9" tint="0.59999389629810485"/>
    <pageSetUpPr fitToPage="1"/>
  </sheetPr>
  <dimension ref="A1:S193"/>
  <sheetViews>
    <sheetView zoomScale="70" zoomScaleNormal="70" workbookViewId="0">
      <selection activeCell="N22" sqref="N22"/>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7" t="s">
        <v>1661</v>
      </c>
      <c r="B1" s="267"/>
      <c r="C1" s="267"/>
      <c r="D1" s="267"/>
      <c r="E1" s="267"/>
      <c r="F1" s="267"/>
      <c r="G1" s="267"/>
      <c r="H1" s="267"/>
      <c r="I1" s="267"/>
      <c r="J1" s="267"/>
      <c r="K1" s="267"/>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3" t="s">
        <v>13</v>
      </c>
      <c r="B3" s="263"/>
      <c r="C3" s="263"/>
      <c r="D3" s="263"/>
      <c r="E3" s="263"/>
      <c r="F3" s="268" t="s">
        <v>24</v>
      </c>
      <c r="G3" s="268"/>
      <c r="H3" s="268"/>
      <c r="I3" s="268"/>
    </row>
    <row r="4" spans="1:19" ht="16.5" customHeight="1" x14ac:dyDescent="0.25">
      <c r="A4" s="263" t="s">
        <v>209</v>
      </c>
      <c r="B4" s="263"/>
      <c r="C4" s="263"/>
      <c r="D4" s="263"/>
      <c r="E4" s="263"/>
      <c r="F4" s="269" t="s">
        <v>1883</v>
      </c>
      <c r="G4" s="269"/>
      <c r="H4" s="269"/>
      <c r="I4" s="269"/>
    </row>
    <row r="5" spans="1:19" ht="16.5" customHeight="1" x14ac:dyDescent="0.25">
      <c r="A5" s="263" t="s">
        <v>1640</v>
      </c>
      <c r="B5" s="263"/>
      <c r="C5" s="263"/>
      <c r="D5" s="263"/>
      <c r="E5" s="263"/>
      <c r="F5" s="269" t="s">
        <v>274</v>
      </c>
      <c r="G5" s="269"/>
      <c r="H5" s="269"/>
      <c r="I5" s="269"/>
      <c r="L5" s="252"/>
      <c r="M5" s="252"/>
      <c r="N5" s="252"/>
      <c r="O5" s="252"/>
      <c r="P5" s="252"/>
      <c r="Q5" s="252"/>
    </row>
    <row r="6" spans="1:19" ht="16.5" customHeight="1" x14ac:dyDescent="0.3">
      <c r="A6" s="263" t="s">
        <v>1683</v>
      </c>
      <c r="B6" s="263"/>
      <c r="C6" s="263"/>
      <c r="D6" s="263"/>
      <c r="E6" s="263"/>
      <c r="F6" s="270">
        <v>3060</v>
      </c>
      <c r="G6" s="270"/>
      <c r="H6" s="270"/>
      <c r="I6" s="270"/>
      <c r="L6" s="40"/>
      <c r="M6" s="40"/>
      <c r="N6" s="40"/>
      <c r="O6" s="40"/>
      <c r="P6" s="252"/>
      <c r="Q6" s="252"/>
    </row>
    <row r="7" spans="1:19" ht="16.5" customHeight="1" x14ac:dyDescent="0.3">
      <c r="A7" s="263" t="s">
        <v>3</v>
      </c>
      <c r="B7" s="263"/>
      <c r="C7" s="263"/>
      <c r="D7" s="263"/>
      <c r="E7" s="263"/>
      <c r="F7" s="270" t="s">
        <v>124</v>
      </c>
      <c r="G7" s="270"/>
      <c r="H7" s="270"/>
      <c r="I7" s="270"/>
      <c r="K7" s="96"/>
      <c r="L7" s="40"/>
      <c r="M7" s="40"/>
      <c r="N7" s="40"/>
      <c r="O7" s="40"/>
      <c r="P7" s="252"/>
      <c r="Q7" s="252"/>
    </row>
    <row r="8" spans="1:19" ht="16.5" customHeight="1" x14ac:dyDescent="0.3">
      <c r="A8" s="263" t="s">
        <v>1641</v>
      </c>
      <c r="B8" s="263"/>
      <c r="C8" s="263"/>
      <c r="D8" s="263"/>
      <c r="E8" s="263"/>
      <c r="F8" s="270" t="s">
        <v>165</v>
      </c>
      <c r="G8" s="270"/>
      <c r="H8" s="270"/>
      <c r="I8" s="270"/>
      <c r="K8" s="96"/>
      <c r="L8" s="40"/>
      <c r="M8" s="40"/>
      <c r="N8" s="40"/>
      <c r="O8" s="40"/>
      <c r="P8" s="252"/>
      <c r="Q8" s="252"/>
    </row>
    <row r="9" spans="1:19" ht="16.5" customHeight="1" x14ac:dyDescent="0.3">
      <c r="A9" s="263" t="s">
        <v>1639</v>
      </c>
      <c r="B9" s="263"/>
      <c r="C9" s="263"/>
      <c r="D9" s="263"/>
      <c r="E9" s="263"/>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4" t="s">
        <v>1673</v>
      </c>
      <c r="N14" s="265"/>
      <c r="O14" s="188"/>
      <c r="P14" s="264" t="s">
        <v>1668</v>
      </c>
      <c r="Q14" s="265"/>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229409</v>
      </c>
      <c r="M17" s="196">
        <v>229409</v>
      </c>
      <c r="P17" s="196">
        <v>229409</v>
      </c>
      <c r="Q17" s="224"/>
      <c r="S17" s="223">
        <f t="shared" si="0"/>
        <v>0</v>
      </c>
    </row>
    <row r="18" spans="1:19" ht="16.5" customHeight="1" x14ac:dyDescent="0.3">
      <c r="A18" s="99"/>
      <c r="B18" s="26" t="s">
        <v>179</v>
      </c>
      <c r="C18" s="26"/>
      <c r="D18" s="26"/>
      <c r="E18" s="193"/>
      <c r="F18" s="194"/>
      <c r="G18" s="194"/>
      <c r="H18" s="195"/>
      <c r="I18" s="195"/>
      <c r="J18" s="248">
        <f>P18</f>
        <v>4116</v>
      </c>
      <c r="M18" s="196">
        <f>+N22+N23-M17</f>
        <v>4116</v>
      </c>
      <c r="P18" s="221">
        <f>IF(SUM($Q$20:$Q$23)&gt;SUM($P$15:$P$17),SUM($Q$20:$Q$23)-SUM($P$15:$P$17),0)</f>
        <v>4116</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99063</v>
      </c>
      <c r="N22" s="196">
        <f>99063</f>
        <v>99063</v>
      </c>
      <c r="P22" s="224"/>
      <c r="Q22" s="196">
        <f>+N22</f>
        <v>99063</v>
      </c>
      <c r="S22" s="223">
        <f t="shared" ref="S22:S25" si="1">Q22-N22</f>
        <v>0</v>
      </c>
    </row>
    <row r="23" spans="1:19" ht="16.5" customHeight="1" x14ac:dyDescent="0.3">
      <c r="A23" s="234" t="s">
        <v>1698</v>
      </c>
      <c r="B23" s="26"/>
      <c r="C23" s="26" t="s">
        <v>184</v>
      </c>
      <c r="D23" s="26"/>
      <c r="E23" s="193"/>
      <c r="F23" s="194"/>
      <c r="G23" s="194"/>
      <c r="H23" s="195"/>
      <c r="I23" s="195"/>
      <c r="J23" s="213"/>
      <c r="K23" s="248">
        <f>N23</f>
        <v>134462</v>
      </c>
      <c r="N23" s="196">
        <v>134462</v>
      </c>
      <c r="P23" s="224"/>
      <c r="Q23" s="196">
        <f>+N23</f>
        <v>134462</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233525</v>
      </c>
      <c r="K26" s="155">
        <f>SUM(K15:K25)</f>
        <v>233525</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62565.960000000014</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62565.960000000014</v>
      </c>
    </row>
    <row r="59" spans="1:16" ht="16.5" customHeight="1" x14ac:dyDescent="0.3">
      <c r="A59" s="99"/>
      <c r="C59" s="43"/>
      <c r="D59" s="43"/>
      <c r="E59" s="43"/>
      <c r="F59" s="44"/>
      <c r="G59" s="44"/>
      <c r="H59" s="45"/>
      <c r="I59" s="45"/>
      <c r="J59" s="155">
        <f>SUM(J55:J58)</f>
        <v>62565.960000000014</v>
      </c>
      <c r="K59" s="155">
        <f>SUM(K55:K58)</f>
        <v>62565.960000000014</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61950</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28</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61978</v>
      </c>
    </row>
    <row r="65" spans="1:12" ht="16.5" customHeight="1" x14ac:dyDescent="0.3">
      <c r="A65" s="99"/>
      <c r="C65" s="43"/>
      <c r="D65" s="43"/>
      <c r="E65" s="43"/>
      <c r="F65" s="44"/>
      <c r="G65" s="44"/>
      <c r="H65" s="45"/>
      <c r="I65" s="45"/>
      <c r="J65" s="155">
        <f>SUM(J62:J64)</f>
        <v>61978</v>
      </c>
      <c r="K65" s="155">
        <f>SUM(K62:K64)</f>
        <v>61978</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61950</v>
      </c>
      <c r="K68" s="197"/>
    </row>
    <row r="69" spans="1:12" ht="16.5" customHeight="1" x14ac:dyDescent="0.3">
      <c r="A69" s="99"/>
      <c r="B69" s="26"/>
      <c r="C69" s="26" t="s">
        <v>203</v>
      </c>
      <c r="D69" s="193"/>
      <c r="E69" s="193"/>
      <c r="F69" s="194"/>
      <c r="G69" s="194"/>
      <c r="H69" s="195"/>
      <c r="I69" s="195"/>
      <c r="J69" s="197"/>
      <c r="K69" s="196">
        <v>61950</v>
      </c>
    </row>
    <row r="70" spans="1:12" ht="16.5" customHeight="1" x14ac:dyDescent="0.3">
      <c r="A70" s="99"/>
      <c r="C70" s="43"/>
      <c r="D70" s="43"/>
      <c r="E70" s="43"/>
      <c r="F70" s="44"/>
      <c r="G70" s="44"/>
      <c r="H70" s="45"/>
      <c r="I70" s="45"/>
      <c r="J70" s="155">
        <f>SUM(J68:J69)</f>
        <v>61950</v>
      </c>
      <c r="K70" s="155">
        <f>SUM(K68:K69)</f>
        <v>61950</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63821.47</v>
      </c>
      <c r="K75" s="197"/>
    </row>
    <row r="76" spans="1:12" ht="16.5" customHeight="1" x14ac:dyDescent="0.3">
      <c r="A76" s="99"/>
      <c r="B76" s="26"/>
      <c r="C76" s="26" t="s">
        <v>211</v>
      </c>
      <c r="D76" s="193"/>
      <c r="E76" s="193"/>
      <c r="F76" s="194"/>
      <c r="G76" s="194"/>
      <c r="H76" s="195"/>
      <c r="I76" s="195"/>
      <c r="J76" s="197"/>
      <c r="K76" s="196">
        <v>63821.47</v>
      </c>
    </row>
    <row r="77" spans="1:12" ht="16.5" customHeight="1" x14ac:dyDescent="0.25">
      <c r="A77" s="99"/>
      <c r="B77" s="266" t="s">
        <v>1841</v>
      </c>
      <c r="C77" s="266"/>
      <c r="D77" s="266"/>
      <c r="E77" s="266"/>
      <c r="F77" s="266"/>
      <c r="G77" s="266"/>
      <c r="H77" s="266"/>
      <c r="I77" s="266"/>
      <c r="J77" s="155">
        <f>SUM(J75:J76)</f>
        <v>63821.47</v>
      </c>
      <c r="K77" s="155">
        <f>SUM(K75:K76)</f>
        <v>63821.47</v>
      </c>
      <c r="L77" s="21" t="str">
        <f>IF(J77=K77,"&lt;- Debits and Credits equal each other.","&lt;- Debits and Credits do not equal each other.")</f>
        <v>&lt;- Debits and Credits equal each other.</v>
      </c>
    </row>
    <row r="78" spans="1:12" ht="16.5" customHeight="1" x14ac:dyDescent="0.25">
      <c r="A78" s="99"/>
      <c r="B78" s="266"/>
      <c r="C78" s="266"/>
      <c r="D78" s="266"/>
      <c r="E78" s="266"/>
      <c r="F78" s="266"/>
      <c r="G78" s="266"/>
      <c r="H78" s="266"/>
      <c r="I78" s="266"/>
      <c r="J78" s="155"/>
      <c r="K78" s="155"/>
      <c r="L78" s="21"/>
    </row>
    <row r="79" spans="1:12" ht="24.6" customHeight="1" x14ac:dyDescent="0.25">
      <c r="A79" s="99"/>
      <c r="B79" s="266"/>
      <c r="C79" s="266"/>
      <c r="D79" s="266"/>
      <c r="E79" s="266"/>
      <c r="F79" s="266"/>
      <c r="G79" s="266"/>
      <c r="H79" s="266"/>
      <c r="I79" s="266"/>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c r="K112" s="53"/>
    </row>
    <row r="113" spans="1:12" ht="16.5" customHeight="1" x14ac:dyDescent="0.25">
      <c r="A113" s="234" t="s">
        <v>1698</v>
      </c>
      <c r="B113" s="26"/>
      <c r="C113" s="26" t="s">
        <v>184</v>
      </c>
      <c r="D113" s="255"/>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229409</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-161628.96000000002</v>
      </c>
    </row>
    <row r="128" spans="1:12" ht="16.5" customHeight="1" x14ac:dyDescent="0.3">
      <c r="D128" s="193" t="s">
        <v>1709</v>
      </c>
      <c r="H128" s="37"/>
      <c r="K128" s="238">
        <f>-K23-K48+J68+J75+J96-K113</f>
        <v>-8690.5299999999988</v>
      </c>
    </row>
    <row r="129" spans="4:11" ht="16.5" customHeight="1" x14ac:dyDescent="0.3">
      <c r="D129" s="193" t="s">
        <v>1710</v>
      </c>
      <c r="H129" s="37"/>
      <c r="K129" s="238">
        <f>-K76</f>
        <v>-63821.47</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5F456743-7A29-472A-9346-846625146A7F}"/>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8CE09C0-A1E9-4720-86E9-017357C6FEB9}">
      <formula1>0</formula1>
    </dataValidation>
    <dataValidation type="textLength" operator="equal" allowBlank="1" showInputMessage="1" showErrorMessage="1" errorTitle="4-Digit Org Code" error="Enter the Org Code/BU as 4 digits." sqref="F5" xr:uid="{BCDBC616-124F-4FB7-AFBA-D5D0ECEE9372}">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8730F9E-14B3-4014-8E09-3E7F2F03E908}">
          <x14:formula1>
            <xm:f>'Drop Down Menus'!$A$1:$A$101</xm:f>
          </x14:formula1>
          <xm:sqref>F3</xm:sqref>
        </x14:dataValidation>
        <x14:dataValidation type="list" allowBlank="1" showInputMessage="1" showErrorMessage="1" xr:uid="{4EACADBA-7A48-424E-9B33-CD80FB960E1E}">
          <x14:formula1>
            <xm:f>'Drop Down Menus'!$B$1:$B$2</xm:f>
          </x14:formula1>
          <xm:sqref>F7</xm:sqref>
        </x14:dataValidation>
        <x14:dataValidation type="list" allowBlank="1" showInputMessage="1" showErrorMessage="1" xr:uid="{0839B86C-4945-475B-A23C-02235F13D732}">
          <x14:formula1>
            <xm:f>'Drop Down Menus'!$E$1:$E$3</xm:f>
          </x14:formula1>
          <xm:sqref>F8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21E00-E6EF-4C85-81B0-F227622B5DAF}">
  <sheetPr>
    <tabColor theme="9" tint="0.59999389629810485"/>
    <pageSetUpPr fitToPage="1"/>
  </sheetPr>
  <dimension ref="A1:S193"/>
  <sheetViews>
    <sheetView topLeftCell="A2" zoomScale="70" zoomScaleNormal="70" workbookViewId="0">
      <selection activeCell="N22" sqref="N22"/>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7" t="s">
        <v>1661</v>
      </c>
      <c r="B1" s="267"/>
      <c r="C1" s="267"/>
      <c r="D1" s="267"/>
      <c r="E1" s="267"/>
      <c r="F1" s="267"/>
      <c r="G1" s="267"/>
      <c r="H1" s="267"/>
      <c r="I1" s="267"/>
      <c r="J1" s="267"/>
      <c r="K1" s="267"/>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3" t="s">
        <v>13</v>
      </c>
      <c r="B3" s="263"/>
      <c r="C3" s="263"/>
      <c r="D3" s="263"/>
      <c r="E3" s="263"/>
      <c r="F3" s="268" t="s">
        <v>24</v>
      </c>
      <c r="G3" s="268"/>
      <c r="H3" s="268"/>
      <c r="I3" s="268"/>
    </row>
    <row r="4" spans="1:19" ht="16.5" customHeight="1" x14ac:dyDescent="0.25">
      <c r="A4" s="263" t="s">
        <v>209</v>
      </c>
      <c r="B4" s="263"/>
      <c r="C4" s="263"/>
      <c r="D4" s="263"/>
      <c r="E4" s="263"/>
      <c r="F4" s="269" t="s">
        <v>1883</v>
      </c>
      <c r="G4" s="269"/>
      <c r="H4" s="269"/>
      <c r="I4" s="269"/>
    </row>
    <row r="5" spans="1:19" ht="16.5" customHeight="1" x14ac:dyDescent="0.25">
      <c r="A5" s="263" t="s">
        <v>1640</v>
      </c>
      <c r="B5" s="263"/>
      <c r="C5" s="263"/>
      <c r="D5" s="263"/>
      <c r="E5" s="263"/>
      <c r="F5" s="269" t="s">
        <v>274</v>
      </c>
      <c r="G5" s="269"/>
      <c r="H5" s="269"/>
      <c r="I5" s="269"/>
      <c r="L5" s="252"/>
      <c r="M5" s="252"/>
      <c r="N5" s="252"/>
      <c r="O5" s="252"/>
      <c r="P5" s="252"/>
      <c r="Q5" s="252"/>
    </row>
    <row r="6" spans="1:19" ht="16.5" customHeight="1" x14ac:dyDescent="0.3">
      <c r="A6" s="263" t="s">
        <v>1683</v>
      </c>
      <c r="B6" s="263"/>
      <c r="C6" s="263"/>
      <c r="D6" s="263"/>
      <c r="E6" s="263"/>
      <c r="F6" s="270">
        <v>3066</v>
      </c>
      <c r="G6" s="270"/>
      <c r="H6" s="270"/>
      <c r="I6" s="270"/>
      <c r="L6" s="40"/>
      <c r="M6" s="40"/>
      <c r="N6" s="40"/>
      <c r="O6" s="40"/>
      <c r="P6" s="252"/>
      <c r="Q6" s="252"/>
    </row>
    <row r="7" spans="1:19" ht="16.5" customHeight="1" x14ac:dyDescent="0.3">
      <c r="A7" s="263" t="s">
        <v>3</v>
      </c>
      <c r="B7" s="263"/>
      <c r="C7" s="263"/>
      <c r="D7" s="263"/>
      <c r="E7" s="263"/>
      <c r="F7" s="270" t="s">
        <v>124</v>
      </c>
      <c r="G7" s="270"/>
      <c r="H7" s="270"/>
      <c r="I7" s="270"/>
      <c r="K7" s="96"/>
      <c r="L7" s="40"/>
      <c r="M7" s="40"/>
      <c r="N7" s="40"/>
      <c r="O7" s="40"/>
      <c r="P7" s="252"/>
      <c r="Q7" s="252"/>
    </row>
    <row r="8" spans="1:19" ht="16.5" customHeight="1" x14ac:dyDescent="0.3">
      <c r="A8" s="263" t="s">
        <v>1641</v>
      </c>
      <c r="B8" s="263"/>
      <c r="C8" s="263"/>
      <c r="D8" s="263"/>
      <c r="E8" s="263"/>
      <c r="F8" s="270" t="s">
        <v>165</v>
      </c>
      <c r="G8" s="270"/>
      <c r="H8" s="270"/>
      <c r="I8" s="270"/>
      <c r="K8" s="96"/>
      <c r="L8" s="40"/>
      <c r="M8" s="40"/>
      <c r="N8" s="40"/>
      <c r="O8" s="40"/>
      <c r="P8" s="252"/>
      <c r="Q8" s="252"/>
    </row>
    <row r="9" spans="1:19" ht="16.5" customHeight="1" x14ac:dyDescent="0.3">
      <c r="A9" s="263" t="s">
        <v>1639</v>
      </c>
      <c r="B9" s="263"/>
      <c r="C9" s="263"/>
      <c r="D9" s="263"/>
      <c r="E9" s="263"/>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4" t="s">
        <v>1673</v>
      </c>
      <c r="N14" s="265"/>
      <c r="O14" s="188"/>
      <c r="P14" s="264" t="s">
        <v>1668</v>
      </c>
      <c r="Q14" s="265"/>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94776410</v>
      </c>
      <c r="M17" s="196">
        <v>94776410</v>
      </c>
      <c r="P17" s="196">
        <v>94776410</v>
      </c>
      <c r="Q17" s="224"/>
      <c r="S17" s="223">
        <f t="shared" si="0"/>
        <v>0</v>
      </c>
    </row>
    <row r="18" spans="1:19" ht="16.5" customHeight="1" x14ac:dyDescent="0.3">
      <c r="A18" s="99"/>
      <c r="B18" s="26" t="s">
        <v>179</v>
      </c>
      <c r="C18" s="26"/>
      <c r="D18" s="26"/>
      <c r="E18" s="193"/>
      <c r="F18" s="194"/>
      <c r="G18" s="194"/>
      <c r="H18" s="195"/>
      <c r="I18" s="195"/>
      <c r="J18" s="248">
        <f>P18</f>
        <v>1872594</v>
      </c>
      <c r="M18" s="196">
        <f>+N22+N23-M17</f>
        <v>1872594</v>
      </c>
      <c r="P18" s="221">
        <f>IF(SUM($Q$20:$Q$23)&gt;SUM($P$15:$P$17),SUM($Q$20:$Q$23)-SUM($P$15:$P$17),0)</f>
        <v>1872594</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15920294</v>
      </c>
      <c r="N22" s="196">
        <f>15920294</f>
        <v>15920294</v>
      </c>
      <c r="P22" s="224"/>
      <c r="Q22" s="196">
        <f>+N22</f>
        <v>15920294</v>
      </c>
      <c r="S22" s="223">
        <f t="shared" ref="S22:S25" si="1">Q22-N22</f>
        <v>0</v>
      </c>
    </row>
    <row r="23" spans="1:19" ht="16.5" customHeight="1" x14ac:dyDescent="0.3">
      <c r="A23" s="234" t="s">
        <v>1698</v>
      </c>
      <c r="B23" s="26"/>
      <c r="C23" s="26" t="s">
        <v>184</v>
      </c>
      <c r="D23" s="26"/>
      <c r="E23" s="193"/>
      <c r="F23" s="194"/>
      <c r="G23" s="194"/>
      <c r="H23" s="195"/>
      <c r="I23" s="195"/>
      <c r="J23" s="213"/>
      <c r="K23" s="248">
        <f>N23</f>
        <v>80728710</v>
      </c>
      <c r="N23" s="196">
        <v>80728710</v>
      </c>
      <c r="P23" s="224"/>
      <c r="Q23" s="196">
        <f>+N23</f>
        <v>80728710</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96649004</v>
      </c>
      <c r="K26" s="155">
        <f>SUM(K15:K25)</f>
        <v>96649004</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v>423649.75</v>
      </c>
      <c r="K33" s="197"/>
    </row>
    <row r="34" spans="1:12" ht="16.5" customHeight="1" x14ac:dyDescent="0.3">
      <c r="A34" s="99"/>
      <c r="B34" s="26"/>
      <c r="C34" s="26" t="s">
        <v>1861</v>
      </c>
      <c r="D34" s="193"/>
      <c r="E34" s="193"/>
      <c r="F34" s="194"/>
      <c r="G34" s="194"/>
      <c r="H34" s="195"/>
      <c r="I34" s="195"/>
      <c r="J34" s="197"/>
      <c r="K34" s="196">
        <v>423649.75</v>
      </c>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423649.75</v>
      </c>
      <c r="K36" s="155">
        <f>SUM(K33:K35)</f>
        <v>423649.75</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v>423650</v>
      </c>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f>+J39+J40+J41</f>
        <v>423650</v>
      </c>
    </row>
    <row r="43" spans="1:12" ht="16.5" customHeight="1" x14ac:dyDescent="0.3">
      <c r="A43" s="99"/>
      <c r="B43" s="182" t="s">
        <v>1692</v>
      </c>
      <c r="C43" s="43"/>
      <c r="D43" s="43"/>
      <c r="E43" s="43"/>
      <c r="F43" s="44"/>
      <c r="G43" s="44"/>
      <c r="H43" s="45"/>
      <c r="I43" s="45"/>
      <c r="J43" s="155">
        <f>SUM(J39:J42)</f>
        <v>423650</v>
      </c>
      <c r="K43" s="155">
        <f>SUM(K39:K42)</f>
        <v>423650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v>423650</v>
      </c>
      <c r="K47" s="197"/>
    </row>
    <row r="48" spans="1:12" ht="16.5" customHeight="1" x14ac:dyDescent="0.3">
      <c r="A48" s="234" t="s">
        <v>1698</v>
      </c>
      <c r="B48" s="26"/>
      <c r="C48" s="26" t="s">
        <v>184</v>
      </c>
      <c r="D48" s="193"/>
      <c r="E48" s="193"/>
      <c r="F48" s="194"/>
      <c r="G48" s="194"/>
      <c r="H48" s="195"/>
      <c r="I48" s="195"/>
      <c r="J48" s="197"/>
      <c r="K48" s="196">
        <f>+J47</f>
        <v>423650</v>
      </c>
    </row>
    <row r="49" spans="1:16" ht="16.5" customHeight="1" x14ac:dyDescent="0.3">
      <c r="A49" s="99"/>
      <c r="C49" s="43"/>
      <c r="D49" s="43"/>
      <c r="E49" s="43"/>
      <c r="F49" s="44"/>
      <c r="G49" s="44"/>
      <c r="H49" s="45"/>
      <c r="I49" s="45"/>
      <c r="J49" s="155">
        <f>SUM(J47:J48)</f>
        <v>423650</v>
      </c>
      <c r="K49" s="155">
        <f>SUM(K47:K48)</f>
        <v>423650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15247483</v>
      </c>
      <c r="K55" s="197"/>
    </row>
    <row r="56" spans="1:16" ht="16.5" customHeight="1" x14ac:dyDescent="0.3">
      <c r="A56" s="99"/>
      <c r="B56" s="53"/>
      <c r="C56" s="26" t="s">
        <v>188</v>
      </c>
      <c r="D56" s="193"/>
      <c r="E56" s="193"/>
      <c r="F56" s="194"/>
      <c r="G56" s="194"/>
      <c r="H56" s="195"/>
      <c r="I56" s="195"/>
      <c r="J56" s="198"/>
      <c r="K56" s="196">
        <v>77669</v>
      </c>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15169814</v>
      </c>
    </row>
    <row r="59" spans="1:16" ht="16.5" customHeight="1" x14ac:dyDescent="0.3">
      <c r="A59" s="99"/>
      <c r="C59" s="43"/>
      <c r="D59" s="43"/>
      <c r="E59" s="43"/>
      <c r="F59" s="44"/>
      <c r="G59" s="44"/>
      <c r="H59" s="45"/>
      <c r="I59" s="45"/>
      <c r="J59" s="155">
        <f>SUM(J55:J58)</f>
        <v>15247483</v>
      </c>
      <c r="K59" s="155">
        <f>SUM(K55:K58)</f>
        <v>15247483</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13982030</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658370</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14640400</v>
      </c>
    </row>
    <row r="65" spans="1:12" ht="16.5" customHeight="1" x14ac:dyDescent="0.3">
      <c r="A65" s="99"/>
      <c r="C65" s="43"/>
      <c r="D65" s="43"/>
      <c r="E65" s="43"/>
      <c r="F65" s="44"/>
      <c r="G65" s="44"/>
      <c r="H65" s="45"/>
      <c r="I65" s="45"/>
      <c r="J65" s="155">
        <f>SUM(J62:J64)</f>
        <v>14640400</v>
      </c>
      <c r="K65" s="155">
        <f>SUM(K62:K64)</f>
        <v>14640400</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13982030</v>
      </c>
      <c r="K68" s="197"/>
    </row>
    <row r="69" spans="1:12" ht="16.5" customHeight="1" x14ac:dyDescent="0.3">
      <c r="A69" s="99"/>
      <c r="B69" s="26"/>
      <c r="C69" s="26" t="s">
        <v>203</v>
      </c>
      <c r="D69" s="193"/>
      <c r="E69" s="193"/>
      <c r="F69" s="194"/>
      <c r="G69" s="194"/>
      <c r="H69" s="195"/>
      <c r="I69" s="195"/>
      <c r="J69" s="197"/>
      <c r="K69" s="196">
        <v>13982030</v>
      </c>
    </row>
    <row r="70" spans="1:12" ht="16.5" customHeight="1" x14ac:dyDescent="0.3">
      <c r="A70" s="99"/>
      <c r="C70" s="43"/>
      <c r="D70" s="43"/>
      <c r="E70" s="43"/>
      <c r="F70" s="44"/>
      <c r="G70" s="44"/>
      <c r="H70" s="45"/>
      <c r="I70" s="45"/>
      <c r="J70" s="155">
        <f>SUM(J68:J69)</f>
        <v>13982030</v>
      </c>
      <c r="K70" s="155">
        <f>SUM(K68:K69)</f>
        <v>13982030</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14054633.469681608</v>
      </c>
      <c r="K75" s="197"/>
    </row>
    <row r="76" spans="1:12" ht="16.5" customHeight="1" x14ac:dyDescent="0.3">
      <c r="A76" s="99"/>
      <c r="B76" s="26"/>
      <c r="C76" s="26" t="s">
        <v>211</v>
      </c>
      <c r="D76" s="193"/>
      <c r="E76" s="193"/>
      <c r="F76" s="194"/>
      <c r="G76" s="194"/>
      <c r="H76" s="195"/>
      <c r="I76" s="195"/>
      <c r="J76" s="197"/>
      <c r="K76" s="196">
        <v>14054633.469681608</v>
      </c>
    </row>
    <row r="77" spans="1:12" ht="16.5" customHeight="1" x14ac:dyDescent="0.25">
      <c r="A77" s="99"/>
      <c r="B77" s="266" t="s">
        <v>1841</v>
      </c>
      <c r="C77" s="266"/>
      <c r="D77" s="266"/>
      <c r="E77" s="266"/>
      <c r="F77" s="266"/>
      <c r="G77" s="266"/>
      <c r="H77" s="266"/>
      <c r="I77" s="266"/>
      <c r="J77" s="155">
        <f>SUM(J75:J76)</f>
        <v>14054633.469681608</v>
      </c>
      <c r="K77" s="155">
        <f>SUM(K75:K76)</f>
        <v>14054633.469681608</v>
      </c>
      <c r="L77" s="21" t="str">
        <f>IF(J77=K77,"&lt;- Debits and Credits equal each other.","&lt;- Debits and Credits do not equal each other.")</f>
        <v>&lt;- Debits and Credits equal each other.</v>
      </c>
    </row>
    <row r="78" spans="1:12" ht="16.5" customHeight="1" x14ac:dyDescent="0.25">
      <c r="A78" s="99"/>
      <c r="B78" s="266"/>
      <c r="C78" s="266"/>
      <c r="D78" s="266"/>
      <c r="E78" s="266"/>
      <c r="F78" s="266"/>
      <c r="G78" s="266"/>
      <c r="H78" s="266"/>
      <c r="I78" s="266"/>
      <c r="J78" s="155"/>
      <c r="K78" s="155"/>
      <c r="L78" s="21"/>
    </row>
    <row r="79" spans="1:12" ht="24.6" customHeight="1" x14ac:dyDescent="0.25">
      <c r="A79" s="99"/>
      <c r="B79" s="266"/>
      <c r="C79" s="266"/>
      <c r="D79" s="266"/>
      <c r="E79" s="266"/>
      <c r="F79" s="266"/>
      <c r="G79" s="266"/>
      <c r="H79" s="266"/>
      <c r="I79" s="266"/>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v>2617979</v>
      </c>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v>972478</v>
      </c>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v>3542628</v>
      </c>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v>47829</v>
      </c>
    </row>
    <row r="105" spans="1:12" ht="16.5" customHeight="1" x14ac:dyDescent="0.3">
      <c r="B105" s="182" t="s">
        <v>1693</v>
      </c>
      <c r="H105" s="37"/>
      <c r="J105" s="156">
        <f>SUM(J96:J104)</f>
        <v>3590457</v>
      </c>
      <c r="K105" s="156">
        <f>SUM(K96:K104)</f>
        <v>3590457</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v>4267423.2300000004</v>
      </c>
      <c r="K112" s="53"/>
    </row>
    <row r="113" spans="1:12" ht="16.5" customHeight="1" x14ac:dyDescent="0.25">
      <c r="A113" s="234" t="s">
        <v>1698</v>
      </c>
      <c r="B113" s="26"/>
      <c r="C113" s="26" t="s">
        <v>184</v>
      </c>
      <c r="D113" s="255"/>
      <c r="E113" s="53"/>
      <c r="F113" s="53"/>
      <c r="G113" s="53"/>
      <c r="H113" s="53"/>
      <c r="I113" s="53"/>
      <c r="J113" s="53"/>
      <c r="K113" s="196">
        <v>4267423.2300000004</v>
      </c>
    </row>
    <row r="114" spans="1:12" ht="16.5" customHeight="1" x14ac:dyDescent="0.3">
      <c r="A114" s="15"/>
      <c r="B114" s="182" t="s">
        <v>1692</v>
      </c>
      <c r="C114" s="166"/>
      <c r="D114" s="166"/>
      <c r="H114" s="37"/>
      <c r="J114" s="156">
        <f>SUM(J110:J113)</f>
        <v>4267423.2300000004</v>
      </c>
      <c r="K114" s="156">
        <f>SUM(K110:K113)</f>
        <v>4267423.2300000004</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423650</v>
      </c>
    </row>
    <row r="123" spans="1:12" ht="16.5" customHeight="1" x14ac:dyDescent="0.3">
      <c r="D123" s="193" t="s">
        <v>1704</v>
      </c>
      <c r="H123" s="37"/>
      <c r="K123" s="238">
        <f>J16+J40-K89-K102+J111</f>
        <v>0</v>
      </c>
    </row>
    <row r="124" spans="1:12" ht="16.5" customHeight="1" x14ac:dyDescent="0.3">
      <c r="D124" s="193" t="s">
        <v>1705</v>
      </c>
      <c r="H124" s="37"/>
      <c r="K124" s="238">
        <f>J17+J41-K90-K103+J112</f>
        <v>95501205.230000004</v>
      </c>
    </row>
    <row r="125" spans="1:12" ht="16.5" customHeight="1" x14ac:dyDescent="0.3">
      <c r="D125" s="193" t="s">
        <v>1706</v>
      </c>
      <c r="H125" s="37"/>
      <c r="K125" s="238">
        <f>-K20-K56+J85+J97</f>
        <v>-77669</v>
      </c>
    </row>
    <row r="126" spans="1:12" ht="16.5" customHeight="1" x14ac:dyDescent="0.3">
      <c r="D126" s="193" t="s">
        <v>1707</v>
      </c>
      <c r="H126" s="37"/>
      <c r="K126" s="238">
        <f>-K21-K57+J86+J98</f>
        <v>0</v>
      </c>
    </row>
    <row r="127" spans="1:12" ht="16.5" customHeight="1" x14ac:dyDescent="0.3">
      <c r="D127" s="193" t="s">
        <v>1708</v>
      </c>
      <c r="H127" s="37"/>
      <c r="K127" s="238">
        <f>-K22-K58+J87+J99</f>
        <v>-30117630</v>
      </c>
    </row>
    <row r="128" spans="1:12" ht="16.5" customHeight="1" x14ac:dyDescent="0.3">
      <c r="D128" s="193" t="s">
        <v>1709</v>
      </c>
      <c r="H128" s="37"/>
      <c r="K128" s="238">
        <f>-K23-K48+J68+J75+J96-K113</f>
        <v>-54765140.760318398</v>
      </c>
    </row>
    <row r="129" spans="4:11" ht="16.5" customHeight="1" x14ac:dyDescent="0.3">
      <c r="D129" s="193" t="s">
        <v>1710</v>
      </c>
      <c r="H129" s="37"/>
      <c r="K129" s="238">
        <f>-K76</f>
        <v>-14054633.469681608</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759D5982-7769-4702-BA0E-D101AF97B733}">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7D91F2E8-ABA5-443A-B956-7A5B8AF7AEC9}">
      <formula1>0</formula1>
    </dataValidation>
    <dataValidation operator="lessThan" allowBlank="1" showInputMessage="1" showErrorMessage="1" sqref="A3:A8" xr:uid="{671B28E5-2F6C-4006-B806-4EE8923B1C8A}"/>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593D1B98-750A-4453-B5A6-0DF0B4AAEC87}">
          <x14:formula1>
            <xm:f>'Drop Down Menus'!$E$1:$E$3</xm:f>
          </x14:formula1>
          <xm:sqref>F8</xm:sqref>
        </x14:dataValidation>
        <x14:dataValidation type="list" allowBlank="1" showInputMessage="1" showErrorMessage="1" xr:uid="{8D938F8B-01F1-4003-B8CE-9B1E1A92B359}">
          <x14:formula1>
            <xm:f>'Drop Down Menus'!$B$1:$B$2</xm:f>
          </x14:formula1>
          <xm:sqref>F7</xm:sqref>
        </x14:dataValidation>
        <x14:dataValidation type="list" allowBlank="1" showInputMessage="1" showErrorMessage="1" xr:uid="{AD665D2B-696D-4026-97B4-45B505134620}">
          <x14:formula1>
            <xm:f>'Drop Down Menus'!$A$1:$A$101</xm:f>
          </x14:formula1>
          <xm:sqref>F3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7EDEC-B65E-4680-BE62-332691A04D6D}">
  <sheetPr>
    <tabColor theme="9" tint="0.59999389629810485"/>
    <pageSetUpPr fitToPage="1"/>
  </sheetPr>
  <dimension ref="A1:S193"/>
  <sheetViews>
    <sheetView topLeftCell="A2" zoomScale="70" zoomScaleNormal="70" workbookViewId="0">
      <selection activeCell="M17" sqref="M17"/>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7" t="s">
        <v>1661</v>
      </c>
      <c r="B1" s="267"/>
      <c r="C1" s="267"/>
      <c r="D1" s="267"/>
      <c r="E1" s="267"/>
      <c r="F1" s="267"/>
      <c r="G1" s="267"/>
      <c r="H1" s="267"/>
      <c r="I1" s="267"/>
      <c r="J1" s="267"/>
      <c r="K1" s="267"/>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63" t="s">
        <v>13</v>
      </c>
      <c r="B3" s="263"/>
      <c r="C3" s="263"/>
      <c r="D3" s="263"/>
      <c r="E3" s="263"/>
      <c r="F3" s="268" t="s">
        <v>24</v>
      </c>
      <c r="G3" s="268"/>
      <c r="H3" s="268"/>
      <c r="I3" s="268"/>
    </row>
    <row r="4" spans="1:19" ht="16.5" customHeight="1" x14ac:dyDescent="0.25">
      <c r="A4" s="263" t="s">
        <v>209</v>
      </c>
      <c r="B4" s="263"/>
      <c r="C4" s="263"/>
      <c r="D4" s="263"/>
      <c r="E4" s="263"/>
      <c r="F4" s="269" t="s">
        <v>1883</v>
      </c>
      <c r="G4" s="269"/>
      <c r="H4" s="269"/>
      <c r="I4" s="269"/>
    </row>
    <row r="5" spans="1:19" ht="16.5" customHeight="1" x14ac:dyDescent="0.25">
      <c r="A5" s="263" t="s">
        <v>1640</v>
      </c>
      <c r="B5" s="263"/>
      <c r="C5" s="263"/>
      <c r="D5" s="263"/>
      <c r="E5" s="263"/>
      <c r="F5" s="269" t="s">
        <v>274</v>
      </c>
      <c r="G5" s="269"/>
      <c r="H5" s="269"/>
      <c r="I5" s="269"/>
      <c r="L5" s="252"/>
      <c r="M5" s="252"/>
      <c r="N5" s="252"/>
      <c r="O5" s="252"/>
      <c r="P5" s="252"/>
      <c r="Q5" s="252"/>
    </row>
    <row r="6" spans="1:19" ht="16.5" customHeight="1" x14ac:dyDescent="0.3">
      <c r="A6" s="263" t="s">
        <v>1683</v>
      </c>
      <c r="B6" s="263"/>
      <c r="C6" s="263"/>
      <c r="D6" s="263"/>
      <c r="E6" s="263"/>
      <c r="F6" s="270">
        <v>3085</v>
      </c>
      <c r="G6" s="270"/>
      <c r="H6" s="270"/>
      <c r="I6" s="270"/>
      <c r="L6" s="40"/>
      <c r="M6" s="40"/>
      <c r="N6" s="40"/>
      <c r="O6" s="40"/>
      <c r="P6" s="252"/>
      <c r="Q6" s="252"/>
    </row>
    <row r="7" spans="1:19" ht="16.5" customHeight="1" x14ac:dyDescent="0.3">
      <c r="A7" s="263" t="s">
        <v>3</v>
      </c>
      <c r="B7" s="263"/>
      <c r="C7" s="263"/>
      <c r="D7" s="263"/>
      <c r="E7" s="263"/>
      <c r="F7" s="270" t="s">
        <v>124</v>
      </c>
      <c r="G7" s="270"/>
      <c r="H7" s="270"/>
      <c r="I7" s="270"/>
      <c r="K7" s="96"/>
      <c r="L7" s="40"/>
      <c r="M7" s="40"/>
      <c r="N7" s="40"/>
      <c r="O7" s="40"/>
      <c r="P7" s="252"/>
      <c r="Q7" s="252"/>
    </row>
    <row r="8" spans="1:19" ht="16.5" customHeight="1" x14ac:dyDescent="0.3">
      <c r="A8" s="263" t="s">
        <v>1641</v>
      </c>
      <c r="B8" s="263"/>
      <c r="C8" s="263"/>
      <c r="D8" s="263"/>
      <c r="E8" s="263"/>
      <c r="F8" s="270" t="s">
        <v>165</v>
      </c>
      <c r="G8" s="270"/>
      <c r="H8" s="270"/>
      <c r="I8" s="270"/>
      <c r="K8" s="96"/>
      <c r="L8" s="40"/>
      <c r="M8" s="40"/>
      <c r="N8" s="40"/>
      <c r="O8" s="40"/>
      <c r="P8" s="252"/>
      <c r="Q8" s="252"/>
    </row>
    <row r="9" spans="1:19" ht="16.5" customHeight="1" x14ac:dyDescent="0.3">
      <c r="A9" s="263" t="s">
        <v>1639</v>
      </c>
      <c r="B9" s="263"/>
      <c r="C9" s="263"/>
      <c r="D9" s="263"/>
      <c r="E9" s="263"/>
      <c r="F9" s="271" t="str">
        <f>IFERROR(IF(F7="Proprietary","Proprietary Fund",VLOOKUP(F5,qryIndex02a!$A$2:$K$654,4,FALSE)),"Unidentified")</f>
        <v>GENERAL GOVERNMENT</v>
      </c>
      <c r="G9" s="271"/>
      <c r="H9" s="271"/>
      <c r="I9" s="271"/>
      <c r="K9" s="252"/>
      <c r="L9" s="252"/>
      <c r="M9" s="252"/>
      <c r="N9" s="252"/>
      <c r="O9" s="252"/>
      <c r="P9" s="252"/>
    </row>
    <row r="10" spans="1:19" ht="16.5" customHeight="1" x14ac:dyDescent="0.3">
      <c r="A10" s="250"/>
      <c r="B10" s="250"/>
      <c r="C10" s="250"/>
      <c r="D10" s="250"/>
      <c r="E10" s="40"/>
      <c r="F10" s="252"/>
      <c r="G10" s="252"/>
      <c r="H10" s="41"/>
      <c r="I10" s="252"/>
      <c r="J10" s="252"/>
      <c r="K10" s="252"/>
      <c r="L10" s="252"/>
      <c r="M10" s="252"/>
      <c r="N10" s="252"/>
      <c r="O10" s="252"/>
      <c r="P10" s="252"/>
    </row>
    <row r="11" spans="1:19" ht="16.5" customHeight="1" x14ac:dyDescent="0.3">
      <c r="A11" s="250"/>
      <c r="B11" s="250"/>
      <c r="C11" s="250"/>
      <c r="D11" s="250"/>
      <c r="E11" s="40"/>
      <c r="F11" s="252"/>
      <c r="G11" s="252"/>
      <c r="H11" s="41"/>
      <c r="I11" s="252"/>
      <c r="J11" s="252"/>
      <c r="K11" s="252"/>
      <c r="L11" s="252"/>
      <c r="M11" s="252"/>
      <c r="N11" s="252"/>
      <c r="O11" s="252"/>
      <c r="P11" s="252"/>
    </row>
    <row r="12" spans="1:19" s="178" customFormat="1" ht="21" customHeight="1" x14ac:dyDescent="0.4">
      <c r="A12" s="172" t="s">
        <v>175</v>
      </c>
      <c r="B12" s="173"/>
      <c r="C12" s="174"/>
      <c r="D12" s="174"/>
      <c r="E12" s="174"/>
      <c r="F12" s="175"/>
      <c r="G12" s="175"/>
      <c r="H12" s="176"/>
      <c r="I12" s="176"/>
      <c r="J12" s="175"/>
      <c r="K12" s="175"/>
      <c r="L12" s="252"/>
      <c r="M12" s="252"/>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4" t="s">
        <v>1673</v>
      </c>
      <c r="N14" s="265"/>
      <c r="O14" s="188"/>
      <c r="P14" s="264" t="s">
        <v>1668</v>
      </c>
      <c r="Q14" s="265"/>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131220</v>
      </c>
      <c r="M17" s="196">
        <v>131220</v>
      </c>
      <c r="P17" s="196">
        <v>131220</v>
      </c>
      <c r="Q17" s="224"/>
      <c r="S17" s="223">
        <f t="shared" si="0"/>
        <v>0</v>
      </c>
    </row>
    <row r="18" spans="1:19" ht="16.5" customHeight="1" x14ac:dyDescent="0.3">
      <c r="A18" s="99"/>
      <c r="B18" s="26" t="s">
        <v>179</v>
      </c>
      <c r="C18" s="26"/>
      <c r="D18" s="26"/>
      <c r="E18" s="193"/>
      <c r="F18" s="194"/>
      <c r="G18" s="194"/>
      <c r="H18" s="195"/>
      <c r="I18" s="195"/>
      <c r="J18" s="248">
        <f>P18</f>
        <v>1687</v>
      </c>
      <c r="M18" s="196">
        <f>+N22+N23-M17</f>
        <v>1687</v>
      </c>
      <c r="P18" s="221">
        <f>IF(SUM($Q$20:$Q$23)&gt;SUM($P$15:$P$17),SUM($Q$20:$Q$23)-SUM($P$15:$P$17),0)</f>
        <v>1687</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18099</v>
      </c>
      <c r="N22" s="196">
        <v>18099</v>
      </c>
      <c r="P22" s="224"/>
      <c r="Q22" s="196">
        <f>+N22</f>
        <v>18099</v>
      </c>
      <c r="S22" s="223">
        <f t="shared" ref="S22:S25" si="1">Q22-N22</f>
        <v>0</v>
      </c>
    </row>
    <row r="23" spans="1:19" ht="16.5" customHeight="1" x14ac:dyDescent="0.3">
      <c r="A23" s="234" t="s">
        <v>1698</v>
      </c>
      <c r="B23" s="26"/>
      <c r="C23" s="26" t="s">
        <v>184</v>
      </c>
      <c r="D23" s="26"/>
      <c r="E23" s="193"/>
      <c r="F23" s="194"/>
      <c r="G23" s="194"/>
      <c r="H23" s="195"/>
      <c r="I23" s="195"/>
      <c r="J23" s="213"/>
      <c r="K23" s="248">
        <f>N23</f>
        <v>114808</v>
      </c>
      <c r="N23" s="196">
        <v>114808</v>
      </c>
      <c r="P23" s="224"/>
      <c r="Q23" s="196">
        <f>+N23</f>
        <v>114808</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132907</v>
      </c>
      <c r="K26" s="155">
        <f>SUM(K15:K25)</f>
        <v>132907</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252"/>
      <c r="M31" s="252"/>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252"/>
      <c r="M53" s="252"/>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18099.280000000002</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18099.280000000002</v>
      </c>
    </row>
    <row r="59" spans="1:16" ht="16.5" customHeight="1" x14ac:dyDescent="0.3">
      <c r="A59" s="99"/>
      <c r="C59" s="43"/>
      <c r="D59" s="43"/>
      <c r="E59" s="43"/>
      <c r="F59" s="44"/>
      <c r="G59" s="44"/>
      <c r="H59" s="45"/>
      <c r="I59" s="45"/>
      <c r="J59" s="155">
        <f>SUM(J55:J58)</f>
        <v>18099.280000000002</v>
      </c>
      <c r="K59" s="155">
        <f>SUM(K55:K58)</f>
        <v>18099.280000000002</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16943</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964</v>
      </c>
      <c r="K63" s="200"/>
    </row>
    <row r="64" spans="1:16" ht="16.5" customHeight="1" x14ac:dyDescent="0.3">
      <c r="A64" s="99"/>
      <c r="B64" s="26"/>
      <c r="C64" s="26" t="str">
        <f>IF($F$7="Proprietary","Cr: Acct 0870 - SERVICES &amp; CHARGES (MG ADJ)",VLOOKUP($F$9,'Drop Down Menus'!$F$2:$G$10,2,FALSE))</f>
        <v>Cr: Acct 0808 - GENERAL GOV. (GAAP ADJ)</v>
      </c>
      <c r="D64" s="193"/>
      <c r="E64" s="193"/>
      <c r="F64" s="194"/>
      <c r="G64" s="194"/>
      <c r="H64" s="195"/>
      <c r="I64" s="195"/>
      <c r="J64" s="200"/>
      <c r="K64" s="196">
        <v>17907</v>
      </c>
    </row>
    <row r="65" spans="1:12" ht="16.5" customHeight="1" x14ac:dyDescent="0.3">
      <c r="A65" s="99"/>
      <c r="C65" s="43"/>
      <c r="D65" s="43"/>
      <c r="E65" s="43"/>
      <c r="F65" s="44"/>
      <c r="G65" s="44"/>
      <c r="H65" s="45"/>
      <c r="I65" s="45"/>
      <c r="J65" s="155">
        <f>SUM(J62:J64)</f>
        <v>17907</v>
      </c>
      <c r="K65" s="155">
        <f>SUM(K62:K64)</f>
        <v>17907</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16943</v>
      </c>
      <c r="K68" s="197"/>
    </row>
    <row r="69" spans="1:12" ht="16.5" customHeight="1" x14ac:dyDescent="0.3">
      <c r="A69" s="99"/>
      <c r="B69" s="26"/>
      <c r="C69" s="26" t="s">
        <v>203</v>
      </c>
      <c r="D69" s="193"/>
      <c r="E69" s="193"/>
      <c r="F69" s="194"/>
      <c r="G69" s="194"/>
      <c r="H69" s="195"/>
      <c r="I69" s="195"/>
      <c r="J69" s="197"/>
      <c r="K69" s="196">
        <v>16943</v>
      </c>
    </row>
    <row r="70" spans="1:12" ht="16.5" customHeight="1" x14ac:dyDescent="0.3">
      <c r="A70" s="99"/>
      <c r="C70" s="43"/>
      <c r="D70" s="43"/>
      <c r="E70" s="43"/>
      <c r="F70" s="44"/>
      <c r="G70" s="44"/>
      <c r="H70" s="45"/>
      <c r="I70" s="45"/>
      <c r="J70" s="155">
        <f>SUM(J68:J69)</f>
        <v>16943</v>
      </c>
      <c r="K70" s="155">
        <f>SUM(K68:K69)</f>
        <v>16943</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17478.600353923259</v>
      </c>
      <c r="K75" s="197"/>
    </row>
    <row r="76" spans="1:12" ht="16.5" customHeight="1" x14ac:dyDescent="0.3">
      <c r="A76" s="99"/>
      <c r="B76" s="26"/>
      <c r="C76" s="26" t="s">
        <v>211</v>
      </c>
      <c r="D76" s="193"/>
      <c r="E76" s="193"/>
      <c r="F76" s="194"/>
      <c r="G76" s="194"/>
      <c r="H76" s="195"/>
      <c r="I76" s="195"/>
      <c r="J76" s="197"/>
      <c r="K76" s="196">
        <v>17478.600353923259</v>
      </c>
    </row>
    <row r="77" spans="1:12" ht="16.5" customHeight="1" x14ac:dyDescent="0.25">
      <c r="A77" s="99"/>
      <c r="B77" s="266" t="s">
        <v>1841</v>
      </c>
      <c r="C77" s="266"/>
      <c r="D77" s="266"/>
      <c r="E77" s="266"/>
      <c r="F77" s="266"/>
      <c r="G77" s="266"/>
      <c r="H77" s="266"/>
      <c r="I77" s="266"/>
      <c r="J77" s="155">
        <f>SUM(J75:J76)</f>
        <v>17478.600353923259</v>
      </c>
      <c r="K77" s="155">
        <f>SUM(K75:K76)</f>
        <v>17478.600353923259</v>
      </c>
      <c r="L77" s="21" t="str">
        <f>IF(J77=K77,"&lt;- Debits and Credits equal each other.","&lt;- Debits and Credits do not equal each other.")</f>
        <v>&lt;- Debits and Credits equal each other.</v>
      </c>
    </row>
    <row r="78" spans="1:12" ht="16.5" customHeight="1" x14ac:dyDescent="0.25">
      <c r="A78" s="99"/>
      <c r="B78" s="266"/>
      <c r="C78" s="266"/>
      <c r="D78" s="266"/>
      <c r="E78" s="266"/>
      <c r="F78" s="266"/>
      <c r="G78" s="266"/>
      <c r="H78" s="266"/>
      <c r="I78" s="266"/>
      <c r="J78" s="155"/>
      <c r="K78" s="155"/>
      <c r="L78" s="21"/>
    </row>
    <row r="79" spans="1:12" ht="24.6" customHeight="1" x14ac:dyDescent="0.25">
      <c r="A79" s="99"/>
      <c r="B79" s="266"/>
      <c r="C79" s="266"/>
      <c r="D79" s="266"/>
      <c r="E79" s="266"/>
      <c r="F79" s="266"/>
      <c r="G79" s="266"/>
      <c r="H79" s="266"/>
      <c r="I79" s="266"/>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252"/>
      <c r="M83" s="252"/>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252"/>
      <c r="M94" s="252"/>
      <c r="N94" s="177"/>
      <c r="O94" s="177"/>
      <c r="P94" s="177"/>
    </row>
    <row r="95" spans="1:16" s="188" customFormat="1" ht="16.5" customHeight="1" x14ac:dyDescent="0.35">
      <c r="A95" s="184">
        <v>9</v>
      </c>
      <c r="B95" s="215" t="s">
        <v>1874</v>
      </c>
      <c r="C95" s="254"/>
      <c r="D95" s="254"/>
      <c r="E95" s="254"/>
      <c r="F95" s="254"/>
      <c r="G95" s="254"/>
      <c r="H95" s="254"/>
      <c r="I95" s="254"/>
      <c r="J95" s="190"/>
      <c r="K95" s="190"/>
    </row>
    <row r="96" spans="1:16" ht="16.5" customHeight="1" x14ac:dyDescent="0.25">
      <c r="A96" s="234" t="s">
        <v>1698</v>
      </c>
      <c r="B96" s="26" t="s">
        <v>202</v>
      </c>
      <c r="C96" s="26"/>
      <c r="D96" s="255"/>
      <c r="E96" s="255"/>
      <c r="F96" s="255"/>
      <c r="G96" s="255"/>
      <c r="H96" s="255"/>
      <c r="I96" s="255"/>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254"/>
      <c r="D109" s="254"/>
    </row>
    <row r="110" spans="1:12" ht="16.5" customHeight="1" x14ac:dyDescent="0.25">
      <c r="A110" s="228" t="s">
        <v>1690</v>
      </c>
      <c r="B110" s="26" t="s">
        <v>181</v>
      </c>
      <c r="C110" s="26"/>
      <c r="D110" s="255"/>
      <c r="E110" s="53"/>
      <c r="F110" s="53"/>
      <c r="G110" s="53"/>
      <c r="H110" s="53"/>
      <c r="I110" s="53"/>
      <c r="J110" s="196"/>
      <c r="K110" s="53"/>
    </row>
    <row r="111" spans="1:12" ht="16.5" customHeight="1" x14ac:dyDescent="0.25">
      <c r="A111" s="228" t="s">
        <v>1690</v>
      </c>
      <c r="B111" s="26" t="s">
        <v>182</v>
      </c>
      <c r="C111" s="26"/>
      <c r="D111" s="255"/>
      <c r="E111" s="53"/>
      <c r="F111" s="53"/>
      <c r="G111" s="53"/>
      <c r="H111" s="53"/>
      <c r="I111" s="53"/>
      <c r="J111" s="196"/>
      <c r="K111" s="53"/>
    </row>
    <row r="112" spans="1:12" ht="16.5" customHeight="1" x14ac:dyDescent="0.25">
      <c r="A112" s="228" t="s">
        <v>1690</v>
      </c>
      <c r="B112" s="26" t="s">
        <v>183</v>
      </c>
      <c r="C112" s="26"/>
      <c r="D112" s="255"/>
      <c r="E112" s="53"/>
      <c r="F112" s="53"/>
      <c r="G112" s="53"/>
      <c r="H112" s="53"/>
      <c r="I112" s="53"/>
      <c r="J112" s="196"/>
      <c r="K112" s="53"/>
    </row>
    <row r="113" spans="1:12" ht="16.5" customHeight="1" x14ac:dyDescent="0.25">
      <c r="A113" s="234" t="s">
        <v>1698</v>
      </c>
      <c r="B113" s="26"/>
      <c r="C113" s="26" t="s">
        <v>184</v>
      </c>
      <c r="D113" s="255"/>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131220</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-36198.28</v>
      </c>
    </row>
    <row r="128" spans="1:12" ht="16.5" customHeight="1" x14ac:dyDescent="0.3">
      <c r="D128" s="193" t="s">
        <v>1709</v>
      </c>
      <c r="H128" s="37"/>
      <c r="K128" s="238">
        <f>-K23-K48+J68+J75+J96-K113</f>
        <v>-80386.399646076738</v>
      </c>
    </row>
    <row r="129" spans="4:11" ht="16.5" customHeight="1" x14ac:dyDescent="0.3">
      <c r="D129" s="193" t="s">
        <v>1710</v>
      </c>
      <c r="H129" s="37"/>
      <c r="K129" s="238">
        <f>-K76</f>
        <v>-17478.600353923259</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D6D2B766-0215-4BEA-ADA8-93E4263CBC18}"/>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27F879E-E7D5-400C-92F8-BC2B892DC158}">
      <formula1>0</formula1>
    </dataValidation>
    <dataValidation type="textLength" operator="equal" allowBlank="1" showInputMessage="1" showErrorMessage="1" errorTitle="4-Digit Org Code" error="Enter the Org Code/BU as 4 digits." sqref="F5" xr:uid="{25B5DDF2-E73A-4950-A32B-40414FE3BA02}">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2F6462BD-B3D8-46F8-A407-8D26B59CDEB4}">
          <x14:formula1>
            <xm:f>'Drop Down Menus'!$A$1:$A$101</xm:f>
          </x14:formula1>
          <xm:sqref>F3</xm:sqref>
        </x14:dataValidation>
        <x14:dataValidation type="list" allowBlank="1" showInputMessage="1" showErrorMessage="1" xr:uid="{B7990018-1819-4E40-A7A4-47B5B76E9694}">
          <x14:formula1>
            <xm:f>'Drop Down Menus'!$B$1:$B$2</xm:f>
          </x14:formula1>
          <xm:sqref>F7</xm:sqref>
        </x14:dataValidation>
        <x14:dataValidation type="list" allowBlank="1" showInputMessage="1" showErrorMessage="1" xr:uid="{2D8AA131-30C0-435E-8E76-B338A81DF7FE}">
          <x14:formula1>
            <xm:f>'Drop Down Menus'!$E$1:$E$3</xm:f>
          </x14:formula1>
          <xm:sqref>F8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abSelected="1" topLeftCell="A3" zoomScale="70" zoomScaleNormal="70" workbookViewId="0">
      <selection activeCell="B18" sqref="B18:C18"/>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82" t="s">
        <v>150</v>
      </c>
      <c r="B1" s="282"/>
      <c r="C1" s="282"/>
      <c r="D1" s="282"/>
      <c r="E1" s="282"/>
      <c r="F1" s="282"/>
      <c r="G1" s="5"/>
      <c r="H1" s="5"/>
      <c r="I1" s="5"/>
      <c r="J1" s="5"/>
      <c r="K1" s="5"/>
      <c r="L1" s="5"/>
      <c r="M1" s="5"/>
    </row>
    <row r="2" spans="1:13" ht="64.2" customHeight="1" x14ac:dyDescent="0.3">
      <c r="A2" s="281" t="s">
        <v>148</v>
      </c>
      <c r="B2" s="281"/>
      <c r="C2" s="281"/>
      <c r="D2" s="281"/>
      <c r="E2" s="281"/>
      <c r="F2" s="281"/>
      <c r="G2" s="5"/>
      <c r="H2" s="5"/>
      <c r="I2" s="5"/>
      <c r="J2" s="5"/>
      <c r="K2" s="5"/>
      <c r="L2" s="5"/>
      <c r="M2" s="5"/>
    </row>
    <row r="3" spans="1:13" ht="31.95" customHeight="1" x14ac:dyDescent="0.3">
      <c r="A3" s="286" t="s">
        <v>212</v>
      </c>
      <c r="B3" s="286"/>
      <c r="C3" s="286"/>
      <c r="D3" s="52"/>
      <c r="E3" s="5"/>
      <c r="F3" s="5"/>
      <c r="G3" s="5"/>
      <c r="H3" s="5"/>
      <c r="I3" s="5"/>
      <c r="J3" s="5"/>
      <c r="K3" s="5"/>
      <c r="L3" s="5"/>
      <c r="M3" s="5"/>
    </row>
    <row r="4" spans="1:13" ht="31.2" customHeight="1" x14ac:dyDescent="0.3">
      <c r="A4" s="287" t="s">
        <v>7</v>
      </c>
      <c r="B4" s="287"/>
      <c r="C4" s="287"/>
      <c r="D4" s="52"/>
      <c r="E4" s="5"/>
      <c r="F4" s="5"/>
      <c r="G4" s="5"/>
      <c r="H4" s="5"/>
      <c r="I4" s="5"/>
      <c r="J4" s="5"/>
      <c r="K4" s="5"/>
      <c r="L4" s="5"/>
      <c r="M4" s="5"/>
    </row>
    <row r="5" spans="1:13" ht="31.2" customHeight="1" x14ac:dyDescent="0.3">
      <c r="A5" s="287" t="s">
        <v>9</v>
      </c>
      <c r="B5" s="287"/>
      <c r="C5" s="287"/>
      <c r="D5" s="52"/>
      <c r="E5" s="5"/>
      <c r="F5" s="5"/>
      <c r="G5" s="5"/>
      <c r="H5" s="5"/>
      <c r="I5" s="5"/>
      <c r="J5" s="5"/>
      <c r="K5" s="5"/>
      <c r="L5" s="5"/>
      <c r="M5" s="5"/>
    </row>
    <row r="6" spans="1:13" ht="15.6" x14ac:dyDescent="0.3">
      <c r="A6" s="52"/>
      <c r="B6" s="52"/>
      <c r="C6" s="52"/>
      <c r="D6" s="52"/>
      <c r="E6" s="5"/>
      <c r="F6" s="5"/>
      <c r="G6" s="5"/>
      <c r="H6" s="5"/>
      <c r="I6" s="5"/>
      <c r="J6" s="5"/>
      <c r="K6" s="5"/>
      <c r="L6" s="5"/>
      <c r="M6" s="5"/>
    </row>
    <row r="7" spans="1:13" ht="21" x14ac:dyDescent="0.4">
      <c r="A7" s="152" t="s">
        <v>5</v>
      </c>
      <c r="B7" s="5"/>
      <c r="C7" s="5"/>
      <c r="D7" s="5"/>
      <c r="E7" s="5"/>
      <c r="F7" s="5"/>
      <c r="G7" s="5"/>
      <c r="H7" s="5"/>
      <c r="I7" s="5"/>
      <c r="J7" s="5"/>
      <c r="K7" s="5"/>
      <c r="L7" s="5"/>
      <c r="M7" s="5"/>
    </row>
    <row r="8" spans="1:13" ht="15.6" x14ac:dyDescent="0.3">
      <c r="A8" s="12" t="s">
        <v>13</v>
      </c>
      <c r="B8" s="283" t="s">
        <v>24</v>
      </c>
      <c r="C8" s="283"/>
      <c r="D8" s="5"/>
      <c r="E8" s="5"/>
      <c r="F8" s="5"/>
    </row>
    <row r="9" spans="1:13" ht="15.6" x14ac:dyDescent="0.3">
      <c r="A9" s="12" t="s">
        <v>210</v>
      </c>
      <c r="B9" s="284">
        <v>250</v>
      </c>
      <c r="C9" s="284"/>
      <c r="D9" s="5"/>
      <c r="E9" s="5"/>
      <c r="F9" s="5"/>
    </row>
    <row r="10" spans="1:13" ht="15.6" x14ac:dyDescent="0.3">
      <c r="A10" s="12" t="s">
        <v>209</v>
      </c>
      <c r="B10" s="285" t="s">
        <v>1883</v>
      </c>
      <c r="C10" s="285"/>
      <c r="D10" s="5"/>
      <c r="E10" s="5"/>
      <c r="F10" s="5"/>
      <c r="G10" s="55"/>
      <c r="H10" s="55"/>
      <c r="I10" s="55"/>
      <c r="J10" s="55"/>
      <c r="K10" s="55"/>
      <c r="L10" s="55"/>
      <c r="M10" s="55"/>
    </row>
    <row r="11" spans="1:13" ht="32.25" customHeight="1" x14ac:dyDescent="0.3">
      <c r="A11" s="277" t="s">
        <v>10</v>
      </c>
      <c r="B11" s="277"/>
      <c r="C11" s="277"/>
      <c r="D11" s="5"/>
      <c r="E11" s="5"/>
      <c r="F11" s="5"/>
      <c r="G11" s="57"/>
      <c r="H11" s="57"/>
      <c r="I11" s="57"/>
      <c r="J11" s="57"/>
      <c r="K11" s="57"/>
      <c r="L11" s="57"/>
      <c r="M11" s="57"/>
    </row>
    <row r="12" spans="1:13" ht="15" customHeight="1" x14ac:dyDescent="0.3">
      <c r="A12" s="84"/>
      <c r="B12" s="85" t="s">
        <v>11</v>
      </c>
      <c r="C12" s="85" t="s">
        <v>12</v>
      </c>
      <c r="D12" s="279" t="str">
        <f>"All of the below questions are for Fiscal Year "&amp;$B$8&amp;":"</f>
        <v>All of the below questions are for Fiscal Year 2022–2023:</v>
      </c>
      <c r="E12" s="279"/>
      <c r="F12" s="279"/>
      <c r="G12" s="57"/>
      <c r="H12" s="57"/>
      <c r="I12" s="57"/>
      <c r="J12" s="57"/>
      <c r="K12" s="57"/>
      <c r="L12" s="57"/>
      <c r="M12" s="57"/>
    </row>
    <row r="13" spans="1:13" ht="15.6" customHeight="1" x14ac:dyDescent="0.3">
      <c r="A13" s="84" t="str">
        <f>RIGHT(B8,4)&amp;"–"&amp;RIGHT(B8,4)+1</f>
        <v>2023–2024</v>
      </c>
      <c r="B13" s="100">
        <v>26581917</v>
      </c>
      <c r="C13" s="100">
        <v>1206232</v>
      </c>
      <c r="D13" s="275" t="s">
        <v>6</v>
      </c>
      <c r="E13" s="276"/>
      <c r="F13" s="276"/>
      <c r="G13" s="57"/>
      <c r="H13" s="57"/>
      <c r="I13" s="57"/>
      <c r="J13" s="57"/>
      <c r="K13" s="57"/>
      <c r="L13" s="57"/>
      <c r="M13" s="57"/>
    </row>
    <row r="14" spans="1:13" x14ac:dyDescent="0.25">
      <c r="A14" s="84" t="str">
        <f>LEFT(A13,4)+1&amp;"–"&amp;RIGHT(A13,4)+1</f>
        <v>2024–2025</v>
      </c>
      <c r="B14" s="100">
        <v>26125348.514318045</v>
      </c>
      <c r="C14" s="100">
        <v>999009.26879630785</v>
      </c>
      <c r="D14" s="275"/>
      <c r="E14" s="276"/>
      <c r="F14" s="276"/>
    </row>
    <row r="15" spans="1:13" ht="15.6" x14ac:dyDescent="0.25">
      <c r="A15" s="84" t="str">
        <f>LEFT(A14,4)+1&amp;"–"&amp;RIGHT(A14,4)+1</f>
        <v>2025–2026</v>
      </c>
      <c r="B15" s="100">
        <v>25164187.939188648</v>
      </c>
      <c r="C15" s="100">
        <v>734184.54515579809</v>
      </c>
      <c r="D15" s="272" t="s">
        <v>131</v>
      </c>
      <c r="E15" s="272"/>
      <c r="F15" s="272"/>
      <c r="G15" s="58"/>
      <c r="H15" s="58"/>
      <c r="I15" s="58"/>
      <c r="J15" s="58"/>
      <c r="K15" s="58"/>
      <c r="L15" s="58"/>
      <c r="M15" s="58"/>
    </row>
    <row r="16" spans="1:13" x14ac:dyDescent="0.25">
      <c r="A16" s="84" t="str">
        <f>LEFT(A15,4)+1&amp;"–"&amp;RIGHT(A15,4)+1</f>
        <v>2026–2027</v>
      </c>
      <c r="B16" s="100">
        <v>22233751.651823673</v>
      </c>
      <c r="C16" s="100">
        <v>471103.12899600231</v>
      </c>
      <c r="D16" s="274" t="str">
        <f>"If yes, record the dollar amount of variable payments below for fiscal year "&amp;$B$8&amp;":"</f>
        <v>If yes, record the dollar amount of variable payments below for fiscal year 2022–2023:</v>
      </c>
      <c r="E16" s="274"/>
      <c r="F16" s="274"/>
      <c r="G16" s="59"/>
      <c r="H16" s="59"/>
      <c r="I16" s="59"/>
      <c r="J16" s="59"/>
      <c r="K16" s="59"/>
    </row>
    <row r="17" spans="1:13" ht="15" customHeight="1" x14ac:dyDescent="0.25">
      <c r="A17" s="84" t="str">
        <f>LEFT(A16,4)+1&amp;"–"&amp;RIGHT(A16,4)+1</f>
        <v>2027–2028</v>
      </c>
      <c r="B17" s="100">
        <v>19787065.052267425</v>
      </c>
      <c r="C17" s="100">
        <v>301615.94211442454</v>
      </c>
      <c r="D17" s="272"/>
      <c r="E17" s="272"/>
      <c r="F17" s="272"/>
      <c r="G17" s="59"/>
      <c r="H17" s="59"/>
      <c r="I17" s="59"/>
      <c r="J17" s="59"/>
      <c r="K17" s="59"/>
    </row>
    <row r="18" spans="1:13" ht="15" customHeight="1" x14ac:dyDescent="0.3">
      <c r="A18" s="84" t="str">
        <f>LEFT(A17,4)+1&amp;"–"&amp;RIGHT(A17,4)+5</f>
        <v>2028–2033</v>
      </c>
      <c r="B18" s="100">
        <v>14183238.842402194</v>
      </c>
      <c r="C18" s="100">
        <v>72475.943905183871</v>
      </c>
      <c r="D18" s="275" t="s">
        <v>8</v>
      </c>
      <c r="E18" s="276"/>
      <c r="F18" s="276"/>
      <c r="G18" s="57"/>
      <c r="H18" s="57"/>
      <c r="I18" s="57"/>
      <c r="J18" s="57"/>
      <c r="K18" s="57"/>
      <c r="L18" s="57"/>
      <c r="M18" s="57"/>
    </row>
    <row r="19" spans="1:13" x14ac:dyDescent="0.25">
      <c r="A19" s="84" t="str">
        <f t="shared" ref="A19:A32" si="0">LEFT(A18,4)+5&amp;"–"&amp;RIGHT(A18,4)+5</f>
        <v>2033–2038</v>
      </c>
      <c r="B19" s="100"/>
      <c r="C19" s="100"/>
      <c r="D19" s="275"/>
      <c r="E19" s="276"/>
      <c r="F19" s="276"/>
    </row>
    <row r="20" spans="1:13" ht="15.6" x14ac:dyDescent="0.25">
      <c r="A20" s="84" t="str">
        <f t="shared" si="0"/>
        <v>2038–2043</v>
      </c>
      <c r="B20" s="100"/>
      <c r="C20" s="100"/>
      <c r="D20" s="272" t="s">
        <v>131</v>
      </c>
      <c r="E20" s="272"/>
      <c r="F20" s="272"/>
      <c r="G20" s="58"/>
      <c r="H20" s="58"/>
      <c r="I20" s="58"/>
      <c r="J20" s="58"/>
      <c r="K20" s="58"/>
      <c r="L20" s="58"/>
      <c r="M20" s="58"/>
    </row>
    <row r="21" spans="1:13" ht="15" customHeight="1" x14ac:dyDescent="0.25">
      <c r="A21" s="84" t="str">
        <f t="shared" si="0"/>
        <v>2043–2048</v>
      </c>
      <c r="B21" s="100"/>
      <c r="C21" s="100"/>
      <c r="D21" s="273" t="str">
        <f>"If yes, record the dollar amount of any payments made for residual value guarantees below for fiscal year "&amp;$B$8&amp;":"</f>
        <v>If yes, record the dollar amount of any payments made for residual value guarantees below for fiscal year 2022–2023:</v>
      </c>
      <c r="E21" s="274"/>
      <c r="F21" s="274"/>
    </row>
    <row r="22" spans="1:13" x14ac:dyDescent="0.25">
      <c r="A22" s="84" t="str">
        <f t="shared" si="0"/>
        <v>2048–2053</v>
      </c>
      <c r="B22" s="100"/>
      <c r="C22" s="100"/>
      <c r="D22" s="273"/>
      <c r="E22" s="274"/>
      <c r="F22" s="274"/>
    </row>
    <row r="23" spans="1:13" x14ac:dyDescent="0.25">
      <c r="A23" s="84" t="str">
        <f t="shared" si="0"/>
        <v>2053–2058</v>
      </c>
      <c r="B23" s="100"/>
      <c r="C23" s="100"/>
      <c r="D23" s="272"/>
      <c r="E23" s="272"/>
      <c r="F23" s="272"/>
    </row>
    <row r="24" spans="1:13" x14ac:dyDescent="0.25">
      <c r="A24" s="84" t="str">
        <f t="shared" si="0"/>
        <v>2058–2063</v>
      </c>
      <c r="B24" s="100"/>
      <c r="C24" s="100"/>
      <c r="D24" s="27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74"/>
      <c r="F24" s="274"/>
    </row>
    <row r="25" spans="1:13" ht="15" customHeight="1" x14ac:dyDescent="0.25">
      <c r="A25" s="84" t="str">
        <f t="shared" si="0"/>
        <v>2063–2068</v>
      </c>
      <c r="B25" s="100"/>
      <c r="C25" s="100"/>
      <c r="D25" s="273"/>
      <c r="E25" s="274"/>
      <c r="F25" s="274"/>
    </row>
    <row r="26" spans="1:13" x14ac:dyDescent="0.25">
      <c r="A26" s="84" t="str">
        <f t="shared" si="0"/>
        <v>2068–2073</v>
      </c>
      <c r="B26" s="100"/>
      <c r="C26" s="100"/>
      <c r="D26" s="272" t="s">
        <v>131</v>
      </c>
      <c r="E26" s="272"/>
      <c r="F26" s="272"/>
    </row>
    <row r="27" spans="1:13" ht="15" customHeight="1" x14ac:dyDescent="0.25">
      <c r="A27" s="84" t="str">
        <f t="shared" si="0"/>
        <v>2073–2078</v>
      </c>
      <c r="B27" s="100"/>
      <c r="C27" s="100"/>
      <c r="D27" s="275"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76"/>
      <c r="F27" s="276"/>
    </row>
    <row r="28" spans="1:13" ht="15.6" x14ac:dyDescent="0.25">
      <c r="A28" s="84" t="str">
        <f t="shared" si="0"/>
        <v>2078–2083</v>
      </c>
      <c r="B28" s="100"/>
      <c r="C28" s="100"/>
      <c r="D28" s="275"/>
      <c r="E28" s="276"/>
      <c r="F28" s="276"/>
      <c r="G28" s="61"/>
      <c r="H28" s="61"/>
      <c r="I28" s="61"/>
      <c r="J28" s="61"/>
      <c r="K28" s="61"/>
      <c r="L28" s="61"/>
      <c r="M28" s="61"/>
    </row>
    <row r="29" spans="1:13" ht="15.6" x14ac:dyDescent="0.25">
      <c r="A29" s="84" t="str">
        <f t="shared" si="0"/>
        <v>2083–2088</v>
      </c>
      <c r="B29" s="100"/>
      <c r="C29" s="100"/>
      <c r="D29" s="272" t="s">
        <v>131</v>
      </c>
      <c r="E29" s="272"/>
      <c r="F29" s="272"/>
      <c r="G29" s="61"/>
      <c r="H29" s="61"/>
      <c r="I29" s="61"/>
      <c r="J29" s="61"/>
      <c r="K29" s="61"/>
      <c r="L29" s="61"/>
      <c r="M29" s="61"/>
    </row>
    <row r="30" spans="1:13" ht="15.6" x14ac:dyDescent="0.25">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5">
      <c r="A31" s="84" t="str">
        <f t="shared" si="0"/>
        <v>2093–2098</v>
      </c>
      <c r="B31" s="100"/>
      <c r="C31" s="100"/>
      <c r="D31" s="272" t="s">
        <v>131</v>
      </c>
      <c r="E31" s="272"/>
      <c r="F31" s="272"/>
    </row>
    <row r="32" spans="1:13" x14ac:dyDescent="0.25">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5">
      <c r="A33" s="84" t="str">
        <f>LEFT(A32,4)+5&amp;"–"&amp;RIGHT(A32,4)+5</f>
        <v>2103–2108</v>
      </c>
      <c r="B33" s="100"/>
      <c r="C33" s="100"/>
      <c r="D33" s="272"/>
      <c r="E33" s="272"/>
      <c r="F33" s="272"/>
    </row>
    <row r="34" spans="1:13" ht="15" customHeight="1" x14ac:dyDescent="0.25">
      <c r="A34" s="84" t="str">
        <f>LEFT(A33,4)+5&amp;"–"&amp;RIGHT(A33,4)+5</f>
        <v>2108–2113</v>
      </c>
      <c r="B34" s="100"/>
      <c r="C34" s="100"/>
      <c r="G34" s="55"/>
      <c r="H34" s="55"/>
      <c r="I34" s="55"/>
      <c r="J34" s="55"/>
      <c r="K34" s="55"/>
      <c r="L34" s="55"/>
      <c r="M34" s="55"/>
    </row>
    <row r="35" spans="1:13" ht="16.5" customHeight="1" x14ac:dyDescent="0.25">
      <c r="A35" s="84" t="str">
        <f>LEFT(A34,4)+5&amp;"–"&amp;RIGHT(A34,4)+5</f>
        <v>2113–2118</v>
      </c>
      <c r="B35" s="100"/>
      <c r="C35" s="100"/>
      <c r="G35" s="7"/>
      <c r="H35" s="7"/>
      <c r="I35" s="7"/>
      <c r="J35" s="7"/>
      <c r="K35" s="7"/>
      <c r="L35" s="7"/>
      <c r="M35" s="7"/>
    </row>
    <row r="36" spans="1:13" ht="15" customHeight="1" x14ac:dyDescent="0.25">
      <c r="A36" s="84" t="str">
        <f>LEFT(A35,4)+5&amp;"–"&amp;RIGHT(A35,4)+5</f>
        <v>2118–2123</v>
      </c>
      <c r="B36" s="100"/>
      <c r="C36" s="100"/>
      <c r="G36" s="7"/>
      <c r="H36" s="7"/>
      <c r="I36" s="7"/>
      <c r="J36" s="7"/>
      <c r="K36" s="7"/>
      <c r="L36" s="7"/>
      <c r="M36" s="7"/>
    </row>
    <row r="37" spans="1:13" ht="15.6" x14ac:dyDescent="0.25">
      <c r="B37" s="62"/>
      <c r="C37" s="62"/>
      <c r="F37" s="61"/>
    </row>
    <row r="38" spans="1:13" ht="21" x14ac:dyDescent="0.4">
      <c r="A38" s="152" t="s">
        <v>143</v>
      </c>
      <c r="F38" s="61"/>
    </row>
    <row r="39" spans="1:13" ht="15.6" x14ac:dyDescent="0.3">
      <c r="A39" s="12" t="s">
        <v>13</v>
      </c>
      <c r="B39" s="278" t="str">
        <f>B8</f>
        <v>2022–2023</v>
      </c>
      <c r="C39" s="278"/>
      <c r="E39" s="60"/>
    </row>
    <row r="40" spans="1:13" ht="15.6" customHeight="1" x14ac:dyDescent="0.3">
      <c r="A40" s="12" t="s">
        <v>210</v>
      </c>
      <c r="B40" s="280">
        <f>B9</f>
        <v>250</v>
      </c>
      <c r="C40" s="280"/>
      <c r="E40" s="60"/>
    </row>
    <row r="41" spans="1:13" ht="15.6" x14ac:dyDescent="0.3">
      <c r="A41" s="12" t="s">
        <v>209</v>
      </c>
      <c r="B41" s="278" t="str">
        <f>B10</f>
        <v>Judicial Council of California</v>
      </c>
      <c r="C41" s="278"/>
      <c r="E41" s="60"/>
    </row>
    <row r="42" spans="1:13" ht="32.25" customHeight="1" x14ac:dyDescent="0.3">
      <c r="A42" s="277" t="s">
        <v>10</v>
      </c>
      <c r="B42" s="277"/>
      <c r="C42" s="277"/>
      <c r="D42" s="5"/>
      <c r="E42" s="5"/>
      <c r="F42" s="5"/>
      <c r="G42" s="57"/>
      <c r="H42" s="57"/>
      <c r="I42" s="57"/>
      <c r="J42" s="57"/>
      <c r="K42" s="57"/>
      <c r="L42" s="57"/>
      <c r="M42" s="57"/>
    </row>
    <row r="43" spans="1:13" ht="15" customHeight="1" x14ac:dyDescent="0.3">
      <c r="A43" s="84"/>
      <c r="B43" s="85" t="s">
        <v>11</v>
      </c>
      <c r="C43" s="85" t="s">
        <v>12</v>
      </c>
      <c r="D43" s="279" t="str">
        <f>"All of the below questions are for Fiscal Year "&amp;$B$8&amp;":"</f>
        <v>All of the below questions are for Fiscal Year 2022–2023:</v>
      </c>
      <c r="E43" s="279"/>
      <c r="F43" s="279"/>
    </row>
    <row r="44" spans="1:13" ht="15" customHeight="1" x14ac:dyDescent="0.25">
      <c r="A44" s="84" t="str">
        <f>RIGHT(B39,4)&amp;"–"&amp;RIGHT(B39,4)+1</f>
        <v>2023–2024</v>
      </c>
      <c r="B44" s="100"/>
      <c r="C44" s="100"/>
      <c r="D44" s="275" t="s">
        <v>6</v>
      </c>
      <c r="E44" s="276"/>
      <c r="F44" s="276"/>
    </row>
    <row r="45" spans="1:13" ht="15" customHeight="1" x14ac:dyDescent="0.25">
      <c r="A45" s="84" t="str">
        <f>LEFT(A44,4)+1&amp;"–"&amp;RIGHT(A44,4)+1</f>
        <v>2024–2025</v>
      </c>
      <c r="B45" s="100"/>
      <c r="C45" s="100"/>
      <c r="D45" s="275"/>
      <c r="E45" s="276"/>
      <c r="F45" s="276"/>
    </row>
    <row r="46" spans="1:13" x14ac:dyDescent="0.25">
      <c r="A46" s="84" t="str">
        <f>LEFT(A45,4)+1&amp;"–"&amp;RIGHT(A45,4)+1</f>
        <v>2025–2026</v>
      </c>
      <c r="B46" s="100"/>
      <c r="C46" s="100"/>
      <c r="D46" s="272"/>
      <c r="E46" s="272"/>
      <c r="F46" s="272"/>
    </row>
    <row r="47" spans="1:13" ht="15" customHeight="1" x14ac:dyDescent="0.25">
      <c r="A47" s="84" t="str">
        <f>LEFT(A46,4)+1&amp;"–"&amp;RIGHT(A46,4)+1</f>
        <v>2026–2027</v>
      </c>
      <c r="B47" s="100"/>
      <c r="C47" s="100"/>
      <c r="D47" s="274" t="str">
        <f>"If yes, record the dollar amount of variable payments below for fiscal year "&amp;$B$8&amp;":"</f>
        <v>If yes, record the dollar amount of variable payments below for fiscal year 2022–2023:</v>
      </c>
      <c r="E47" s="274"/>
      <c r="F47" s="274"/>
    </row>
    <row r="48" spans="1:13" ht="15" customHeight="1" x14ac:dyDescent="0.25">
      <c r="A48" s="84" t="str">
        <f>LEFT(A47,4)+1&amp;"–"&amp;RIGHT(A47,4)+1</f>
        <v>2027–2028</v>
      </c>
      <c r="B48" s="100"/>
      <c r="C48" s="100"/>
      <c r="D48" s="272"/>
      <c r="E48" s="272"/>
      <c r="F48" s="272"/>
    </row>
    <row r="49" spans="1:6" ht="15" customHeight="1" x14ac:dyDescent="0.25">
      <c r="A49" s="84" t="str">
        <f>LEFT(A48,4)+1&amp;"–"&amp;RIGHT(A48,4)+5</f>
        <v>2028–2033</v>
      </c>
      <c r="B49" s="100"/>
      <c r="C49" s="100"/>
      <c r="D49" s="275" t="s">
        <v>8</v>
      </c>
      <c r="E49" s="276"/>
      <c r="F49" s="276"/>
    </row>
    <row r="50" spans="1:6" x14ac:dyDescent="0.25">
      <c r="A50" s="84" t="str">
        <f t="shared" ref="A50:A63" si="1">LEFT(A49,4)+5&amp;"–"&amp;RIGHT(A49,4)+5</f>
        <v>2033–2038</v>
      </c>
      <c r="B50" s="100"/>
      <c r="C50" s="100"/>
      <c r="D50" s="275"/>
      <c r="E50" s="276"/>
      <c r="F50" s="276"/>
    </row>
    <row r="51" spans="1:6" ht="15" customHeight="1" x14ac:dyDescent="0.25">
      <c r="A51" s="84" t="str">
        <f t="shared" si="1"/>
        <v>2038–2043</v>
      </c>
      <c r="B51" s="100"/>
      <c r="C51" s="100"/>
      <c r="D51" s="272"/>
      <c r="E51" s="272"/>
      <c r="F51" s="272"/>
    </row>
    <row r="52" spans="1:6" ht="15" customHeight="1" x14ac:dyDescent="0.25">
      <c r="A52" s="84" t="str">
        <f t="shared" si="1"/>
        <v>2043–2048</v>
      </c>
      <c r="B52" s="100"/>
      <c r="C52" s="100"/>
      <c r="D52" s="273" t="str">
        <f>"If yes, record the dollar amount of any payments made for residual value guarantees below for fiscal year "&amp;$B$8&amp;":"</f>
        <v>If yes, record the dollar amount of any payments made for residual value guarantees below for fiscal year 2022–2023:</v>
      </c>
      <c r="E52" s="274"/>
      <c r="F52" s="274"/>
    </row>
    <row r="53" spans="1:6" x14ac:dyDescent="0.25">
      <c r="A53" s="84" t="str">
        <f t="shared" si="1"/>
        <v>2048–2053</v>
      </c>
      <c r="B53" s="100"/>
      <c r="C53" s="100"/>
      <c r="D53" s="273"/>
      <c r="E53" s="274"/>
      <c r="F53" s="274"/>
    </row>
    <row r="54" spans="1:6" x14ac:dyDescent="0.25">
      <c r="A54" s="84" t="str">
        <f t="shared" si="1"/>
        <v>2053–2058</v>
      </c>
      <c r="B54" s="100"/>
      <c r="C54" s="100"/>
      <c r="D54" s="272"/>
      <c r="E54" s="272"/>
      <c r="F54" s="272"/>
    </row>
    <row r="55" spans="1:6" ht="15" customHeight="1" x14ac:dyDescent="0.25">
      <c r="A55" s="84" t="str">
        <f t="shared" si="1"/>
        <v>2058–2063</v>
      </c>
      <c r="B55" s="100"/>
      <c r="C55" s="100"/>
      <c r="D55" s="27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74"/>
      <c r="F55" s="274"/>
    </row>
    <row r="56" spans="1:6" ht="15" customHeight="1" x14ac:dyDescent="0.25">
      <c r="A56" s="84" t="str">
        <f t="shared" si="1"/>
        <v>2063–2068</v>
      </c>
      <c r="B56" s="100"/>
      <c r="C56" s="100"/>
      <c r="D56" s="273"/>
      <c r="E56" s="274"/>
      <c r="F56" s="274"/>
    </row>
    <row r="57" spans="1:6" x14ac:dyDescent="0.25">
      <c r="A57" s="84" t="str">
        <f t="shared" si="1"/>
        <v>2068–2073</v>
      </c>
      <c r="B57" s="100"/>
      <c r="C57" s="100"/>
      <c r="D57" s="272"/>
      <c r="E57" s="272"/>
      <c r="F57" s="272"/>
    </row>
    <row r="58" spans="1:6" x14ac:dyDescent="0.25">
      <c r="A58" s="84" t="str">
        <f t="shared" si="1"/>
        <v>2073–2078</v>
      </c>
      <c r="B58" s="100"/>
      <c r="C58" s="100"/>
      <c r="D58" s="275"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76"/>
      <c r="F58" s="276"/>
    </row>
    <row r="59" spans="1:6" x14ac:dyDescent="0.25">
      <c r="A59" s="84" t="str">
        <f t="shared" si="1"/>
        <v>2078–2083</v>
      </c>
      <c r="B59" s="100"/>
      <c r="C59" s="100"/>
      <c r="D59" s="275"/>
      <c r="E59" s="276"/>
      <c r="F59" s="276"/>
    </row>
    <row r="60" spans="1:6" ht="15" customHeight="1" x14ac:dyDescent="0.25">
      <c r="A60" s="84" t="str">
        <f t="shared" si="1"/>
        <v>2083–2088</v>
      </c>
      <c r="B60" s="100"/>
      <c r="C60" s="100"/>
      <c r="D60" s="272"/>
      <c r="E60" s="272"/>
      <c r="F60" s="272"/>
    </row>
    <row r="61" spans="1:6" x14ac:dyDescent="0.25">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5">
      <c r="A62" s="84" t="str">
        <f t="shared" si="1"/>
        <v>2093–2098</v>
      </c>
      <c r="B62" s="100"/>
      <c r="C62" s="100"/>
      <c r="D62" s="272"/>
      <c r="E62" s="272"/>
      <c r="F62" s="272"/>
    </row>
    <row r="63" spans="1:6" x14ac:dyDescent="0.25">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5">
      <c r="A64" s="84" t="str">
        <f>LEFT(A63,4)+5&amp;"–"&amp;RIGHT(A63,4)+5</f>
        <v>2103–2108</v>
      </c>
      <c r="B64" s="100"/>
      <c r="C64" s="100"/>
      <c r="D64" s="272"/>
      <c r="E64" s="272"/>
      <c r="F64" s="272"/>
    </row>
    <row r="65" spans="1:13" x14ac:dyDescent="0.25">
      <c r="A65" s="84" t="str">
        <f>LEFT(A64,4)+5&amp;"–"&amp;RIGHT(A64,4)+5</f>
        <v>2108–2113</v>
      </c>
      <c r="B65" s="100"/>
      <c r="C65" s="100"/>
    </row>
    <row r="66" spans="1:13" x14ac:dyDescent="0.25">
      <c r="A66" s="84" t="str">
        <f>LEFT(A65,4)+5&amp;"–"&amp;RIGHT(A65,4)+5</f>
        <v>2113–2118</v>
      </c>
      <c r="B66" s="100"/>
      <c r="C66" s="100"/>
    </row>
    <row r="67" spans="1:13" x14ac:dyDescent="0.25">
      <c r="A67" s="84" t="str">
        <f>LEFT(A66,4)+5&amp;"–"&amp;RIGHT(A66,4)+5</f>
        <v>2118–2123</v>
      </c>
      <c r="B67" s="100"/>
      <c r="C67" s="100"/>
    </row>
    <row r="69" spans="1:13" ht="21" x14ac:dyDescent="0.4">
      <c r="A69" s="152" t="s">
        <v>149</v>
      </c>
    </row>
    <row r="70" spans="1:13" ht="15.6" x14ac:dyDescent="0.3">
      <c r="A70" s="12" t="s">
        <v>13</v>
      </c>
      <c r="B70" s="278" t="str">
        <f>B8</f>
        <v>2022–2023</v>
      </c>
      <c r="C70" s="278"/>
    </row>
    <row r="71" spans="1:13" ht="15.6" x14ac:dyDescent="0.3">
      <c r="A71" s="12" t="s">
        <v>210</v>
      </c>
      <c r="B71" s="280">
        <f>B9</f>
        <v>250</v>
      </c>
      <c r="C71" s="280"/>
    </row>
    <row r="72" spans="1:13" ht="15.6" x14ac:dyDescent="0.3">
      <c r="A72" s="12" t="s">
        <v>209</v>
      </c>
      <c r="B72" s="278" t="str">
        <f>B10</f>
        <v>Judicial Council of California</v>
      </c>
      <c r="C72" s="278"/>
    </row>
    <row r="73" spans="1:13" ht="32.25" customHeight="1" x14ac:dyDescent="0.3">
      <c r="A73" s="277" t="s">
        <v>10</v>
      </c>
      <c r="B73" s="277"/>
      <c r="C73" s="277"/>
      <c r="D73" s="5"/>
      <c r="E73" s="5"/>
      <c r="F73" s="5"/>
      <c r="G73" s="57"/>
      <c r="H73" s="57"/>
      <c r="I73" s="57"/>
      <c r="J73" s="57"/>
      <c r="K73" s="57"/>
      <c r="L73" s="57"/>
      <c r="M73" s="57"/>
    </row>
    <row r="74" spans="1:13" ht="15.6" x14ac:dyDescent="0.3">
      <c r="A74" s="84"/>
      <c r="B74" s="85" t="s">
        <v>11</v>
      </c>
      <c r="C74" s="85" t="s">
        <v>12</v>
      </c>
      <c r="D74" s="279" t="str">
        <f>"All of the below questions are for Fiscal Year "&amp;$B$8&amp;":"</f>
        <v>All of the below questions are for Fiscal Year 2022–2023:</v>
      </c>
      <c r="E74" s="279"/>
      <c r="F74" s="279"/>
    </row>
    <row r="75" spans="1:13" ht="15" customHeight="1" x14ac:dyDescent="0.25">
      <c r="A75" s="84" t="str">
        <f>RIGHT(B70,4)&amp;"–"&amp;RIGHT(B70,4)+1</f>
        <v>2023–2024</v>
      </c>
      <c r="B75" s="100"/>
      <c r="C75" s="100"/>
      <c r="D75" s="275" t="s">
        <v>6</v>
      </c>
      <c r="E75" s="276"/>
      <c r="F75" s="276"/>
    </row>
    <row r="76" spans="1:13" x14ac:dyDescent="0.25">
      <c r="A76" s="84" t="str">
        <f>LEFT(A75,4)+1&amp;"–"&amp;RIGHT(A75,4)+1</f>
        <v>2024–2025</v>
      </c>
      <c r="B76" s="100"/>
      <c r="C76" s="100"/>
      <c r="D76" s="275"/>
      <c r="E76" s="276"/>
      <c r="F76" s="276"/>
    </row>
    <row r="77" spans="1:13" x14ac:dyDescent="0.25">
      <c r="A77" s="84" t="str">
        <f>LEFT(A76,4)+1&amp;"–"&amp;RIGHT(A76,4)+1</f>
        <v>2025–2026</v>
      </c>
      <c r="B77" s="100"/>
      <c r="C77" s="100"/>
      <c r="D77" s="272"/>
      <c r="E77" s="272"/>
      <c r="F77" s="272"/>
    </row>
    <row r="78" spans="1:13" ht="15" customHeight="1" x14ac:dyDescent="0.25">
      <c r="A78" s="84" t="str">
        <f>LEFT(A77,4)+1&amp;"–"&amp;RIGHT(A77,4)+1</f>
        <v>2026–2027</v>
      </c>
      <c r="B78" s="100"/>
      <c r="C78" s="100"/>
      <c r="D78" s="274" t="str">
        <f>"If yes, record the dollar amount of variable payments below for fiscal year "&amp;$B$8&amp;":"</f>
        <v>If yes, record the dollar amount of variable payments below for fiscal year 2022–2023:</v>
      </c>
      <c r="E78" s="274"/>
      <c r="F78" s="274"/>
    </row>
    <row r="79" spans="1:13" x14ac:dyDescent="0.25">
      <c r="A79" s="84" t="str">
        <f>LEFT(A78,4)+1&amp;"–"&amp;RIGHT(A78,4)+1</f>
        <v>2027–2028</v>
      </c>
      <c r="B79" s="100"/>
      <c r="C79" s="100"/>
      <c r="D79" s="272"/>
      <c r="E79" s="272"/>
      <c r="F79" s="272"/>
    </row>
    <row r="80" spans="1:13" ht="15" customHeight="1" x14ac:dyDescent="0.25">
      <c r="A80" s="84" t="str">
        <f>LEFT(A79,4)+1&amp;"–"&amp;RIGHT(A79,4)+5</f>
        <v>2028–2033</v>
      </c>
      <c r="B80" s="100"/>
      <c r="C80" s="100"/>
      <c r="D80" s="275" t="s">
        <v>8</v>
      </c>
      <c r="E80" s="276"/>
      <c r="F80" s="276"/>
    </row>
    <row r="81" spans="1:6" x14ac:dyDescent="0.25">
      <c r="A81" s="84" t="str">
        <f t="shared" ref="A81:A94" si="2">LEFT(A80,4)+5&amp;"–"&amp;RIGHT(A80,4)+5</f>
        <v>2033–2038</v>
      </c>
      <c r="B81" s="100"/>
      <c r="C81" s="100"/>
      <c r="D81" s="275"/>
      <c r="E81" s="276"/>
      <c r="F81" s="276"/>
    </row>
    <row r="82" spans="1:6" x14ac:dyDescent="0.25">
      <c r="A82" s="84" t="str">
        <f t="shared" si="2"/>
        <v>2038–2043</v>
      </c>
      <c r="B82" s="100"/>
      <c r="C82" s="100"/>
      <c r="D82" s="272"/>
      <c r="E82" s="272"/>
      <c r="F82" s="272"/>
    </row>
    <row r="83" spans="1:6" ht="15" customHeight="1" x14ac:dyDescent="0.25">
      <c r="A83" s="84" t="str">
        <f t="shared" si="2"/>
        <v>2043–2048</v>
      </c>
      <c r="B83" s="100"/>
      <c r="C83" s="100"/>
      <c r="D83" s="273" t="str">
        <f>"If yes, record the dollar amount of any payments made for residual value guarantees below for fiscal year "&amp;$B$8&amp;":"</f>
        <v>If yes, record the dollar amount of any payments made for residual value guarantees below for fiscal year 2022–2023:</v>
      </c>
      <c r="E83" s="274"/>
      <c r="F83" s="274"/>
    </row>
    <row r="84" spans="1:6" x14ac:dyDescent="0.25">
      <c r="A84" s="84" t="str">
        <f t="shared" si="2"/>
        <v>2048–2053</v>
      </c>
      <c r="B84" s="100"/>
      <c r="C84" s="100"/>
      <c r="D84" s="273"/>
      <c r="E84" s="274"/>
      <c r="F84" s="274"/>
    </row>
    <row r="85" spans="1:6" x14ac:dyDescent="0.25">
      <c r="A85" s="84" t="str">
        <f t="shared" si="2"/>
        <v>2053–2058</v>
      </c>
      <c r="B85" s="100"/>
      <c r="C85" s="100"/>
      <c r="D85" s="272"/>
      <c r="E85" s="272"/>
      <c r="F85" s="272"/>
    </row>
    <row r="86" spans="1:6" ht="15" customHeight="1" x14ac:dyDescent="0.25">
      <c r="A86" s="84" t="str">
        <f t="shared" si="2"/>
        <v>2058–2063</v>
      </c>
      <c r="B86" s="100"/>
      <c r="C86" s="100"/>
      <c r="D86" s="27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74"/>
      <c r="F86" s="274"/>
    </row>
    <row r="87" spans="1:6" x14ac:dyDescent="0.25">
      <c r="A87" s="84" t="str">
        <f t="shared" si="2"/>
        <v>2063–2068</v>
      </c>
      <c r="B87" s="100"/>
      <c r="C87" s="100"/>
      <c r="D87" s="273"/>
      <c r="E87" s="274"/>
      <c r="F87" s="274"/>
    </row>
    <row r="88" spans="1:6" x14ac:dyDescent="0.25">
      <c r="A88" s="84" t="str">
        <f t="shared" si="2"/>
        <v>2068–2073</v>
      </c>
      <c r="B88" s="100"/>
      <c r="C88" s="100"/>
      <c r="D88" s="272"/>
      <c r="E88" s="272"/>
      <c r="F88" s="272"/>
    </row>
    <row r="89" spans="1:6" x14ac:dyDescent="0.25">
      <c r="A89" s="84" t="str">
        <f t="shared" si="2"/>
        <v>2073–2078</v>
      </c>
      <c r="B89" s="100"/>
      <c r="C89" s="100"/>
      <c r="D89" s="275"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76"/>
      <c r="F89" s="276"/>
    </row>
    <row r="90" spans="1:6" x14ac:dyDescent="0.25">
      <c r="A90" s="84" t="str">
        <f t="shared" si="2"/>
        <v>2078–2083</v>
      </c>
      <c r="B90" s="100"/>
      <c r="C90" s="100"/>
      <c r="D90" s="275"/>
      <c r="E90" s="276"/>
      <c r="F90" s="276"/>
    </row>
    <row r="91" spans="1:6" ht="15" customHeight="1" x14ac:dyDescent="0.25">
      <c r="A91" s="84" t="str">
        <f t="shared" si="2"/>
        <v>2083–2088</v>
      </c>
      <c r="B91" s="100"/>
      <c r="C91" s="100"/>
      <c r="D91" s="272"/>
      <c r="E91" s="272"/>
      <c r="F91" s="272"/>
    </row>
    <row r="92" spans="1:6" x14ac:dyDescent="0.25">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5">
      <c r="A93" s="84" t="str">
        <f t="shared" si="2"/>
        <v>2093–2098</v>
      </c>
      <c r="B93" s="100"/>
      <c r="C93" s="100"/>
      <c r="D93" s="272"/>
      <c r="E93" s="272"/>
      <c r="F93" s="272"/>
    </row>
    <row r="94" spans="1:6" x14ac:dyDescent="0.25">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5">
      <c r="A95" s="84" t="str">
        <f>LEFT(A94,4)+5&amp;"–"&amp;RIGHT(A94,4)+5</f>
        <v>2103–2108</v>
      </c>
      <c r="B95" s="100"/>
      <c r="C95" s="100"/>
      <c r="D95" s="272"/>
      <c r="E95" s="272"/>
      <c r="F95" s="272"/>
    </row>
    <row r="96" spans="1:6" x14ac:dyDescent="0.25">
      <c r="A96" s="84" t="str">
        <f>LEFT(A95,4)+5&amp;"–"&amp;RIGHT(A95,4)+5</f>
        <v>2108–2113</v>
      </c>
      <c r="B96" s="100"/>
      <c r="C96" s="100"/>
    </row>
    <row r="97" spans="1:3" x14ac:dyDescent="0.25">
      <c r="A97" s="84" t="str">
        <f>LEFT(A96,4)+5&amp;"–"&amp;RIGHT(A96,4)+5</f>
        <v>2113–2118</v>
      </c>
      <c r="B97" s="100"/>
      <c r="C97" s="100"/>
    </row>
    <row r="98" spans="1:3" x14ac:dyDescent="0.25">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D3" zoomScale="90" zoomScaleNormal="90" workbookViewId="0">
      <selection activeCell="L22" sqref="L22"/>
    </sheetView>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",'LS-Fund 0001 Journal Entries'!F3)</f>
        <v>FY 2022–2023</v>
      </c>
      <c r="K4" s="3"/>
      <c r="L4" s="3"/>
      <c r="M4" s="3"/>
      <c r="N4" s="3"/>
      <c r="O4" s="3"/>
      <c r="P4" s="3"/>
      <c r="Q4" s="71"/>
    </row>
    <row r="5" spans="2:17" ht="20.399999999999999" x14ac:dyDescent="0.35">
      <c r="B5" s="69"/>
      <c r="D5" s="3"/>
      <c r="E5" s="3"/>
      <c r="F5" s="3"/>
      <c r="G5" s="3"/>
      <c r="H5" s="3"/>
      <c r="I5" s="3"/>
      <c r="J5" s="102" t="str">
        <f>CONCATENATE("Business Unit ",'LS-Department Note Disclosure'!B9," - ",'LS-Department Note Disclosure'!B10)</f>
        <v>Business Unit 250 - Judicial Council of California</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7" t="s">
        <v>1869</v>
      </c>
      <c r="I8" s="73"/>
      <c r="J8" s="227" t="s">
        <v>1870</v>
      </c>
      <c r="K8" s="73"/>
      <c r="L8" s="227"/>
      <c r="M8" s="73"/>
      <c r="N8" s="227" t="s">
        <v>1687</v>
      </c>
      <c r="O8" s="73"/>
      <c r="P8" s="225"/>
      <c r="Q8" s="71"/>
    </row>
    <row r="9" spans="2:17" x14ac:dyDescent="0.35">
      <c r="B9" s="69"/>
      <c r="C9" s="73" t="s">
        <v>19</v>
      </c>
      <c r="Q9" s="71"/>
    </row>
    <row r="10" spans="2:17" ht="18.600000000000001" thickBot="1" x14ac:dyDescent="0.4">
      <c r="B10" s="69"/>
      <c r="D10" s="63" t="s">
        <v>20</v>
      </c>
      <c r="F10" s="107">
        <v>149665747</v>
      </c>
      <c r="G10" s="103"/>
      <c r="H10" s="107">
        <v>17932898</v>
      </c>
      <c r="I10" s="103"/>
      <c r="J10" s="107">
        <f>25218858+8304278</f>
        <v>33523136</v>
      </c>
      <c r="K10" s="103"/>
      <c r="L10" s="109">
        <f>SUM(F10+H10-J10)</f>
        <v>134075509</v>
      </c>
      <c r="M10" s="103"/>
      <c r="N10" s="107">
        <v>26581917</v>
      </c>
      <c r="O10" s="103"/>
      <c r="P10" s="109">
        <f>L10-N10</f>
        <v>107493592</v>
      </c>
      <c r="Q10" s="71"/>
    </row>
    <row r="11" spans="2:17" ht="19.2" thickTop="1" thickBot="1" x14ac:dyDescent="0.4">
      <c r="B11" s="69"/>
      <c r="C11" s="73" t="s">
        <v>22</v>
      </c>
      <c r="F11" s="108">
        <f>SUM(F10:F10)</f>
        <v>149665747</v>
      </c>
      <c r="G11" s="103"/>
      <c r="H11" s="108">
        <f>SUM(H10:H10)</f>
        <v>17932898</v>
      </c>
      <c r="I11" s="103"/>
      <c r="J11" s="108">
        <f>SUM(J10:J10)</f>
        <v>33523136</v>
      </c>
      <c r="K11" s="103"/>
      <c r="L11" s="108">
        <f>SUM(L10:L10)</f>
        <v>134075509</v>
      </c>
      <c r="M11" s="103"/>
      <c r="N11" s="108">
        <f>SUM(N10:N10)</f>
        <v>26581917</v>
      </c>
      <c r="O11" s="103"/>
      <c r="P11" s="108">
        <f>SUM(P10:P10)</f>
        <v>107493592</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18.600000000000001" thickBot="1" x14ac:dyDescent="0.4">
      <c r="B14" s="69"/>
      <c r="D14" s="63" t="s">
        <v>20</v>
      </c>
      <c r="F14" s="107"/>
      <c r="G14" s="103"/>
      <c r="H14" s="107"/>
      <c r="I14" s="103"/>
      <c r="J14" s="107"/>
      <c r="K14" s="103"/>
      <c r="L14" s="109">
        <f>SUM(F14+H14-J14)</f>
        <v>0</v>
      </c>
      <c r="M14" s="103"/>
      <c r="N14" s="107"/>
      <c r="O14" s="103"/>
      <c r="P14" s="109">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18.600000000000001" thickBot="1" x14ac:dyDescent="0.4">
      <c r="B18" s="69"/>
      <c r="D18" s="63" t="s">
        <v>20</v>
      </c>
      <c r="F18" s="107"/>
      <c r="G18" s="103"/>
      <c r="H18" s="107"/>
      <c r="I18" s="103"/>
      <c r="J18" s="107"/>
      <c r="K18" s="103"/>
      <c r="L18" s="109">
        <f>SUM(F18+H18-J18)</f>
        <v>0</v>
      </c>
      <c r="M18" s="103"/>
      <c r="N18" s="107"/>
      <c r="O18" s="103"/>
      <c r="P18" s="109">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3" zoomScale="90" zoomScaleNormal="100" workbookViewId="0">
      <selection activeCell="D16" sqref="D16"/>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163</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8" t="s">
        <v>164</v>
      </c>
      <c r="B5" s="288"/>
      <c r="C5" s="288"/>
      <c r="D5" s="288"/>
      <c r="E5" s="288"/>
      <c r="F5" s="288"/>
      <c r="G5" s="288"/>
      <c r="H5" s="288"/>
      <c r="I5" s="288"/>
      <c r="J5" s="288"/>
      <c r="K5" s="288"/>
      <c r="L5" s="288"/>
      <c r="M5" s="288"/>
      <c r="N5" s="288"/>
      <c r="O5" s="288"/>
      <c r="P5" s="288"/>
      <c r="Q5" s="288"/>
    </row>
    <row r="6" spans="1:17" ht="15" customHeight="1" x14ac:dyDescent="0.3">
      <c r="A6" s="288"/>
      <c r="B6" s="288"/>
      <c r="C6" s="288"/>
      <c r="D6" s="288"/>
      <c r="E6" s="288"/>
      <c r="F6" s="288"/>
      <c r="G6" s="288"/>
      <c r="H6" s="288"/>
      <c r="I6" s="288"/>
      <c r="J6" s="288"/>
      <c r="K6" s="288"/>
      <c r="L6" s="288"/>
      <c r="M6" s="288"/>
      <c r="N6" s="288"/>
      <c r="O6" s="288"/>
      <c r="P6" s="288"/>
      <c r="Q6" s="288"/>
    </row>
    <row r="7" spans="1:17" x14ac:dyDescent="0.3">
      <c r="A7" s="288"/>
      <c r="B7" s="288"/>
      <c r="C7" s="288"/>
      <c r="D7" s="288"/>
      <c r="E7" s="288"/>
      <c r="F7" s="288"/>
      <c r="G7" s="288"/>
      <c r="H7" s="288"/>
      <c r="I7" s="288"/>
      <c r="J7" s="288"/>
      <c r="K7" s="288"/>
      <c r="L7" s="288"/>
      <c r="M7" s="288"/>
      <c r="N7" s="288"/>
      <c r="O7" s="288"/>
      <c r="P7" s="288"/>
      <c r="Q7" s="288"/>
    </row>
    <row r="8" spans="1:17" ht="15" customHeight="1" x14ac:dyDescent="0.3">
      <c r="A8" s="289" t="s">
        <v>1660</v>
      </c>
      <c r="B8" s="289"/>
      <c r="C8" s="289"/>
      <c r="D8" s="289"/>
      <c r="E8" s="289"/>
      <c r="F8" s="289"/>
      <c r="G8" s="289"/>
      <c r="H8" s="289"/>
      <c r="I8" s="289"/>
      <c r="J8" s="289"/>
      <c r="K8" s="289"/>
      <c r="L8" s="289"/>
      <c r="M8" s="289"/>
      <c r="N8" s="289"/>
      <c r="O8" s="289"/>
      <c r="P8" s="289"/>
      <c r="Q8" s="289"/>
    </row>
    <row r="9" spans="1:17" x14ac:dyDescent="0.3">
      <c r="A9" s="289"/>
      <c r="B9" s="289"/>
      <c r="C9" s="289"/>
      <c r="D9" s="289"/>
      <c r="E9" s="289"/>
      <c r="F9" s="289"/>
      <c r="G9" s="289"/>
      <c r="H9" s="289"/>
      <c r="I9" s="289"/>
      <c r="J9" s="289"/>
      <c r="K9" s="289"/>
      <c r="L9" s="289"/>
      <c r="M9" s="289"/>
      <c r="N9" s="289"/>
      <c r="O9" s="289"/>
      <c r="P9" s="289"/>
      <c r="Q9" s="289"/>
    </row>
    <row r="10" spans="1:17" x14ac:dyDescent="0.3">
      <c r="A10" s="117" t="s">
        <v>168</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90" t="s">
        <v>153</v>
      </c>
      <c r="C13" s="290"/>
      <c r="D13" s="290"/>
      <c r="E13" s="290"/>
      <c r="F13" s="290"/>
      <c r="G13" s="290"/>
      <c r="H13" s="290"/>
      <c r="I13" s="290"/>
      <c r="J13" s="290"/>
      <c r="K13" s="290"/>
      <c r="L13" s="290"/>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3">
      <c r="A16" s="129"/>
      <c r="B16" s="130">
        <f>IF('LS-Fund 0001 Journal Entries'!$F$8="Governmental Fund",'LS-Fund 0001 Journal Entries'!$K$23,0)+IF('LS-Fund 0159 Journal Entries'!$F$8="Governmental Fund",'LS-Fund 0159 Journal Entries'!$K$23,0)+IF('LS-Fund 0587 Journal Entries'!$F$8="Governmental Fund",'LS-Fund 0587 Journal Entries'!$K$23,0)+IF('LS-Fund 0890 Journal Entries'!$F$8="Governmental Fund",'LS-Fund 0890 Journal Entries'!$K$23,0)+IF('LS-Fund 0932 Journal Entries'!$F$8="Governmental Fund",'LS-Fund 0932 Journal Entries'!$K$23,0)+IF('LS-Fund 3037 Journal Entries'!$F$8="Governmental Fund",'LS-Fund 3037 Journal Entries'!$K$23,0)+IF('LS-Fund 3060 Journal Entries'!$F$8="Governmental Fund",'LS-Fund 3060 Journal Entries'!$K$23,0)+IF('LS-Fund 3066 Journal Entries'!$F$8="Governmental Fund",'LS-Fund 3066 Journal Entries'!$K$23,0)+IF('LS-Fund 3085 Journal Entries'!$F$8="Governmental Fund",'LS-Fund 3085 Journal Entries'!$K$23,0)</f>
        <v>149665747</v>
      </c>
      <c r="C16" s="168" t="s">
        <v>156</v>
      </c>
      <c r="D16" s="130">
        <f>IF('LS-Fund 0001 Journal Entries'!$F$8="Governmental Fund",'LS-Fund 0001 Journal Entries'!$K$48,0)+IF('LS-Fund 0159 Journal Entries'!$F$8="Governmental Fund",'LS-Fund 0159 Journal Entries'!$K$48,0)+IF('LS-Fund 0587 Journal Entries'!$F$8="Governmental Fund",'LS-Fund 0587 Journal Entries'!$K$48,0)+IF('LS-Fund 0890 Journal Entries'!$F$8="Governmental Fund",'LS-Fund 0890 Journal Entries'!$K$48,0)+IF('LS-Fund 0932 Journal Entries'!$F$8="Governmental Fund",'LS-Fund 0932 Journal Entries'!$K$48,0)+IF('LS-Fund 3037 Journal Entries'!$F$8="Governmental Fund",'LS-Fund 3037 Journal Entries'!$K$48,0)+IF('LS-Fund 3060 Journal Entries'!$F$8="Governmental Fund",'LS-Fund 3060 Journal Entries'!$K$48,0)+IF('LS-Fund 3066 Journal Entries'!$F$8="Governmental Fund",'LS-Fund 3066 Journal Entries'!$K$48,0)+IF('LS-Fund 3085 Journal Entries'!$F$8="Governmental Fund",'LS-Fund 3085 Journal Entries'!$K$48,0)</f>
        <v>12844812.289999999</v>
      </c>
      <c r="E16" s="170" t="s">
        <v>157</v>
      </c>
      <c r="F16" s="130">
        <f>IF('LS-Fund 0001 Journal Entries'!$F$8="Governmental Fund",'LS-Fund 0001 Journal Entries'!$J$68,0)+IF('LS-Fund 0159 Journal Entries'!$F$8="Governmental Fund",'LS-Fund 0159 Journal Entries'!$J$68,0)+IF('LS-Fund 0587 Journal Entries'!$F$8="Governmental Fund",'LS-Fund 0587 Journal Entries'!$J$68,0)+IF('LS-Fund 0890 Journal Entries'!$F$8="Governmental Fund",'LS-Fund 0890 Journal Entries'!$J$68,0)+IF('LS-Fund 0932 Journal Entries'!$F$8="Governmental Fund",'LS-Fund 0932 Journal Entries'!$J$68,0)+IF('LS-Fund 3037 Journal Entries'!$F$8="Governmental Fund",'LS-Fund 3037 Journal Entries'!$J$68,0)+IF('LS-Fund 3060 Journal Entries'!$F$8="Governmental Fund",'LS-Fund 3060 Journal Entries'!$J$68,0)+IF('LS-Fund 3066 Journal Entries'!$F$8="Governmental Fund",'LS-Fund 3066 Journal Entries'!$J$68,0)+IF('LS-Fund 3085 Journal Entries'!$F$8="Governmental Fund",'LS-Fund 3085 Journal Entries'!$J$68,0)</f>
        <v>25218858</v>
      </c>
      <c r="G16" s="169" t="s">
        <v>157</v>
      </c>
      <c r="H16" s="130">
        <f>IF('LS-Fund 0932 Journal Entries'!$F$8="Governmental Fund",'LS-Fund 0932 Journal Entries'!$J$96,0)+IF('LS-Fund 3037 Journal Entries'!$F$8="Governmental Fund",'LS-Fund 3037 Journal Entries'!$J$96,0)+IF('LS-Fund 3066 Journal Entries'!$F$8="Governmental Fund",'LS-Fund 3066 Journal Entries'!$J$96,0)</f>
        <v>8304278.4299999997</v>
      </c>
      <c r="I16" s="169" t="s">
        <v>156</v>
      </c>
      <c r="J16" s="130">
        <f>IF('LS-Fund 0001 Journal Entries'!$F$8="Governmental Fund",'LS-Fund 0001 Journal Entries'!$K$113,0)+IF('LS-Fund 3066 Journal Entries'!$F$8="Governmental Fund",'LS-Fund 3066 Journal Entries'!$K$113,0)</f>
        <v>5088085.9800000004</v>
      </c>
      <c r="K16" s="170" t="s">
        <v>160</v>
      </c>
      <c r="L16" s="133">
        <f>+B16+D16-F16-H16+J16</f>
        <v>134075508.83999999</v>
      </c>
      <c r="M16" s="132"/>
      <c r="N16" s="134">
        <f>SUM('LS-Department Note Disclosure'!B13:B36)</f>
        <v>134075508.99999997</v>
      </c>
      <c r="O16" s="131"/>
      <c r="P16" s="135">
        <f>L16-N16</f>
        <v>-0.15999998152256012</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90" t="s">
        <v>153</v>
      </c>
      <c r="C21" s="290"/>
      <c r="D21" s="290"/>
      <c r="E21" s="290"/>
      <c r="F21" s="290"/>
      <c r="G21" s="290"/>
      <c r="H21" s="290"/>
      <c r="I21" s="290"/>
      <c r="J21" s="290"/>
      <c r="K21" s="290"/>
      <c r="L21" s="290"/>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3">
      <c r="A24" s="129"/>
      <c r="B24" s="130">
        <f>IF('LS-Fund 0001 Journal Entries'!$F$8="Proprietary - Internal Service Fund",'LS-Fund 0001 Journal Entries'!$K$23,0)</f>
        <v>0</v>
      </c>
      <c r="C24" s="168" t="s">
        <v>156</v>
      </c>
      <c r="D24" s="130">
        <f>IF('LS-Fund 0001 Journal Entries'!$F$8="Proprietary - Internal Service Fund",'LS-Fund 0001 Journal Entries'!$K$48,0)</f>
        <v>0</v>
      </c>
      <c r="E24" s="170" t="s">
        <v>157</v>
      </c>
      <c r="F24" s="130">
        <f>IF('LS-Fund 0001 Journal Entries'!$F$8="Proprietary - Internal Service Fund",'LS-Fund 0001 Journal Entries'!$J$68,0)</f>
        <v>0</v>
      </c>
      <c r="G24" s="169" t="s">
        <v>157</v>
      </c>
      <c r="H24" s="130">
        <f>IF('LS-Fund 0001 Journal Entries'!$F$8="Proprietary - Internal Service Fund",'LS-Fund 0001 Journal Entries'!$J$96,0)</f>
        <v>0</v>
      </c>
      <c r="I24" s="169" t="s">
        <v>156</v>
      </c>
      <c r="J24" s="130">
        <f>IF('LS-Fund 0001 Journal Entries'!$F$8="Proprietary - Internal Service Fund",'LS-Fund 0001 Journal Entries'!$K$113,0)</f>
        <v>0</v>
      </c>
      <c r="K24" s="170" t="s">
        <v>160</v>
      </c>
      <c r="L24" s="133">
        <f>+B24+D24-F24-H24+J24</f>
        <v>0</v>
      </c>
      <c r="M24" s="132"/>
      <c r="N24" s="134">
        <f>SUM('LS-Department Note Disclosure'!B44:B67)</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90" t="s">
        <v>153</v>
      </c>
      <c r="C30" s="290"/>
      <c r="D30" s="290"/>
      <c r="E30" s="290"/>
      <c r="F30" s="290"/>
      <c r="G30" s="290"/>
      <c r="H30" s="290"/>
      <c r="I30" s="290"/>
      <c r="J30" s="290"/>
      <c r="K30" s="290"/>
      <c r="L30" s="290"/>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3">
      <c r="A33" s="129"/>
      <c r="B33" s="130">
        <f>IF('LS-Fund 0001 Journal Entries'!$F$8="Proprietary - Enterprise Fund",'LS-Fund 0001 Journal Entries'!$K$23,0)</f>
        <v>0</v>
      </c>
      <c r="C33" s="168" t="s">
        <v>156</v>
      </c>
      <c r="D33" s="130">
        <f>IF('LS-Fund 0001 Journal Entries'!$F$8="Proprietary - Enterprise Fund",'LS-Fund 0001 Journal Entries'!$K$48,0)</f>
        <v>0</v>
      </c>
      <c r="E33" s="170" t="s">
        <v>157</v>
      </c>
      <c r="F33" s="130">
        <f>IF('LS-Fund 0001 Journal Entries'!$F$8="Proprietary - Enterprise Fund",'LS-Fund 0001 Journal Entries'!$J$68,0)</f>
        <v>0</v>
      </c>
      <c r="G33" s="169" t="s">
        <v>157</v>
      </c>
      <c r="H33" s="130">
        <f>IF('LS-Fund 0001 Journal Entries'!$F$8="Proprietary - Enterprise Fund",'LS-Fund 0001 Journal Entries'!$J$96,0)</f>
        <v>0</v>
      </c>
      <c r="I33" s="169" t="s">
        <v>156</v>
      </c>
      <c r="J33" s="130">
        <f>IF('LS-Fund 0001 Journal Entries'!$F$8="Proprietary - Enterprise Fund",'LS-Fund 0001 Journal Entries'!$K$113,0)</f>
        <v>0</v>
      </c>
      <c r="K33" s="170" t="s">
        <v>160</v>
      </c>
      <c r="L33" s="133">
        <f>+B33+D33-F33-H33+J33</f>
        <v>0</v>
      </c>
      <c r="M33" s="132"/>
      <c r="N33" s="134">
        <f>SUM('LS-Department Note Disclosure'!B75:B98)</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161</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90" t="s">
        <v>153</v>
      </c>
      <c r="C40" s="290"/>
      <c r="D40" s="290"/>
      <c r="E40" s="147"/>
      <c r="F40" s="147"/>
      <c r="G40" s="147"/>
      <c r="H40" s="147"/>
      <c r="I40" s="147"/>
      <c r="J40" s="147"/>
      <c r="K40" s="147"/>
      <c r="L40" s="147"/>
      <c r="M40" s="122"/>
      <c r="N40" s="123" t="s">
        <v>154</v>
      </c>
      <c r="O40" s="124"/>
      <c r="P40" s="124"/>
      <c r="Q40" s="121"/>
    </row>
    <row r="41" spans="1:17" ht="15" customHeight="1" x14ac:dyDescent="0.3">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IF('LS-Fund 0001 Journal Entries'!$F$8="Governmental Fund",'LS-Fund 0001 Journal Entries'!$K$76,0)+IF('LS-Fund 0159 Journal Entries'!$F$8="Governmental Fund",'LS-Fund 0159 Journal Entries'!$K$76,0)+IF('LS-Fund 0587 Journal Entries'!$F$8="Governmental Fund",'LS-Fund 0587 Journal Entries'!$K$76,0)+IF('LS-Fund 0890 Journal Entries'!$F$8="Governmental Fund",'LS-Fund 0890 Journal Entries'!$K$76,0)+IF('LS-Fund 0932 Journal Entries'!$F$8="Governmental Fund",'LS-Fund 0932 Journal Entries'!$K$76,0)+IF('LS-Fund 3037 Journal Entries'!$F$8="Governmental Fund",'LS-Fund 3037 Journal Entries'!$K$76,0)+IF('LS-Fund 3060 Journal Entries'!$F$8="Governmental Fund",'LS-Fund 3060 Journal Entries'!$K$76,0)+IF('LS-Fund 3066 Journal Entries'!$F$8="Governmental Fund",'LS-Fund 3066 Journal Entries'!$K$76,0)+IF('LS-Fund 3085 Journal Entries'!$F$8="Governmental Fund",'LS-Fund 3085 Journal Entries'!$K$76,0)</f>
        <v>26581916.990000013</v>
      </c>
      <c r="C42" s="138"/>
      <c r="E42" s="138"/>
      <c r="G42" s="167"/>
      <c r="H42" s="167"/>
      <c r="I42" s="167"/>
      <c r="J42" s="167"/>
      <c r="K42" s="138"/>
      <c r="L42" s="138"/>
      <c r="M42" s="139"/>
      <c r="N42" s="134">
        <f>'LS-Department Note Disclosure'!B13</f>
        <v>26581917</v>
      </c>
      <c r="O42" s="140"/>
      <c r="P42" s="135">
        <f>B42-N42</f>
        <v>-9.9999867379665375E-3</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Please review and correct the variance.</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90" t="s">
        <v>153</v>
      </c>
      <c r="C47" s="290"/>
      <c r="D47" s="290"/>
      <c r="E47" s="147"/>
      <c r="F47" s="147"/>
      <c r="G47" s="147"/>
      <c r="H47" s="147"/>
      <c r="I47" s="147"/>
      <c r="J47" s="147"/>
      <c r="K47" s="147"/>
      <c r="L47" s="147"/>
      <c r="M47" s="122"/>
      <c r="N47" s="123" t="s">
        <v>154</v>
      </c>
      <c r="O47" s="124"/>
      <c r="P47" s="124"/>
      <c r="Q47" s="121"/>
    </row>
    <row r="48" spans="1:17" ht="15" customHeight="1" x14ac:dyDescent="0.3">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90" t="s">
        <v>153</v>
      </c>
      <c r="C55" s="290"/>
      <c r="D55" s="290"/>
      <c r="E55" s="147"/>
      <c r="F55" s="147"/>
      <c r="G55" s="147"/>
      <c r="H55" s="147"/>
      <c r="I55" s="147"/>
      <c r="J55" s="147"/>
      <c r="K55" s="147"/>
      <c r="L55" s="147"/>
      <c r="M55" s="122"/>
      <c r="N55" s="123" t="s">
        <v>154</v>
      </c>
      <c r="O55" s="124"/>
      <c r="P55" s="124"/>
      <c r="Q55" s="121"/>
    </row>
    <row r="56" spans="1:17" ht="15" customHeight="1" x14ac:dyDescent="0.3">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ht="17.399999999999999" x14ac:dyDescent="0.3">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3">
      <c r="A60" s="121"/>
      <c r="B60" s="138"/>
      <c r="C60" s="122"/>
      <c r="D60" s="138"/>
      <c r="E60" s="122"/>
      <c r="F60" s="138"/>
      <c r="G60" s="138"/>
      <c r="H60" s="138"/>
      <c r="I60" s="138"/>
      <c r="J60" s="138"/>
      <c r="K60" s="122"/>
      <c r="L60" s="138"/>
      <c r="M60" s="122"/>
      <c r="N60" s="138"/>
      <c r="O60" s="138"/>
      <c r="P60" s="138"/>
      <c r="Q60" s="121"/>
    </row>
    <row r="61" spans="1:17" x14ac:dyDescent="0.3">
      <c r="A61" s="117" t="s">
        <v>169</v>
      </c>
      <c r="B61" s="118"/>
      <c r="C61" s="119"/>
      <c r="D61" s="118"/>
      <c r="E61" s="119"/>
      <c r="F61" s="118"/>
      <c r="G61" s="118"/>
      <c r="H61" s="118"/>
      <c r="I61" s="118"/>
      <c r="J61" s="118"/>
      <c r="K61" s="119"/>
      <c r="L61" s="118"/>
      <c r="M61" s="119"/>
      <c r="N61" s="118"/>
      <c r="O61" s="118"/>
      <c r="P61" s="118"/>
      <c r="Q61" s="118"/>
    </row>
    <row r="62" spans="1:17" ht="15" customHeight="1" x14ac:dyDescent="0.3">
      <c r="A62" s="121"/>
      <c r="B62" s="147" t="s">
        <v>170</v>
      </c>
      <c r="C62" s="147"/>
      <c r="D62" s="124"/>
      <c r="E62" s="124"/>
      <c r="F62" s="124"/>
      <c r="G62" s="124"/>
      <c r="H62" s="124"/>
      <c r="I62" s="124"/>
      <c r="J62" s="124"/>
      <c r="K62" s="124"/>
      <c r="L62" s="124"/>
      <c r="M62" s="124"/>
      <c r="N62" s="124"/>
      <c r="O62" s="124"/>
      <c r="P62" s="124"/>
      <c r="Q62" s="121"/>
    </row>
    <row r="63" spans="1:17" x14ac:dyDescent="0.3">
      <c r="A63" s="121"/>
      <c r="B63" s="141"/>
      <c r="C63" s="141"/>
      <c r="D63" s="141"/>
      <c r="E63" s="141"/>
      <c r="F63" s="141"/>
      <c r="G63" s="141"/>
      <c r="H63" s="141"/>
      <c r="I63" s="141"/>
      <c r="J63" s="141"/>
      <c r="K63" s="141"/>
      <c r="L63" s="141"/>
      <c r="M63" s="141"/>
      <c r="N63" s="141"/>
      <c r="O63" s="141"/>
      <c r="P63" s="141"/>
      <c r="Q63" s="121"/>
    </row>
    <row r="64" spans="1:17" ht="15" customHeight="1" x14ac:dyDescent="0.3">
      <c r="A64" s="121"/>
      <c r="B64" s="291" t="s">
        <v>153</v>
      </c>
      <c r="C64" s="291"/>
      <c r="D64" s="291"/>
      <c r="E64" s="291"/>
      <c r="F64" s="291"/>
      <c r="G64" s="291"/>
      <c r="H64" s="291"/>
      <c r="I64" s="141"/>
      <c r="J64" s="123" t="s">
        <v>1659</v>
      </c>
      <c r="K64" s="141"/>
      <c r="L64" s="291" t="s">
        <v>14</v>
      </c>
      <c r="M64" s="291"/>
      <c r="N64" s="291"/>
      <c r="O64" s="141"/>
      <c r="P64" s="141"/>
      <c r="Q64" s="121"/>
    </row>
    <row r="65" spans="1:17" x14ac:dyDescent="0.3">
      <c r="A65" s="121"/>
      <c r="B65" s="121"/>
      <c r="C65" s="121"/>
      <c r="D65" s="121"/>
      <c r="E65" s="121"/>
      <c r="F65" s="121"/>
      <c r="G65" s="121"/>
      <c r="H65" s="121"/>
      <c r="I65" s="121"/>
      <c r="J65" s="121"/>
      <c r="K65" s="121"/>
      <c r="L65" s="121"/>
      <c r="M65" s="121"/>
      <c r="N65" s="121"/>
      <c r="O65" s="121"/>
      <c r="P65" s="128" t="s">
        <v>159</v>
      </c>
      <c r="Q65" s="121"/>
    </row>
    <row r="66" spans="1:17" x14ac:dyDescent="0.3">
      <c r="B66" s="125" t="s">
        <v>155</v>
      </c>
      <c r="D66" s="143">
        <f>$B$16</f>
        <v>149665747</v>
      </c>
      <c r="J66" s="143">
        <f>SUM(D66)</f>
        <v>149665747</v>
      </c>
      <c r="L66" s="144" t="str">
        <f>CONCATENATE("Balance July 1, ",LEFT('LS-Department Note Disclosure'!$B$8,4))</f>
        <v>Balance July 1, 2022</v>
      </c>
      <c r="N66" s="143">
        <f>'LS-Lease Liabilities'!F10</f>
        <v>149665747</v>
      </c>
      <c r="P66" s="135">
        <f>J66-N66</f>
        <v>0</v>
      </c>
    </row>
    <row r="67" spans="1:17" x14ac:dyDescent="0.3">
      <c r="B67" s="125" t="s">
        <v>167</v>
      </c>
      <c r="D67" s="143">
        <f>$D$16</f>
        <v>12844812.289999999</v>
      </c>
      <c r="E67" s="171" t="s">
        <v>156</v>
      </c>
      <c r="F67" s="125" t="s">
        <v>1871</v>
      </c>
      <c r="H67" s="143">
        <f>$J$16</f>
        <v>5088085.9800000004</v>
      </c>
      <c r="J67" s="143">
        <f>SUM(D67,H67)</f>
        <v>17932898.27</v>
      </c>
      <c r="L67" s="144" t="s">
        <v>15</v>
      </c>
      <c r="N67" s="143">
        <f>'LS-Lease Liabilities'!H10</f>
        <v>17932898</v>
      </c>
      <c r="P67" s="135">
        <f t="shared" ref="P67:P69" si="0">J67-N67</f>
        <v>0.26999999955296516</v>
      </c>
    </row>
    <row r="68" spans="1:17" x14ac:dyDescent="0.3">
      <c r="B68" s="125" t="s">
        <v>162</v>
      </c>
      <c r="D68" s="143">
        <f>$F$16</f>
        <v>25218858</v>
      </c>
      <c r="E68" s="171" t="s">
        <v>156</v>
      </c>
      <c r="F68" s="125" t="s">
        <v>1868</v>
      </c>
      <c r="H68" s="143">
        <f>$H$16</f>
        <v>8304278.4299999997</v>
      </c>
      <c r="J68" s="143">
        <f>SUM(D68,H68)</f>
        <v>33523136.43</v>
      </c>
      <c r="L68" s="144" t="s">
        <v>16</v>
      </c>
      <c r="N68" s="143">
        <f>'LS-Lease Liabilities'!J10</f>
        <v>33523136</v>
      </c>
      <c r="P68" s="135">
        <f t="shared" si="0"/>
        <v>0.42999999970197678</v>
      </c>
    </row>
    <row r="69" spans="1:17" x14ac:dyDescent="0.3">
      <c r="B69" s="125" t="s">
        <v>166</v>
      </c>
      <c r="D69" s="143">
        <f>$B$42</f>
        <v>26581916.990000013</v>
      </c>
      <c r="J69" s="143">
        <f>SUM(D69)</f>
        <v>26581916.990000013</v>
      </c>
      <c r="L69" s="144" t="s">
        <v>17</v>
      </c>
      <c r="N69" s="143">
        <f>'LS-Lease Liabilities'!N10</f>
        <v>26581917</v>
      </c>
      <c r="P69" s="135">
        <f t="shared" si="0"/>
        <v>-9.9999867379665375E-3</v>
      </c>
    </row>
    <row r="70" spans="1:17" x14ac:dyDescent="0.3">
      <c r="D70" s="145"/>
    </row>
    <row r="71" spans="1:17" ht="15.9" customHeight="1" x14ac:dyDescent="0.3">
      <c r="D71" s="137" t="str">
        <f>IF(OR(P66&gt;0, (P66&lt;0),P67&gt;0,P67&lt;0,P68&gt;0,P68&lt;0,P69&gt;0,P69&lt;0), "Please review and correct the variance.","")</f>
        <v>Please review and correct the variance.</v>
      </c>
    </row>
    <row r="72" spans="1:17" ht="6" customHeight="1" x14ac:dyDescent="0.3">
      <c r="D72" s="145"/>
    </row>
    <row r="73" spans="1:17" x14ac:dyDescent="0.3">
      <c r="B73" s="146" t="s">
        <v>171</v>
      </c>
      <c r="C73" s="146"/>
    </row>
    <row r="74" spans="1:17" x14ac:dyDescent="0.3">
      <c r="B74" s="146"/>
    </row>
    <row r="75" spans="1:17" ht="15" customHeight="1" x14ac:dyDescent="0.3">
      <c r="B75" s="291" t="s">
        <v>153</v>
      </c>
      <c r="C75" s="291"/>
      <c r="D75" s="291"/>
      <c r="E75" s="291"/>
      <c r="F75" s="291"/>
      <c r="G75" s="291"/>
      <c r="H75" s="291"/>
      <c r="I75" s="141"/>
      <c r="J75" s="123" t="s">
        <v>1659</v>
      </c>
      <c r="K75" s="141"/>
      <c r="L75" s="291" t="s">
        <v>14</v>
      </c>
      <c r="M75" s="291"/>
      <c r="N75" s="291"/>
    </row>
    <row r="76" spans="1:17" x14ac:dyDescent="0.3">
      <c r="L76" s="121"/>
      <c r="M76" s="121"/>
      <c r="N76" s="121"/>
      <c r="O76" s="121"/>
      <c r="P76" s="128" t="s">
        <v>159</v>
      </c>
    </row>
    <row r="77" spans="1:17" x14ac:dyDescent="0.3">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3">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3">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3">
      <c r="B80" s="125" t="s">
        <v>166</v>
      </c>
      <c r="D80" s="143">
        <f>B49</f>
        <v>0</v>
      </c>
      <c r="J80" s="143">
        <f>SUM(D80)</f>
        <v>0</v>
      </c>
      <c r="L80" s="144" t="s">
        <v>17</v>
      </c>
      <c r="N80" s="143">
        <f>'LS-Lease Liabilities'!N14</f>
        <v>0</v>
      </c>
      <c r="P80" s="135">
        <f t="shared" si="1"/>
        <v>0</v>
      </c>
    </row>
    <row r="81" spans="2:16" x14ac:dyDescent="0.3"/>
    <row r="82" spans="2:16" x14ac:dyDescent="0.3"/>
    <row r="83" spans="2:16" ht="4.95" customHeight="1" x14ac:dyDescent="0.3"/>
    <row r="84" spans="2:16" x14ac:dyDescent="0.3">
      <c r="B84" s="146" t="s">
        <v>172</v>
      </c>
      <c r="C84" s="146"/>
    </row>
    <row r="85" spans="2:16" x14ac:dyDescent="0.3">
      <c r="B85" s="146"/>
    </row>
    <row r="86" spans="2:16" ht="15" customHeight="1" x14ac:dyDescent="0.3">
      <c r="B86" s="291" t="s">
        <v>153</v>
      </c>
      <c r="C86" s="291"/>
      <c r="D86" s="291"/>
      <c r="E86" s="291"/>
      <c r="F86" s="291"/>
      <c r="G86" s="291"/>
      <c r="H86" s="291"/>
      <c r="I86" s="141"/>
      <c r="J86" s="123" t="s">
        <v>1659</v>
      </c>
      <c r="K86" s="141"/>
      <c r="L86" s="291" t="s">
        <v>14</v>
      </c>
      <c r="M86" s="291"/>
      <c r="N86" s="291"/>
    </row>
    <row r="87" spans="2:16" x14ac:dyDescent="0.3">
      <c r="L87" s="121"/>
      <c r="M87" s="121"/>
      <c r="N87" s="121"/>
      <c r="O87" s="121"/>
      <c r="P87" s="128" t="s">
        <v>159</v>
      </c>
    </row>
    <row r="88" spans="2:16" x14ac:dyDescent="0.3">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3">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3">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3">
      <c r="B91" s="125" t="s">
        <v>166</v>
      </c>
      <c r="D91" s="143">
        <f>B57</f>
        <v>0</v>
      </c>
      <c r="J91" s="143">
        <f>SUM(D91)</f>
        <v>0</v>
      </c>
      <c r="L91" s="144" t="s">
        <v>17</v>
      </c>
      <c r="N91" s="143">
        <f>'LS-Lease Liabilities'!N18</f>
        <v>0</v>
      </c>
      <c r="P91" s="135">
        <f t="shared" si="2"/>
        <v>0</v>
      </c>
    </row>
    <row r="92" spans="2:16" x14ac:dyDescent="0.3"/>
    <row r="93" spans="2:16" ht="17.399999999999999" x14ac:dyDescent="0.3">
      <c r="D93" s="137"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7" t="s">
        <v>1809</v>
      </c>
      <c r="B1" s="258"/>
      <c r="C1" s="258"/>
      <c r="D1" s="258"/>
      <c r="E1" s="258"/>
      <c r="F1" s="259"/>
    </row>
    <row r="2" spans="1:6" x14ac:dyDescent="0.3">
      <c r="A2" s="260"/>
      <c r="B2" s="261"/>
      <c r="C2" s="261"/>
      <c r="D2" s="261"/>
      <c r="E2" s="261"/>
      <c r="F2" s="262"/>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27.6" x14ac:dyDescent="0.3">
      <c r="A11" s="240" t="s">
        <v>1810</v>
      </c>
      <c r="B11" s="240" t="s">
        <v>1750</v>
      </c>
      <c r="C11" s="240" t="s">
        <v>1735</v>
      </c>
      <c r="D11" s="240" t="s">
        <v>1742</v>
      </c>
      <c r="E11" s="240" t="s">
        <v>1748</v>
      </c>
      <c r="F11" s="240" t="s">
        <v>1749</v>
      </c>
    </row>
    <row r="12" spans="1:6" ht="27.6" x14ac:dyDescent="0.3">
      <c r="A12" s="240" t="s">
        <v>1810</v>
      </c>
      <c r="B12" s="240" t="s">
        <v>1738</v>
      </c>
      <c r="C12" s="240" t="s">
        <v>1735</v>
      </c>
      <c r="D12" s="240" t="s">
        <v>1743</v>
      </c>
      <c r="E12" s="240" t="s">
        <v>1739</v>
      </c>
      <c r="F12" s="240" t="s">
        <v>1740</v>
      </c>
    </row>
    <row r="13" spans="1:6" ht="55.2" x14ac:dyDescent="0.3">
      <c r="A13" s="240" t="s">
        <v>1810</v>
      </c>
      <c r="B13" s="240" t="s">
        <v>1751</v>
      </c>
      <c r="C13" s="240" t="s">
        <v>1747</v>
      </c>
      <c r="D13" s="240" t="s">
        <v>1735</v>
      </c>
      <c r="E13" s="240" t="s">
        <v>1736</v>
      </c>
      <c r="F13" s="240" t="s">
        <v>1737</v>
      </c>
    </row>
    <row r="14" spans="1:6" ht="27.6" x14ac:dyDescent="0.3">
      <c r="A14" s="240" t="s">
        <v>1810</v>
      </c>
      <c r="B14" s="240" t="s">
        <v>1752</v>
      </c>
      <c r="C14" s="240" t="s">
        <v>1735</v>
      </c>
      <c r="D14" s="240" t="s">
        <v>1815</v>
      </c>
      <c r="E14" s="240" t="s">
        <v>1753</v>
      </c>
      <c r="F14" s="240" t="s">
        <v>1737</v>
      </c>
    </row>
    <row r="15" spans="1:6" ht="69" x14ac:dyDescent="0.3">
      <c r="A15" s="240" t="s">
        <v>1810</v>
      </c>
      <c r="B15" s="240" t="s">
        <v>1816</v>
      </c>
      <c r="C15" s="240" t="s">
        <v>1735</v>
      </c>
      <c r="D15" s="240" t="s">
        <v>1819</v>
      </c>
      <c r="E15" s="240" t="s">
        <v>1817</v>
      </c>
      <c r="F15" s="240" t="s">
        <v>1818</v>
      </c>
    </row>
    <row r="16" spans="1:6" ht="55.2" x14ac:dyDescent="0.3">
      <c r="A16" s="240" t="s">
        <v>1810</v>
      </c>
      <c r="B16" s="240" t="s">
        <v>1820</v>
      </c>
      <c r="C16" s="240" t="s">
        <v>1821</v>
      </c>
      <c r="D16" s="240" t="s">
        <v>1822</v>
      </c>
      <c r="E16" s="240" t="s">
        <v>1823</v>
      </c>
      <c r="F16" s="240" t="s">
        <v>1737</v>
      </c>
    </row>
    <row r="17" spans="1:6" ht="110.4" x14ac:dyDescent="0.3">
      <c r="A17" s="240" t="s">
        <v>1810</v>
      </c>
      <c r="B17" s="240" t="s">
        <v>1824</v>
      </c>
      <c r="C17" s="240" t="s">
        <v>1735</v>
      </c>
      <c r="D17" s="240" t="s">
        <v>1763</v>
      </c>
      <c r="E17" s="240" t="s">
        <v>1826</v>
      </c>
      <c r="F17" s="240" t="s">
        <v>1827</v>
      </c>
    </row>
    <row r="18" spans="1:6" ht="96.6" x14ac:dyDescent="0.3">
      <c r="A18" s="240" t="s">
        <v>1810</v>
      </c>
      <c r="B18" s="240" t="s">
        <v>1825</v>
      </c>
      <c r="C18" s="240" t="s">
        <v>1735</v>
      </c>
      <c r="D18" s="240" t="s">
        <v>1764</v>
      </c>
      <c r="E18" s="240" t="s">
        <v>1829</v>
      </c>
      <c r="F18" s="240" t="s">
        <v>1828</v>
      </c>
    </row>
    <row r="19" spans="1:6" ht="27.6" x14ac:dyDescent="0.3">
      <c r="A19" s="240" t="s">
        <v>1810</v>
      </c>
      <c r="B19" s="240" t="s">
        <v>1765</v>
      </c>
      <c r="C19" s="240" t="s">
        <v>1735</v>
      </c>
      <c r="D19" s="240" t="s">
        <v>1830</v>
      </c>
      <c r="E19" s="240" t="s">
        <v>1831</v>
      </c>
      <c r="F19" s="240" t="s">
        <v>1737</v>
      </c>
    </row>
    <row r="20" spans="1:6" ht="69" x14ac:dyDescent="0.3">
      <c r="A20" s="240" t="s">
        <v>1811</v>
      </c>
      <c r="B20" s="240" t="s">
        <v>1732</v>
      </c>
      <c r="C20" s="240" t="s">
        <v>1769</v>
      </c>
      <c r="D20" s="240" t="s">
        <v>1770</v>
      </c>
      <c r="E20" s="240" t="s">
        <v>1776</v>
      </c>
      <c r="F20" s="240" t="s">
        <v>1832</v>
      </c>
    </row>
    <row r="21" spans="1:6" ht="69" x14ac:dyDescent="0.3">
      <c r="A21" s="240" t="s">
        <v>1811</v>
      </c>
      <c r="B21" s="240" t="s">
        <v>1772</v>
      </c>
      <c r="C21" s="240" t="s">
        <v>1735</v>
      </c>
      <c r="D21" s="240" t="s">
        <v>1833</v>
      </c>
      <c r="E21" s="240" t="s">
        <v>1774</v>
      </c>
      <c r="F21" s="240" t="s">
        <v>1832</v>
      </c>
    </row>
    <row r="22" spans="1:6" ht="41.4" x14ac:dyDescent="0.3">
      <c r="A22" s="240" t="s">
        <v>1811</v>
      </c>
      <c r="B22" s="240" t="s">
        <v>1834</v>
      </c>
      <c r="C22" s="240" t="s">
        <v>1835</v>
      </c>
      <c r="D22" s="240" t="s">
        <v>1836</v>
      </c>
      <c r="E22" s="240" t="s">
        <v>1837</v>
      </c>
      <c r="F22" s="240" t="s">
        <v>1838</v>
      </c>
    </row>
    <row r="23" spans="1:6" ht="96.6" x14ac:dyDescent="0.3">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topLeftCell="A2" zoomScale="70" zoomScaleNormal="70" workbookViewId="0">
      <selection activeCell="H24" sqref="H24"/>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7"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19" ht="42.6" customHeight="1" x14ac:dyDescent="0.3">
      <c r="A1" s="267" t="s">
        <v>1667</v>
      </c>
      <c r="B1" s="267"/>
      <c r="C1" s="267"/>
      <c r="D1" s="267"/>
      <c r="E1" s="267"/>
      <c r="F1" s="267"/>
      <c r="G1" s="267"/>
      <c r="H1" s="267"/>
      <c r="I1" s="267"/>
      <c r="J1" s="267"/>
      <c r="K1" s="267"/>
      <c r="L1" s="5"/>
      <c r="M1" s="5"/>
      <c r="N1" s="5"/>
      <c r="O1" s="5"/>
      <c r="P1" s="5"/>
      <c r="Q1" s="5"/>
      <c r="R1" s="5"/>
      <c r="S1" s="5"/>
    </row>
    <row r="2" spans="1:19" ht="17.399999999999999" customHeight="1" x14ac:dyDescent="0.3">
      <c r="A2" s="296" t="s">
        <v>0</v>
      </c>
      <c r="B2" s="296"/>
      <c r="C2" s="296"/>
      <c r="D2" s="296"/>
      <c r="E2" s="296"/>
      <c r="F2" s="296"/>
      <c r="G2" s="296"/>
      <c r="H2" s="296"/>
      <c r="I2" s="296"/>
      <c r="J2" s="36"/>
      <c r="L2" s="5"/>
      <c r="M2" s="5"/>
      <c r="N2" s="5"/>
      <c r="O2" s="5"/>
      <c r="P2" s="5"/>
      <c r="Q2" s="5"/>
      <c r="R2" s="5"/>
      <c r="S2" s="5"/>
    </row>
    <row r="3" spans="1:19" ht="17.399999999999999" customHeight="1" x14ac:dyDescent="0.3">
      <c r="A3" s="295" t="s">
        <v>1</v>
      </c>
      <c r="B3" s="295"/>
      <c r="C3" s="295"/>
      <c r="D3" s="295"/>
      <c r="E3" s="95" t="s">
        <v>24</v>
      </c>
      <c r="H3" s="7"/>
      <c r="I3" s="7"/>
      <c r="J3" s="7"/>
      <c r="K3" s="7"/>
      <c r="L3" s="7"/>
      <c r="M3" s="7"/>
      <c r="N3" s="7"/>
      <c r="O3" s="7"/>
      <c r="P3" s="7"/>
      <c r="Q3" s="7"/>
      <c r="R3" s="7"/>
    </row>
    <row r="4" spans="1:19" ht="17.399999999999999" customHeight="1" x14ac:dyDescent="0.3">
      <c r="A4" s="295" t="s">
        <v>209</v>
      </c>
      <c r="B4" s="295"/>
      <c r="C4" s="295"/>
      <c r="D4" s="295"/>
      <c r="E4" s="97" t="s">
        <v>1883</v>
      </c>
      <c r="H4" s="7"/>
      <c r="I4" s="7"/>
      <c r="J4" s="7"/>
      <c r="K4" s="7"/>
      <c r="L4" s="7"/>
      <c r="M4" s="7"/>
      <c r="N4" s="7"/>
      <c r="O4" s="7"/>
      <c r="P4" s="7"/>
      <c r="Q4" s="7"/>
      <c r="R4" s="7"/>
    </row>
    <row r="5" spans="1:19" ht="17.399999999999999" customHeight="1" x14ac:dyDescent="0.3">
      <c r="A5" s="295" t="s">
        <v>1684</v>
      </c>
      <c r="B5" s="295"/>
      <c r="C5" s="295"/>
      <c r="D5" s="295"/>
      <c r="E5" s="161" t="s">
        <v>274</v>
      </c>
      <c r="H5" s="7"/>
      <c r="I5" s="7"/>
      <c r="J5" s="8"/>
      <c r="K5" s="8"/>
      <c r="L5" s="8"/>
      <c r="M5" s="8"/>
      <c r="N5" s="8"/>
      <c r="O5" s="8"/>
      <c r="P5" s="8"/>
      <c r="Q5" s="7"/>
      <c r="R5" s="7"/>
    </row>
    <row r="6" spans="1:19" ht="17.399999999999999" customHeight="1" x14ac:dyDescent="0.3">
      <c r="A6" s="295" t="s">
        <v>1685</v>
      </c>
      <c r="B6" s="295"/>
      <c r="C6" s="295"/>
      <c r="D6" s="295"/>
      <c r="E6" s="97">
        <v>3037</v>
      </c>
      <c r="G6" s="8"/>
      <c r="H6" s="8"/>
      <c r="I6" s="8"/>
      <c r="J6" s="8"/>
      <c r="K6" s="8"/>
      <c r="L6" s="8"/>
      <c r="M6" s="8"/>
      <c r="N6" s="8"/>
      <c r="O6" s="8"/>
      <c r="P6" s="8"/>
      <c r="Q6" s="7"/>
      <c r="R6" s="7"/>
    </row>
    <row r="7" spans="1:19" ht="17.399999999999999" customHeight="1" x14ac:dyDescent="0.3">
      <c r="A7" s="295" t="s">
        <v>3</v>
      </c>
      <c r="B7" s="295"/>
      <c r="C7" s="295"/>
      <c r="D7" s="295"/>
      <c r="E7" s="35" t="s">
        <v>124</v>
      </c>
      <c r="G7" s="8"/>
      <c r="H7" s="8"/>
      <c r="I7" s="8"/>
      <c r="J7" s="8"/>
      <c r="K7" s="8"/>
      <c r="L7" s="8"/>
      <c r="M7" s="8"/>
      <c r="N7" s="8"/>
      <c r="O7" s="8"/>
      <c r="P7" s="8"/>
      <c r="Q7" s="7"/>
      <c r="R7" s="7"/>
    </row>
    <row r="8" spans="1:19" ht="17.399999999999999" customHeight="1" x14ac:dyDescent="0.3">
      <c r="A8" s="295" t="s">
        <v>1641</v>
      </c>
      <c r="B8" s="295"/>
      <c r="C8" s="295"/>
      <c r="D8" s="295"/>
      <c r="E8" s="35" t="s">
        <v>165</v>
      </c>
      <c r="G8" s="8"/>
      <c r="H8" s="8"/>
      <c r="I8" s="8"/>
      <c r="J8" s="8"/>
      <c r="K8" s="8"/>
      <c r="L8" s="8"/>
      <c r="M8" s="8"/>
      <c r="N8" s="8"/>
      <c r="O8" s="8"/>
      <c r="P8" s="8"/>
      <c r="Q8" s="7"/>
      <c r="R8" s="7"/>
    </row>
    <row r="9" spans="1:19" ht="17.399999999999999" customHeight="1" x14ac:dyDescent="0.3">
      <c r="A9" s="6"/>
      <c r="B9" s="6"/>
      <c r="C9" s="6"/>
      <c r="D9" s="6"/>
      <c r="E9" s="13"/>
      <c r="G9" s="7"/>
      <c r="H9" s="7"/>
      <c r="I9" s="7"/>
      <c r="J9" s="6"/>
      <c r="K9" s="9"/>
      <c r="L9" s="9"/>
      <c r="M9" s="9"/>
      <c r="N9" s="10"/>
      <c r="O9" s="10"/>
      <c r="P9" s="7"/>
      <c r="Q9" s="7"/>
    </row>
    <row r="10" spans="1:19" ht="17.399999999999999" customHeight="1" x14ac:dyDescent="0.3">
      <c r="A10" s="6"/>
      <c r="B10" s="6"/>
      <c r="C10" s="6"/>
      <c r="D10" s="6"/>
      <c r="E10" s="13"/>
      <c r="G10" s="7"/>
      <c r="H10" s="7"/>
      <c r="I10" s="7"/>
      <c r="J10" s="6"/>
      <c r="K10" s="9"/>
      <c r="L10" s="9"/>
      <c r="M10" s="9"/>
      <c r="N10" s="10"/>
      <c r="O10" s="10"/>
      <c r="P10" s="7"/>
      <c r="Q10" s="7"/>
    </row>
    <row r="11" spans="1:19" s="178" customFormat="1" ht="21" customHeight="1" x14ac:dyDescent="0.4">
      <c r="A11" s="172" t="s">
        <v>175</v>
      </c>
      <c r="B11" s="173"/>
      <c r="C11" s="174"/>
      <c r="D11" s="174"/>
      <c r="E11" s="174"/>
      <c r="F11" s="175"/>
      <c r="G11" s="175"/>
      <c r="H11" s="176"/>
      <c r="I11" s="176"/>
      <c r="J11" s="175"/>
      <c r="K11" s="175"/>
      <c r="L11" s="39"/>
      <c r="M11" s="39"/>
      <c r="N11" s="177"/>
      <c r="O11" s="177"/>
      <c r="P11" s="177"/>
    </row>
    <row r="12" spans="1:19" ht="17.399999999999999" customHeight="1" x14ac:dyDescent="0.3">
      <c r="A12" s="15" t="s">
        <v>4</v>
      </c>
      <c r="B12" s="6"/>
      <c r="C12" s="153"/>
      <c r="D12" s="153"/>
      <c r="E12" s="153"/>
      <c r="F12" s="153"/>
      <c r="G12" s="153"/>
      <c r="H12" s="153"/>
      <c r="I12" s="153"/>
      <c r="J12" s="6"/>
      <c r="K12" s="9"/>
      <c r="L12" s="9"/>
      <c r="M12" s="9"/>
      <c r="N12" s="10"/>
      <c r="O12" s="10"/>
      <c r="P12" s="7"/>
      <c r="Q12" s="7"/>
    </row>
    <row r="13" spans="1:19" s="189" customFormat="1" ht="17.399999999999999" customHeight="1" x14ac:dyDescent="0.35">
      <c r="A13" s="184">
        <v>0</v>
      </c>
      <c r="B13" s="215" t="s">
        <v>1662</v>
      </c>
      <c r="C13" s="204"/>
      <c r="D13" s="204"/>
      <c r="E13" s="204"/>
      <c r="F13" s="204"/>
      <c r="G13" s="204"/>
      <c r="H13" s="204"/>
      <c r="I13" s="204"/>
      <c r="J13" s="205"/>
      <c r="M13" s="264" t="s">
        <v>1672</v>
      </c>
      <c r="N13" s="265"/>
      <c r="O13" s="188"/>
      <c r="P13" s="264" t="s">
        <v>1668</v>
      </c>
      <c r="Q13" s="265"/>
      <c r="R13" s="188"/>
      <c r="S13" s="222" t="s">
        <v>1669</v>
      </c>
    </row>
    <row r="14" spans="1:19" ht="17.399999999999999" customHeight="1" x14ac:dyDescent="0.25">
      <c r="B14" s="20" t="s">
        <v>213</v>
      </c>
      <c r="C14" s="151"/>
      <c r="D14" s="151"/>
      <c r="E14" s="151"/>
      <c r="F14" s="151"/>
      <c r="G14" s="151"/>
      <c r="H14" s="151"/>
      <c r="I14" s="151"/>
      <c r="J14" s="248">
        <f>M14</f>
        <v>521446</v>
      </c>
      <c r="K14" s="37"/>
      <c r="L14" s="37"/>
      <c r="M14" s="196">
        <v>521446</v>
      </c>
      <c r="N14" s="37"/>
      <c r="O14" s="37"/>
      <c r="P14" s="196">
        <v>521446</v>
      </c>
      <c r="Q14" s="224"/>
      <c r="R14" s="37"/>
      <c r="S14" s="223">
        <f>P14-M14</f>
        <v>0</v>
      </c>
    </row>
    <row r="15" spans="1:19" ht="17.399999999999999" customHeight="1" x14ac:dyDescent="0.25">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399999999999999" customHeight="1" x14ac:dyDescent="0.25">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399999999999999" customHeight="1" x14ac:dyDescent="0.25">
      <c r="A17" s="15"/>
      <c r="B17" s="151"/>
      <c r="C17" s="20" t="s">
        <v>214</v>
      </c>
      <c r="D17" s="151"/>
      <c r="E17" s="151"/>
      <c r="F17" s="151"/>
      <c r="G17" s="151"/>
      <c r="H17" s="151"/>
      <c r="I17" s="151"/>
      <c r="J17" s="20"/>
      <c r="K17" s="248">
        <f>N17</f>
        <v>521012</v>
      </c>
      <c r="L17" s="37"/>
      <c r="M17" s="37"/>
      <c r="N17" s="196">
        <v>521012</v>
      </c>
      <c r="O17" s="37"/>
      <c r="P17" s="224"/>
      <c r="Q17" s="196">
        <f>+N17</f>
        <v>521012</v>
      </c>
      <c r="R17" s="37"/>
      <c r="S17" s="223">
        <f t="shared" ref="S17:S19" si="0">Q17-N17</f>
        <v>0</v>
      </c>
    </row>
    <row r="18" spans="1:22" ht="17.399999999999999" customHeight="1" x14ac:dyDescent="0.25">
      <c r="A18" s="15"/>
      <c r="B18" s="151"/>
      <c r="C18" s="20" t="s">
        <v>179</v>
      </c>
      <c r="D18" s="151"/>
      <c r="E18" s="151"/>
      <c r="F18" s="151"/>
      <c r="G18" s="151"/>
      <c r="H18" s="151"/>
      <c r="I18" s="151"/>
      <c r="J18" s="20"/>
      <c r="K18" s="248">
        <f>Q18</f>
        <v>434</v>
      </c>
      <c r="L18" s="37"/>
      <c r="M18" s="37"/>
      <c r="N18" s="196">
        <f>+M14-N17</f>
        <v>434</v>
      </c>
      <c r="O18" s="37"/>
      <c r="P18" s="224"/>
      <c r="Q18" s="221">
        <f>IF(SUM($Q$17)&lt;SUM($P$14),-SUM($Q$17)+SUM($P$14),0)</f>
        <v>434</v>
      </c>
      <c r="R18" s="37"/>
      <c r="S18" s="223">
        <f t="shared" si="0"/>
        <v>0</v>
      </c>
    </row>
    <row r="19" spans="1:22" ht="17.399999999999999" customHeight="1" x14ac:dyDescent="0.25">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399999999999999" customHeight="1" x14ac:dyDescent="0.25">
      <c r="A20" s="15"/>
      <c r="C20" s="14"/>
      <c r="D20" s="153"/>
      <c r="E20" s="153"/>
      <c r="F20" s="153"/>
      <c r="G20" s="153"/>
      <c r="H20" s="153"/>
      <c r="I20" s="153"/>
      <c r="J20" s="17">
        <f>SUM(J14:J19)</f>
        <v>521446</v>
      </c>
      <c r="K20" s="17">
        <f>SUM(K14:K19)</f>
        <v>521446</v>
      </c>
      <c r="L20" s="21"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3"/>
      <c r="G21" s="7"/>
      <c r="H21" s="7"/>
      <c r="I21" s="7"/>
      <c r="J21" s="6"/>
      <c r="K21" s="9"/>
      <c r="L21" s="9"/>
      <c r="M21" s="9"/>
      <c r="N21" s="10"/>
      <c r="O21" s="10"/>
      <c r="P21" s="7"/>
      <c r="Q21" s="7"/>
    </row>
    <row r="22" spans="1:22" s="178" customFormat="1" ht="21" customHeight="1" x14ac:dyDescent="0.4">
      <c r="A22" s="172" t="s">
        <v>176</v>
      </c>
      <c r="B22" s="173"/>
      <c r="C22" s="174"/>
      <c r="D22" s="174"/>
      <c r="E22" s="174"/>
      <c r="F22" s="175"/>
      <c r="G22" s="175"/>
      <c r="H22" s="176"/>
      <c r="I22" s="176"/>
      <c r="J22" s="175"/>
      <c r="K22" s="175"/>
      <c r="L22" s="39"/>
      <c r="M22" s="39"/>
      <c r="N22" s="177"/>
      <c r="O22" s="177"/>
      <c r="P22" s="177"/>
    </row>
    <row r="23" spans="1:22" s="189" customFormat="1" ht="17.399999999999999" customHeight="1" x14ac:dyDescent="0.35">
      <c r="A23" s="184">
        <v>1</v>
      </c>
      <c r="B23" s="215" t="s">
        <v>1663</v>
      </c>
      <c r="C23" s="208"/>
      <c r="D23" s="208"/>
      <c r="E23" s="208"/>
      <c r="F23" s="209"/>
      <c r="G23" s="207"/>
      <c r="H23" s="207"/>
      <c r="I23" s="210"/>
      <c r="J23" s="207"/>
      <c r="K23" s="207"/>
      <c r="L23" s="207"/>
      <c r="M23" s="207"/>
      <c r="R23" s="206"/>
      <c r="S23" s="206"/>
      <c r="T23" s="207"/>
      <c r="U23" s="207"/>
    </row>
    <row r="24" spans="1:22" ht="17.399999999999999" customHeight="1" x14ac:dyDescent="0.25">
      <c r="B24" s="20" t="s">
        <v>213</v>
      </c>
      <c r="C24" s="20"/>
      <c r="D24" s="20"/>
      <c r="E24" s="20"/>
      <c r="F24" s="213"/>
      <c r="G24" s="213"/>
      <c r="H24" s="214"/>
      <c r="I24" s="202"/>
      <c r="J24" s="196"/>
      <c r="K24" s="213"/>
      <c r="L24" s="9"/>
      <c r="N24" s="18"/>
      <c r="O24" s="14"/>
      <c r="P24" s="9"/>
      <c r="Q24" s="9"/>
      <c r="R24" s="10"/>
      <c r="S24" s="10"/>
    </row>
    <row r="25" spans="1:22" ht="17.399999999999999" customHeight="1" x14ac:dyDescent="0.3">
      <c r="B25" s="20"/>
      <c r="C25" s="20" t="s">
        <v>214</v>
      </c>
      <c r="D25" s="20"/>
      <c r="E25" s="20"/>
      <c r="F25" s="213"/>
      <c r="G25" s="213"/>
      <c r="H25" s="214"/>
      <c r="I25" s="202"/>
      <c r="J25" s="213"/>
      <c r="K25" s="196"/>
      <c r="M25" s="19"/>
      <c r="N25" s="4"/>
      <c r="O25" s="9"/>
      <c r="P25" s="9"/>
      <c r="Q25" s="9"/>
      <c r="R25" s="10"/>
      <c r="S25" s="10"/>
    </row>
    <row r="26" spans="1:22" ht="17.399999999999999" customHeight="1" x14ac:dyDescent="0.3">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399999999999999" customHeight="1" x14ac:dyDescent="0.25">
      <c r="A27" s="15"/>
    </row>
    <row r="28" spans="1:22" s="178" customFormat="1" ht="21" customHeight="1" x14ac:dyDescent="0.4">
      <c r="A28" s="172" t="s">
        <v>177</v>
      </c>
      <c r="B28" s="173"/>
      <c r="C28" s="174"/>
      <c r="D28" s="174"/>
      <c r="E28" s="174"/>
      <c r="F28" s="175"/>
      <c r="G28" s="175"/>
      <c r="H28" s="176"/>
      <c r="I28" s="176"/>
      <c r="J28" s="175"/>
      <c r="K28" s="175"/>
      <c r="L28" s="39"/>
      <c r="M28" s="39"/>
      <c r="N28" s="177"/>
      <c r="O28" s="177"/>
      <c r="P28" s="177"/>
    </row>
    <row r="29" spans="1:22" s="189" customFormat="1" ht="17.399999999999999" customHeight="1" x14ac:dyDescent="0.35">
      <c r="A29" s="184">
        <v>2</v>
      </c>
      <c r="B29" s="215" t="s">
        <v>1664</v>
      </c>
      <c r="O29" s="292"/>
      <c r="P29" s="292"/>
      <c r="Q29" s="292"/>
      <c r="R29" s="292"/>
      <c r="S29" s="292"/>
      <c r="T29" s="292"/>
      <c r="U29" s="292"/>
      <c r="V29" s="292"/>
    </row>
    <row r="30" spans="1:22" ht="17.399999999999999" customHeight="1" x14ac:dyDescent="0.25">
      <c r="B30" s="293" t="str">
        <f>IF($E$7="Governmental","Dr: Acct 0775 - OTHER INCOME","Dr: Acct 0755 - SALES &amp; SERVICES")</f>
        <v>Dr: Acct 0775 - OTHER INCOME</v>
      </c>
      <c r="C30" s="293"/>
      <c r="D30" s="293"/>
      <c r="E30" s="293"/>
      <c r="F30" s="293"/>
      <c r="G30" s="293"/>
      <c r="H30" s="293"/>
      <c r="I30" s="293"/>
      <c r="J30" s="196">
        <v>521794</v>
      </c>
      <c r="K30" s="32"/>
      <c r="L30" s="9"/>
      <c r="N30" s="22"/>
      <c r="O30" s="9"/>
      <c r="P30" s="14"/>
      <c r="Q30" s="9"/>
      <c r="R30" s="9"/>
      <c r="S30" s="9"/>
      <c r="T30" s="9"/>
      <c r="U30" s="9"/>
      <c r="V30" s="9"/>
    </row>
    <row r="31" spans="1:22" ht="17.399999999999999" customHeight="1" x14ac:dyDescent="0.3">
      <c r="A31" s="15"/>
      <c r="B31" s="212"/>
      <c r="C31" s="20" t="s">
        <v>215</v>
      </c>
      <c r="D31" s="20"/>
      <c r="E31" s="20"/>
      <c r="F31" s="20"/>
      <c r="G31" s="212"/>
      <c r="H31" s="212"/>
      <c r="I31" s="212"/>
      <c r="J31" s="32"/>
      <c r="K31" s="196">
        <v>521446.31119222182</v>
      </c>
      <c r="M31" s="19"/>
      <c r="N31" s="22"/>
      <c r="O31" s="9"/>
      <c r="P31" s="14"/>
      <c r="Q31" s="9"/>
      <c r="R31" s="9"/>
      <c r="S31" s="9"/>
      <c r="T31" s="9"/>
      <c r="U31" s="9"/>
      <c r="V31" s="9"/>
    </row>
    <row r="32" spans="1:22" ht="17.399999999999999" customHeight="1" x14ac:dyDescent="0.3">
      <c r="B32" s="20"/>
      <c r="C32" s="20" t="str">
        <f>IF($E$7="Governmental","Cr: Acct 0740 - INTEREST INCOME","Cr: Acct 0765 - INVESTMENT AND INTEREST")</f>
        <v>Cr: Acct 0740 - INTEREST INCOME</v>
      </c>
      <c r="D32" s="20"/>
      <c r="E32" s="20"/>
      <c r="F32" s="20"/>
      <c r="G32" s="20"/>
      <c r="H32" s="20"/>
      <c r="I32" s="20"/>
      <c r="J32" s="32"/>
      <c r="K32" s="196">
        <v>347.68880777815917</v>
      </c>
      <c r="N32" s="22"/>
      <c r="O32" s="23"/>
    </row>
    <row r="33" spans="1:22" ht="17.399999999999999" customHeight="1" x14ac:dyDescent="0.35">
      <c r="A33" s="15"/>
      <c r="C33" s="183"/>
      <c r="D33" s="183"/>
      <c r="E33" s="183"/>
      <c r="F33" s="183"/>
      <c r="G33" s="183"/>
      <c r="H33" s="183"/>
      <c r="I33" s="183"/>
      <c r="J33" s="24">
        <f>J30</f>
        <v>521794</v>
      </c>
      <c r="K33" s="157">
        <f>SUM(K31:K32)</f>
        <v>521794</v>
      </c>
      <c r="L33" s="21" t="str">
        <f>IF(J33=K33,"&lt;- Debits and Credits equal each other.","&lt;- Debits and Credits do not equal each other.")</f>
        <v>&lt;- Debits and Credits equal each other.</v>
      </c>
      <c r="M33" s="19"/>
      <c r="O33" s="9"/>
      <c r="P33" s="14"/>
      <c r="Q33" s="9"/>
      <c r="R33" s="9"/>
      <c r="S33" s="9"/>
      <c r="T33" s="9"/>
      <c r="U33" s="9"/>
      <c r="V33" s="9"/>
    </row>
    <row r="34" spans="1:22" ht="17.399999999999999" customHeight="1" x14ac:dyDescent="0.35">
      <c r="A34" s="15"/>
      <c r="C34" s="183"/>
      <c r="D34" s="183"/>
      <c r="E34" s="183"/>
      <c r="F34" s="183"/>
      <c r="G34" s="183"/>
      <c r="H34" s="183"/>
      <c r="I34" s="183"/>
      <c r="J34" s="24"/>
      <c r="K34" s="157"/>
      <c r="L34" s="21"/>
      <c r="M34" s="19"/>
      <c r="O34" s="9"/>
      <c r="P34" s="14"/>
      <c r="Q34" s="9"/>
      <c r="R34" s="9"/>
      <c r="S34" s="9"/>
      <c r="T34" s="9"/>
      <c r="U34" s="9"/>
      <c r="V34" s="9"/>
    </row>
    <row r="35" spans="1:22" ht="17.399999999999999" customHeight="1" x14ac:dyDescent="0.35">
      <c r="A35" s="184">
        <v>3</v>
      </c>
      <c r="B35" s="215" t="s">
        <v>1665</v>
      </c>
      <c r="C35" s="20"/>
      <c r="D35" s="9"/>
      <c r="E35" s="9"/>
      <c r="F35" s="9"/>
      <c r="G35" s="9"/>
      <c r="H35" s="9"/>
      <c r="I35" s="1"/>
      <c r="J35" s="9"/>
      <c r="K35" s="24"/>
      <c r="L35" s="9"/>
      <c r="O35" s="22"/>
      <c r="R35" s="9"/>
      <c r="S35" s="9"/>
      <c r="T35" s="9"/>
      <c r="U35" s="9"/>
      <c r="V35" s="9"/>
    </row>
    <row r="36" spans="1:22" ht="17.399999999999999" customHeight="1" x14ac:dyDescent="0.3">
      <c r="B36" s="278" t="s">
        <v>216</v>
      </c>
      <c r="C36" s="278" t="s">
        <v>214</v>
      </c>
      <c r="D36" s="278" t="s">
        <v>214</v>
      </c>
      <c r="E36" s="278" t="s">
        <v>214</v>
      </c>
      <c r="F36" s="20"/>
      <c r="G36" s="20"/>
      <c r="H36" s="20"/>
      <c r="I36" s="20"/>
      <c r="J36" s="196">
        <v>521012.17789627507</v>
      </c>
      <c r="K36" s="32"/>
      <c r="M36" s="19"/>
      <c r="R36" s="9"/>
      <c r="S36" s="9"/>
      <c r="T36" s="9"/>
      <c r="U36" s="9"/>
      <c r="V36" s="9"/>
    </row>
    <row r="37" spans="1:22" ht="17.399999999999999" customHeight="1" x14ac:dyDescent="0.25">
      <c r="A37" s="15"/>
      <c r="B37" s="20"/>
      <c r="C37" s="20" t="str">
        <f>IF($E$7="Governmental","Cr: Acct 0775 - OTHER INCOME","Cr: Acct 0778 - RENT")</f>
        <v>Cr: Acct 0775 - OTHER INCOME</v>
      </c>
      <c r="D37" s="20"/>
      <c r="E37" s="20"/>
      <c r="F37" s="20"/>
      <c r="G37" s="20"/>
      <c r="H37" s="20"/>
      <c r="I37" s="20"/>
      <c r="J37" s="32"/>
      <c r="K37" s="196">
        <v>521012.17789627507</v>
      </c>
      <c r="R37" s="9"/>
      <c r="S37" s="9"/>
      <c r="T37" s="9"/>
      <c r="U37" s="9"/>
      <c r="V37" s="9"/>
    </row>
    <row r="38" spans="1:22" ht="17.399999999999999" customHeight="1" x14ac:dyDescent="0.25">
      <c r="A38" s="15"/>
      <c r="C38" s="14"/>
      <c r="D38" s="9"/>
      <c r="E38" s="9"/>
      <c r="F38" s="9"/>
      <c r="G38" s="9"/>
      <c r="H38" s="9"/>
      <c r="I38" s="1"/>
      <c r="J38" s="157">
        <f>J36</f>
        <v>521012.17789627507</v>
      </c>
      <c r="K38" s="24">
        <f>K37</f>
        <v>521012.17789627507</v>
      </c>
      <c r="L38" s="21" t="str">
        <f>IF(J38=K38,"&lt;- Debits and Credits equal each other.","&lt;- Debits and Credits do not equal each other.")</f>
        <v>&lt;- Debits and Credits equal each other.</v>
      </c>
      <c r="R38" s="9"/>
      <c r="S38" s="9"/>
      <c r="T38" s="9"/>
      <c r="U38" s="9"/>
      <c r="V38" s="9"/>
    </row>
    <row r="39" spans="1:22" ht="17.399999999999999" customHeight="1" x14ac:dyDescent="0.25">
      <c r="A39" s="15"/>
      <c r="C39" s="14"/>
      <c r="D39" s="9"/>
      <c r="E39" s="9"/>
      <c r="F39" s="9"/>
      <c r="G39" s="9"/>
      <c r="H39" s="9"/>
      <c r="I39" s="1"/>
      <c r="J39" s="157"/>
      <c r="K39" s="24"/>
      <c r="L39" s="21"/>
      <c r="R39" s="9"/>
      <c r="S39" s="9"/>
      <c r="T39" s="9"/>
      <c r="U39" s="9"/>
      <c r="V39" s="9"/>
    </row>
    <row r="40" spans="1:22" s="189" customFormat="1" ht="17.399999999999999" customHeight="1" x14ac:dyDescent="0.35">
      <c r="A40" s="184">
        <v>4</v>
      </c>
      <c r="B40" s="215" t="s">
        <v>130</v>
      </c>
      <c r="K40" s="211"/>
    </row>
    <row r="41" spans="1:22" ht="17.399999999999999" customHeight="1" x14ac:dyDescent="0.25">
      <c r="B41" s="278" t="s">
        <v>217</v>
      </c>
      <c r="C41" s="278"/>
      <c r="D41" s="278"/>
      <c r="E41" s="278"/>
      <c r="F41" s="20"/>
      <c r="G41" s="20"/>
      <c r="H41" s="20"/>
      <c r="I41" s="20"/>
      <c r="J41" s="196"/>
      <c r="K41" s="32"/>
      <c r="L41" s="9"/>
      <c r="R41" s="9"/>
      <c r="S41" s="9"/>
      <c r="T41" s="9"/>
      <c r="U41" s="9"/>
      <c r="V41" s="9"/>
    </row>
    <row r="42" spans="1:22" ht="17.399999999999999" customHeight="1" x14ac:dyDescent="0.25">
      <c r="A42" s="15"/>
      <c r="B42" s="20"/>
      <c r="C42" s="278" t="s">
        <v>215</v>
      </c>
      <c r="D42" s="278" t="s">
        <v>218</v>
      </c>
      <c r="E42" s="278" t="s">
        <v>218</v>
      </c>
      <c r="F42" s="20"/>
      <c r="G42" s="20"/>
      <c r="H42" s="20"/>
      <c r="I42" s="20"/>
      <c r="J42" s="32"/>
      <c r="K42" s="196"/>
      <c r="O42" s="9"/>
      <c r="P42" s="9"/>
      <c r="Q42" s="9"/>
      <c r="R42" s="9"/>
      <c r="S42" s="9"/>
      <c r="T42" s="9"/>
      <c r="U42" s="9"/>
      <c r="V42" s="9"/>
    </row>
    <row r="43" spans="1:22" ht="17.399999999999999" customHeight="1" x14ac:dyDescent="0.3">
      <c r="A43" s="15"/>
      <c r="B43" s="294" t="s">
        <v>1842</v>
      </c>
      <c r="C43" s="294"/>
      <c r="D43" s="294"/>
      <c r="E43" s="294"/>
      <c r="F43" s="294"/>
      <c r="G43" s="294"/>
      <c r="H43" s="294"/>
      <c r="I43" s="294"/>
      <c r="J43" s="157">
        <f>J41</f>
        <v>0</v>
      </c>
      <c r="K43" s="24">
        <f>K42</f>
        <v>0</v>
      </c>
      <c r="L43" s="21" t="str">
        <f>IF(J43=K43,"&lt;- Debits and Credits equal each other.","&lt;- Debits and Credits do not equal each other.")</f>
        <v>&lt;- Debits and Credits equal each other.</v>
      </c>
      <c r="M43" s="19"/>
    </row>
    <row r="44" spans="1:22" ht="17.399999999999999" customHeight="1" x14ac:dyDescent="0.3">
      <c r="A44" s="15"/>
      <c r="B44" s="294"/>
      <c r="C44" s="294"/>
      <c r="D44" s="294"/>
      <c r="E44" s="294"/>
      <c r="F44" s="294"/>
      <c r="G44" s="294"/>
      <c r="H44" s="294"/>
      <c r="I44" s="294"/>
      <c r="K44" s="27"/>
      <c r="L44" s="9"/>
      <c r="M44" s="19"/>
      <c r="O44" s="28"/>
    </row>
    <row r="45" spans="1:22" ht="17.399999999999999" customHeight="1" x14ac:dyDescent="0.3">
      <c r="A45" s="15"/>
      <c r="B45" s="294"/>
      <c r="C45" s="294"/>
      <c r="D45" s="294"/>
      <c r="E45" s="294"/>
      <c r="F45" s="294"/>
      <c r="G45" s="294"/>
      <c r="H45" s="294"/>
      <c r="I45" s="294"/>
      <c r="K45" s="27"/>
      <c r="M45" s="19"/>
      <c r="O45" s="28"/>
    </row>
    <row r="46" spans="1:22" ht="17.399999999999999" customHeight="1" x14ac:dyDescent="0.3">
      <c r="A46" s="15"/>
      <c r="B46" s="11"/>
      <c r="C46" s="9"/>
      <c r="K46" s="27"/>
      <c r="M46" s="19"/>
      <c r="O46" s="28"/>
    </row>
    <row r="47" spans="1:22" s="178" customFormat="1" ht="21" customHeight="1" x14ac:dyDescent="0.4">
      <c r="A47" s="172" t="s">
        <v>1653</v>
      </c>
      <c r="B47" s="173"/>
      <c r="C47" s="174"/>
      <c r="D47" s="174"/>
      <c r="E47" s="174"/>
      <c r="F47" s="175"/>
      <c r="G47" s="175"/>
      <c r="H47" s="176"/>
      <c r="I47" s="176"/>
      <c r="J47" s="175"/>
      <c r="K47" s="175"/>
      <c r="L47" s="39"/>
      <c r="M47" s="39"/>
      <c r="N47" s="177"/>
      <c r="O47" s="177"/>
      <c r="P47" s="177"/>
    </row>
    <row r="48" spans="1:22" ht="17.399999999999999" customHeight="1" x14ac:dyDescent="0.35">
      <c r="A48" s="184">
        <v>5</v>
      </c>
      <c r="B48" s="215" t="s">
        <v>1873</v>
      </c>
      <c r="F48" s="9"/>
      <c r="G48" s="9"/>
      <c r="H48" s="9"/>
      <c r="I48" s="1"/>
      <c r="J48" s="29"/>
      <c r="K48" s="30"/>
      <c r="M48" s="19"/>
    </row>
    <row r="49" spans="1:15" ht="17.399999999999999" customHeight="1" x14ac:dyDescent="0.3">
      <c r="B49" s="20" t="s">
        <v>216</v>
      </c>
      <c r="C49" s="26"/>
      <c r="D49" s="20"/>
      <c r="E49" s="20"/>
      <c r="F49" s="20"/>
      <c r="G49" s="20"/>
      <c r="H49" s="20"/>
      <c r="I49" s="20"/>
      <c r="J49" s="196"/>
      <c r="K49" s="6"/>
    </row>
    <row r="50" spans="1:15" ht="17.399999999999999" customHeight="1" x14ac:dyDescent="0.25">
      <c r="A50" s="15"/>
      <c r="B50" s="20" t="s">
        <v>1657</v>
      </c>
      <c r="C50" s="20"/>
      <c r="D50" s="20"/>
      <c r="E50" s="20"/>
      <c r="F50" s="20"/>
      <c r="G50" s="20"/>
      <c r="H50" s="20"/>
      <c r="I50" s="202"/>
      <c r="J50" s="196"/>
      <c r="K50" s="20"/>
      <c r="O50" s="28"/>
    </row>
    <row r="51" spans="1:15" ht="17.399999999999999" customHeight="1" x14ac:dyDescent="0.25">
      <c r="A51" s="15"/>
      <c r="B51" s="278" t="s">
        <v>1656</v>
      </c>
      <c r="C51" s="278" t="s">
        <v>1655</v>
      </c>
      <c r="D51" s="278" t="s">
        <v>1655</v>
      </c>
      <c r="E51" s="20"/>
      <c r="F51" s="20"/>
      <c r="G51" s="20"/>
      <c r="H51" s="20"/>
      <c r="I51" s="202"/>
      <c r="J51" s="196"/>
      <c r="K51" s="20"/>
      <c r="O51" s="28"/>
    </row>
    <row r="52" spans="1:15" ht="17.399999999999999" customHeight="1" x14ac:dyDescent="0.25">
      <c r="A52" s="15"/>
      <c r="B52" s="55"/>
      <c r="C52" s="55" t="s">
        <v>215</v>
      </c>
      <c r="D52" s="55"/>
      <c r="E52" s="20"/>
      <c r="F52" s="20"/>
      <c r="G52" s="20"/>
      <c r="H52" s="20"/>
      <c r="I52" s="202"/>
      <c r="J52" s="20"/>
      <c r="K52" s="196"/>
      <c r="O52" s="28"/>
    </row>
    <row r="53" spans="1:15" ht="17.399999999999999" customHeight="1" x14ac:dyDescent="0.25">
      <c r="A53" s="15"/>
      <c r="B53" s="55"/>
      <c r="C53" s="55" t="s">
        <v>1658</v>
      </c>
      <c r="D53" s="55"/>
      <c r="E53" s="20"/>
      <c r="F53" s="20"/>
      <c r="G53" s="20"/>
      <c r="H53" s="20"/>
      <c r="I53" s="202"/>
      <c r="J53" s="20"/>
      <c r="K53" s="196"/>
      <c r="O53" s="28"/>
    </row>
    <row r="54" spans="1:15" ht="17.399999999999999" customHeight="1" x14ac:dyDescent="0.3">
      <c r="A54" s="15"/>
      <c r="B54" s="193"/>
      <c r="C54" s="55" t="s">
        <v>1654</v>
      </c>
      <c r="D54" s="55"/>
      <c r="E54" s="55"/>
      <c r="F54" s="20"/>
      <c r="G54" s="20"/>
      <c r="H54" s="20"/>
      <c r="I54" s="26"/>
      <c r="J54" s="32"/>
      <c r="K54" s="196"/>
    </row>
    <row r="55" spans="1:15" ht="17.399999999999999" customHeight="1" x14ac:dyDescent="0.35">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399999999999999" customHeight="1" x14ac:dyDescent="0.25">
      <c r="A56" s="15"/>
      <c r="B56" s="20"/>
      <c r="C56" s="20"/>
      <c r="D56" s="20"/>
      <c r="E56" s="20"/>
      <c r="F56" s="20"/>
      <c r="G56" s="20"/>
      <c r="H56" s="20"/>
      <c r="I56" s="26"/>
      <c r="J56" s="32"/>
      <c r="K56" s="24"/>
    </row>
    <row r="57" spans="1:15" ht="17.399999999999999" customHeight="1" x14ac:dyDescent="0.35">
      <c r="A57" s="184">
        <v>6</v>
      </c>
      <c r="B57" s="215" t="s">
        <v>1872</v>
      </c>
      <c r="D57" s="20"/>
      <c r="E57" s="20"/>
      <c r="F57" s="20"/>
      <c r="G57" s="20"/>
      <c r="H57" s="20"/>
      <c r="I57" s="26"/>
      <c r="J57" s="32"/>
      <c r="K57" s="24"/>
    </row>
    <row r="58" spans="1:15" ht="17.399999999999999" customHeight="1" x14ac:dyDescent="0.25">
      <c r="B58" s="20" t="s">
        <v>213</v>
      </c>
      <c r="C58" s="26"/>
      <c r="D58" s="20"/>
      <c r="E58" s="20"/>
      <c r="F58" s="20"/>
      <c r="G58" s="20"/>
      <c r="H58" s="20"/>
      <c r="I58" s="26"/>
      <c r="J58" s="196"/>
      <c r="K58" s="32"/>
    </row>
    <row r="59" spans="1:15" ht="17.399999999999999" customHeight="1" x14ac:dyDescent="0.3">
      <c r="A59" s="15"/>
      <c r="B59" s="193"/>
      <c r="C59" s="20" t="s">
        <v>214</v>
      </c>
      <c r="D59" s="20"/>
      <c r="E59" s="20"/>
      <c r="F59" s="20"/>
      <c r="G59" s="20"/>
      <c r="H59" s="20"/>
      <c r="I59" s="26"/>
      <c r="J59" s="32"/>
      <c r="K59" s="196"/>
    </row>
    <row r="60" spans="1:15" ht="17.399999999999999" customHeight="1" x14ac:dyDescent="0.35">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399999999999999" customHeight="1" x14ac:dyDescent="0.3">
      <c r="B61" s="20"/>
      <c r="C61" s="20"/>
      <c r="D61" s="20"/>
      <c r="E61" s="20"/>
      <c r="F61" s="20"/>
      <c r="G61" s="20"/>
      <c r="H61" s="20"/>
      <c r="I61" s="25"/>
      <c r="J61" s="33"/>
      <c r="K61" s="32"/>
    </row>
    <row r="62" spans="1:15" ht="17.399999999999999" customHeight="1" x14ac:dyDescent="0.3">
      <c r="B62" s="34"/>
      <c r="C62" s="20"/>
      <c r="D62" s="20"/>
      <c r="E62" s="20"/>
      <c r="F62" s="20"/>
      <c r="G62" s="20"/>
      <c r="H62" s="20"/>
      <c r="I62" s="20"/>
    </row>
    <row r="63" spans="1:15" ht="17.399999999999999" customHeight="1" x14ac:dyDescent="0.3">
      <c r="B63" s="31"/>
      <c r="C63" s="20"/>
      <c r="D63" s="20"/>
      <c r="E63" s="20"/>
      <c r="F63" s="20"/>
      <c r="G63" s="20"/>
      <c r="H63" s="20"/>
      <c r="I63" s="20"/>
    </row>
    <row r="64" spans="1:15" ht="17.399999999999999" customHeight="1" x14ac:dyDescent="0.3">
      <c r="B64" s="34"/>
      <c r="C64" s="20"/>
      <c r="D64" s="20"/>
      <c r="E64" s="20"/>
      <c r="F64" s="20"/>
      <c r="G64" s="20"/>
      <c r="H64" s="20"/>
      <c r="I64" s="32"/>
      <c r="L64" s="9"/>
      <c r="M64" s="19"/>
    </row>
    <row r="65" spans="2:11" ht="21" x14ac:dyDescent="0.4">
      <c r="B65" s="20"/>
      <c r="C65" s="20"/>
      <c r="D65" s="229" t="s">
        <v>1713</v>
      </c>
      <c r="E65" s="230"/>
      <c r="F65" s="231"/>
      <c r="G65" s="231"/>
      <c r="H65" s="231"/>
      <c r="I65" s="232"/>
      <c r="J65" s="232"/>
      <c r="K65" s="233"/>
    </row>
    <row r="66" spans="2:11" ht="17.399999999999999" customHeight="1" x14ac:dyDescent="0.25">
      <c r="B66" s="20"/>
      <c r="C66" s="20"/>
      <c r="D66" s="37"/>
      <c r="E66" s="37"/>
      <c r="F66" s="37"/>
      <c r="G66" s="37"/>
      <c r="H66" s="37"/>
      <c r="I66" s="37"/>
      <c r="J66" s="37"/>
      <c r="K66" s="239" t="s">
        <v>1711</v>
      </c>
    </row>
    <row r="67" spans="2:11" ht="17.399999999999999" customHeight="1" x14ac:dyDescent="0.3">
      <c r="B67" s="29"/>
      <c r="D67" s="193" t="s">
        <v>1714</v>
      </c>
      <c r="E67" s="37"/>
      <c r="F67" s="37"/>
      <c r="G67" s="37"/>
      <c r="H67" s="37"/>
      <c r="I67" s="37"/>
      <c r="J67" s="37"/>
      <c r="K67" s="238">
        <f>J14+J24-K31-K42-K52+J58</f>
        <v>-0.31119222182314843</v>
      </c>
    </row>
    <row r="68" spans="2:11" ht="17.399999999999999" customHeight="1" x14ac:dyDescent="0.3">
      <c r="D68" s="193" t="s">
        <v>1715</v>
      </c>
      <c r="E68" s="37"/>
      <c r="F68" s="37"/>
      <c r="G68" s="37"/>
      <c r="H68" s="37"/>
      <c r="I68" s="37"/>
      <c r="J68" s="37"/>
      <c r="K68" s="238">
        <f>J41</f>
        <v>0</v>
      </c>
    </row>
    <row r="69" spans="2:11" ht="17.399999999999999" customHeight="1" x14ac:dyDescent="0.3">
      <c r="D69" s="193" t="s">
        <v>1716</v>
      </c>
      <c r="E69" s="37"/>
      <c r="F69" s="37"/>
      <c r="G69" s="37"/>
      <c r="H69" s="37"/>
      <c r="I69" s="37"/>
      <c r="J69" s="37"/>
      <c r="K69" s="238">
        <f>-K17-K25+J36+J49-K59</f>
        <v>0.17789627506863326</v>
      </c>
    </row>
    <row r="70" spans="2:11" ht="17.399999999999999" customHeight="1" x14ac:dyDescent="0.25">
      <c r="I70" s="24"/>
    </row>
    <row r="71" spans="2:11" ht="17.399999999999999" customHeight="1" x14ac:dyDescent="0.25">
      <c r="I71" s="24"/>
    </row>
    <row r="72" spans="2:11" ht="17.399999999999999" customHeight="1" x14ac:dyDescent="0.25">
      <c r="I72" s="24"/>
    </row>
  </sheetData>
  <sheetProtection algorithmName="SHA-512" hashValue="YKTsokJjW3qHpps8sCAup8K7EjRDGEg65yEKqH+EONNyZAycDRleDXv6h7EkVbu2GkAnVv0HvImE4EVJ/Xi/1A==" saltValue="kJsEao6SDRnnvhDHabDlm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BB497-6919-494B-ADAC-A082380E4A0A}">
  <sheetPr>
    <tabColor rgb="FF75DBFF"/>
  </sheetPr>
  <dimension ref="A1:V72"/>
  <sheetViews>
    <sheetView topLeftCell="A5" zoomScale="70" zoomScaleNormal="70" workbookViewId="0">
      <selection activeCell="M14" sqref="M14"/>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7"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19" ht="42.6" customHeight="1" x14ac:dyDescent="0.3">
      <c r="A1" s="267" t="s">
        <v>1667</v>
      </c>
      <c r="B1" s="267"/>
      <c r="C1" s="267"/>
      <c r="D1" s="267"/>
      <c r="E1" s="267"/>
      <c r="F1" s="267"/>
      <c r="G1" s="267"/>
      <c r="H1" s="267"/>
      <c r="I1" s="267"/>
      <c r="J1" s="267"/>
      <c r="K1" s="267"/>
      <c r="L1" s="5"/>
      <c r="M1" s="5"/>
      <c r="N1" s="5"/>
      <c r="O1" s="5"/>
      <c r="P1" s="5"/>
      <c r="Q1" s="5"/>
      <c r="R1" s="5"/>
      <c r="S1" s="5"/>
    </row>
    <row r="2" spans="1:19" ht="17.399999999999999" customHeight="1" x14ac:dyDescent="0.3">
      <c r="A2" s="296" t="s">
        <v>0</v>
      </c>
      <c r="B2" s="296"/>
      <c r="C2" s="296"/>
      <c r="D2" s="296"/>
      <c r="E2" s="296"/>
      <c r="F2" s="296"/>
      <c r="G2" s="296"/>
      <c r="H2" s="296"/>
      <c r="I2" s="296"/>
      <c r="J2" s="36"/>
      <c r="L2" s="5"/>
      <c r="M2" s="5"/>
      <c r="N2" s="5"/>
      <c r="O2" s="5"/>
      <c r="P2" s="5"/>
      <c r="Q2" s="5"/>
      <c r="R2" s="5"/>
      <c r="S2" s="5"/>
    </row>
    <row r="3" spans="1:19" ht="17.399999999999999" customHeight="1" x14ac:dyDescent="0.3">
      <c r="A3" s="295" t="s">
        <v>1</v>
      </c>
      <c r="B3" s="295"/>
      <c r="C3" s="295"/>
      <c r="D3" s="295"/>
      <c r="E3" s="251" t="s">
        <v>24</v>
      </c>
      <c r="H3" s="7"/>
      <c r="I3" s="7"/>
      <c r="J3" s="7"/>
      <c r="K3" s="7"/>
      <c r="L3" s="7"/>
      <c r="M3" s="7"/>
      <c r="N3" s="7"/>
      <c r="O3" s="7"/>
      <c r="P3" s="7"/>
      <c r="Q3" s="7"/>
      <c r="R3" s="7"/>
    </row>
    <row r="4" spans="1:19" ht="17.399999999999999" customHeight="1" x14ac:dyDescent="0.3">
      <c r="A4" s="295" t="s">
        <v>209</v>
      </c>
      <c r="B4" s="295"/>
      <c r="C4" s="295"/>
      <c r="D4" s="295"/>
      <c r="E4" s="97" t="s">
        <v>1883</v>
      </c>
      <c r="H4" s="7"/>
      <c r="I4" s="7"/>
      <c r="J4" s="7"/>
      <c r="K4" s="7"/>
      <c r="L4" s="7"/>
      <c r="M4" s="7"/>
      <c r="N4" s="7"/>
      <c r="O4" s="7"/>
      <c r="P4" s="7"/>
      <c r="Q4" s="7"/>
      <c r="R4" s="7"/>
    </row>
    <row r="5" spans="1:19" ht="17.399999999999999" customHeight="1" x14ac:dyDescent="0.3">
      <c r="A5" s="295" t="s">
        <v>1684</v>
      </c>
      <c r="B5" s="295"/>
      <c r="C5" s="295"/>
      <c r="D5" s="295"/>
      <c r="E5" s="161" t="s">
        <v>274</v>
      </c>
      <c r="H5" s="7"/>
      <c r="I5" s="7"/>
      <c r="J5" s="8"/>
      <c r="K5" s="8"/>
      <c r="L5" s="8"/>
      <c r="M5" s="8"/>
      <c r="N5" s="8"/>
      <c r="O5" s="8"/>
      <c r="P5" s="8"/>
      <c r="Q5" s="7"/>
      <c r="R5" s="7"/>
    </row>
    <row r="6" spans="1:19" ht="17.399999999999999" customHeight="1" x14ac:dyDescent="0.3">
      <c r="A6" s="295" t="s">
        <v>1685</v>
      </c>
      <c r="B6" s="295"/>
      <c r="C6" s="295"/>
      <c r="D6" s="295"/>
      <c r="E6" s="97">
        <v>3066</v>
      </c>
      <c r="G6" s="8"/>
      <c r="H6" s="8"/>
      <c r="I6" s="8"/>
      <c r="J6" s="8"/>
      <c r="K6" s="8"/>
      <c r="L6" s="8"/>
      <c r="M6" s="8"/>
      <c r="N6" s="8"/>
      <c r="O6" s="8"/>
      <c r="P6" s="8"/>
      <c r="Q6" s="7"/>
      <c r="R6" s="7"/>
    </row>
    <row r="7" spans="1:19" ht="17.399999999999999" customHeight="1" x14ac:dyDescent="0.3">
      <c r="A7" s="295" t="s">
        <v>3</v>
      </c>
      <c r="B7" s="295"/>
      <c r="C7" s="295"/>
      <c r="D7" s="295"/>
      <c r="E7" s="256" t="s">
        <v>124</v>
      </c>
      <c r="G7" s="8"/>
      <c r="H7" s="8"/>
      <c r="I7" s="8"/>
      <c r="J7" s="8"/>
      <c r="K7" s="8"/>
      <c r="L7" s="8"/>
      <c r="M7" s="8"/>
      <c r="N7" s="8"/>
      <c r="O7" s="8"/>
      <c r="P7" s="8"/>
      <c r="Q7" s="7"/>
      <c r="R7" s="7"/>
    </row>
    <row r="8" spans="1:19" ht="17.399999999999999" customHeight="1" x14ac:dyDescent="0.3">
      <c r="A8" s="295" t="s">
        <v>1641</v>
      </c>
      <c r="B8" s="295"/>
      <c r="C8" s="295"/>
      <c r="D8" s="295"/>
      <c r="E8" s="256" t="s">
        <v>165</v>
      </c>
      <c r="G8" s="8"/>
      <c r="H8" s="8"/>
      <c r="I8" s="8"/>
      <c r="J8" s="8"/>
      <c r="K8" s="8"/>
      <c r="L8" s="8"/>
      <c r="M8" s="8"/>
      <c r="N8" s="8"/>
      <c r="O8" s="8"/>
      <c r="P8" s="8"/>
      <c r="Q8" s="7"/>
      <c r="R8" s="7"/>
    </row>
    <row r="9" spans="1:19" ht="17.399999999999999" customHeight="1" x14ac:dyDescent="0.3">
      <c r="A9" s="6"/>
      <c r="B9" s="6"/>
      <c r="C9" s="6"/>
      <c r="D9" s="6"/>
      <c r="E9" s="13"/>
      <c r="G9" s="7"/>
      <c r="H9" s="7"/>
      <c r="I9" s="7"/>
      <c r="J9" s="6"/>
      <c r="K9" s="9"/>
      <c r="L9" s="9"/>
      <c r="M9" s="9"/>
      <c r="N9" s="10"/>
      <c r="O9" s="10"/>
      <c r="P9" s="7"/>
      <c r="Q9" s="7"/>
    </row>
    <row r="10" spans="1:19" ht="17.399999999999999" customHeight="1" x14ac:dyDescent="0.3">
      <c r="A10" s="6"/>
      <c r="B10" s="6"/>
      <c r="C10" s="6"/>
      <c r="D10" s="6"/>
      <c r="E10" s="13"/>
      <c r="G10" s="7"/>
      <c r="H10" s="7"/>
      <c r="I10" s="7"/>
      <c r="J10" s="6"/>
      <c r="K10" s="9"/>
      <c r="L10" s="9"/>
      <c r="M10" s="9"/>
      <c r="N10" s="10"/>
      <c r="O10" s="10"/>
      <c r="P10" s="7"/>
      <c r="Q10" s="7"/>
    </row>
    <row r="11" spans="1:19" s="178" customFormat="1" ht="21" customHeight="1" x14ac:dyDescent="0.4">
      <c r="A11" s="172" t="s">
        <v>175</v>
      </c>
      <c r="B11" s="173"/>
      <c r="C11" s="174"/>
      <c r="D11" s="174"/>
      <c r="E11" s="174"/>
      <c r="F11" s="175"/>
      <c r="G11" s="175"/>
      <c r="H11" s="176"/>
      <c r="I11" s="176"/>
      <c r="J11" s="175"/>
      <c r="K11" s="175"/>
      <c r="L11" s="252"/>
      <c r="M11" s="252"/>
      <c r="N11" s="177"/>
      <c r="O11" s="177"/>
      <c r="P11" s="177"/>
    </row>
    <row r="12" spans="1:19" ht="17.399999999999999" customHeight="1" x14ac:dyDescent="0.3">
      <c r="A12" s="15" t="s">
        <v>4</v>
      </c>
      <c r="B12" s="6"/>
      <c r="C12" s="153"/>
      <c r="D12" s="153"/>
      <c r="E12" s="153"/>
      <c r="F12" s="153"/>
      <c r="G12" s="153"/>
      <c r="H12" s="153"/>
      <c r="I12" s="153"/>
      <c r="J12" s="6"/>
      <c r="K12" s="9"/>
      <c r="L12" s="9"/>
      <c r="M12" s="9"/>
      <c r="N12" s="10"/>
      <c r="O12" s="10"/>
      <c r="P12" s="7"/>
      <c r="Q12" s="7"/>
    </row>
    <row r="13" spans="1:19" s="254" customFormat="1" ht="17.399999999999999" customHeight="1" x14ac:dyDescent="0.35">
      <c r="A13" s="184">
        <v>0</v>
      </c>
      <c r="B13" s="215" t="s">
        <v>1662</v>
      </c>
      <c r="C13" s="204"/>
      <c r="D13" s="204"/>
      <c r="E13" s="204"/>
      <c r="F13" s="204"/>
      <c r="G13" s="204"/>
      <c r="H13" s="204"/>
      <c r="I13" s="204"/>
      <c r="J13" s="205"/>
      <c r="M13" s="264" t="s">
        <v>1672</v>
      </c>
      <c r="N13" s="265"/>
      <c r="O13" s="188"/>
      <c r="P13" s="264" t="s">
        <v>1668</v>
      </c>
      <c r="Q13" s="265"/>
      <c r="R13" s="188"/>
      <c r="S13" s="222" t="s">
        <v>1669</v>
      </c>
    </row>
    <row r="14" spans="1:19" ht="17.399999999999999" customHeight="1" x14ac:dyDescent="0.25">
      <c r="B14" s="255" t="s">
        <v>213</v>
      </c>
      <c r="C14" s="151"/>
      <c r="D14" s="151"/>
      <c r="E14" s="151"/>
      <c r="F14" s="151"/>
      <c r="G14" s="151"/>
      <c r="H14" s="151"/>
      <c r="I14" s="151"/>
      <c r="J14" s="248">
        <f>M14</f>
        <v>2531873</v>
      </c>
      <c r="K14" s="37"/>
      <c r="L14" s="37"/>
      <c r="M14" s="196">
        <v>2531873</v>
      </c>
      <c r="N14" s="37"/>
      <c r="O14" s="37"/>
      <c r="P14" s="196">
        <v>2531873</v>
      </c>
      <c r="Q14" s="224"/>
      <c r="R14" s="37"/>
      <c r="S14" s="223">
        <f>P14-M14</f>
        <v>0</v>
      </c>
    </row>
    <row r="15" spans="1:19" ht="17.399999999999999" customHeight="1" x14ac:dyDescent="0.25">
      <c r="A15" s="15"/>
      <c r="B15" s="255"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399999999999999" customHeight="1" x14ac:dyDescent="0.25">
      <c r="A16" s="15"/>
      <c r="B16" s="255"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399999999999999" customHeight="1" x14ac:dyDescent="0.25">
      <c r="A17" s="15"/>
      <c r="B17" s="151"/>
      <c r="C17" s="255" t="s">
        <v>214</v>
      </c>
      <c r="D17" s="151"/>
      <c r="E17" s="151"/>
      <c r="F17" s="151"/>
      <c r="G17" s="151"/>
      <c r="H17" s="151"/>
      <c r="I17" s="151"/>
      <c r="J17" s="255"/>
      <c r="K17" s="248">
        <f>N17</f>
        <v>2500125</v>
      </c>
      <c r="L17" s="37"/>
      <c r="M17" s="37"/>
      <c r="N17" s="196">
        <f>2988492-488367</f>
        <v>2500125</v>
      </c>
      <c r="O17" s="37"/>
      <c r="P17" s="224"/>
      <c r="Q17" s="196">
        <f>+N17</f>
        <v>2500125</v>
      </c>
      <c r="R17" s="37"/>
      <c r="S17" s="223">
        <f t="shared" ref="S17:S19" si="0">Q17-N17</f>
        <v>0</v>
      </c>
    </row>
    <row r="18" spans="1:22" ht="17.399999999999999" customHeight="1" x14ac:dyDescent="0.25">
      <c r="A18" s="15"/>
      <c r="B18" s="151"/>
      <c r="C18" s="255" t="s">
        <v>179</v>
      </c>
      <c r="D18" s="151"/>
      <c r="E18" s="151"/>
      <c r="F18" s="151"/>
      <c r="G18" s="151"/>
      <c r="H18" s="151"/>
      <c r="I18" s="151"/>
      <c r="J18" s="255"/>
      <c r="K18" s="248">
        <f>Q18</f>
        <v>31748</v>
      </c>
      <c r="L18" s="37"/>
      <c r="M18" s="37"/>
      <c r="N18" s="196">
        <f>+M14-N17</f>
        <v>31748</v>
      </c>
      <c r="O18" s="37"/>
      <c r="P18" s="224"/>
      <c r="Q18" s="221">
        <f>IF(SUM($Q$17)&lt;SUM($P$14),-SUM($Q$17)+SUM($P$14),0)</f>
        <v>31748</v>
      </c>
      <c r="R18" s="37"/>
      <c r="S18" s="223">
        <f t="shared" si="0"/>
        <v>0</v>
      </c>
    </row>
    <row r="19" spans="1:22" ht="17.399999999999999" customHeight="1" x14ac:dyDescent="0.25">
      <c r="A19" s="15"/>
      <c r="B19" s="151"/>
      <c r="C19" s="255" t="s">
        <v>180</v>
      </c>
      <c r="D19" s="151"/>
      <c r="E19" s="151"/>
      <c r="F19" s="151"/>
      <c r="G19" s="151"/>
      <c r="H19" s="151"/>
      <c r="I19" s="151"/>
      <c r="J19" s="255"/>
      <c r="K19" s="248">
        <f>IF(SUM($K$17:$K$18)&lt;SUM($J$14:$J$15),-SUM($K$17:$K$18)+SUM($J$14:$J$15),0)</f>
        <v>0</v>
      </c>
      <c r="L19" s="37"/>
      <c r="M19" s="37"/>
      <c r="N19" s="196"/>
      <c r="O19" s="37"/>
      <c r="P19" s="224"/>
      <c r="Q19" s="224"/>
      <c r="R19" s="37"/>
      <c r="S19" s="223">
        <f t="shared" si="0"/>
        <v>0</v>
      </c>
    </row>
    <row r="20" spans="1:22" ht="17.399999999999999" customHeight="1" x14ac:dyDescent="0.25">
      <c r="A20" s="15"/>
      <c r="C20" s="14"/>
      <c r="D20" s="153"/>
      <c r="E20" s="153"/>
      <c r="F20" s="153"/>
      <c r="G20" s="153"/>
      <c r="H20" s="153"/>
      <c r="I20" s="153"/>
      <c r="J20" s="17">
        <f>SUM(J14:J19)</f>
        <v>2531873</v>
      </c>
      <c r="K20" s="17">
        <f>SUM(K14:K19)</f>
        <v>2531873</v>
      </c>
      <c r="L20" s="21"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3"/>
      <c r="G21" s="7"/>
      <c r="H21" s="7"/>
      <c r="I21" s="7"/>
      <c r="J21" s="6"/>
      <c r="K21" s="9"/>
      <c r="L21" s="9"/>
      <c r="M21" s="9"/>
      <c r="N21" s="10"/>
      <c r="O21" s="10"/>
      <c r="P21" s="7"/>
      <c r="Q21" s="7"/>
    </row>
    <row r="22" spans="1:22" s="178" customFormat="1" ht="21" customHeight="1" x14ac:dyDescent="0.4">
      <c r="A22" s="172" t="s">
        <v>176</v>
      </c>
      <c r="B22" s="173"/>
      <c r="C22" s="174"/>
      <c r="D22" s="174"/>
      <c r="E22" s="174"/>
      <c r="F22" s="175"/>
      <c r="G22" s="175"/>
      <c r="H22" s="176"/>
      <c r="I22" s="176"/>
      <c r="J22" s="175"/>
      <c r="K22" s="175"/>
      <c r="L22" s="252"/>
      <c r="M22" s="252"/>
      <c r="N22" s="177"/>
      <c r="O22" s="177"/>
      <c r="P22" s="177"/>
    </row>
    <row r="23" spans="1:22" s="254" customFormat="1" ht="17.399999999999999" customHeight="1" x14ac:dyDescent="0.35">
      <c r="A23" s="184">
        <v>1</v>
      </c>
      <c r="B23" s="215" t="s">
        <v>1663</v>
      </c>
      <c r="C23" s="208"/>
      <c r="D23" s="208"/>
      <c r="E23" s="208"/>
      <c r="F23" s="209"/>
      <c r="G23" s="207"/>
      <c r="H23" s="207"/>
      <c r="I23" s="210"/>
      <c r="J23" s="207"/>
      <c r="K23" s="207"/>
      <c r="L23" s="207"/>
      <c r="M23" s="207"/>
      <c r="R23" s="206"/>
      <c r="S23" s="206"/>
      <c r="T23" s="207"/>
      <c r="U23" s="207"/>
    </row>
    <row r="24" spans="1:22" ht="17.399999999999999" customHeight="1" x14ac:dyDescent="0.25">
      <c r="B24" s="255" t="s">
        <v>213</v>
      </c>
      <c r="C24" s="255"/>
      <c r="D24" s="255"/>
      <c r="E24" s="255"/>
      <c r="F24" s="213"/>
      <c r="G24" s="213"/>
      <c r="H24" s="214"/>
      <c r="I24" s="202"/>
      <c r="J24" s="196"/>
      <c r="K24" s="213"/>
      <c r="L24" s="9"/>
      <c r="N24" s="18"/>
      <c r="O24" s="14"/>
      <c r="P24" s="9"/>
      <c r="Q24" s="9"/>
      <c r="R24" s="10"/>
      <c r="S24" s="10"/>
    </row>
    <row r="25" spans="1:22" ht="17.399999999999999" customHeight="1" x14ac:dyDescent="0.3">
      <c r="B25" s="255"/>
      <c r="C25" s="255" t="s">
        <v>214</v>
      </c>
      <c r="D25" s="255"/>
      <c r="E25" s="255"/>
      <c r="F25" s="213"/>
      <c r="G25" s="213"/>
      <c r="H25" s="214"/>
      <c r="I25" s="202"/>
      <c r="J25" s="213"/>
      <c r="K25" s="196"/>
      <c r="M25" s="19"/>
      <c r="N25" s="4"/>
      <c r="O25" s="9"/>
      <c r="P25" s="9"/>
      <c r="Q25" s="9"/>
      <c r="R25" s="10"/>
      <c r="S25" s="10"/>
    </row>
    <row r="26" spans="1:22" ht="17.399999999999999" customHeight="1" x14ac:dyDescent="0.3">
      <c r="A26" s="15"/>
      <c r="C26" s="255"/>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399999999999999" customHeight="1" x14ac:dyDescent="0.25">
      <c r="A27" s="15"/>
    </row>
    <row r="28" spans="1:22" s="178" customFormat="1" ht="21" customHeight="1" x14ac:dyDescent="0.4">
      <c r="A28" s="172" t="s">
        <v>177</v>
      </c>
      <c r="B28" s="173"/>
      <c r="C28" s="174"/>
      <c r="D28" s="174"/>
      <c r="E28" s="174"/>
      <c r="F28" s="175"/>
      <c r="G28" s="175"/>
      <c r="H28" s="176"/>
      <c r="I28" s="176"/>
      <c r="J28" s="175"/>
      <c r="K28" s="175"/>
      <c r="L28" s="252"/>
      <c r="M28" s="252"/>
      <c r="N28" s="177"/>
      <c r="O28" s="177"/>
      <c r="P28" s="177"/>
    </row>
    <row r="29" spans="1:22" s="254" customFormat="1" ht="17.399999999999999" customHeight="1" x14ac:dyDescent="0.35">
      <c r="A29" s="184">
        <v>2</v>
      </c>
      <c r="B29" s="215" t="s">
        <v>1664</v>
      </c>
      <c r="O29" s="292"/>
      <c r="P29" s="292"/>
      <c r="Q29" s="292"/>
      <c r="R29" s="292"/>
      <c r="S29" s="292"/>
      <c r="T29" s="292"/>
      <c r="U29" s="292"/>
      <c r="V29" s="292"/>
    </row>
    <row r="30" spans="1:22" ht="17.399999999999999" customHeight="1" x14ac:dyDescent="0.25">
      <c r="B30" s="293" t="str">
        <f>IF($E$7="Governmental","Dr: Acct 0775 - OTHER INCOME","Dr: Acct 0755 - SALES &amp; SERVICES")</f>
        <v>Dr: Acct 0775 - OTHER INCOME</v>
      </c>
      <c r="C30" s="293"/>
      <c r="D30" s="293"/>
      <c r="E30" s="293"/>
      <c r="F30" s="293"/>
      <c r="G30" s="293"/>
      <c r="H30" s="293"/>
      <c r="I30" s="293"/>
      <c r="J30" s="196">
        <v>601694.46</v>
      </c>
      <c r="K30" s="32"/>
      <c r="L30" s="9"/>
      <c r="N30" s="22"/>
      <c r="O30" s="9"/>
      <c r="P30" s="14"/>
      <c r="Q30" s="9"/>
      <c r="R30" s="9"/>
      <c r="S30" s="9"/>
      <c r="T30" s="9"/>
      <c r="U30" s="9"/>
      <c r="V30" s="9"/>
    </row>
    <row r="31" spans="1:22" ht="17.399999999999999" customHeight="1" x14ac:dyDescent="0.3">
      <c r="A31" s="15"/>
      <c r="B31" s="212"/>
      <c r="C31" s="255" t="s">
        <v>215</v>
      </c>
      <c r="D31" s="255"/>
      <c r="E31" s="255"/>
      <c r="F31" s="255"/>
      <c r="G31" s="212"/>
      <c r="H31" s="212"/>
      <c r="I31" s="212"/>
      <c r="J31" s="32"/>
      <c r="K31" s="196">
        <v>585728.27208129468</v>
      </c>
      <c r="M31" s="19"/>
      <c r="N31" s="22"/>
      <c r="O31" s="9"/>
      <c r="P31" s="14"/>
      <c r="Q31" s="9"/>
      <c r="R31" s="9"/>
      <c r="S31" s="9"/>
      <c r="T31" s="9"/>
      <c r="U31" s="9"/>
      <c r="V31" s="9"/>
    </row>
    <row r="32" spans="1:22" ht="17.399999999999999" customHeight="1" x14ac:dyDescent="0.3">
      <c r="B32" s="255"/>
      <c r="C32" s="255" t="str">
        <f>IF($E$7="Governmental","Cr: Acct 0740 - INTEREST INCOME","Cr: Acct 0765 - INVESTMENT AND INTEREST")</f>
        <v>Cr: Acct 0740 - INTEREST INCOME</v>
      </c>
      <c r="D32" s="255"/>
      <c r="E32" s="255"/>
      <c r="F32" s="255"/>
      <c r="G32" s="255"/>
      <c r="H32" s="255"/>
      <c r="I32" s="255"/>
      <c r="J32" s="32"/>
      <c r="K32" s="196">
        <v>15966.187918705375</v>
      </c>
      <c r="N32" s="22"/>
      <c r="O32" s="23"/>
    </row>
    <row r="33" spans="1:22" ht="17.399999999999999" customHeight="1" x14ac:dyDescent="0.35">
      <c r="A33" s="15"/>
      <c r="C33" s="183"/>
      <c r="D33" s="183"/>
      <c r="E33" s="183"/>
      <c r="F33" s="183"/>
      <c r="G33" s="183"/>
      <c r="H33" s="183"/>
      <c r="I33" s="183"/>
      <c r="J33" s="24">
        <f>J30</f>
        <v>601694.46</v>
      </c>
      <c r="K33" s="157">
        <f>SUM(K31:K32)</f>
        <v>601694.46000000008</v>
      </c>
      <c r="L33" s="21" t="str">
        <f>IF(J33=K33,"&lt;- Debits and Credits equal each other.","&lt;- Debits and Credits do not equal each other.")</f>
        <v>&lt;- Debits and Credits equal each other.</v>
      </c>
      <c r="M33" s="19"/>
      <c r="O33" s="9"/>
      <c r="P33" s="14"/>
      <c r="Q33" s="9"/>
      <c r="R33" s="9"/>
      <c r="S33" s="9"/>
      <c r="T33" s="9"/>
      <c r="U33" s="9"/>
      <c r="V33" s="9"/>
    </row>
    <row r="34" spans="1:22" ht="17.399999999999999" customHeight="1" x14ac:dyDescent="0.35">
      <c r="A34" s="15"/>
      <c r="C34" s="183"/>
      <c r="D34" s="183"/>
      <c r="E34" s="183"/>
      <c r="F34" s="183"/>
      <c r="G34" s="183"/>
      <c r="H34" s="183"/>
      <c r="I34" s="183"/>
      <c r="J34" s="24"/>
      <c r="K34" s="157"/>
      <c r="L34" s="21"/>
      <c r="M34" s="19"/>
      <c r="O34" s="9"/>
      <c r="P34" s="14"/>
      <c r="Q34" s="9"/>
      <c r="R34" s="9"/>
      <c r="S34" s="9"/>
      <c r="T34" s="9"/>
      <c r="U34" s="9"/>
      <c r="V34" s="9"/>
    </row>
    <row r="35" spans="1:22" ht="17.399999999999999" customHeight="1" x14ac:dyDescent="0.35">
      <c r="A35" s="184">
        <v>3</v>
      </c>
      <c r="B35" s="215" t="s">
        <v>1665</v>
      </c>
      <c r="C35" s="255"/>
      <c r="D35" s="9"/>
      <c r="E35" s="9"/>
      <c r="F35" s="9"/>
      <c r="G35" s="9"/>
      <c r="H35" s="9"/>
      <c r="I35" s="1"/>
      <c r="J35" s="9"/>
      <c r="K35" s="24"/>
      <c r="L35" s="9"/>
      <c r="O35" s="22"/>
      <c r="R35" s="9"/>
      <c r="S35" s="9"/>
      <c r="T35" s="9"/>
      <c r="U35" s="9"/>
      <c r="V35" s="9"/>
    </row>
    <row r="36" spans="1:22" ht="17.399999999999999" customHeight="1" x14ac:dyDescent="0.3">
      <c r="B36" s="278" t="s">
        <v>216</v>
      </c>
      <c r="C36" s="278" t="s">
        <v>214</v>
      </c>
      <c r="D36" s="278" t="s">
        <v>214</v>
      </c>
      <c r="E36" s="278" t="s">
        <v>214</v>
      </c>
      <c r="F36" s="255"/>
      <c r="G36" s="255"/>
      <c r="H36" s="255"/>
      <c r="I36" s="255"/>
      <c r="J36" s="196">
        <v>601919.72209997079</v>
      </c>
      <c r="K36" s="32"/>
      <c r="M36" s="19"/>
      <c r="R36" s="9"/>
      <c r="S36" s="9"/>
      <c r="T36" s="9"/>
      <c r="U36" s="9"/>
      <c r="V36" s="9"/>
    </row>
    <row r="37" spans="1:22" ht="17.399999999999999" customHeight="1" x14ac:dyDescent="0.25">
      <c r="A37" s="15"/>
      <c r="B37" s="255"/>
      <c r="C37" s="255" t="str">
        <f>IF($E$7="Governmental","Cr: Acct 0775 - OTHER INCOME","Cr: Acct 0778 - RENT")</f>
        <v>Cr: Acct 0775 - OTHER INCOME</v>
      </c>
      <c r="D37" s="255"/>
      <c r="E37" s="255"/>
      <c r="F37" s="255"/>
      <c r="G37" s="255"/>
      <c r="H37" s="255"/>
      <c r="I37" s="255"/>
      <c r="J37" s="32"/>
      <c r="K37" s="196">
        <v>601919.72209997079</v>
      </c>
      <c r="R37" s="9"/>
      <c r="S37" s="9"/>
      <c r="T37" s="9"/>
      <c r="U37" s="9"/>
      <c r="V37" s="9"/>
    </row>
    <row r="38" spans="1:22" ht="17.399999999999999" customHeight="1" x14ac:dyDescent="0.25">
      <c r="A38" s="15"/>
      <c r="C38" s="14"/>
      <c r="D38" s="9"/>
      <c r="E38" s="9"/>
      <c r="F38" s="9"/>
      <c r="G38" s="9"/>
      <c r="H38" s="9"/>
      <c r="I38" s="1"/>
      <c r="J38" s="157">
        <f>J36</f>
        <v>601919.72209997079</v>
      </c>
      <c r="K38" s="24">
        <f>K37</f>
        <v>601919.72209997079</v>
      </c>
      <c r="L38" s="21" t="str">
        <f>IF(J38=K38,"&lt;- Debits and Credits equal each other.","&lt;- Debits and Credits do not equal each other.")</f>
        <v>&lt;- Debits and Credits equal each other.</v>
      </c>
      <c r="R38" s="9"/>
      <c r="S38" s="9"/>
      <c r="T38" s="9"/>
      <c r="U38" s="9"/>
      <c r="V38" s="9"/>
    </row>
    <row r="39" spans="1:22" ht="17.399999999999999" customHeight="1" x14ac:dyDescent="0.25">
      <c r="A39" s="15"/>
      <c r="C39" s="14"/>
      <c r="D39" s="9"/>
      <c r="E39" s="9"/>
      <c r="F39" s="9"/>
      <c r="G39" s="9"/>
      <c r="H39" s="9"/>
      <c r="I39" s="1"/>
      <c r="J39" s="157"/>
      <c r="K39" s="24"/>
      <c r="L39" s="21"/>
      <c r="R39" s="9"/>
      <c r="S39" s="9"/>
      <c r="T39" s="9"/>
      <c r="U39" s="9"/>
      <c r="V39" s="9"/>
    </row>
    <row r="40" spans="1:22" s="254" customFormat="1" ht="17.399999999999999" customHeight="1" x14ac:dyDescent="0.35">
      <c r="A40" s="184">
        <v>4</v>
      </c>
      <c r="B40" s="215" t="s">
        <v>130</v>
      </c>
      <c r="K40" s="211"/>
    </row>
    <row r="41" spans="1:22" ht="17.399999999999999" customHeight="1" x14ac:dyDescent="0.25">
      <c r="B41" s="278" t="s">
        <v>217</v>
      </c>
      <c r="C41" s="278"/>
      <c r="D41" s="278"/>
      <c r="E41" s="278"/>
      <c r="F41" s="255"/>
      <c r="G41" s="255"/>
      <c r="H41" s="255"/>
      <c r="I41" s="255"/>
      <c r="J41" s="196">
        <v>521557.67974685237</v>
      </c>
      <c r="K41" s="32"/>
      <c r="L41" s="9"/>
      <c r="R41" s="9"/>
      <c r="S41" s="9"/>
      <c r="T41" s="9"/>
      <c r="U41" s="9"/>
      <c r="V41" s="9"/>
    </row>
    <row r="42" spans="1:22" ht="17.399999999999999" customHeight="1" x14ac:dyDescent="0.25">
      <c r="A42" s="15"/>
      <c r="B42" s="255"/>
      <c r="C42" s="278" t="s">
        <v>215</v>
      </c>
      <c r="D42" s="278" t="s">
        <v>218</v>
      </c>
      <c r="E42" s="278" t="s">
        <v>218</v>
      </c>
      <c r="F42" s="255"/>
      <c r="G42" s="255"/>
      <c r="H42" s="255"/>
      <c r="I42" s="255"/>
      <c r="J42" s="32"/>
      <c r="K42" s="196">
        <v>521557.67974685237</v>
      </c>
      <c r="O42" s="9"/>
      <c r="P42" s="9"/>
      <c r="Q42" s="9"/>
      <c r="R42" s="9"/>
      <c r="S42" s="9"/>
      <c r="T42" s="9"/>
      <c r="U42" s="9"/>
      <c r="V42" s="9"/>
    </row>
    <row r="43" spans="1:22" ht="17.399999999999999" customHeight="1" x14ac:dyDescent="0.3">
      <c r="A43" s="15"/>
      <c r="B43" s="294" t="s">
        <v>1842</v>
      </c>
      <c r="C43" s="294"/>
      <c r="D43" s="294"/>
      <c r="E43" s="294"/>
      <c r="F43" s="294"/>
      <c r="G43" s="294"/>
      <c r="H43" s="294"/>
      <c r="I43" s="294"/>
      <c r="J43" s="157">
        <f>J41</f>
        <v>521557.67974685237</v>
      </c>
      <c r="K43" s="24">
        <f>K42</f>
        <v>521557.67974685237</v>
      </c>
      <c r="L43" s="21" t="str">
        <f>IF(J43=K43,"&lt;- Debits and Credits equal each other.","&lt;- Debits and Credits do not equal each other.")</f>
        <v>&lt;- Debits and Credits equal each other.</v>
      </c>
      <c r="M43" s="19"/>
    </row>
    <row r="44" spans="1:22" ht="17.399999999999999" customHeight="1" x14ac:dyDescent="0.3">
      <c r="A44" s="15"/>
      <c r="B44" s="294"/>
      <c r="C44" s="294"/>
      <c r="D44" s="294"/>
      <c r="E44" s="294"/>
      <c r="F44" s="294"/>
      <c r="G44" s="294"/>
      <c r="H44" s="294"/>
      <c r="I44" s="294"/>
      <c r="K44" s="27"/>
      <c r="L44" s="9"/>
      <c r="M44" s="19"/>
      <c r="O44" s="28"/>
    </row>
    <row r="45" spans="1:22" ht="17.399999999999999" customHeight="1" x14ac:dyDescent="0.3">
      <c r="A45" s="15"/>
      <c r="B45" s="294"/>
      <c r="C45" s="294"/>
      <c r="D45" s="294"/>
      <c r="E45" s="294"/>
      <c r="F45" s="294"/>
      <c r="G45" s="294"/>
      <c r="H45" s="294"/>
      <c r="I45" s="294"/>
      <c r="K45" s="27"/>
      <c r="M45" s="19"/>
      <c r="O45" s="28"/>
    </row>
    <row r="46" spans="1:22" ht="17.399999999999999" customHeight="1" x14ac:dyDescent="0.3">
      <c r="A46" s="15"/>
      <c r="B46" s="11"/>
      <c r="C46" s="9"/>
      <c r="K46" s="27"/>
      <c r="M46" s="19"/>
      <c r="O46" s="28"/>
    </row>
    <row r="47" spans="1:22" s="178" customFormat="1" ht="21" customHeight="1" x14ac:dyDescent="0.4">
      <c r="A47" s="172" t="s">
        <v>1653</v>
      </c>
      <c r="B47" s="173"/>
      <c r="C47" s="174"/>
      <c r="D47" s="174"/>
      <c r="E47" s="174"/>
      <c r="F47" s="175"/>
      <c r="G47" s="175"/>
      <c r="H47" s="176"/>
      <c r="I47" s="176"/>
      <c r="J47" s="175"/>
      <c r="K47" s="175"/>
      <c r="L47" s="252"/>
      <c r="M47" s="252"/>
      <c r="N47" s="177"/>
      <c r="O47" s="177"/>
      <c r="P47" s="177"/>
    </row>
    <row r="48" spans="1:22" ht="17.399999999999999" customHeight="1" x14ac:dyDescent="0.35">
      <c r="A48" s="184">
        <v>5</v>
      </c>
      <c r="B48" s="215" t="s">
        <v>1873</v>
      </c>
      <c r="F48" s="9"/>
      <c r="G48" s="9"/>
      <c r="H48" s="9"/>
      <c r="I48" s="1"/>
      <c r="J48" s="29"/>
      <c r="K48" s="30"/>
      <c r="M48" s="19"/>
    </row>
    <row r="49" spans="1:15" ht="17.399999999999999" customHeight="1" x14ac:dyDescent="0.3">
      <c r="B49" s="255" t="s">
        <v>216</v>
      </c>
      <c r="C49" s="26"/>
      <c r="D49" s="255"/>
      <c r="E49" s="255"/>
      <c r="F49" s="255"/>
      <c r="G49" s="255"/>
      <c r="H49" s="255"/>
      <c r="I49" s="255"/>
      <c r="J49" s="196"/>
      <c r="K49" s="6"/>
    </row>
    <row r="50" spans="1:15" ht="17.399999999999999" customHeight="1" x14ac:dyDescent="0.25">
      <c r="A50" s="15"/>
      <c r="B50" s="255" t="s">
        <v>1657</v>
      </c>
      <c r="C50" s="255"/>
      <c r="D50" s="255"/>
      <c r="E50" s="255"/>
      <c r="F50" s="255"/>
      <c r="G50" s="255"/>
      <c r="H50" s="255"/>
      <c r="I50" s="202"/>
      <c r="J50" s="196"/>
      <c r="K50" s="255"/>
      <c r="O50" s="28"/>
    </row>
    <row r="51" spans="1:15" ht="17.399999999999999" customHeight="1" x14ac:dyDescent="0.25">
      <c r="A51" s="15"/>
      <c r="B51" s="278" t="s">
        <v>1656</v>
      </c>
      <c r="C51" s="278" t="s">
        <v>1655</v>
      </c>
      <c r="D51" s="278" t="s">
        <v>1655</v>
      </c>
      <c r="E51" s="255"/>
      <c r="F51" s="255"/>
      <c r="G51" s="255"/>
      <c r="H51" s="255"/>
      <c r="I51" s="202"/>
      <c r="J51" s="196"/>
      <c r="K51" s="255"/>
      <c r="O51" s="28"/>
    </row>
    <row r="52" spans="1:15" ht="17.399999999999999" customHeight="1" x14ac:dyDescent="0.25">
      <c r="A52" s="15"/>
      <c r="B52" s="253"/>
      <c r="C52" s="253" t="s">
        <v>215</v>
      </c>
      <c r="D52" s="253"/>
      <c r="E52" s="255"/>
      <c r="F52" s="255"/>
      <c r="G52" s="255"/>
      <c r="H52" s="255"/>
      <c r="I52" s="202"/>
      <c r="J52" s="255"/>
      <c r="K52" s="196"/>
      <c r="O52" s="28"/>
    </row>
    <row r="53" spans="1:15" ht="17.399999999999999" customHeight="1" x14ac:dyDescent="0.25">
      <c r="A53" s="15"/>
      <c r="B53" s="253"/>
      <c r="C53" s="253" t="s">
        <v>1658</v>
      </c>
      <c r="D53" s="253"/>
      <c r="E53" s="255"/>
      <c r="F53" s="255"/>
      <c r="G53" s="255"/>
      <c r="H53" s="255"/>
      <c r="I53" s="202"/>
      <c r="J53" s="255"/>
      <c r="K53" s="196"/>
      <c r="O53" s="28"/>
    </row>
    <row r="54" spans="1:15" ht="17.399999999999999" customHeight="1" x14ac:dyDescent="0.3">
      <c r="A54" s="15"/>
      <c r="B54" s="193"/>
      <c r="C54" s="253" t="s">
        <v>1654</v>
      </c>
      <c r="D54" s="253"/>
      <c r="E54" s="253"/>
      <c r="F54" s="255"/>
      <c r="G54" s="255"/>
      <c r="H54" s="255"/>
      <c r="I54" s="26"/>
      <c r="J54" s="32"/>
      <c r="K54" s="196"/>
    </row>
    <row r="55" spans="1:15" ht="17.399999999999999" customHeight="1" x14ac:dyDescent="0.35">
      <c r="A55" s="15"/>
      <c r="B55" s="183"/>
      <c r="C55" s="166"/>
      <c r="D55" s="166"/>
      <c r="E55" s="166"/>
      <c r="F55" s="255"/>
      <c r="G55" s="255"/>
      <c r="H55" s="255"/>
      <c r="I55" s="26"/>
      <c r="J55" s="17">
        <f>SUM(J49:J54)</f>
        <v>0</v>
      </c>
      <c r="K55" s="17">
        <f>SUM(K49:K54)</f>
        <v>0</v>
      </c>
      <c r="L55" s="21" t="str">
        <f>IF(J55=K55,"&lt;- Debits and Credits equal each other.","&lt;- Debits and Credits do not equal each other.")</f>
        <v>&lt;- Debits and Credits equal each other.</v>
      </c>
    </row>
    <row r="56" spans="1:15" ht="17.399999999999999" customHeight="1" x14ac:dyDescent="0.25">
      <c r="A56" s="15"/>
      <c r="B56" s="255"/>
      <c r="C56" s="255"/>
      <c r="D56" s="255"/>
      <c r="E56" s="255"/>
      <c r="F56" s="255"/>
      <c r="G56" s="255"/>
      <c r="H56" s="255"/>
      <c r="I56" s="26"/>
      <c r="J56" s="32"/>
      <c r="K56" s="24"/>
    </row>
    <row r="57" spans="1:15" ht="17.399999999999999" customHeight="1" x14ac:dyDescent="0.35">
      <c r="A57" s="184">
        <v>6</v>
      </c>
      <c r="B57" s="215" t="s">
        <v>1872</v>
      </c>
      <c r="D57" s="255"/>
      <c r="E57" s="255"/>
      <c r="F57" s="255"/>
      <c r="G57" s="255"/>
      <c r="H57" s="255"/>
      <c r="I57" s="26"/>
      <c r="J57" s="32"/>
      <c r="K57" s="24"/>
    </row>
    <row r="58" spans="1:15" ht="17.399999999999999" customHeight="1" x14ac:dyDescent="0.25">
      <c r="B58" s="255" t="s">
        <v>213</v>
      </c>
      <c r="C58" s="26"/>
      <c r="D58" s="255"/>
      <c r="E58" s="255"/>
      <c r="F58" s="255"/>
      <c r="G58" s="255"/>
      <c r="H58" s="255"/>
      <c r="I58" s="26"/>
      <c r="J58" s="196"/>
      <c r="K58" s="32"/>
    </row>
    <row r="59" spans="1:15" ht="17.399999999999999" customHeight="1" x14ac:dyDescent="0.3">
      <c r="A59" s="15"/>
      <c r="B59" s="193"/>
      <c r="C59" s="255" t="s">
        <v>214</v>
      </c>
      <c r="D59" s="255"/>
      <c r="E59" s="255"/>
      <c r="F59" s="255"/>
      <c r="G59" s="255"/>
      <c r="H59" s="255"/>
      <c r="I59" s="26"/>
      <c r="J59" s="32"/>
      <c r="K59" s="196"/>
    </row>
    <row r="60" spans="1:15" ht="17.399999999999999" customHeight="1" x14ac:dyDescent="0.35">
      <c r="A60" s="15"/>
      <c r="B60" s="183"/>
      <c r="C60" s="166"/>
      <c r="D60" s="255"/>
      <c r="E60" s="255"/>
      <c r="F60" s="255"/>
      <c r="G60" s="255"/>
      <c r="H60" s="255"/>
      <c r="I60" s="26"/>
      <c r="J60" s="157">
        <f>J58</f>
        <v>0</v>
      </c>
      <c r="K60" s="24">
        <f>K59</f>
        <v>0</v>
      </c>
      <c r="L60" s="21" t="str">
        <f>IF(J60=K60,"&lt;- Debits and Credits equal each other.","&lt;- Debits and Credits do not equal each other.")</f>
        <v>&lt;- Debits and Credits equal each other.</v>
      </c>
    </row>
    <row r="61" spans="1:15" ht="17.399999999999999" customHeight="1" x14ac:dyDescent="0.3">
      <c r="B61" s="255"/>
      <c r="C61" s="255"/>
      <c r="D61" s="255"/>
      <c r="E61" s="255"/>
      <c r="F61" s="255"/>
      <c r="G61" s="255"/>
      <c r="H61" s="255"/>
      <c r="I61" s="25"/>
      <c r="J61" s="33"/>
      <c r="K61" s="32"/>
    </row>
    <row r="62" spans="1:15" ht="17.399999999999999" customHeight="1" x14ac:dyDescent="0.3">
      <c r="B62" s="34"/>
      <c r="C62" s="255"/>
      <c r="D62" s="255"/>
      <c r="E62" s="255"/>
      <c r="F62" s="255"/>
      <c r="G62" s="255"/>
      <c r="H62" s="255"/>
      <c r="I62" s="255"/>
    </row>
    <row r="63" spans="1:15" ht="17.399999999999999" customHeight="1" x14ac:dyDescent="0.3">
      <c r="B63" s="31"/>
      <c r="C63" s="255"/>
      <c r="D63" s="255"/>
      <c r="E63" s="255"/>
      <c r="F63" s="255"/>
      <c r="G63" s="255"/>
      <c r="H63" s="255"/>
      <c r="I63" s="255"/>
    </row>
    <row r="64" spans="1:15" ht="17.399999999999999" customHeight="1" x14ac:dyDescent="0.3">
      <c r="B64" s="34"/>
      <c r="C64" s="255"/>
      <c r="D64" s="255"/>
      <c r="E64" s="255"/>
      <c r="F64" s="255"/>
      <c r="G64" s="255"/>
      <c r="H64" s="255"/>
      <c r="I64" s="32"/>
      <c r="L64" s="9"/>
      <c r="M64" s="19"/>
    </row>
    <row r="65" spans="2:11" ht="21" x14ac:dyDescent="0.4">
      <c r="B65" s="255"/>
      <c r="C65" s="255"/>
      <c r="D65" s="229" t="s">
        <v>1713</v>
      </c>
      <c r="E65" s="230"/>
      <c r="F65" s="231"/>
      <c r="G65" s="231"/>
      <c r="H65" s="231"/>
      <c r="I65" s="232"/>
      <c r="J65" s="232"/>
      <c r="K65" s="233"/>
    </row>
    <row r="66" spans="2:11" ht="17.399999999999999" customHeight="1" x14ac:dyDescent="0.25">
      <c r="B66" s="255"/>
      <c r="C66" s="255"/>
      <c r="D66" s="37"/>
      <c r="E66" s="37"/>
      <c r="F66" s="37"/>
      <c r="G66" s="37"/>
      <c r="H66" s="37"/>
      <c r="I66" s="37"/>
      <c r="J66" s="37"/>
      <c r="K66" s="239" t="s">
        <v>1711</v>
      </c>
    </row>
    <row r="67" spans="2:11" ht="17.399999999999999" customHeight="1" x14ac:dyDescent="0.3">
      <c r="B67" s="29"/>
      <c r="D67" s="193" t="s">
        <v>1714</v>
      </c>
      <c r="E67" s="37"/>
      <c r="F67" s="37"/>
      <c r="G67" s="37"/>
      <c r="H67" s="37"/>
      <c r="I67" s="37"/>
      <c r="J67" s="37"/>
      <c r="K67" s="238">
        <f>J14+J24-K31-K42-K52+J58</f>
        <v>1424587.0481718532</v>
      </c>
    </row>
    <row r="68" spans="2:11" ht="17.399999999999999" customHeight="1" x14ac:dyDescent="0.3">
      <c r="D68" s="193" t="s">
        <v>1715</v>
      </c>
      <c r="E68" s="37"/>
      <c r="F68" s="37"/>
      <c r="G68" s="37"/>
      <c r="H68" s="37"/>
      <c r="I68" s="37"/>
      <c r="J68" s="37"/>
      <c r="K68" s="238">
        <f>J41</f>
        <v>521557.67974685237</v>
      </c>
    </row>
    <row r="69" spans="2:11" ht="17.399999999999999" customHeight="1" x14ac:dyDescent="0.3">
      <c r="D69" s="193" t="s">
        <v>1716</v>
      </c>
      <c r="E69" s="37"/>
      <c r="F69" s="37"/>
      <c r="G69" s="37"/>
      <c r="H69" s="37"/>
      <c r="I69" s="37"/>
      <c r="J69" s="37"/>
      <c r="K69" s="238">
        <f>-K17-K25+J36+J49-K59</f>
        <v>-1898205.2779000292</v>
      </c>
    </row>
    <row r="70" spans="2:11" ht="17.399999999999999" customHeight="1" x14ac:dyDescent="0.25">
      <c r="I70" s="24"/>
    </row>
    <row r="71" spans="2:11" ht="17.399999999999999" customHeight="1" x14ac:dyDescent="0.25">
      <c r="I71" s="24"/>
    </row>
    <row r="72" spans="2:11" ht="17.399999999999999" customHeight="1" x14ac:dyDescent="0.25">
      <c r="I72" s="24"/>
    </row>
  </sheetData>
  <sheetProtection algorithmName="SHA-512" hashValue="YKTsokJjW3qHpps8sCAup8K7EjRDGEg65yEKqH+EONNyZAycDRleDXv6h7EkVbu2GkAnVv0HvImE4EVJ/Xi/1A==" saltValue="kJsEao6SDRnnvhDHabDlmA==" spinCount="100000" sheet="1" objects="1" scenarios="1"/>
  <mergeCells count="17">
    <mergeCell ref="C42:E42"/>
    <mergeCell ref="B43:I45"/>
    <mergeCell ref="B51:D51"/>
    <mergeCell ref="M13:N13"/>
    <mergeCell ref="P13:Q13"/>
    <mergeCell ref="O29:V29"/>
    <mergeCell ref="B36:E36"/>
    <mergeCell ref="B41:E41"/>
    <mergeCell ref="B30:I30"/>
    <mergeCell ref="A6:D6"/>
    <mergeCell ref="A7:D7"/>
    <mergeCell ref="A8:D8"/>
    <mergeCell ref="A1:K1"/>
    <mergeCell ref="A2:I2"/>
    <mergeCell ref="A3:D3"/>
    <mergeCell ref="A4:D4"/>
    <mergeCell ref="A5:D5"/>
  </mergeCells>
  <dataValidations count="3">
    <dataValidation type="whole" operator="greaterThanOrEqual" allowBlank="1" showErrorMessage="1" errorTitle="Whole Numbers Only" error="Enter amounts as whole numbers only." promptTitle="Whole Numbers" prompt="Enter whole numbers only." sqref="J14:J16 M14:M16 N17:N19 K17:K19 P14 Q17" xr:uid="{E1B1123A-FDC4-49CB-9FE9-A628D6FF30B3}">
      <formula1>0</formula1>
    </dataValidation>
    <dataValidation type="textLength" operator="equal" allowBlank="1" showInputMessage="1" showErrorMessage="1" errorTitle="4-Digit Org Code" error="Enter the Org Code/BU as 4 digits." sqref="E5" xr:uid="{84CD07E6-1714-4EA7-BE16-0A6ED450FFC5}">
      <formula1>4</formula1>
    </dataValidation>
    <dataValidation type="whole" operator="greaterThanOrEqual" allowBlank="1" showErrorMessage="1" errorTitle="Whole Number Only" error="Only enter whole numbers." sqref="K59 J58 J24 K25 J30 K31:K32 J36 K37 J41 K42 J49:J51 K52:K54" xr:uid="{553F4652-2FD1-4D27-9CE7-BD624057A92F}">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2B2FC3C-F868-446C-8ADE-FE4289B27C06}">
          <x14:formula1>
            <xm:f>'Drop Down Menus'!$E$1:$E$3</xm:f>
          </x14:formula1>
          <xm:sqref>E8</xm:sqref>
        </x14:dataValidation>
        <x14:dataValidation type="list" allowBlank="1" showInputMessage="1" showErrorMessage="1" xr:uid="{104393EA-C472-4827-9178-40FFE34984A3}">
          <x14:formula1>
            <xm:f>'Drop Down Menus'!$B$1:$B$2</xm:f>
          </x14:formula1>
          <xm:sqref>E7</xm:sqref>
        </x14:dataValidation>
        <x14:dataValidation type="list" allowBlank="1" showInputMessage="1" showErrorMessage="1" xr:uid="{9168407D-AB34-4EE3-88D4-05F0516A2A12}">
          <x14:formula1>
            <xm:f>'Drop Down Menus'!$A$1:$A$101</xm:f>
          </x14:formula1>
          <xm:sqref>E3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topLeftCell="A4" zoomScale="70" zoomScaleNormal="70" workbookViewId="0">
      <selection activeCell="E14" sqref="E14:E17"/>
    </sheetView>
  </sheetViews>
  <sheetFormatPr defaultColWidth="9.109375" defaultRowHeight="15" x14ac:dyDescent="0.25"/>
  <cols>
    <col min="1" max="1" width="34.6640625" style="1" customWidth="1"/>
    <col min="2" max="3" width="36.5546875" style="1" customWidth="1"/>
    <col min="4" max="4" width="3.10937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109375" style="1"/>
  </cols>
  <sheetData>
    <row r="1" spans="1:19" ht="32.4" customHeight="1" x14ac:dyDescent="0.3">
      <c r="A1" s="282" t="s">
        <v>150</v>
      </c>
      <c r="B1" s="282"/>
      <c r="C1" s="282"/>
      <c r="D1" s="282"/>
      <c r="E1" s="282"/>
      <c r="F1" s="158"/>
      <c r="G1" s="5"/>
      <c r="H1" s="5"/>
      <c r="I1" s="5"/>
      <c r="J1" s="5"/>
      <c r="K1" s="5"/>
      <c r="L1" s="5"/>
      <c r="M1" s="5"/>
      <c r="N1" s="5"/>
      <c r="O1" s="5"/>
      <c r="P1" s="5"/>
      <c r="Q1" s="5"/>
      <c r="R1" s="5"/>
      <c r="S1" s="5"/>
    </row>
    <row r="2" spans="1:19" ht="48" customHeight="1" x14ac:dyDescent="0.3">
      <c r="A2" s="281" t="s">
        <v>148</v>
      </c>
      <c r="B2" s="281"/>
      <c r="C2" s="281"/>
      <c r="D2" s="281"/>
      <c r="E2" s="281"/>
      <c r="F2" s="99"/>
      <c r="G2" s="5"/>
      <c r="H2" s="5"/>
      <c r="I2" s="5"/>
      <c r="J2" s="5"/>
      <c r="K2" s="5"/>
      <c r="L2" s="5"/>
      <c r="M2" s="5"/>
      <c r="N2" s="5"/>
      <c r="O2" s="5"/>
      <c r="P2" s="5"/>
      <c r="Q2" s="5"/>
      <c r="R2" s="5"/>
      <c r="S2" s="5"/>
    </row>
    <row r="3" spans="1:19" ht="33" customHeight="1" x14ac:dyDescent="0.3">
      <c r="A3" s="300" t="s">
        <v>212</v>
      </c>
      <c r="B3" s="300"/>
      <c r="C3" s="300"/>
      <c r="E3" s="57"/>
      <c r="F3" s="57"/>
      <c r="G3" s="57"/>
      <c r="H3" s="57"/>
      <c r="I3" s="57"/>
      <c r="J3" s="57"/>
      <c r="K3" s="57"/>
      <c r="L3" s="57"/>
      <c r="M3" s="57"/>
      <c r="N3" s="57"/>
      <c r="O3" s="57"/>
      <c r="P3" s="6"/>
      <c r="Q3" s="6"/>
      <c r="R3" s="6"/>
      <c r="S3" s="6"/>
    </row>
    <row r="4" spans="1:19" ht="31.2" customHeight="1" x14ac:dyDescent="0.3">
      <c r="A4" s="287" t="s">
        <v>7</v>
      </c>
      <c r="B4" s="287"/>
      <c r="C4" s="287"/>
      <c r="E4" s="57"/>
      <c r="F4" s="57"/>
      <c r="G4" s="57"/>
      <c r="H4" s="57"/>
      <c r="I4" s="57"/>
      <c r="J4" s="57"/>
      <c r="K4" s="57"/>
      <c r="L4" s="57"/>
      <c r="M4" s="57"/>
      <c r="N4" s="57"/>
      <c r="O4" s="57"/>
      <c r="P4" s="6"/>
      <c r="Q4" s="6"/>
      <c r="R4" s="6"/>
      <c r="S4" s="6"/>
    </row>
    <row r="5" spans="1:19" ht="30.6" customHeight="1" x14ac:dyDescent="0.3">
      <c r="A5" s="287" t="s">
        <v>9</v>
      </c>
      <c r="B5" s="287"/>
      <c r="C5" s="287"/>
      <c r="E5" s="57"/>
      <c r="F5" s="57"/>
      <c r="G5" s="57"/>
      <c r="H5" s="57"/>
      <c r="I5" s="57"/>
      <c r="J5" s="57"/>
      <c r="K5" s="57"/>
      <c r="L5" s="57"/>
      <c r="M5" s="57"/>
      <c r="N5" s="57"/>
      <c r="O5" s="57"/>
      <c r="P5" s="6"/>
      <c r="Q5" s="6"/>
      <c r="R5" s="6"/>
      <c r="S5" s="6"/>
    </row>
    <row r="6" spans="1:19" ht="15.6" x14ac:dyDescent="0.3">
      <c r="E6" s="57"/>
      <c r="F6" s="57"/>
      <c r="G6" s="57"/>
      <c r="H6" s="57"/>
      <c r="I6" s="57"/>
      <c r="J6" s="57"/>
      <c r="K6" s="57"/>
      <c r="L6" s="57"/>
      <c r="M6" s="57"/>
      <c r="N6" s="57"/>
      <c r="O6" s="57"/>
      <c r="P6" s="6"/>
      <c r="Q6" s="6"/>
      <c r="R6" s="6"/>
      <c r="S6" s="6"/>
    </row>
    <row r="7" spans="1:19" ht="15.6" x14ac:dyDescent="0.3">
      <c r="D7" s="7"/>
      <c r="F7" s="81"/>
      <c r="G7" s="81"/>
      <c r="H7" s="81"/>
      <c r="I7" s="81"/>
      <c r="J7" s="81"/>
      <c r="K7" s="81"/>
      <c r="L7" s="81"/>
      <c r="M7" s="81"/>
      <c r="N7" s="81"/>
      <c r="O7" s="81"/>
      <c r="P7" s="6"/>
      <c r="Q7" s="6"/>
      <c r="R7" s="6"/>
      <c r="S7" s="6"/>
    </row>
    <row r="8" spans="1:19" ht="21" x14ac:dyDescent="0.4">
      <c r="A8" s="152" t="s">
        <v>5</v>
      </c>
      <c r="B8" s="5"/>
      <c r="C8" s="5"/>
      <c r="D8" s="7"/>
      <c r="F8" s="81"/>
      <c r="G8" s="81"/>
      <c r="H8" s="81"/>
      <c r="I8" s="81"/>
      <c r="J8" s="81"/>
      <c r="K8" s="81"/>
      <c r="L8" s="81"/>
      <c r="M8" s="81"/>
      <c r="N8" s="81"/>
      <c r="O8" s="81"/>
      <c r="P8" s="6"/>
      <c r="Q8" s="6"/>
      <c r="R8" s="6"/>
      <c r="S8" s="6"/>
    </row>
    <row r="9" spans="1:19" ht="15.6" x14ac:dyDescent="0.3">
      <c r="A9" s="12" t="s">
        <v>13</v>
      </c>
      <c r="B9" s="298" t="s">
        <v>24</v>
      </c>
      <c r="C9" s="298"/>
      <c r="D9" s="52"/>
      <c r="F9" s="81"/>
      <c r="G9" s="81"/>
      <c r="H9" s="81"/>
      <c r="I9" s="81"/>
      <c r="J9" s="81"/>
      <c r="K9" s="81"/>
      <c r="L9" s="81"/>
      <c r="M9" s="81"/>
      <c r="N9" s="81"/>
      <c r="O9" s="81"/>
      <c r="P9" s="6"/>
      <c r="Q9" s="6"/>
      <c r="R9" s="6"/>
      <c r="S9" s="6"/>
    </row>
    <row r="10" spans="1:19" ht="15.6" x14ac:dyDescent="0.3">
      <c r="A10" s="12" t="s">
        <v>210</v>
      </c>
      <c r="B10" s="299" t="s">
        <v>274</v>
      </c>
      <c r="C10" s="299"/>
      <c r="D10" s="82"/>
      <c r="F10" s="38"/>
      <c r="G10" s="38"/>
      <c r="H10" s="38"/>
      <c r="I10" s="38"/>
      <c r="J10" s="38"/>
      <c r="K10" s="38"/>
      <c r="L10" s="38"/>
      <c r="M10" s="38"/>
      <c r="N10" s="38"/>
      <c r="O10" s="38"/>
      <c r="P10" s="6"/>
      <c r="Q10" s="6"/>
      <c r="R10" s="6"/>
      <c r="S10" s="6"/>
    </row>
    <row r="11" spans="1:19" ht="15.6" x14ac:dyDescent="0.3">
      <c r="A11" s="12" t="s">
        <v>209</v>
      </c>
      <c r="B11" s="298" t="s">
        <v>1883</v>
      </c>
      <c r="C11" s="298"/>
      <c r="D11" s="82"/>
      <c r="F11" s="5"/>
      <c r="G11" s="5"/>
      <c r="H11" s="5"/>
      <c r="I11" s="5"/>
      <c r="J11" s="5"/>
      <c r="K11" s="5"/>
      <c r="L11" s="5"/>
      <c r="M11" s="5"/>
      <c r="N11" s="5"/>
      <c r="O11" s="5"/>
      <c r="P11" s="5"/>
      <c r="Q11" s="5"/>
      <c r="R11" s="5"/>
      <c r="S11" s="5"/>
    </row>
    <row r="12" spans="1:19" ht="30" customHeight="1" x14ac:dyDescent="0.3">
      <c r="A12" s="297" t="s">
        <v>10</v>
      </c>
      <c r="B12" s="297"/>
      <c r="C12" s="297"/>
      <c r="D12" s="83"/>
      <c r="F12" s="5"/>
      <c r="G12" s="5"/>
      <c r="H12" s="5"/>
      <c r="I12" s="5"/>
      <c r="J12" s="5"/>
      <c r="K12" s="5"/>
      <c r="L12" s="5"/>
      <c r="M12" s="5"/>
      <c r="N12" s="5"/>
      <c r="O12" s="5"/>
      <c r="P12" s="5"/>
      <c r="Q12" s="5"/>
      <c r="R12" s="5"/>
      <c r="S12" s="5"/>
    </row>
    <row r="13" spans="1:19" ht="15.6" customHeight="1" x14ac:dyDescent="0.3">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6" x14ac:dyDescent="0.3">
      <c r="A14" s="84" t="str">
        <f>RIGHT(B9,4)&amp;"–"&amp;RIGHT(B9,4)+1</f>
        <v>2023–2024</v>
      </c>
      <c r="B14" s="2">
        <v>521557.67974685237</v>
      </c>
      <c r="C14" s="2">
        <v>13171.111453147669</v>
      </c>
      <c r="D14" s="87"/>
      <c r="E14" s="274" t="s">
        <v>219</v>
      </c>
      <c r="F14" s="5"/>
      <c r="G14" s="5"/>
      <c r="H14" s="5"/>
      <c r="I14" s="5"/>
      <c r="J14" s="5"/>
      <c r="K14" s="5"/>
      <c r="L14" s="5"/>
      <c r="M14" s="5"/>
      <c r="N14" s="5"/>
      <c r="O14" s="5"/>
      <c r="P14" s="5"/>
      <c r="Q14" s="5"/>
      <c r="R14" s="5"/>
      <c r="S14" s="5"/>
    </row>
    <row r="15" spans="1:19" ht="15.6" x14ac:dyDescent="0.3">
      <c r="A15" s="84" t="str">
        <f>LEFT(A14,4)+1&amp;"–"&amp;RIGHT(A14,4)+1</f>
        <v>2024–2025</v>
      </c>
      <c r="B15" s="2">
        <v>352463.63354931941</v>
      </c>
      <c r="C15" s="2">
        <v>10529.105698680629</v>
      </c>
      <c r="D15" s="62"/>
      <c r="E15" s="274"/>
      <c r="F15" s="5"/>
      <c r="G15" s="5"/>
      <c r="H15" s="5"/>
      <c r="I15" s="5"/>
      <c r="J15" s="5"/>
      <c r="K15" s="5"/>
      <c r="L15" s="5"/>
      <c r="M15" s="5"/>
      <c r="N15" s="5"/>
      <c r="O15" s="5"/>
      <c r="P15" s="5"/>
      <c r="Q15" s="5"/>
      <c r="R15" s="5"/>
      <c r="S15" s="5"/>
    </row>
    <row r="16" spans="1:19" ht="15.6" x14ac:dyDescent="0.3">
      <c r="A16" s="84" t="str">
        <f>LEFT(A15,4)+1&amp;"–"&amp;RIGHT(A15,4)+1</f>
        <v>2025–2026</v>
      </c>
      <c r="B16" s="2">
        <v>337284.49027323013</v>
      </c>
      <c r="C16" s="2">
        <v>8017.9609446899249</v>
      </c>
      <c r="D16" s="62"/>
      <c r="E16" s="274"/>
      <c r="F16" s="5"/>
      <c r="G16" s="5"/>
      <c r="H16" s="5"/>
      <c r="I16" s="5"/>
      <c r="J16" s="5"/>
      <c r="K16" s="5"/>
      <c r="L16" s="5"/>
      <c r="M16" s="5"/>
      <c r="N16" s="5"/>
      <c r="O16" s="5"/>
      <c r="P16" s="5"/>
      <c r="Q16" s="5"/>
      <c r="R16" s="5"/>
      <c r="S16" s="5"/>
    </row>
    <row r="17" spans="1:19" ht="15.6" x14ac:dyDescent="0.3">
      <c r="A17" s="84" t="str">
        <f>LEFT(A16,4)+1&amp;"–"&amp;RIGHT(A16,4)+1</f>
        <v>2026–2027</v>
      </c>
      <c r="B17" s="2">
        <v>284030.31110456667</v>
      </c>
      <c r="C17" s="2">
        <v>5456.1965620701958</v>
      </c>
      <c r="D17" s="62"/>
      <c r="E17" s="274"/>
      <c r="F17" s="5"/>
      <c r="G17" s="5"/>
      <c r="H17" s="5"/>
      <c r="I17" s="5"/>
      <c r="J17" s="5"/>
      <c r="K17" s="5"/>
      <c r="L17" s="5"/>
      <c r="M17" s="5"/>
      <c r="N17" s="5"/>
      <c r="O17" s="5"/>
      <c r="P17" s="5"/>
      <c r="Q17" s="5"/>
      <c r="R17" s="5"/>
      <c r="S17" s="5"/>
    </row>
    <row r="18" spans="1:19" ht="15.6" x14ac:dyDescent="0.3">
      <c r="A18" s="84" t="str">
        <f>LEFT(A17,4)+1&amp;"–"&amp;RIGHT(A17,4)+1</f>
        <v>2027–2028</v>
      </c>
      <c r="B18" s="2">
        <v>298224.00309681537</v>
      </c>
      <c r="C18" s="2">
        <v>2841.9648764869253</v>
      </c>
      <c r="D18" s="62"/>
      <c r="E18" s="98" t="s">
        <v>132</v>
      </c>
      <c r="F18" s="5"/>
      <c r="G18" s="88"/>
      <c r="H18" s="88"/>
      <c r="I18" s="5"/>
      <c r="J18" s="88"/>
      <c r="K18" s="88"/>
      <c r="L18" s="5"/>
      <c r="M18" s="5"/>
      <c r="N18" s="5"/>
      <c r="O18" s="5"/>
      <c r="P18" s="5"/>
      <c r="Q18" s="5"/>
      <c r="R18" s="5"/>
      <c r="S18" s="5"/>
    </row>
    <row r="19" spans="1:19" ht="15.6" x14ac:dyDescent="0.3">
      <c r="A19" s="84" t="str">
        <f>LEFT(A18,4)+1&amp;"–"&amp;RIGHT(A18,4)+5</f>
        <v>2028–2033</v>
      </c>
      <c r="B19" s="2">
        <v>152583.87833064873</v>
      </c>
      <c r="C19" s="2">
        <v>400.78291962865831</v>
      </c>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3">
      <c r="A20" s="84" t="str">
        <f t="shared" ref="A20:A37" si="0">LEFT(A19,4)+5&amp;"–"&amp;RIGHT(A19,4)+5</f>
        <v>2033–2038</v>
      </c>
      <c r="B20" s="2"/>
      <c r="C20" s="2"/>
      <c r="D20" s="62"/>
      <c r="E20" s="98" t="s">
        <v>1884</v>
      </c>
      <c r="F20" s="5"/>
      <c r="G20" s="88"/>
      <c r="H20" s="88"/>
      <c r="I20" s="5"/>
      <c r="J20" s="5"/>
      <c r="K20" s="5"/>
      <c r="L20" s="5"/>
      <c r="M20" s="5"/>
      <c r="N20" s="5"/>
      <c r="O20" s="5"/>
      <c r="P20" s="5"/>
      <c r="Q20" s="5"/>
      <c r="R20" s="5"/>
      <c r="S20" s="5"/>
    </row>
    <row r="21" spans="1:19" x14ac:dyDescent="0.25">
      <c r="A21" s="84" t="str">
        <f t="shared" si="0"/>
        <v>2038–2043</v>
      </c>
      <c r="B21" s="2"/>
      <c r="C21" s="2"/>
      <c r="D21" s="62"/>
      <c r="E21" s="274"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5">
      <c r="A22" s="84" t="str">
        <f t="shared" si="0"/>
        <v>2043–2048</v>
      </c>
      <c r="B22" s="2"/>
      <c r="C22" s="2"/>
      <c r="D22" s="62"/>
      <c r="E22" s="274"/>
      <c r="G22" s="22"/>
      <c r="H22" s="22"/>
    </row>
    <row r="23" spans="1:19" x14ac:dyDescent="0.25">
      <c r="A23" s="84" t="str">
        <f t="shared" si="0"/>
        <v>2048–2053</v>
      </c>
      <c r="B23" s="2"/>
      <c r="C23" s="2"/>
      <c r="D23" s="62"/>
      <c r="E23" s="98" t="s">
        <v>131</v>
      </c>
      <c r="G23" s="22"/>
      <c r="H23" s="22"/>
    </row>
    <row r="24" spans="1:19" x14ac:dyDescent="0.25">
      <c r="A24" s="84" t="str">
        <f t="shared" si="0"/>
        <v>2053–2058</v>
      </c>
      <c r="B24" s="2"/>
      <c r="C24" s="2"/>
      <c r="D24" s="62"/>
      <c r="E24" s="59"/>
      <c r="G24" s="22"/>
    </row>
    <row r="25" spans="1:19" x14ac:dyDescent="0.25">
      <c r="A25" s="84" t="str">
        <f t="shared" si="0"/>
        <v>2058–2063</v>
      </c>
      <c r="B25" s="2"/>
      <c r="C25" s="2"/>
      <c r="D25" s="62"/>
      <c r="E25" s="59"/>
    </row>
    <row r="26" spans="1:19" ht="15.6" x14ac:dyDescent="0.3">
      <c r="A26" s="84" t="str">
        <f t="shared" si="0"/>
        <v>2063–2068</v>
      </c>
      <c r="B26" s="2"/>
      <c r="C26" s="2"/>
      <c r="D26" s="62"/>
      <c r="E26" s="5"/>
      <c r="F26" s="5"/>
      <c r="G26" s="5"/>
      <c r="H26" s="5"/>
      <c r="I26" s="5"/>
      <c r="J26" s="5"/>
      <c r="K26" s="5"/>
      <c r="L26" s="5"/>
      <c r="M26" s="5"/>
      <c r="N26" s="5"/>
      <c r="O26" s="5"/>
      <c r="P26" s="5"/>
      <c r="Q26" s="5"/>
      <c r="R26" s="5"/>
      <c r="S26" s="5"/>
    </row>
    <row r="27" spans="1:19" ht="15.6" x14ac:dyDescent="0.3">
      <c r="A27" s="84" t="str">
        <f t="shared" si="0"/>
        <v>2068–2073</v>
      </c>
      <c r="B27" s="2"/>
      <c r="C27" s="2"/>
      <c r="D27" s="62"/>
      <c r="E27" s="5"/>
      <c r="F27" s="5"/>
      <c r="G27" s="5"/>
      <c r="H27" s="5"/>
      <c r="I27" s="5"/>
      <c r="J27" s="5"/>
      <c r="K27" s="5"/>
      <c r="L27" s="5"/>
      <c r="M27" s="5"/>
      <c r="N27" s="5"/>
      <c r="O27" s="5"/>
      <c r="P27" s="5"/>
      <c r="Q27" s="5"/>
      <c r="R27" s="5"/>
      <c r="S27" s="5"/>
    </row>
    <row r="28" spans="1:19" x14ac:dyDescent="0.25">
      <c r="A28" s="84" t="str">
        <f t="shared" si="0"/>
        <v>2073–2078</v>
      </c>
      <c r="B28" s="2"/>
      <c r="C28" s="2"/>
      <c r="D28" s="62"/>
      <c r="E28" s="11"/>
    </row>
    <row r="29" spans="1:19" x14ac:dyDescent="0.25">
      <c r="A29" s="84" t="str">
        <f t="shared" si="0"/>
        <v>2078–2083</v>
      </c>
      <c r="B29" s="2"/>
      <c r="C29" s="2"/>
      <c r="D29" s="62"/>
      <c r="E29" s="80"/>
    </row>
    <row r="30" spans="1:19" x14ac:dyDescent="0.25">
      <c r="A30" s="84" t="str">
        <f t="shared" si="0"/>
        <v>2083–2088</v>
      </c>
      <c r="B30" s="2"/>
      <c r="C30" s="2"/>
      <c r="D30" s="62"/>
      <c r="E30" s="7"/>
      <c r="F30" s="55"/>
      <c r="G30" s="55"/>
      <c r="H30" s="55"/>
      <c r="I30" s="55"/>
      <c r="J30" s="55"/>
      <c r="K30" s="55"/>
      <c r="L30" s="55"/>
      <c r="M30" s="55"/>
      <c r="N30" s="55"/>
      <c r="O30" s="55"/>
      <c r="P30" s="55"/>
    </row>
    <row r="31" spans="1:19" x14ac:dyDescent="0.25">
      <c r="A31" s="84" t="str">
        <f t="shared" si="0"/>
        <v>2088–2093</v>
      </c>
      <c r="B31" s="2"/>
      <c r="C31" s="2"/>
      <c r="D31" s="62"/>
      <c r="E31" s="7"/>
      <c r="F31" s="55"/>
      <c r="G31" s="55"/>
      <c r="H31" s="55"/>
      <c r="I31" s="55"/>
      <c r="J31" s="55"/>
      <c r="K31" s="55"/>
      <c r="L31" s="55"/>
      <c r="M31" s="55"/>
      <c r="N31" s="55"/>
      <c r="O31" s="55"/>
      <c r="P31" s="55"/>
    </row>
    <row r="32" spans="1:19" x14ac:dyDescent="0.25">
      <c r="A32" s="84" t="str">
        <f t="shared" si="0"/>
        <v>2093–2098</v>
      </c>
      <c r="B32" s="2"/>
      <c r="C32" s="2"/>
      <c r="D32" s="62"/>
      <c r="E32" s="7"/>
      <c r="F32" s="7"/>
      <c r="G32" s="7"/>
      <c r="H32" s="7"/>
      <c r="I32" s="7"/>
      <c r="J32" s="7"/>
      <c r="K32" s="7"/>
      <c r="L32" s="7"/>
      <c r="M32" s="7"/>
      <c r="N32" s="7"/>
      <c r="O32" s="7"/>
      <c r="P32" s="7"/>
      <c r="Q32" s="7"/>
      <c r="R32" s="7"/>
      <c r="S32" s="7"/>
    </row>
    <row r="33" spans="1:19" x14ac:dyDescent="0.25">
      <c r="A33" s="84" t="str">
        <f t="shared" si="0"/>
        <v>2098–2103</v>
      </c>
      <c r="B33" s="2"/>
      <c r="C33" s="2"/>
      <c r="D33" s="62"/>
      <c r="E33" s="7"/>
      <c r="F33" s="7"/>
      <c r="G33" s="7"/>
      <c r="H33" s="7"/>
      <c r="I33" s="7"/>
      <c r="J33" s="7"/>
      <c r="K33" s="7"/>
      <c r="L33" s="7"/>
      <c r="M33" s="7"/>
      <c r="N33" s="7"/>
      <c r="O33" s="7"/>
      <c r="P33" s="7"/>
      <c r="Q33" s="7"/>
      <c r="R33" s="7"/>
      <c r="S33" s="7"/>
    </row>
    <row r="34" spans="1:19" x14ac:dyDescent="0.25">
      <c r="A34" s="84" t="str">
        <f t="shared" si="0"/>
        <v>2103–2108</v>
      </c>
      <c r="B34" s="2"/>
      <c r="C34" s="2"/>
      <c r="D34" s="62"/>
    </row>
    <row r="35" spans="1:19" x14ac:dyDescent="0.25">
      <c r="A35" s="84" t="str">
        <f t="shared" si="0"/>
        <v>2108–2113</v>
      </c>
      <c r="B35" s="2"/>
      <c r="C35" s="2"/>
      <c r="D35" s="62"/>
    </row>
    <row r="36" spans="1:19" x14ac:dyDescent="0.25">
      <c r="A36" s="84" t="str">
        <f t="shared" si="0"/>
        <v>2113–2118</v>
      </c>
      <c r="B36" s="2"/>
      <c r="C36" s="2"/>
      <c r="D36" s="62"/>
    </row>
    <row r="37" spans="1:19" x14ac:dyDescent="0.25">
      <c r="A37" s="84" t="str">
        <f t="shared" si="0"/>
        <v>2118–2123</v>
      </c>
      <c r="B37" s="2"/>
      <c r="C37" s="2"/>
      <c r="D37" s="62"/>
      <c r="F37" s="89"/>
      <c r="G37" s="89"/>
      <c r="H37" s="89"/>
      <c r="I37" s="89"/>
    </row>
    <row r="38" spans="1:19" x14ac:dyDescent="0.25">
      <c r="E38" s="90"/>
      <c r="F38" s="89"/>
      <c r="G38" s="89"/>
      <c r="H38" s="89"/>
      <c r="I38" s="89"/>
    </row>
    <row r="39" spans="1:19" ht="21" x14ac:dyDescent="0.4">
      <c r="A39" s="152" t="s">
        <v>143</v>
      </c>
      <c r="F39" s="89"/>
      <c r="G39" s="89"/>
      <c r="H39" s="89"/>
      <c r="I39" s="89"/>
    </row>
    <row r="40" spans="1:19" ht="15.6" x14ac:dyDescent="0.3">
      <c r="A40" s="12" t="s">
        <v>13</v>
      </c>
      <c r="B40" s="278" t="str">
        <f>B9</f>
        <v>2022–2023</v>
      </c>
      <c r="C40" s="278"/>
      <c r="D40" s="20"/>
      <c r="F40" s="89"/>
      <c r="G40" s="89"/>
      <c r="H40" s="89"/>
      <c r="I40" s="89"/>
    </row>
    <row r="41" spans="1:19" ht="15.6" x14ac:dyDescent="0.3">
      <c r="A41" s="12" t="s">
        <v>210</v>
      </c>
      <c r="B41" s="280" t="str">
        <f>B10</f>
        <v>0250</v>
      </c>
      <c r="C41" s="280"/>
      <c r="D41" s="91"/>
    </row>
    <row r="42" spans="1:19" ht="15.6" x14ac:dyDescent="0.3">
      <c r="A42" s="12" t="s">
        <v>209</v>
      </c>
      <c r="B42" s="278" t="str">
        <f>B11</f>
        <v>Judicial Council of California</v>
      </c>
      <c r="C42" s="278"/>
      <c r="D42" s="55"/>
    </row>
    <row r="43" spans="1:19" ht="30" customHeight="1" x14ac:dyDescent="0.3">
      <c r="A43" s="297" t="s">
        <v>10</v>
      </c>
      <c r="B43" s="297"/>
      <c r="C43" s="297"/>
      <c r="D43" s="83"/>
      <c r="F43" s="5"/>
      <c r="G43" s="5"/>
      <c r="H43" s="5"/>
      <c r="I43" s="5"/>
      <c r="J43" s="5"/>
      <c r="K43" s="5"/>
      <c r="L43" s="5"/>
      <c r="M43" s="5"/>
      <c r="N43" s="5"/>
      <c r="O43" s="5"/>
      <c r="P43" s="5"/>
      <c r="Q43" s="5"/>
      <c r="R43" s="5"/>
      <c r="S43" s="5"/>
    </row>
    <row r="44" spans="1:19" ht="15.6" x14ac:dyDescent="0.3">
      <c r="A44" s="84"/>
      <c r="B44" s="85" t="s">
        <v>129</v>
      </c>
      <c r="C44" s="85" t="s">
        <v>128</v>
      </c>
      <c r="D44" s="92"/>
      <c r="E44" s="57" t="str">
        <f>"All of this worksheet's questions are for Fiscal Year "&amp;$B$9&amp;":"</f>
        <v>All of this worksheet's questions are for Fiscal Year 2022–2023:</v>
      </c>
    </row>
    <row r="45" spans="1:19" ht="15" customHeight="1" x14ac:dyDescent="0.25">
      <c r="A45" s="84" t="str">
        <f>RIGHT(B40,4)&amp;"–"&amp;RIGHT(B40,4)+1</f>
        <v>2023–2024</v>
      </c>
      <c r="B45" s="2"/>
      <c r="C45" s="2"/>
      <c r="D45" s="62"/>
      <c r="E45" s="274" t="s">
        <v>219</v>
      </c>
    </row>
    <row r="46" spans="1:19" x14ac:dyDescent="0.25">
      <c r="A46" s="84" t="str">
        <f>LEFT(A45,4)+1&amp;"–"&amp;RIGHT(A45,4)+1</f>
        <v>2024–2025</v>
      </c>
      <c r="B46" s="2"/>
      <c r="C46" s="2"/>
      <c r="D46" s="62"/>
      <c r="E46" s="274"/>
    </row>
    <row r="47" spans="1:19" x14ac:dyDescent="0.25">
      <c r="A47" s="84" t="str">
        <f>LEFT(A46,4)+1&amp;"–"&amp;RIGHT(A46,4)+1</f>
        <v>2025–2026</v>
      </c>
      <c r="B47" s="2"/>
      <c r="C47" s="2"/>
      <c r="D47" s="62"/>
      <c r="E47" s="274"/>
    </row>
    <row r="48" spans="1:19" ht="15" customHeight="1" x14ac:dyDescent="0.25">
      <c r="A48" s="84" t="str">
        <f>LEFT(A47,4)+1&amp;"–"&amp;RIGHT(A47,4)+1</f>
        <v>2026–2027</v>
      </c>
      <c r="B48" s="2"/>
      <c r="C48" s="2"/>
      <c r="D48" s="87"/>
      <c r="E48" s="274"/>
    </row>
    <row r="49" spans="1:19" x14ac:dyDescent="0.25">
      <c r="A49" s="84" t="str">
        <f>LEFT(A48,4)+1&amp;"–"&amp;RIGHT(A48,4)+1</f>
        <v>2027–2028</v>
      </c>
      <c r="B49" s="2"/>
      <c r="C49" s="2"/>
      <c r="D49" s="87"/>
      <c r="E49" s="98"/>
    </row>
    <row r="50" spans="1:19" x14ac:dyDescent="0.25">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5">
      <c r="A51" s="84" t="str">
        <f t="shared" ref="A51:A68" si="1">LEFT(A50,4)+5&amp;"–"&amp;RIGHT(A50,4)+5</f>
        <v>2033–2038</v>
      </c>
      <c r="B51" s="2"/>
      <c r="C51" s="2"/>
      <c r="D51" s="62"/>
      <c r="E51" s="98"/>
    </row>
    <row r="52" spans="1:19" x14ac:dyDescent="0.25">
      <c r="A52" s="84" t="str">
        <f t="shared" si="1"/>
        <v>2038–2043</v>
      </c>
      <c r="B52" s="2"/>
      <c r="C52" s="2"/>
      <c r="D52" s="62"/>
      <c r="E52" s="274" t="str">
        <f>"2. Did you grant any lease incentives to the lessee during fiscal year "&amp;$B$9&amp;"? If so, record the amount below:"</f>
        <v>2. Did you grant any lease incentives to the lessee during fiscal year 2022–2023? If so, record the amount below:</v>
      </c>
    </row>
    <row r="53" spans="1:19" x14ac:dyDescent="0.25">
      <c r="A53" s="84" t="str">
        <f t="shared" si="1"/>
        <v>2043–2048</v>
      </c>
      <c r="B53" s="2"/>
      <c r="C53" s="2"/>
      <c r="D53" s="62"/>
      <c r="E53" s="274"/>
    </row>
    <row r="54" spans="1:19" ht="15" customHeight="1" x14ac:dyDescent="0.25">
      <c r="A54" s="84" t="str">
        <f t="shared" si="1"/>
        <v>2048–2053</v>
      </c>
      <c r="B54" s="2"/>
      <c r="C54" s="2"/>
      <c r="D54" s="62"/>
      <c r="E54" s="98"/>
    </row>
    <row r="55" spans="1:19" x14ac:dyDescent="0.25">
      <c r="A55" s="84" t="str">
        <f t="shared" si="1"/>
        <v>2053–2058</v>
      </c>
      <c r="B55" s="2"/>
      <c r="C55" s="2"/>
      <c r="D55" s="62"/>
      <c r="E55" s="59"/>
    </row>
    <row r="56" spans="1:19" x14ac:dyDescent="0.25">
      <c r="A56" s="84" t="str">
        <f t="shared" si="1"/>
        <v>2058–2063</v>
      </c>
      <c r="B56" s="2"/>
      <c r="C56" s="2"/>
      <c r="D56" s="62"/>
      <c r="E56" s="59"/>
    </row>
    <row r="57" spans="1:19" ht="15.6" x14ac:dyDescent="0.3">
      <c r="A57" s="84" t="str">
        <f t="shared" si="1"/>
        <v>2063–2068</v>
      </c>
      <c r="B57" s="2"/>
      <c r="C57" s="2"/>
      <c r="D57" s="62"/>
      <c r="E57" s="5"/>
    </row>
    <row r="58" spans="1:19" ht="15.6" x14ac:dyDescent="0.3">
      <c r="A58" s="84" t="str">
        <f t="shared" si="1"/>
        <v>2068–2073</v>
      </c>
      <c r="B58" s="2"/>
      <c r="C58" s="2"/>
      <c r="D58" s="62"/>
      <c r="E58" s="5"/>
      <c r="F58" s="93"/>
      <c r="G58" s="93"/>
      <c r="H58" s="20"/>
      <c r="I58" s="20"/>
      <c r="J58" s="20"/>
      <c r="K58" s="20"/>
      <c r="L58" s="20"/>
      <c r="M58" s="20"/>
      <c r="N58" s="20"/>
      <c r="O58" s="20"/>
      <c r="P58" s="20"/>
      <c r="Q58" s="20"/>
      <c r="R58" s="20"/>
      <c r="S58" s="20"/>
    </row>
    <row r="59" spans="1:19" x14ac:dyDescent="0.25">
      <c r="A59" s="84" t="str">
        <f t="shared" si="1"/>
        <v>2073–2078</v>
      </c>
      <c r="B59" s="2"/>
      <c r="C59" s="2"/>
      <c r="D59" s="62"/>
      <c r="E59" s="11"/>
      <c r="F59" s="20"/>
      <c r="G59" s="20"/>
      <c r="H59" s="20"/>
      <c r="I59" s="20"/>
      <c r="J59" s="20"/>
      <c r="K59" s="20"/>
      <c r="L59" s="20"/>
      <c r="M59" s="20"/>
      <c r="N59" s="20"/>
      <c r="O59" s="20"/>
      <c r="P59" s="20"/>
      <c r="Q59" s="20"/>
      <c r="R59" s="20"/>
      <c r="S59" s="20"/>
    </row>
    <row r="60" spans="1:19" x14ac:dyDescent="0.25">
      <c r="A60" s="84" t="str">
        <f t="shared" si="1"/>
        <v>2078–2083</v>
      </c>
      <c r="B60" s="2"/>
      <c r="C60" s="2"/>
      <c r="D60" s="62"/>
      <c r="F60" s="20"/>
      <c r="G60" s="20"/>
      <c r="H60" s="20"/>
      <c r="I60" s="20"/>
      <c r="J60" s="20"/>
      <c r="K60" s="20"/>
      <c r="L60" s="20"/>
      <c r="M60" s="20"/>
      <c r="N60" s="20"/>
      <c r="O60" s="20"/>
      <c r="P60" s="20"/>
      <c r="Q60" s="20"/>
      <c r="R60" s="20"/>
      <c r="S60" s="20"/>
    </row>
    <row r="61" spans="1:19" ht="15.6" x14ac:dyDescent="0.3">
      <c r="A61" s="84" t="str">
        <f t="shared" si="1"/>
        <v>2083–2088</v>
      </c>
      <c r="B61" s="2"/>
      <c r="C61" s="2"/>
      <c r="D61" s="62"/>
      <c r="F61" s="6"/>
      <c r="G61" s="6"/>
      <c r="H61" s="6"/>
      <c r="I61" s="6"/>
      <c r="J61" s="6"/>
      <c r="K61" s="6"/>
      <c r="L61" s="6"/>
      <c r="M61" s="6"/>
      <c r="N61" s="6"/>
      <c r="O61" s="6"/>
      <c r="P61" s="6"/>
      <c r="Q61" s="6"/>
      <c r="R61" s="6"/>
      <c r="S61" s="6"/>
    </row>
    <row r="62" spans="1:19" x14ac:dyDescent="0.25">
      <c r="A62" s="84" t="str">
        <f t="shared" si="1"/>
        <v>2088–2093</v>
      </c>
      <c r="B62" s="2"/>
      <c r="C62" s="2"/>
      <c r="D62" s="62"/>
    </row>
    <row r="63" spans="1:19" ht="15.6" x14ac:dyDescent="0.3">
      <c r="A63" s="84" t="str">
        <f t="shared" si="1"/>
        <v>2093–2098</v>
      </c>
      <c r="B63" s="2"/>
      <c r="C63" s="2"/>
      <c r="D63" s="62"/>
      <c r="E63" s="12"/>
    </row>
    <row r="64" spans="1:19" ht="15.6" x14ac:dyDescent="0.3">
      <c r="A64" s="84" t="str">
        <f t="shared" si="1"/>
        <v>2098–2103</v>
      </c>
      <c r="B64" s="2"/>
      <c r="C64" s="2"/>
      <c r="D64" s="62"/>
      <c r="E64" s="12"/>
    </row>
    <row r="65" spans="1:19" ht="15.6" x14ac:dyDescent="0.3">
      <c r="A65" s="84" t="str">
        <f t="shared" si="1"/>
        <v>2103–2108</v>
      </c>
      <c r="B65" s="2"/>
      <c r="C65" s="2"/>
      <c r="D65" s="62"/>
      <c r="E65" s="12"/>
    </row>
    <row r="66" spans="1:19" x14ac:dyDescent="0.25">
      <c r="A66" s="84" t="str">
        <f t="shared" si="1"/>
        <v>2108–2113</v>
      </c>
      <c r="B66" s="2"/>
      <c r="C66" s="2"/>
      <c r="D66" s="62"/>
    </row>
    <row r="67" spans="1:19" x14ac:dyDescent="0.25">
      <c r="A67" s="84" t="str">
        <f t="shared" si="1"/>
        <v>2113–2118</v>
      </c>
      <c r="B67" s="2"/>
      <c r="C67" s="2"/>
      <c r="D67" s="62"/>
    </row>
    <row r="68" spans="1:19" x14ac:dyDescent="0.25">
      <c r="A68" s="84" t="str">
        <f t="shared" si="1"/>
        <v>2118–2123</v>
      </c>
      <c r="B68" s="2"/>
      <c r="C68" s="2"/>
      <c r="D68" s="62"/>
    </row>
    <row r="69" spans="1:19" x14ac:dyDescent="0.25">
      <c r="E69" s="90"/>
    </row>
    <row r="70" spans="1:19" ht="21" x14ac:dyDescent="0.4">
      <c r="A70" s="152" t="s">
        <v>149</v>
      </c>
    </row>
    <row r="71" spans="1:19" ht="15.6" x14ac:dyDescent="0.3">
      <c r="A71" s="12" t="s">
        <v>13</v>
      </c>
      <c r="B71" s="278" t="str">
        <f>B40</f>
        <v>2022–2023</v>
      </c>
      <c r="C71" s="278"/>
      <c r="D71" s="20"/>
    </row>
    <row r="72" spans="1:19" ht="15.6" x14ac:dyDescent="0.3">
      <c r="A72" s="12" t="s">
        <v>210</v>
      </c>
      <c r="B72" s="280" t="str">
        <f>B41</f>
        <v>0250</v>
      </c>
      <c r="C72" s="280"/>
      <c r="D72" s="91"/>
    </row>
    <row r="73" spans="1:19" ht="15.6" x14ac:dyDescent="0.3">
      <c r="A73" s="12" t="s">
        <v>209</v>
      </c>
      <c r="B73" s="278" t="str">
        <f>B42</f>
        <v>Judicial Council of California</v>
      </c>
      <c r="C73" s="278"/>
      <c r="D73" s="55"/>
    </row>
    <row r="74" spans="1:19" ht="30" customHeight="1" x14ac:dyDescent="0.3">
      <c r="A74" s="297" t="s">
        <v>10</v>
      </c>
      <c r="B74" s="297"/>
      <c r="C74" s="297"/>
      <c r="D74" s="83"/>
      <c r="F74" s="5"/>
      <c r="G74" s="5"/>
      <c r="H74" s="5"/>
      <c r="I74" s="5"/>
      <c r="J74" s="5"/>
      <c r="K74" s="5"/>
      <c r="L74" s="5"/>
      <c r="M74" s="5"/>
      <c r="N74" s="5"/>
      <c r="O74" s="5"/>
      <c r="P74" s="5"/>
      <c r="Q74" s="5"/>
      <c r="R74" s="5"/>
      <c r="S74" s="5"/>
    </row>
    <row r="75" spans="1:19" ht="15.6" x14ac:dyDescent="0.3">
      <c r="A75" s="84"/>
      <c r="B75" s="85" t="s">
        <v>129</v>
      </c>
      <c r="C75" s="85" t="s">
        <v>128</v>
      </c>
      <c r="D75" s="92"/>
      <c r="E75" s="57" t="str">
        <f>"All of this worksheet's questions are for Fiscal Year "&amp;$B$9&amp;":"</f>
        <v>All of this worksheet's questions are for Fiscal Year 2022–2023:</v>
      </c>
    </row>
    <row r="76" spans="1:19" ht="15" customHeight="1" x14ac:dyDescent="0.25">
      <c r="A76" s="84" t="str">
        <f>RIGHT(B71,4)&amp;"–"&amp;RIGHT(B71,4)+1</f>
        <v>2023–2024</v>
      </c>
      <c r="B76" s="2"/>
      <c r="C76" s="2"/>
      <c r="D76" s="62"/>
      <c r="E76" s="274" t="s">
        <v>219</v>
      </c>
    </row>
    <row r="77" spans="1:19" x14ac:dyDescent="0.25">
      <c r="A77" s="84" t="str">
        <f>LEFT(A76,4)+1&amp;"–"&amp;RIGHT(A76,4)+1</f>
        <v>2024–2025</v>
      </c>
      <c r="B77" s="2"/>
      <c r="C77" s="2"/>
      <c r="D77" s="62"/>
      <c r="E77" s="274"/>
    </row>
    <row r="78" spans="1:19" x14ac:dyDescent="0.25">
      <c r="A78" s="84" t="str">
        <f>LEFT(A77,4)+1&amp;"–"&amp;RIGHT(A77,4)+1</f>
        <v>2025–2026</v>
      </c>
      <c r="B78" s="2"/>
      <c r="C78" s="2"/>
      <c r="D78" s="62"/>
      <c r="E78" s="274"/>
    </row>
    <row r="79" spans="1:19" x14ac:dyDescent="0.25">
      <c r="A79" s="84" t="str">
        <f>LEFT(A78,4)+1&amp;"–"&amp;RIGHT(A78,4)+1</f>
        <v>2026–2027</v>
      </c>
      <c r="B79" s="2"/>
      <c r="C79" s="2"/>
      <c r="D79" s="87"/>
      <c r="E79" s="274"/>
    </row>
    <row r="80" spans="1:19" x14ac:dyDescent="0.25">
      <c r="A80" s="84" t="str">
        <f>LEFT(A79,4)+1&amp;"–"&amp;RIGHT(A79,4)+1</f>
        <v>2027–2028</v>
      </c>
      <c r="B80" s="2"/>
      <c r="C80" s="2"/>
      <c r="D80" s="87"/>
      <c r="E80" s="98"/>
    </row>
    <row r="81" spans="1:5" x14ac:dyDescent="0.25">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5">
      <c r="A82" s="84" t="str">
        <f t="shared" ref="A82:A99" si="2">LEFT(A81,4)+5&amp;"–"&amp;RIGHT(A81,4)+5</f>
        <v>2033–2038</v>
      </c>
      <c r="B82" s="2"/>
      <c r="C82" s="2"/>
      <c r="D82" s="62"/>
      <c r="E82" s="98"/>
    </row>
    <row r="83" spans="1:5" x14ac:dyDescent="0.25">
      <c r="A83" s="84" t="str">
        <f t="shared" si="2"/>
        <v>2038–2043</v>
      </c>
      <c r="B83" s="2"/>
      <c r="C83" s="2"/>
      <c r="D83" s="62"/>
      <c r="E83" s="274" t="str">
        <f>"2. Did you grant any lease incentives to the lessee during fiscal year "&amp;$B$9&amp;"? If so, record the amount below:"</f>
        <v>2. Did you grant any lease incentives to the lessee during fiscal year 2022–2023? If so, record the amount below:</v>
      </c>
    </row>
    <row r="84" spans="1:5" x14ac:dyDescent="0.25">
      <c r="A84" s="84" t="str">
        <f t="shared" si="2"/>
        <v>2043–2048</v>
      </c>
      <c r="B84" s="2"/>
      <c r="C84" s="2"/>
      <c r="D84" s="62"/>
      <c r="E84" s="274"/>
    </row>
    <row r="85" spans="1:5" ht="15" customHeight="1" x14ac:dyDescent="0.25">
      <c r="A85" s="84" t="str">
        <f t="shared" si="2"/>
        <v>2048–2053</v>
      </c>
      <c r="B85" s="2"/>
      <c r="C85" s="2"/>
      <c r="D85" s="62"/>
      <c r="E85" s="98"/>
    </row>
    <row r="86" spans="1:5" x14ac:dyDescent="0.25">
      <c r="A86" s="84" t="str">
        <f t="shared" si="2"/>
        <v>2053–2058</v>
      </c>
      <c r="B86" s="2"/>
      <c r="C86" s="2"/>
      <c r="D86" s="62"/>
      <c r="E86" s="59"/>
    </row>
    <row r="87" spans="1:5" x14ac:dyDescent="0.25">
      <c r="A87" s="84" t="str">
        <f t="shared" si="2"/>
        <v>2058–2063</v>
      </c>
      <c r="B87" s="2"/>
      <c r="C87" s="2"/>
      <c r="D87" s="62"/>
      <c r="E87" s="59"/>
    </row>
    <row r="88" spans="1:5" ht="15.6" x14ac:dyDescent="0.3">
      <c r="A88" s="84" t="str">
        <f t="shared" si="2"/>
        <v>2063–2068</v>
      </c>
      <c r="B88" s="2"/>
      <c r="C88" s="2"/>
      <c r="D88" s="62"/>
      <c r="E88" s="5"/>
    </row>
    <row r="89" spans="1:5" ht="15.6" x14ac:dyDescent="0.3">
      <c r="A89" s="84" t="str">
        <f t="shared" si="2"/>
        <v>2068–2073</v>
      </c>
      <c r="B89" s="2"/>
      <c r="C89" s="2"/>
      <c r="D89" s="62"/>
      <c r="E89" s="5"/>
    </row>
    <row r="90" spans="1:5" x14ac:dyDescent="0.25">
      <c r="A90" s="84" t="str">
        <f t="shared" si="2"/>
        <v>2073–2078</v>
      </c>
      <c r="B90" s="2"/>
      <c r="C90" s="2"/>
      <c r="D90" s="62"/>
      <c r="E90" s="11"/>
    </row>
    <row r="91" spans="1:5" x14ac:dyDescent="0.25">
      <c r="A91" s="84" t="str">
        <f t="shared" si="2"/>
        <v>2078–2083</v>
      </c>
      <c r="B91" s="2"/>
      <c r="C91" s="2"/>
      <c r="D91" s="62"/>
    </row>
    <row r="92" spans="1:5" x14ac:dyDescent="0.25">
      <c r="A92" s="84" t="str">
        <f t="shared" si="2"/>
        <v>2083–2088</v>
      </c>
      <c r="B92" s="2"/>
      <c r="C92" s="2"/>
      <c r="D92" s="62"/>
    </row>
    <row r="93" spans="1:5" x14ac:dyDescent="0.25">
      <c r="A93" s="84" t="str">
        <f t="shared" si="2"/>
        <v>2088–2093</v>
      </c>
      <c r="B93" s="2"/>
      <c r="C93" s="2"/>
      <c r="D93" s="62"/>
    </row>
    <row r="94" spans="1:5" ht="15.6" x14ac:dyDescent="0.3">
      <c r="A94" s="84" t="str">
        <f t="shared" si="2"/>
        <v>2093–2098</v>
      </c>
      <c r="B94" s="2"/>
      <c r="C94" s="2"/>
      <c r="D94" s="62"/>
      <c r="E94" s="12"/>
    </row>
    <row r="95" spans="1:5" ht="15.6" x14ac:dyDescent="0.3">
      <c r="A95" s="84" t="str">
        <f t="shared" si="2"/>
        <v>2098–2103</v>
      </c>
      <c r="B95" s="2"/>
      <c r="C95" s="2"/>
      <c r="D95" s="62"/>
      <c r="E95" s="12"/>
    </row>
    <row r="96" spans="1:5" ht="15.6" x14ac:dyDescent="0.3">
      <c r="A96" s="84" t="str">
        <f t="shared" si="2"/>
        <v>2103–2108</v>
      </c>
      <c r="B96" s="2"/>
      <c r="C96" s="2"/>
      <c r="D96" s="62"/>
      <c r="E96" s="12"/>
    </row>
    <row r="97" spans="1:4" x14ac:dyDescent="0.25">
      <c r="A97" s="84" t="str">
        <f t="shared" si="2"/>
        <v>2108–2113</v>
      </c>
      <c r="B97" s="2"/>
      <c r="C97" s="2"/>
      <c r="D97" s="62"/>
    </row>
    <row r="98" spans="1:4" x14ac:dyDescent="0.25">
      <c r="A98" s="84" t="str">
        <f t="shared" si="2"/>
        <v>2113–2118</v>
      </c>
      <c r="B98" s="2"/>
      <c r="C98" s="2"/>
      <c r="D98" s="62"/>
    </row>
    <row r="99" spans="1:4" x14ac:dyDescent="0.25">
      <c r="A99" s="84" t="str">
        <f t="shared" si="2"/>
        <v>2118–2123</v>
      </c>
      <c r="B99" s="2"/>
      <c r="C99" s="2"/>
      <c r="D99" s="62"/>
    </row>
    <row r="100" spans="1:4" x14ac:dyDescent="0.25">
      <c r="A100" s="20"/>
      <c r="B100" s="20"/>
      <c r="C100" s="20"/>
      <c r="D100" s="20"/>
    </row>
    <row r="101" spans="1:4" x14ac:dyDescent="0.25">
      <c r="A101" s="94"/>
      <c r="B101" s="94"/>
      <c r="C101" s="94"/>
      <c r="D101" s="94"/>
    </row>
    <row r="102" spans="1:4" x14ac:dyDescent="0.25">
      <c r="A102" s="60"/>
    </row>
    <row r="103" spans="1:4" x14ac:dyDescent="0.25">
      <c r="A103" s="60"/>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activeCell="B16" sqref="B16"/>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1674</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8" t="s">
        <v>1675</v>
      </c>
      <c r="B5" s="288"/>
      <c r="C5" s="288"/>
      <c r="D5" s="288"/>
      <c r="E5" s="288"/>
      <c r="F5" s="288"/>
      <c r="G5" s="288"/>
      <c r="H5" s="288"/>
      <c r="I5" s="288"/>
      <c r="J5" s="288"/>
      <c r="K5" s="288"/>
      <c r="L5" s="288"/>
      <c r="M5" s="288"/>
      <c r="N5" s="288"/>
      <c r="O5" s="288"/>
      <c r="P5" s="288"/>
      <c r="Q5" s="288"/>
    </row>
    <row r="6" spans="1:17" ht="15" customHeight="1" x14ac:dyDescent="0.3">
      <c r="A6" s="288"/>
      <c r="B6" s="288"/>
      <c r="C6" s="288"/>
      <c r="D6" s="288"/>
      <c r="E6" s="288"/>
      <c r="F6" s="288"/>
      <c r="G6" s="288"/>
      <c r="H6" s="288"/>
      <c r="I6" s="288"/>
      <c r="J6" s="288"/>
      <c r="K6" s="288"/>
      <c r="L6" s="288"/>
      <c r="M6" s="288"/>
      <c r="N6" s="288"/>
      <c r="O6" s="288"/>
      <c r="P6" s="288"/>
      <c r="Q6" s="288"/>
    </row>
    <row r="7" spans="1:17" x14ac:dyDescent="0.3">
      <c r="A7" s="288"/>
      <c r="B7" s="288"/>
      <c r="C7" s="288"/>
      <c r="D7" s="288"/>
      <c r="E7" s="288"/>
      <c r="F7" s="288"/>
      <c r="G7" s="288"/>
      <c r="H7" s="288"/>
      <c r="I7" s="288"/>
      <c r="J7" s="288"/>
      <c r="K7" s="288"/>
      <c r="L7" s="288"/>
      <c r="M7" s="288"/>
      <c r="N7" s="288"/>
      <c r="O7" s="288"/>
      <c r="P7" s="288"/>
      <c r="Q7" s="288"/>
    </row>
    <row r="8" spans="1:17" ht="15" customHeight="1" x14ac:dyDescent="0.3">
      <c r="A8" s="289" t="s">
        <v>1660</v>
      </c>
      <c r="B8" s="289"/>
      <c r="C8" s="289"/>
      <c r="D8" s="289"/>
      <c r="E8" s="289"/>
      <c r="F8" s="289"/>
      <c r="G8" s="289"/>
      <c r="H8" s="289"/>
      <c r="I8" s="289"/>
      <c r="J8" s="289"/>
      <c r="K8" s="289"/>
      <c r="L8" s="289"/>
      <c r="M8" s="289"/>
      <c r="N8" s="289"/>
      <c r="O8" s="289"/>
      <c r="P8" s="289"/>
      <c r="Q8" s="289"/>
    </row>
    <row r="9" spans="1:17" x14ac:dyDescent="0.3">
      <c r="A9" s="289"/>
      <c r="B9" s="289"/>
      <c r="C9" s="289"/>
      <c r="D9" s="289"/>
      <c r="E9" s="289"/>
      <c r="F9" s="289"/>
      <c r="G9" s="289"/>
      <c r="H9" s="289"/>
      <c r="I9" s="289"/>
      <c r="J9" s="289"/>
      <c r="K9" s="289"/>
      <c r="L9" s="289"/>
      <c r="M9" s="289"/>
      <c r="N9" s="289"/>
      <c r="O9" s="289"/>
      <c r="P9" s="289"/>
      <c r="Q9" s="289"/>
    </row>
    <row r="10" spans="1:17" x14ac:dyDescent="0.3">
      <c r="A10" s="117" t="s">
        <v>1676</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90" t="s">
        <v>153</v>
      </c>
      <c r="C13" s="290"/>
      <c r="D13" s="290"/>
      <c r="E13" s="290"/>
      <c r="F13" s="290"/>
      <c r="G13" s="290"/>
      <c r="H13" s="290"/>
      <c r="I13" s="290"/>
      <c r="J13" s="290"/>
      <c r="K13" s="290"/>
      <c r="L13" s="290"/>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3">
      <c r="A16" s="129"/>
      <c r="B16" s="130">
        <f>IF('LR-Fund 3037 Journal Entries'!$E$8="Governmental Fund",'LR-Fund 3037 Journal Entries'!$J$14,0)+IF('LR-Fund 3066 Journal Entries'!$E$8="Governmental Fund",'LR-Fund 3066 Journal Entries'!$J$14,0)</f>
        <v>3053319</v>
      </c>
      <c r="C16" s="168" t="s">
        <v>156</v>
      </c>
      <c r="D16" s="130">
        <f>IF('LR-Fund 3037 Journal Entries'!$E$8="Governmental Fund",'LR-Fund 3037 Journal Entries'!$J$24,0)</f>
        <v>0</v>
      </c>
      <c r="E16" s="170" t="s">
        <v>157</v>
      </c>
      <c r="F16" s="130">
        <f>IF('LR-Fund 3037 Journal Entries'!$E$8="Governmental Fund",'LR-Fund 3037 Journal Entries'!$K$31,0)+IF('LR-Fund 3066 Journal Entries'!$E$8="Governmental Fund",'LR-Fund 3066 Journal Entries'!$K$31,0)</f>
        <v>1107174.5832735165</v>
      </c>
      <c r="G16" s="169" t="s">
        <v>157</v>
      </c>
      <c r="H16" s="130">
        <f>IF('LR-Fund 3037 Journal Entries'!$E$8="Governmental Fund",'LR-Fund 3037 Journal Entries'!$K$52,0)</f>
        <v>0</v>
      </c>
      <c r="I16" s="169" t="s">
        <v>156</v>
      </c>
      <c r="J16" s="130">
        <f>IF('LR-Fund 3037 Journal Entries'!$E$8="Governmental Fund",'LR-Fund 3037 Journal Entries'!$J$58,0)</f>
        <v>0</v>
      </c>
      <c r="K16" s="170" t="s">
        <v>160</v>
      </c>
      <c r="L16" s="133">
        <f>+B16+D16-F16-H16+J16</f>
        <v>1946144.4167264835</v>
      </c>
      <c r="M16" s="132"/>
      <c r="N16" s="134">
        <f>SUM('LR-Department Note Disclosure'!B14:B37)</f>
        <v>1946143.9961014329</v>
      </c>
      <c r="O16" s="131"/>
      <c r="P16" s="135">
        <f>L16-N16</f>
        <v>0.42062505055218935</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90" t="s">
        <v>153</v>
      </c>
      <c r="C21" s="290"/>
      <c r="D21" s="290"/>
      <c r="E21" s="290"/>
      <c r="F21" s="290"/>
      <c r="G21" s="290"/>
      <c r="H21" s="290"/>
      <c r="I21" s="290"/>
      <c r="J21" s="290"/>
      <c r="K21" s="290"/>
      <c r="L21" s="290"/>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3">
      <c r="A24" s="129"/>
      <c r="B24" s="130">
        <f>IF('LR-Fund 3037 Journal Entries'!$E$8="Proprietary - Internal Service Fund",'LR-Fund 3037 Journal Entries'!$J$14,0)</f>
        <v>0</v>
      </c>
      <c r="C24" s="168" t="s">
        <v>156</v>
      </c>
      <c r="D24" s="130">
        <f>IF('LR-Fund 3037 Journal Entries'!$E$8="Proprietary - Internal Service Fund",'LR-Fund 3037 Journal Entries'!$J$24,0)</f>
        <v>0</v>
      </c>
      <c r="E24" s="170" t="s">
        <v>157</v>
      </c>
      <c r="F24" s="130">
        <f>IF('LR-Fund 3037 Journal Entries'!$E$8="Proprietary - Internal Service Fund",'LR-Fund 3037 Journal Entries'!$K$31,0)</f>
        <v>0</v>
      </c>
      <c r="G24" s="169" t="s">
        <v>157</v>
      </c>
      <c r="H24" s="130">
        <f>IF('LR-Fund 3037 Journal Entries'!$E$8="Proprietary - Internal Service Fund",'LR-Fund 3037 Journal Entries'!$K$52,0)</f>
        <v>0</v>
      </c>
      <c r="I24" s="169" t="s">
        <v>156</v>
      </c>
      <c r="J24" s="130">
        <f>IF('LR-Fund 3037 Journal Entries'!$E$8="Proprietary - Internal Service Fund",'LR-Fund 3037 Journal Entries'!$J$58,0)</f>
        <v>0</v>
      </c>
      <c r="K24" s="170" t="s">
        <v>160</v>
      </c>
      <c r="L24" s="133">
        <f>+B24+D24-F24-H24+J24</f>
        <v>0</v>
      </c>
      <c r="M24" s="132"/>
      <c r="N24" s="134">
        <f>SUM('LR-Department Note Disclosure'!B45:B68)</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90" t="s">
        <v>153</v>
      </c>
      <c r="C30" s="290"/>
      <c r="D30" s="290"/>
      <c r="E30" s="290"/>
      <c r="F30" s="290"/>
      <c r="G30" s="290"/>
      <c r="H30" s="290"/>
      <c r="I30" s="290"/>
      <c r="J30" s="290"/>
      <c r="K30" s="290"/>
      <c r="L30" s="290"/>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3">
      <c r="A33" s="129"/>
      <c r="B33" s="130">
        <f>IF('LR-Fund 3037 Journal Entries'!$E$8="Proprietary - Enterprise Fund",'LR-Fund 3037 Journal Entries'!$J$14,0)</f>
        <v>0</v>
      </c>
      <c r="C33" s="168" t="s">
        <v>156</v>
      </c>
      <c r="D33" s="130">
        <f>IF('LR-Fund 3037 Journal Entries'!$E$8="Proprietary - Enterprise Fund",'LR-Fund 3037 Journal Entries'!$J$24,0)</f>
        <v>0</v>
      </c>
      <c r="E33" s="170" t="s">
        <v>157</v>
      </c>
      <c r="F33" s="130">
        <f>IF('LR-Fund 3037 Journal Entries'!$E$8="Proprietary - Enterprise Fund",'LR-Fund 3037 Journal Entries'!$K$31,0)</f>
        <v>0</v>
      </c>
      <c r="G33" s="169" t="s">
        <v>157</v>
      </c>
      <c r="H33" s="130">
        <f>IF('LR-Fund 3037 Journal Entries'!$E$8="Proprietary - Enterprise Fund",'LR-Fund 3037 Journal Entries'!$K$52,0)</f>
        <v>0</v>
      </c>
      <c r="I33" s="169" t="s">
        <v>156</v>
      </c>
      <c r="J33" s="130">
        <f>IF('LR-Fund 3037 Journal Entries'!$E$8="Proprietary - Enterprise Fund",'LR-Fund 3037 Journal Entries'!$J$58,0)</f>
        <v>0</v>
      </c>
      <c r="K33" s="170" t="s">
        <v>160</v>
      </c>
      <c r="L33" s="133">
        <f>+B33+D33-F33-H33+J33</f>
        <v>0</v>
      </c>
      <c r="M33" s="132"/>
      <c r="N33" s="134">
        <f>SUM('LR-Department Note Disclosure'!B76:B99)</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1678</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90" t="s">
        <v>153</v>
      </c>
      <c r="C40" s="290"/>
      <c r="D40" s="290"/>
      <c r="E40" s="147"/>
      <c r="F40" s="147"/>
      <c r="G40" s="147"/>
      <c r="H40" s="147"/>
      <c r="I40" s="147"/>
      <c r="J40" s="147"/>
      <c r="K40" s="147"/>
      <c r="L40" s="147"/>
      <c r="M40" s="122"/>
      <c r="N40" s="123" t="s">
        <v>154</v>
      </c>
      <c r="O40" s="124"/>
      <c r="P40" s="124"/>
      <c r="Q40" s="121"/>
    </row>
    <row r="41" spans="1:17" ht="15" customHeight="1" x14ac:dyDescent="0.3">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IF('LR-Fund 3037 Journal Entries'!$E$8="Governmental Fund",'LR-Fund 3037 Journal Entries'!$J$41,0)+IF('LR-Fund 3066 Journal Entries'!$E$8="Governmental Fund",'LR-Fund 3066 Journal Entries'!$J$41,0)</f>
        <v>521557.67974685237</v>
      </c>
      <c r="C42" s="138"/>
      <c r="E42" s="138"/>
      <c r="G42" s="167"/>
      <c r="H42" s="167"/>
      <c r="I42" s="167"/>
      <c r="J42" s="167"/>
      <c r="K42" s="138"/>
      <c r="L42" s="138"/>
      <c r="M42" s="139"/>
      <c r="N42" s="134">
        <f>'LR-Department Note Disclosure'!B14</f>
        <v>521557.67974685237</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90" t="s">
        <v>153</v>
      </c>
      <c r="C47" s="290"/>
      <c r="D47" s="290"/>
      <c r="E47" s="147"/>
      <c r="F47" s="147"/>
      <c r="G47" s="147"/>
      <c r="H47" s="147"/>
      <c r="I47" s="147"/>
      <c r="J47" s="147"/>
      <c r="K47" s="147"/>
      <c r="L47" s="147"/>
      <c r="M47" s="122"/>
      <c r="N47" s="123" t="s">
        <v>154</v>
      </c>
      <c r="O47" s="124"/>
      <c r="P47" s="124"/>
      <c r="Q47" s="121"/>
    </row>
    <row r="48" spans="1:17" ht="15" customHeight="1" x14ac:dyDescent="0.3">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IF('LR-Fund 3037 Journal Entries'!$E$8="Proprietary - Internal Service Fund",'LR-Fund 3037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90" t="s">
        <v>153</v>
      </c>
      <c r="C55" s="290"/>
      <c r="D55" s="290"/>
      <c r="E55" s="147"/>
      <c r="F55" s="147"/>
      <c r="G55" s="147"/>
      <c r="H55" s="147"/>
      <c r="I55" s="147"/>
      <c r="J55" s="147"/>
      <c r="K55" s="147"/>
      <c r="L55" s="147"/>
      <c r="M55" s="122"/>
      <c r="N55" s="123" t="s">
        <v>154</v>
      </c>
      <c r="O55" s="124"/>
      <c r="P55" s="124"/>
      <c r="Q55" s="121"/>
    </row>
    <row r="56" spans="1:17" ht="15" customHeight="1" x14ac:dyDescent="0.3">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IF('LR-Fund 3037 Journal Entries'!$E$8="Proprietary - Enterprise Fund",'LR-Fund 3037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R66" sqref="R66"/>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7" t="s">
        <v>1805</v>
      </c>
      <c r="B1" s="258"/>
      <c r="C1" s="258"/>
      <c r="D1" s="258"/>
      <c r="E1" s="258"/>
      <c r="F1" s="259"/>
    </row>
    <row r="2" spans="1:6" x14ac:dyDescent="0.3">
      <c r="A2" s="260"/>
      <c r="B2" s="261"/>
      <c r="C2" s="261"/>
      <c r="D2" s="261"/>
      <c r="E2" s="261"/>
      <c r="F2" s="262"/>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1799</v>
      </c>
      <c r="B11" s="240" t="s">
        <v>1732</v>
      </c>
      <c r="C11" s="240" t="s">
        <v>1733</v>
      </c>
      <c r="D11" s="240" t="s">
        <v>1733</v>
      </c>
      <c r="E11" s="240" t="s">
        <v>1840</v>
      </c>
      <c r="F11" s="240" t="s">
        <v>1802</v>
      </c>
    </row>
    <row r="12" spans="1:6" ht="27.6" x14ac:dyDescent="0.3">
      <c r="A12" s="240" t="s">
        <v>1799</v>
      </c>
      <c r="B12" s="240" t="s">
        <v>1750</v>
      </c>
      <c r="C12" s="240" t="s">
        <v>1735</v>
      </c>
      <c r="D12" s="240" t="s">
        <v>1742</v>
      </c>
      <c r="E12" s="240" t="s">
        <v>1748</v>
      </c>
      <c r="F12" s="240" t="s">
        <v>1749</v>
      </c>
    </row>
    <row r="13" spans="1:6" ht="55.2" x14ac:dyDescent="0.3">
      <c r="A13" s="240" t="s">
        <v>1799</v>
      </c>
      <c r="B13" s="240" t="s">
        <v>1751</v>
      </c>
      <c r="C13" s="240" t="s">
        <v>1734</v>
      </c>
      <c r="D13" s="240" t="s">
        <v>1735</v>
      </c>
      <c r="E13" s="240" t="s">
        <v>1736</v>
      </c>
      <c r="F13" s="240" t="s">
        <v>1737</v>
      </c>
    </row>
    <row r="14" spans="1:6" ht="27.6" x14ac:dyDescent="0.3">
      <c r="A14" s="240" t="s">
        <v>1799</v>
      </c>
      <c r="B14" s="240" t="s">
        <v>1738</v>
      </c>
      <c r="C14" s="240" t="s">
        <v>1735</v>
      </c>
      <c r="D14" s="240" t="s">
        <v>1743</v>
      </c>
      <c r="E14" s="240" t="s">
        <v>1739</v>
      </c>
      <c r="F14" s="240" t="s">
        <v>1740</v>
      </c>
    </row>
    <row r="15" spans="1:6" ht="41.4" x14ac:dyDescent="0.3">
      <c r="A15" s="240" t="s">
        <v>1799</v>
      </c>
      <c r="B15" s="240" t="s">
        <v>1741</v>
      </c>
      <c r="C15" s="240" t="s">
        <v>1735</v>
      </c>
      <c r="D15" s="240" t="s">
        <v>1747</v>
      </c>
      <c r="E15" s="240" t="s">
        <v>1793</v>
      </c>
      <c r="F15" s="240" t="s">
        <v>1737</v>
      </c>
    </row>
    <row r="16" spans="1:6" ht="27.6" x14ac:dyDescent="0.3">
      <c r="A16" s="240" t="s">
        <v>1799</v>
      </c>
      <c r="B16" s="240" t="s">
        <v>1752</v>
      </c>
      <c r="C16" s="240" t="s">
        <v>1735</v>
      </c>
      <c r="D16" s="240" t="s">
        <v>1803</v>
      </c>
      <c r="E16" s="240" t="s">
        <v>1753</v>
      </c>
      <c r="F16" s="240" t="s">
        <v>1737</v>
      </c>
    </row>
    <row r="17" spans="1:6" ht="82.8" x14ac:dyDescent="0.3">
      <c r="A17" s="240" t="s">
        <v>1799</v>
      </c>
      <c r="B17" s="240" t="s">
        <v>1754</v>
      </c>
      <c r="C17" s="240" t="s">
        <v>1755</v>
      </c>
      <c r="D17" s="240" t="s">
        <v>1756</v>
      </c>
      <c r="E17" s="240" t="s">
        <v>1795</v>
      </c>
      <c r="F17" s="240" t="s">
        <v>1804</v>
      </c>
    </row>
    <row r="18" spans="1:6" ht="96.6" x14ac:dyDescent="0.3">
      <c r="A18" s="240" t="s">
        <v>1799</v>
      </c>
      <c r="B18" s="240" t="s">
        <v>1796</v>
      </c>
      <c r="C18" s="240" t="s">
        <v>1759</v>
      </c>
      <c r="D18" s="240" t="s">
        <v>1863</v>
      </c>
      <c r="E18" s="240" t="s">
        <v>1797</v>
      </c>
      <c r="F18" s="240" t="s">
        <v>1737</v>
      </c>
    </row>
    <row r="19" spans="1:6" ht="27.6" x14ac:dyDescent="0.3">
      <c r="A19" s="240" t="s">
        <v>1799</v>
      </c>
      <c r="B19" s="240" t="s">
        <v>1876</v>
      </c>
      <c r="C19" s="240" t="s">
        <v>1879</v>
      </c>
      <c r="D19" s="240" t="s">
        <v>1877</v>
      </c>
      <c r="E19" s="240" t="s">
        <v>1878</v>
      </c>
      <c r="F19" s="240" t="s">
        <v>1737</v>
      </c>
    </row>
    <row r="20" spans="1:6" ht="27.6" x14ac:dyDescent="0.3">
      <c r="A20" s="240" t="s">
        <v>1799</v>
      </c>
      <c r="B20" s="240" t="s">
        <v>1765</v>
      </c>
      <c r="C20" s="240" t="s">
        <v>1735</v>
      </c>
      <c r="D20" s="240" t="s">
        <v>1864</v>
      </c>
      <c r="E20" s="240" t="s">
        <v>1806</v>
      </c>
      <c r="F20" s="240" t="s">
        <v>1737</v>
      </c>
    </row>
    <row r="21" spans="1:6" ht="110.4" x14ac:dyDescent="0.3">
      <c r="A21" s="240" t="s">
        <v>1800</v>
      </c>
      <c r="B21" s="240" t="s">
        <v>1783</v>
      </c>
      <c r="C21" s="240" t="s">
        <v>1784</v>
      </c>
      <c r="D21" s="240" t="s">
        <v>1784</v>
      </c>
      <c r="E21" s="240" t="s">
        <v>1808</v>
      </c>
      <c r="F21" s="240" t="s">
        <v>1771</v>
      </c>
    </row>
    <row r="22" spans="1:6" ht="41.4" x14ac:dyDescent="0.3">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K1"/>
    </sheetView>
  </sheetViews>
  <sheetFormatPr defaultColWidth="9.109375" defaultRowHeight="15" x14ac:dyDescent="0.3"/>
  <cols>
    <col min="1" max="7" width="14.33203125" style="37" customWidth="1"/>
    <col min="8" max="8" width="14.33203125" style="54" customWidth="1"/>
    <col min="9" max="9" width="19.6640625" style="37" customWidth="1"/>
    <col min="10" max="11" width="19.88671875" style="37" customWidth="1"/>
    <col min="12" max="12" width="9.109375" style="37"/>
    <col min="13" max="14" width="16" style="37" customWidth="1"/>
    <col min="15" max="15" width="4.6640625" style="37" customWidth="1"/>
    <col min="16" max="17" width="16" style="37" customWidth="1"/>
    <col min="18" max="18" width="5.6640625" style="37" customWidth="1"/>
    <col min="19" max="19" width="15.88671875" style="37" customWidth="1"/>
    <col min="20" max="16384" width="9.109375" style="37"/>
  </cols>
  <sheetData>
    <row r="1" spans="1:19" ht="44.4" customHeight="1" x14ac:dyDescent="0.3">
      <c r="A1" s="267" t="s">
        <v>1666</v>
      </c>
      <c r="B1" s="267"/>
      <c r="C1" s="267"/>
      <c r="D1" s="267"/>
      <c r="E1" s="267"/>
      <c r="F1" s="267"/>
      <c r="G1" s="267"/>
      <c r="H1" s="267"/>
      <c r="I1" s="267"/>
      <c r="J1" s="267"/>
      <c r="K1" s="267"/>
      <c r="L1" s="151"/>
      <c r="M1" s="151"/>
      <c r="N1" s="151"/>
      <c r="O1" s="151"/>
    </row>
    <row r="2" spans="1:19" ht="15" customHeight="1" x14ac:dyDescent="0.3">
      <c r="A2" s="296" t="s">
        <v>0</v>
      </c>
      <c r="B2" s="296"/>
      <c r="C2" s="296"/>
      <c r="D2" s="296"/>
      <c r="E2" s="296"/>
      <c r="F2" s="296"/>
      <c r="G2" s="296"/>
      <c r="H2" s="296"/>
      <c r="I2" s="296"/>
      <c r="J2" s="296"/>
      <c r="K2" s="296"/>
      <c r="L2" s="165"/>
      <c r="M2" s="165"/>
      <c r="N2" s="165"/>
      <c r="O2" s="165"/>
    </row>
    <row r="3" spans="1:19" ht="15.6" x14ac:dyDescent="0.3">
      <c r="A3" s="263" t="s">
        <v>13</v>
      </c>
      <c r="B3" s="263"/>
      <c r="C3" s="263"/>
      <c r="D3" s="263"/>
      <c r="E3" s="263"/>
      <c r="F3" s="268" t="s">
        <v>24</v>
      </c>
      <c r="G3" s="268"/>
      <c r="H3" s="268"/>
      <c r="I3" s="268"/>
    </row>
    <row r="4" spans="1:19" ht="15.6" x14ac:dyDescent="0.25">
      <c r="A4" s="263" t="s">
        <v>209</v>
      </c>
      <c r="B4" s="263"/>
      <c r="C4" s="263"/>
      <c r="D4" s="263"/>
      <c r="E4" s="263"/>
      <c r="F4" s="269"/>
      <c r="G4" s="269"/>
      <c r="H4" s="269"/>
      <c r="I4" s="269"/>
      <c r="L4" s="39"/>
      <c r="M4" s="39"/>
      <c r="N4" s="39"/>
      <c r="O4" s="39"/>
      <c r="P4" s="39"/>
      <c r="Q4" s="39"/>
    </row>
    <row r="5" spans="1:19" ht="15.6" x14ac:dyDescent="0.25">
      <c r="A5" s="263" t="s">
        <v>1640</v>
      </c>
      <c r="B5" s="263"/>
      <c r="C5" s="263"/>
      <c r="D5" s="263"/>
      <c r="E5" s="263"/>
      <c r="F5" s="269"/>
      <c r="G5" s="269"/>
      <c r="H5" s="269"/>
      <c r="I5" s="269"/>
      <c r="L5" s="40"/>
      <c r="M5" s="40"/>
      <c r="N5" s="40"/>
      <c r="O5" s="40"/>
      <c r="P5" s="39"/>
      <c r="Q5" s="39"/>
    </row>
    <row r="6" spans="1:19" ht="17.399999999999999" x14ac:dyDescent="0.3">
      <c r="A6" s="263" t="s">
        <v>2</v>
      </c>
      <c r="B6" s="263"/>
      <c r="C6" s="263"/>
      <c r="D6" s="263"/>
      <c r="E6" s="263"/>
      <c r="F6" s="270"/>
      <c r="G6" s="270"/>
      <c r="H6" s="270"/>
      <c r="I6" s="270"/>
      <c r="K6" s="96"/>
      <c r="L6" s="40"/>
      <c r="M6" s="40"/>
      <c r="N6" s="40"/>
      <c r="O6" s="40"/>
      <c r="P6" s="39"/>
      <c r="Q6" s="39"/>
    </row>
    <row r="7" spans="1:19" ht="17.399999999999999" x14ac:dyDescent="0.3">
      <c r="A7" s="263" t="s">
        <v>3</v>
      </c>
      <c r="B7" s="263"/>
      <c r="C7" s="263"/>
      <c r="D7" s="263"/>
      <c r="E7" s="263"/>
      <c r="F7" s="270"/>
      <c r="G7" s="270"/>
      <c r="H7" s="270"/>
      <c r="I7" s="270"/>
      <c r="K7" s="96"/>
      <c r="L7" s="40"/>
      <c r="M7" s="40"/>
      <c r="N7" s="40"/>
      <c r="O7" s="40"/>
      <c r="P7" s="39"/>
      <c r="Q7" s="39"/>
    </row>
    <row r="8" spans="1:19" ht="17.399999999999999" x14ac:dyDescent="0.3">
      <c r="A8" s="263" t="s">
        <v>1641</v>
      </c>
      <c r="B8" s="263"/>
      <c r="C8" s="263"/>
      <c r="D8" s="263"/>
      <c r="E8" s="263"/>
      <c r="F8" s="270"/>
      <c r="G8" s="270"/>
      <c r="H8" s="270"/>
      <c r="I8" s="270"/>
      <c r="K8" s="96"/>
      <c r="L8" s="40"/>
      <c r="M8" s="40"/>
      <c r="N8" s="40"/>
      <c r="O8" s="40"/>
      <c r="P8" s="39"/>
      <c r="Q8" s="39"/>
    </row>
    <row r="9" spans="1:19" ht="15.6" x14ac:dyDescent="0.3">
      <c r="A9" s="263" t="s">
        <v>1639</v>
      </c>
      <c r="B9" s="263"/>
      <c r="C9" s="263"/>
      <c r="D9" s="263"/>
      <c r="E9" s="263"/>
      <c r="F9" s="271" t="str">
        <f>IFERROR(IF(F7="Proprietary","Proprietary Fund",VLOOKUP(F5,qryIndex02a!$A$2:$K$654,4,FALSE)),"Unidentified")</f>
        <v>Unidentified</v>
      </c>
      <c r="G9" s="271"/>
      <c r="H9" s="271"/>
      <c r="I9" s="271"/>
      <c r="J9" s="21"/>
      <c r="K9" s="39"/>
      <c r="L9" s="39"/>
      <c r="M9" s="39"/>
      <c r="N9" s="39"/>
      <c r="O9" s="39"/>
      <c r="P9" s="39"/>
      <c r="Q9" s="39"/>
    </row>
    <row r="10" spans="1:19" ht="15.6" x14ac:dyDescent="0.3">
      <c r="A10" s="38"/>
      <c r="B10" s="38"/>
      <c r="C10" s="38"/>
      <c r="D10" s="38"/>
      <c r="E10" s="38"/>
      <c r="F10" s="39"/>
      <c r="G10" s="39"/>
      <c r="H10" s="41"/>
      <c r="I10" s="39"/>
      <c r="J10" s="39"/>
      <c r="K10" s="39"/>
      <c r="L10" s="39"/>
      <c r="M10" s="39"/>
      <c r="N10" s="39"/>
      <c r="O10" s="39"/>
      <c r="P10" s="39"/>
      <c r="Q10" s="39"/>
    </row>
    <row r="11" spans="1:19" ht="15.6" x14ac:dyDescent="0.3">
      <c r="A11" s="38"/>
      <c r="B11" s="38"/>
      <c r="C11" s="38"/>
      <c r="D11" s="38"/>
      <c r="E11" s="40"/>
      <c r="F11" s="39"/>
      <c r="G11" s="39"/>
      <c r="H11" s="41"/>
      <c r="I11" s="39"/>
      <c r="J11" s="39"/>
      <c r="K11" s="39"/>
      <c r="L11" s="39"/>
      <c r="M11" s="39"/>
      <c r="N11" s="39"/>
      <c r="O11" s="39"/>
      <c r="P11" s="39"/>
      <c r="Q11" s="39"/>
    </row>
    <row r="12" spans="1:19" s="178" customFormat="1" ht="21" customHeight="1" x14ac:dyDescent="0.4">
      <c r="A12" s="172" t="s">
        <v>1855</v>
      </c>
      <c r="B12" s="173"/>
      <c r="C12" s="174"/>
      <c r="D12" s="174"/>
      <c r="E12" s="174"/>
      <c r="F12" s="175"/>
      <c r="G12" s="175"/>
      <c r="H12" s="176"/>
      <c r="I12" s="176"/>
      <c r="J12" s="175"/>
      <c r="K12" s="175"/>
      <c r="L12" s="39"/>
      <c r="M12" s="39"/>
      <c r="N12" s="177"/>
      <c r="O12" s="177"/>
      <c r="P12" s="177"/>
    </row>
    <row r="13" spans="1:19" s="188" customFormat="1" ht="16.5" customHeight="1" x14ac:dyDescent="0.3">
      <c r="A13" s="203" t="s">
        <v>4</v>
      </c>
      <c r="B13" s="205"/>
      <c r="C13" s="191"/>
      <c r="D13" s="191"/>
      <c r="E13" s="191"/>
      <c r="F13" s="192"/>
      <c r="G13" s="192"/>
      <c r="H13" s="182"/>
      <c r="I13" s="182"/>
      <c r="J13" s="187"/>
      <c r="K13" s="187"/>
    </row>
    <row r="14" spans="1:19" s="188" customFormat="1" ht="16.5" customHeight="1" x14ac:dyDescent="0.35">
      <c r="A14" s="184">
        <v>0</v>
      </c>
      <c r="B14" s="215" t="s">
        <v>1857</v>
      </c>
      <c r="C14" s="191"/>
      <c r="D14" s="191"/>
      <c r="E14" s="191"/>
      <c r="F14" s="192"/>
      <c r="G14" s="192"/>
      <c r="H14" s="182"/>
      <c r="I14" s="182"/>
      <c r="J14" s="187"/>
      <c r="K14" s="187"/>
      <c r="M14" s="264" t="s">
        <v>1671</v>
      </c>
      <c r="N14" s="265"/>
      <c r="P14" s="264" t="s">
        <v>1668</v>
      </c>
      <c r="Q14" s="265"/>
      <c r="S14" s="222" t="s">
        <v>1669</v>
      </c>
    </row>
    <row r="15" spans="1:19" ht="16.5" customHeight="1" x14ac:dyDescent="0.3">
      <c r="B15" s="26" t="s">
        <v>194</v>
      </c>
      <c r="C15" s="193"/>
      <c r="D15" s="193"/>
      <c r="E15" s="193"/>
      <c r="F15" s="194"/>
      <c r="G15" s="194"/>
      <c r="H15" s="195"/>
      <c r="I15" s="195"/>
      <c r="J15" s="248">
        <f>M15</f>
        <v>0</v>
      </c>
      <c r="M15" s="196"/>
      <c r="P15" s="196"/>
      <c r="Q15" s="224"/>
      <c r="S15" s="223">
        <f>P15-M15</f>
        <v>0</v>
      </c>
    </row>
    <row r="16" spans="1:19" ht="16.5" customHeight="1" x14ac:dyDescent="0.3">
      <c r="A16" s="99"/>
      <c r="B16" s="26" t="s">
        <v>195</v>
      </c>
      <c r="C16" s="193"/>
      <c r="D16" s="193"/>
      <c r="E16" s="193"/>
      <c r="F16" s="194"/>
      <c r="G16" s="194"/>
      <c r="H16" s="195"/>
      <c r="I16" s="195"/>
      <c r="J16" s="248">
        <f>M16</f>
        <v>0</v>
      </c>
      <c r="M16" s="196"/>
      <c r="P16" s="196"/>
      <c r="Q16" s="224"/>
      <c r="S16" s="223">
        <f>P16-M16</f>
        <v>0</v>
      </c>
    </row>
    <row r="17" spans="1:19" ht="16.5" customHeight="1" x14ac:dyDescent="0.3">
      <c r="A17" s="99"/>
      <c r="B17" s="26" t="s">
        <v>196</v>
      </c>
      <c r="C17" s="193"/>
      <c r="D17" s="193"/>
      <c r="E17" s="193"/>
      <c r="F17" s="194"/>
      <c r="G17" s="194"/>
      <c r="H17" s="195"/>
      <c r="I17" s="195"/>
      <c r="J17" s="248">
        <f>M17</f>
        <v>0</v>
      </c>
      <c r="M17" s="196"/>
      <c r="P17" s="196"/>
      <c r="Q17" s="224"/>
      <c r="S17" s="223">
        <f>P17-M17</f>
        <v>0</v>
      </c>
    </row>
    <row r="18" spans="1:19" ht="16.5" customHeight="1" x14ac:dyDescent="0.3">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3">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3">
      <c r="A20" s="99"/>
      <c r="B20" s="217"/>
      <c r="C20" s="26" t="s">
        <v>192</v>
      </c>
      <c r="D20" s="193"/>
      <c r="E20" s="193"/>
      <c r="F20" s="218"/>
      <c r="G20" s="218"/>
      <c r="H20" s="195"/>
      <c r="I20" s="195"/>
      <c r="J20" s="213"/>
      <c r="K20" s="247"/>
      <c r="P20" s="224"/>
      <c r="Q20" s="224"/>
    </row>
    <row r="21" spans="1:19" ht="16.5" customHeight="1" x14ac:dyDescent="0.3">
      <c r="A21" s="99"/>
      <c r="B21" s="217"/>
      <c r="C21" s="26" t="s">
        <v>193</v>
      </c>
      <c r="D21" s="193"/>
      <c r="E21" s="193"/>
      <c r="F21" s="218"/>
      <c r="G21" s="218"/>
      <c r="H21" s="195"/>
      <c r="I21" s="195"/>
      <c r="J21" s="213"/>
      <c r="K21" s="248">
        <f>N21</f>
        <v>0</v>
      </c>
      <c r="N21" s="196"/>
      <c r="P21" s="224"/>
      <c r="Q21" s="196"/>
      <c r="S21" s="223">
        <f>Q21-N21</f>
        <v>0</v>
      </c>
    </row>
    <row r="22" spans="1:19" ht="16.5" customHeight="1" x14ac:dyDescent="0.3">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3">
      <c r="A23" s="99"/>
      <c r="B23" s="217"/>
      <c r="C23" s="26" t="s">
        <v>191</v>
      </c>
      <c r="D23" s="193"/>
      <c r="E23" s="193"/>
      <c r="F23" s="218"/>
      <c r="G23" s="218"/>
      <c r="H23" s="195"/>
      <c r="I23" s="195"/>
      <c r="J23" s="213"/>
      <c r="K23" s="248">
        <f>N23</f>
        <v>0</v>
      </c>
      <c r="N23" s="196"/>
      <c r="P23" s="224"/>
      <c r="Q23" s="196"/>
      <c r="S23" s="223">
        <f t="shared" si="0"/>
        <v>0</v>
      </c>
    </row>
    <row r="24" spans="1:19" ht="16.5" customHeight="1" x14ac:dyDescent="0.3">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3">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3">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3">
      <c r="A27" s="1"/>
      <c r="B27" s="26"/>
      <c r="C27" s="50"/>
      <c r="D27" s="47"/>
      <c r="E27" s="47"/>
      <c r="F27" s="48"/>
      <c r="G27" s="48"/>
      <c r="H27" s="49"/>
      <c r="I27" s="49"/>
      <c r="J27" s="155"/>
      <c r="K27" s="155"/>
      <c r="L27" s="21"/>
    </row>
    <row r="28" spans="1:19" ht="16.5" customHeight="1" x14ac:dyDescent="0.3">
      <c r="A28" s="1"/>
      <c r="B28" s="26"/>
      <c r="C28" s="50"/>
      <c r="D28" s="47"/>
      <c r="E28" s="47"/>
      <c r="F28" s="48"/>
      <c r="G28" s="48"/>
      <c r="H28" s="49"/>
      <c r="I28" s="49"/>
      <c r="J28" s="46"/>
      <c r="K28" s="46"/>
      <c r="L28" s="21"/>
    </row>
    <row r="29" spans="1:19" s="178" customFormat="1" ht="21" customHeight="1" x14ac:dyDescent="0.4">
      <c r="A29" s="172" t="s">
        <v>1858</v>
      </c>
      <c r="B29" s="173"/>
      <c r="C29" s="174"/>
      <c r="D29" s="174"/>
      <c r="E29" s="174"/>
      <c r="F29" s="175"/>
      <c r="G29" s="175"/>
      <c r="H29" s="176"/>
      <c r="I29" s="176"/>
      <c r="J29" s="175"/>
      <c r="K29" s="175"/>
      <c r="L29" s="39"/>
      <c r="M29" s="39"/>
      <c r="N29" s="177"/>
      <c r="O29" s="177"/>
      <c r="P29" s="177"/>
    </row>
    <row r="30" spans="1:19" s="188" customFormat="1" ht="16.5" customHeight="1" x14ac:dyDescent="0.35">
      <c r="A30" s="184">
        <v>1</v>
      </c>
      <c r="B30" s="215" t="s">
        <v>1859</v>
      </c>
      <c r="C30" s="191"/>
      <c r="D30" s="191"/>
      <c r="E30" s="191"/>
      <c r="F30" s="192"/>
      <c r="G30" s="192"/>
      <c r="H30" s="182"/>
      <c r="I30" s="182"/>
      <c r="J30" s="187"/>
      <c r="K30" s="187"/>
    </row>
    <row r="31" spans="1:19" ht="16.5" customHeight="1" x14ac:dyDescent="0.3">
      <c r="B31" s="26" t="s">
        <v>197</v>
      </c>
      <c r="C31" s="193"/>
      <c r="D31" s="193"/>
      <c r="E31" s="193"/>
      <c r="F31" s="194"/>
      <c r="G31" s="194"/>
      <c r="H31" s="195"/>
      <c r="I31" s="195"/>
      <c r="J31" s="196"/>
      <c r="K31" s="219"/>
    </row>
    <row r="32" spans="1:19" ht="16.5" customHeight="1" x14ac:dyDescent="0.3">
      <c r="A32" s="99"/>
      <c r="B32" s="193"/>
      <c r="C32" s="26" t="s">
        <v>1861</v>
      </c>
      <c r="D32" s="193"/>
      <c r="E32" s="193"/>
      <c r="F32" s="194"/>
      <c r="G32" s="194"/>
      <c r="H32" s="195"/>
      <c r="I32" s="195"/>
      <c r="J32" s="216"/>
      <c r="K32" s="196"/>
    </row>
    <row r="33" spans="1:16" ht="16.5" customHeight="1" x14ac:dyDescent="0.3">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3">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3">
      <c r="A35" s="1"/>
      <c r="B35" s="42"/>
      <c r="C35" s="43"/>
      <c r="D35" s="43"/>
      <c r="E35" s="43"/>
      <c r="F35" s="44"/>
      <c r="G35" s="44"/>
      <c r="H35" s="45"/>
      <c r="I35" s="45"/>
      <c r="J35" s="46"/>
      <c r="K35" s="46"/>
      <c r="L35" s="21"/>
    </row>
    <row r="36" spans="1:16" s="188" customFormat="1" ht="16.5" customHeight="1" x14ac:dyDescent="0.35">
      <c r="A36" s="184">
        <v>2</v>
      </c>
      <c r="B36" s="215" t="s">
        <v>140</v>
      </c>
      <c r="C36" s="191"/>
      <c r="D36" s="191"/>
      <c r="E36" s="191"/>
      <c r="F36" s="192"/>
      <c r="G36" s="192"/>
      <c r="H36" s="182"/>
      <c r="I36" s="182"/>
      <c r="J36" s="187"/>
      <c r="K36" s="187"/>
    </row>
    <row r="37" spans="1:16" ht="16.5" customHeight="1" x14ac:dyDescent="0.3">
      <c r="B37" s="26" t="s">
        <v>194</v>
      </c>
      <c r="C37" s="193"/>
      <c r="D37" s="193"/>
      <c r="E37" s="193"/>
      <c r="F37" s="194"/>
      <c r="G37" s="194"/>
      <c r="H37" s="195"/>
      <c r="I37" s="195"/>
      <c r="J37" s="196"/>
      <c r="K37" s="216"/>
    </row>
    <row r="38" spans="1:16" ht="16.5" customHeight="1" x14ac:dyDescent="0.3">
      <c r="A38" s="99"/>
      <c r="B38" s="26" t="s">
        <v>195</v>
      </c>
      <c r="C38" s="193"/>
      <c r="D38" s="193"/>
      <c r="E38" s="193"/>
      <c r="F38" s="194"/>
      <c r="G38" s="194"/>
      <c r="H38" s="195"/>
      <c r="I38" s="195"/>
      <c r="J38" s="196"/>
      <c r="K38" s="216"/>
    </row>
    <row r="39" spans="1:16" ht="16.5" customHeight="1" x14ac:dyDescent="0.3">
      <c r="A39" s="99"/>
      <c r="B39" s="26" t="s">
        <v>196</v>
      </c>
      <c r="C39" s="193"/>
      <c r="D39" s="193"/>
      <c r="E39" s="193"/>
      <c r="F39" s="194"/>
      <c r="G39" s="194"/>
      <c r="H39" s="195"/>
      <c r="I39" s="195"/>
      <c r="J39" s="196"/>
      <c r="K39" s="216"/>
    </row>
    <row r="40" spans="1:16" ht="16.5" customHeight="1" x14ac:dyDescent="0.3">
      <c r="A40" s="99"/>
      <c r="B40" s="217"/>
      <c r="C40" s="26" t="s">
        <v>198</v>
      </c>
      <c r="D40" s="193"/>
      <c r="E40" s="193"/>
      <c r="F40" s="194"/>
      <c r="G40" s="194"/>
      <c r="H40" s="195"/>
      <c r="I40" s="195"/>
      <c r="J40" s="216"/>
      <c r="K40" s="196"/>
    </row>
    <row r="41" spans="1:16" ht="16.5" customHeight="1" x14ac:dyDescent="0.3">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3">
      <c r="A42" s="1"/>
      <c r="B42" s="26"/>
      <c r="C42" s="50"/>
      <c r="D42" s="47"/>
      <c r="E42" s="47"/>
      <c r="F42" s="48"/>
      <c r="G42" s="48"/>
      <c r="H42" s="49"/>
      <c r="I42" s="49"/>
      <c r="J42" s="155"/>
      <c r="K42" s="155"/>
      <c r="L42" s="21"/>
    </row>
    <row r="43" spans="1:16" s="188" customFormat="1" ht="16.5" customHeight="1" x14ac:dyDescent="0.35">
      <c r="A43" s="184">
        <v>3</v>
      </c>
      <c r="B43" s="215" t="s">
        <v>137</v>
      </c>
      <c r="C43" s="191"/>
      <c r="D43" s="191"/>
      <c r="E43" s="191"/>
      <c r="F43" s="192"/>
      <c r="G43" s="192"/>
      <c r="H43" s="182"/>
      <c r="I43" s="182"/>
      <c r="J43" s="187"/>
      <c r="K43" s="187"/>
    </row>
    <row r="44" spans="1:16" ht="16.5" customHeight="1" x14ac:dyDescent="0.3">
      <c r="B44" s="26" t="s">
        <v>1862</v>
      </c>
      <c r="C44" s="193"/>
      <c r="D44" s="193"/>
      <c r="E44" s="193"/>
      <c r="F44" s="194"/>
      <c r="G44" s="194"/>
      <c r="H44" s="195"/>
      <c r="I44" s="195"/>
      <c r="J44" s="196"/>
      <c r="K44" s="216"/>
    </row>
    <row r="45" spans="1:16" ht="16.5" customHeight="1" x14ac:dyDescent="0.3">
      <c r="A45" s="99"/>
      <c r="B45" s="193"/>
      <c r="C45" s="26" t="s">
        <v>1642</v>
      </c>
      <c r="D45" s="193"/>
      <c r="E45" s="193"/>
      <c r="F45" s="194"/>
      <c r="G45" s="194"/>
      <c r="H45" s="195"/>
      <c r="I45" s="195"/>
      <c r="J45" s="216"/>
      <c r="K45" s="196"/>
    </row>
    <row r="46" spans="1:16" ht="16.5" customHeight="1" x14ac:dyDescent="0.3">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3">
      <c r="A47" s="1"/>
      <c r="B47" s="26"/>
      <c r="C47" s="43"/>
      <c r="D47" s="43"/>
      <c r="E47" s="43"/>
      <c r="F47" s="44"/>
      <c r="G47" s="44"/>
      <c r="H47" s="45"/>
      <c r="I47" s="45"/>
    </row>
    <row r="48" spans="1:16" s="178" customFormat="1" ht="21" customHeight="1" x14ac:dyDescent="0.4">
      <c r="A48" s="172" t="s">
        <v>1856</v>
      </c>
      <c r="B48" s="173"/>
      <c r="C48" s="174"/>
      <c r="D48" s="174"/>
      <c r="E48" s="174"/>
      <c r="F48" s="175"/>
      <c r="G48" s="175"/>
      <c r="H48" s="176"/>
      <c r="I48" s="176"/>
      <c r="J48" s="175"/>
      <c r="K48" s="175"/>
      <c r="L48" s="39"/>
      <c r="M48" s="39"/>
      <c r="N48" s="177"/>
      <c r="O48" s="177"/>
      <c r="P48" s="177"/>
    </row>
    <row r="49" spans="1:12" s="188" customFormat="1" ht="16.5" customHeight="1" x14ac:dyDescent="0.35">
      <c r="A49" s="184">
        <v>4</v>
      </c>
      <c r="B49" s="215" t="s">
        <v>138</v>
      </c>
      <c r="C49" s="191"/>
      <c r="D49" s="191"/>
      <c r="E49" s="191"/>
      <c r="F49" s="192"/>
      <c r="G49" s="192"/>
      <c r="H49" s="182"/>
      <c r="I49" s="182"/>
      <c r="J49" s="187"/>
      <c r="K49" s="187"/>
    </row>
    <row r="50" spans="1:12" ht="16.5" customHeight="1" x14ac:dyDescent="0.3">
      <c r="A50" s="99"/>
      <c r="B50" s="26" t="s">
        <v>200</v>
      </c>
      <c r="C50" s="53"/>
      <c r="D50" s="193"/>
      <c r="E50" s="193"/>
      <c r="F50" s="194"/>
      <c r="G50" s="194"/>
      <c r="H50" s="195"/>
      <c r="I50" s="195"/>
      <c r="J50" s="196"/>
      <c r="K50" s="216"/>
    </row>
    <row r="51" spans="1:12" ht="16.5" customHeight="1" x14ac:dyDescent="0.3">
      <c r="A51" s="99"/>
      <c r="B51" s="53"/>
      <c r="C51" s="26" t="s">
        <v>190</v>
      </c>
      <c r="D51" s="193"/>
      <c r="E51" s="193"/>
      <c r="F51" s="194"/>
      <c r="G51" s="194"/>
      <c r="H51" s="195"/>
      <c r="I51" s="195"/>
      <c r="J51" s="219"/>
      <c r="K51" s="196"/>
    </row>
    <row r="52" spans="1:12" ht="16.5" customHeight="1" x14ac:dyDescent="0.3">
      <c r="A52" s="99"/>
      <c r="B52" s="53"/>
      <c r="C52" s="26" t="s">
        <v>193</v>
      </c>
      <c r="D52" s="193"/>
      <c r="E52" s="193"/>
      <c r="F52" s="194"/>
      <c r="G52" s="194"/>
      <c r="H52" s="195"/>
      <c r="I52" s="195"/>
      <c r="J52" s="219"/>
      <c r="K52" s="196"/>
    </row>
    <row r="53" spans="1:12" ht="16.5" customHeight="1" x14ac:dyDescent="0.3">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3">
      <c r="A54" s="149"/>
      <c r="B54" s="51"/>
      <c r="C54" s="47"/>
      <c r="D54" s="47"/>
      <c r="E54" s="47"/>
      <c r="F54" s="48"/>
      <c r="G54" s="48"/>
      <c r="H54" s="49"/>
      <c r="I54" s="49"/>
      <c r="J54" s="155"/>
      <c r="K54" s="155"/>
      <c r="L54" s="21"/>
    </row>
    <row r="55" spans="1:12" s="188" customFormat="1" ht="16.5" customHeight="1" x14ac:dyDescent="0.35">
      <c r="A55" s="184">
        <v>5</v>
      </c>
      <c r="B55" s="215" t="s">
        <v>1860</v>
      </c>
      <c r="C55" s="191"/>
      <c r="D55" s="191"/>
      <c r="E55" s="191"/>
      <c r="F55" s="192"/>
      <c r="G55" s="192"/>
      <c r="H55" s="182"/>
      <c r="I55" s="182"/>
      <c r="J55" s="187"/>
      <c r="K55" s="187"/>
    </row>
    <row r="56" spans="1:12" ht="16.5" customHeight="1" x14ac:dyDescent="0.3">
      <c r="B56" s="26" t="s">
        <v>201</v>
      </c>
      <c r="C56" s="193"/>
      <c r="D56" s="193"/>
      <c r="E56" s="193"/>
      <c r="F56" s="194"/>
      <c r="G56" s="194"/>
      <c r="H56" s="195"/>
      <c r="I56" s="195"/>
      <c r="J56" s="196"/>
      <c r="K56" s="220"/>
    </row>
    <row r="57" spans="1:12" ht="16.5" customHeight="1" x14ac:dyDescent="0.3">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3">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3">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3">
      <c r="A60" s="1"/>
      <c r="B60" s="43"/>
      <c r="C60" s="43"/>
      <c r="D60" s="43"/>
      <c r="E60" s="43"/>
      <c r="F60" s="44"/>
      <c r="G60" s="44"/>
      <c r="H60" s="45"/>
      <c r="I60" s="45"/>
      <c r="J60" s="155"/>
      <c r="K60" s="155"/>
      <c r="L60" s="21"/>
    </row>
    <row r="61" spans="1:12" s="188" customFormat="1" ht="16.5" customHeight="1" x14ac:dyDescent="0.35">
      <c r="A61" s="184">
        <v>6</v>
      </c>
      <c r="B61" s="215" t="s">
        <v>134</v>
      </c>
      <c r="C61" s="191"/>
      <c r="D61" s="191"/>
      <c r="E61" s="191"/>
      <c r="F61" s="192"/>
      <c r="G61" s="192"/>
      <c r="H61" s="182"/>
      <c r="I61" s="182"/>
      <c r="J61" s="187"/>
      <c r="K61" s="187"/>
    </row>
    <row r="62" spans="1:12" ht="16.5" customHeight="1" x14ac:dyDescent="0.3">
      <c r="B62" s="26" t="s">
        <v>1643</v>
      </c>
      <c r="C62" s="193"/>
      <c r="D62" s="193"/>
      <c r="E62" s="193"/>
      <c r="F62" s="194"/>
      <c r="G62" s="194"/>
      <c r="H62" s="195"/>
      <c r="I62" s="195"/>
      <c r="J62" s="196"/>
      <c r="K62" s="220"/>
    </row>
    <row r="63" spans="1:12" ht="16.5" customHeight="1" x14ac:dyDescent="0.3">
      <c r="A63" s="99"/>
      <c r="B63" s="193"/>
      <c r="C63" s="26" t="s">
        <v>203</v>
      </c>
      <c r="D63" s="193"/>
      <c r="E63" s="193"/>
      <c r="F63" s="194"/>
      <c r="G63" s="194"/>
      <c r="H63" s="195"/>
      <c r="I63" s="195"/>
      <c r="J63" s="220"/>
      <c r="K63" s="196"/>
    </row>
    <row r="64" spans="1:12" ht="16.5" customHeight="1" x14ac:dyDescent="0.3">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3">
      <c r="A65" s="1"/>
      <c r="B65" s="43"/>
      <c r="C65" s="43"/>
      <c r="D65" s="43"/>
      <c r="E65" s="43"/>
      <c r="F65" s="44"/>
      <c r="G65" s="44"/>
      <c r="H65" s="45"/>
      <c r="I65" s="45"/>
      <c r="J65" s="155"/>
      <c r="K65" s="155"/>
      <c r="L65" s="21"/>
    </row>
    <row r="66" spans="1:12" s="188" customFormat="1" ht="16.5" customHeight="1" x14ac:dyDescent="0.35">
      <c r="A66" s="184">
        <v>7</v>
      </c>
      <c r="B66" s="215" t="s">
        <v>135</v>
      </c>
      <c r="C66" s="191"/>
      <c r="D66" s="191"/>
      <c r="E66" s="191"/>
      <c r="F66" s="192"/>
      <c r="G66" s="192"/>
      <c r="H66" s="182"/>
      <c r="I66" s="182"/>
      <c r="J66" s="187"/>
      <c r="K66" s="187"/>
    </row>
    <row r="67" spans="1:12" ht="16.5" customHeight="1" x14ac:dyDescent="0.3">
      <c r="B67" s="26" t="s">
        <v>1643</v>
      </c>
      <c r="C67" s="193"/>
      <c r="D67" s="193"/>
      <c r="E67" s="193"/>
      <c r="F67" s="194"/>
      <c r="G67" s="194"/>
      <c r="H67" s="195"/>
      <c r="I67" s="195"/>
      <c r="J67" s="196"/>
      <c r="K67" s="220"/>
    </row>
    <row r="68" spans="1:12" ht="16.5" customHeight="1" x14ac:dyDescent="0.3">
      <c r="A68" s="99"/>
      <c r="B68" s="193"/>
      <c r="C68" s="26" t="s">
        <v>1875</v>
      </c>
      <c r="D68" s="193"/>
      <c r="E68" s="193"/>
      <c r="F68" s="194"/>
      <c r="G68" s="194"/>
      <c r="H68" s="195"/>
      <c r="I68" s="195"/>
      <c r="J68" s="220"/>
      <c r="K68" s="196"/>
    </row>
    <row r="69" spans="1:12" ht="16.5" customHeight="1" x14ac:dyDescent="0.25">
      <c r="A69" s="99"/>
      <c r="B69" s="301" t="s">
        <v>1841</v>
      </c>
      <c r="C69" s="301"/>
      <c r="D69" s="301"/>
      <c r="E69" s="301"/>
      <c r="F69" s="301"/>
      <c r="G69" s="301"/>
      <c r="H69" s="301"/>
      <c r="I69" s="301"/>
      <c r="J69" s="155">
        <f>SUM(J67:J68)</f>
        <v>0</v>
      </c>
      <c r="K69" s="155">
        <f>SUM(K67:K68)</f>
        <v>0</v>
      </c>
      <c r="L69" s="21" t="str">
        <f>IF(J69=K69,"&lt;- Debits and Credits equal each other.","&lt;- Debits and Credits do not equal each other.")</f>
        <v>&lt;- Debits and Credits equal each other.</v>
      </c>
    </row>
    <row r="70" spans="1:12" ht="19.95" customHeight="1" x14ac:dyDescent="0.3">
      <c r="A70" s="99"/>
      <c r="B70" s="301"/>
      <c r="C70" s="301"/>
      <c r="D70" s="301"/>
      <c r="E70" s="301"/>
      <c r="F70" s="301"/>
      <c r="G70" s="301"/>
      <c r="H70" s="301"/>
      <c r="I70" s="301"/>
    </row>
    <row r="71" spans="1:12" ht="16.5" customHeight="1" x14ac:dyDescent="0.3">
      <c r="A71" s="1"/>
      <c r="B71" s="26"/>
      <c r="C71" s="43"/>
      <c r="D71" s="43"/>
      <c r="E71" s="43"/>
      <c r="F71" s="44"/>
      <c r="G71" s="44"/>
      <c r="H71" s="45"/>
      <c r="I71" s="45"/>
    </row>
    <row r="72" spans="1:12" ht="16.5" customHeight="1" x14ac:dyDescent="0.3">
      <c r="A72" s="1"/>
      <c r="B72" s="26"/>
      <c r="C72" s="43"/>
      <c r="D72" s="43"/>
      <c r="E72" s="43"/>
      <c r="F72" s="44"/>
      <c r="G72" s="44"/>
      <c r="H72" s="45"/>
      <c r="I72" s="45"/>
      <c r="J72" s="46"/>
      <c r="K72" s="46"/>
      <c r="L72" s="21"/>
    </row>
    <row r="73" spans="1:12" x14ac:dyDescent="0.3">
      <c r="H73" s="37"/>
    </row>
    <row r="74" spans="1:12" ht="16.5" customHeight="1" x14ac:dyDescent="0.3">
      <c r="H74" s="37"/>
    </row>
    <row r="75" spans="1:12" ht="21" x14ac:dyDescent="0.4">
      <c r="D75" s="229" t="s">
        <v>1712</v>
      </c>
      <c r="E75" s="230"/>
      <c r="F75" s="231"/>
      <c r="G75" s="231"/>
      <c r="H75" s="231"/>
      <c r="I75" s="232"/>
      <c r="J75" s="232"/>
      <c r="K75" s="233"/>
    </row>
    <row r="76" spans="1:12" ht="16.5" customHeight="1" x14ac:dyDescent="0.3">
      <c r="H76" s="37"/>
      <c r="K76" s="239" t="s">
        <v>1711</v>
      </c>
    </row>
    <row r="77" spans="1:12" ht="16.5" customHeight="1" x14ac:dyDescent="0.3">
      <c r="D77" s="193" t="s">
        <v>1717</v>
      </c>
      <c r="H77" s="37"/>
      <c r="K77" s="238">
        <f>J15+J37</f>
        <v>0</v>
      </c>
    </row>
    <row r="78" spans="1:12" ht="16.5" customHeight="1" x14ac:dyDescent="0.3">
      <c r="D78" s="193" t="s">
        <v>1718</v>
      </c>
      <c r="H78" s="37"/>
      <c r="K78" s="238">
        <f>J16+J38</f>
        <v>0</v>
      </c>
    </row>
    <row r="79" spans="1:12" ht="16.5" customHeight="1" x14ac:dyDescent="0.3">
      <c r="D79" s="193" t="s">
        <v>1719</v>
      </c>
      <c r="H79" s="37"/>
      <c r="K79" s="238">
        <f>J17+J39</f>
        <v>0</v>
      </c>
    </row>
    <row r="80" spans="1:12" ht="16.5" customHeight="1" x14ac:dyDescent="0.3">
      <c r="D80" s="193" t="s">
        <v>1720</v>
      </c>
      <c r="H80" s="37"/>
      <c r="K80" s="238">
        <f>-K21-K52</f>
        <v>0</v>
      </c>
    </row>
    <row r="81" spans="4:11" ht="15.6" x14ac:dyDescent="0.3">
      <c r="D81" s="193" t="s">
        <v>1721</v>
      </c>
      <c r="H81" s="37"/>
      <c r="K81" s="238">
        <f>-K22-K51</f>
        <v>0</v>
      </c>
    </row>
    <row r="82" spans="4:11" ht="16.5" customHeight="1" x14ac:dyDescent="0.3">
      <c r="D82" s="193" t="s">
        <v>1722</v>
      </c>
      <c r="H82" s="37"/>
      <c r="K82" s="238">
        <f>-K23-K45+J62+J67</f>
        <v>0</v>
      </c>
    </row>
    <row r="83" spans="4:11" ht="16.5" customHeight="1" x14ac:dyDescent="0.3">
      <c r="D83" s="193" t="s">
        <v>1880</v>
      </c>
      <c r="H83" s="37"/>
      <c r="K83" s="238">
        <f>-K68</f>
        <v>0</v>
      </c>
    </row>
    <row r="84" spans="4:11" ht="16.5" customHeight="1" x14ac:dyDescent="0.3">
      <c r="D84" s="193"/>
      <c r="H84" s="37"/>
    </row>
    <row r="85" spans="4:11" ht="16.5" customHeight="1" x14ac:dyDescent="0.3">
      <c r="H85" s="37"/>
    </row>
    <row r="86" spans="4:11" ht="16.5" customHeight="1" x14ac:dyDescent="0.3">
      <c r="H86" s="37"/>
    </row>
    <row r="87" spans="4:11" ht="16.5" customHeight="1" x14ac:dyDescent="0.3">
      <c r="H87" s="37"/>
    </row>
    <row r="88" spans="4:11" ht="16.5" customHeight="1" x14ac:dyDescent="0.3">
      <c r="H88" s="37"/>
    </row>
    <row r="89" spans="4:11" ht="16.5" customHeight="1" x14ac:dyDescent="0.3">
      <c r="H89" s="37"/>
    </row>
    <row r="90" spans="4:11" ht="16.5" customHeight="1" x14ac:dyDescent="0.3">
      <c r="H90" s="37"/>
    </row>
    <row r="91" spans="4:11" x14ac:dyDescent="0.3">
      <c r="H91" s="37"/>
    </row>
    <row r="92" spans="4:11" ht="16.5" customHeight="1" x14ac:dyDescent="0.3">
      <c r="H92" s="37"/>
    </row>
    <row r="93" spans="4:11" ht="16.5" customHeight="1" x14ac:dyDescent="0.3">
      <c r="H93" s="37"/>
    </row>
    <row r="94" spans="4:11" ht="16.5" customHeight="1" x14ac:dyDescent="0.3">
      <c r="H94" s="37"/>
    </row>
    <row r="95" spans="4:11" ht="16.5" customHeight="1" x14ac:dyDescent="0.3">
      <c r="H95" s="37"/>
    </row>
    <row r="96" spans="4:11" ht="16.5" customHeight="1" x14ac:dyDescent="0.3">
      <c r="H96" s="37"/>
    </row>
    <row r="97" spans="8:8" ht="16.5" customHeight="1" x14ac:dyDescent="0.3">
      <c r="H97" s="37"/>
    </row>
    <row r="98" spans="8:8" ht="16.5" customHeight="1" x14ac:dyDescent="0.3">
      <c r="H98" s="37"/>
    </row>
    <row r="99" spans="8:8" ht="16.5" customHeight="1" x14ac:dyDescent="0.3">
      <c r="H99" s="37"/>
    </row>
    <row r="100" spans="8:8" ht="16.5" customHeight="1" x14ac:dyDescent="0.3">
      <c r="H100" s="37"/>
    </row>
    <row r="101" spans="8:8" ht="16.5" customHeight="1" x14ac:dyDescent="0.3">
      <c r="H101" s="37"/>
    </row>
    <row r="102" spans="8:8" ht="16.5" customHeight="1" x14ac:dyDescent="0.3">
      <c r="H102" s="37"/>
    </row>
    <row r="103" spans="8:8" ht="16.5" customHeight="1" x14ac:dyDescent="0.3">
      <c r="H103" s="37"/>
    </row>
    <row r="104" spans="8:8" ht="16.5" customHeight="1" x14ac:dyDescent="0.3">
      <c r="H104" s="37"/>
    </row>
    <row r="105" spans="8:8" ht="16.5" customHeight="1" x14ac:dyDescent="0.3">
      <c r="H105" s="37"/>
    </row>
    <row r="106" spans="8:8" ht="16.5" customHeight="1" x14ac:dyDescent="0.3">
      <c r="H106" s="37"/>
    </row>
    <row r="107" spans="8:8" ht="16.5" customHeight="1" x14ac:dyDescent="0.3">
      <c r="H107" s="37"/>
    </row>
    <row r="108" spans="8:8" x14ac:dyDescent="0.3">
      <c r="H108" s="37"/>
    </row>
    <row r="109" spans="8:8" ht="16.5" customHeight="1" x14ac:dyDescent="0.3">
      <c r="H109" s="37"/>
    </row>
    <row r="110" spans="8:8" ht="16.5" customHeight="1" x14ac:dyDescent="0.3">
      <c r="H110" s="37"/>
    </row>
    <row r="111" spans="8:8" ht="16.5" customHeight="1" x14ac:dyDescent="0.3">
      <c r="H111" s="37"/>
    </row>
    <row r="112" spans="8:8" ht="16.5" customHeight="1" x14ac:dyDescent="0.3">
      <c r="H112" s="37"/>
    </row>
    <row r="113" spans="8:8" ht="16.5" customHeight="1" x14ac:dyDescent="0.3">
      <c r="H113" s="37"/>
    </row>
    <row r="114" spans="8:8" s="53" customFormat="1" ht="16.5" customHeight="1" x14ac:dyDescent="0.3"/>
    <row r="115" spans="8:8" ht="16.5" customHeight="1" x14ac:dyDescent="0.3">
      <c r="H115" s="37"/>
    </row>
    <row r="116" spans="8:8" ht="16.5" customHeight="1" x14ac:dyDescent="0.3">
      <c r="H116" s="37"/>
    </row>
    <row r="117" spans="8:8" ht="32.25" customHeight="1" x14ac:dyDescent="0.3">
      <c r="H117" s="37"/>
    </row>
    <row r="118" spans="8:8" ht="16.5" customHeight="1" x14ac:dyDescent="0.3">
      <c r="H118" s="37"/>
    </row>
    <row r="119" spans="8:8" ht="16.5" customHeight="1" x14ac:dyDescent="0.3">
      <c r="H119" s="37"/>
    </row>
    <row r="120" spans="8:8" ht="16.5" customHeight="1" x14ac:dyDescent="0.3">
      <c r="H120" s="37"/>
    </row>
    <row r="121" spans="8:8" ht="16.5" customHeight="1" x14ac:dyDescent="0.3">
      <c r="H121" s="37"/>
    </row>
    <row r="122" spans="8:8" ht="16.5" customHeight="1" x14ac:dyDescent="0.3">
      <c r="H122" s="37"/>
    </row>
    <row r="123" spans="8:8" ht="16.5" customHeight="1" x14ac:dyDescent="0.3">
      <c r="H123" s="37"/>
    </row>
    <row r="124" spans="8:8" ht="16.5" customHeight="1" x14ac:dyDescent="0.3">
      <c r="H124" s="37"/>
    </row>
    <row r="125" spans="8:8" ht="16.5" customHeight="1" x14ac:dyDescent="0.3">
      <c r="H125" s="37"/>
    </row>
    <row r="126" spans="8:8" ht="16.5" customHeight="1" x14ac:dyDescent="0.3">
      <c r="H126" s="37"/>
    </row>
    <row r="127" spans="8:8" ht="16.5" customHeight="1" x14ac:dyDescent="0.3">
      <c r="H127" s="37"/>
    </row>
    <row r="128" spans="8:8" ht="16.5" customHeight="1" x14ac:dyDescent="0.3">
      <c r="H128" s="37"/>
    </row>
    <row r="129" spans="8:8" ht="16.5" customHeight="1" x14ac:dyDescent="0.3">
      <c r="H129" s="37"/>
    </row>
    <row r="130" spans="8:8" ht="16.5" customHeight="1" x14ac:dyDescent="0.3">
      <c r="H130" s="37"/>
    </row>
    <row r="131" spans="8:8" ht="16.5" customHeight="1" x14ac:dyDescent="0.3">
      <c r="H131" s="37"/>
    </row>
    <row r="132" spans="8:8" ht="16.5" customHeight="1" x14ac:dyDescent="0.3">
      <c r="H132" s="37"/>
    </row>
    <row r="133" spans="8:8" ht="16.5" customHeight="1" x14ac:dyDescent="0.3">
      <c r="H133" s="37"/>
    </row>
    <row r="134" spans="8:8" ht="16.5" customHeight="1" x14ac:dyDescent="0.3">
      <c r="H134" s="37"/>
    </row>
    <row r="135" spans="8:8" ht="16.5" customHeight="1" x14ac:dyDescent="0.3">
      <c r="H135" s="37"/>
    </row>
    <row r="136" spans="8:8" ht="16.5" customHeight="1" x14ac:dyDescent="0.3">
      <c r="H136" s="37"/>
    </row>
    <row r="137" spans="8:8" ht="16.5" customHeight="1" x14ac:dyDescent="0.3">
      <c r="H137" s="37"/>
    </row>
    <row r="138" spans="8:8" ht="16.5" customHeight="1" x14ac:dyDescent="0.3">
      <c r="H138" s="37"/>
    </row>
    <row r="139" spans="8:8" ht="16.5" customHeight="1" x14ac:dyDescent="0.3">
      <c r="H139" s="37"/>
    </row>
    <row r="140" spans="8:8" ht="16.5" customHeight="1" x14ac:dyDescent="0.3">
      <c r="H140" s="37"/>
    </row>
    <row r="141" spans="8:8" ht="16.5" customHeight="1" x14ac:dyDescent="0.3">
      <c r="H141" s="37"/>
    </row>
    <row r="142" spans="8:8" ht="16.5" customHeight="1" x14ac:dyDescent="0.3">
      <c r="H142" s="37"/>
    </row>
    <row r="143" spans="8:8" ht="16.5" customHeight="1" x14ac:dyDescent="0.3">
      <c r="H143" s="37"/>
    </row>
    <row r="144" spans="8:8" ht="34.5" customHeight="1" x14ac:dyDescent="0.3">
      <c r="H144" s="37"/>
    </row>
    <row r="145" spans="8:8" ht="16.5" customHeight="1" x14ac:dyDescent="0.3">
      <c r="H145" s="37"/>
    </row>
    <row r="146" spans="8:8" ht="16.5" customHeight="1" x14ac:dyDescent="0.3">
      <c r="H146" s="37"/>
    </row>
    <row r="147" spans="8:8" ht="16.5" customHeight="1" x14ac:dyDescent="0.3">
      <c r="H147" s="37"/>
    </row>
    <row r="148" spans="8:8" s="53" customFormat="1" ht="16.5" customHeight="1" x14ac:dyDescent="0.3"/>
    <row r="149" spans="8:8" ht="16.5" customHeight="1" x14ac:dyDescent="0.3">
      <c r="H149" s="37"/>
    </row>
    <row r="150" spans="8:8" ht="16.5" customHeight="1" x14ac:dyDescent="0.3">
      <c r="H150" s="37"/>
    </row>
    <row r="151" spans="8:8" ht="32.2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s="53" customFormat="1" ht="16.5" customHeight="1" x14ac:dyDescent="0.3"/>
    <row r="159" spans="8:8" ht="16.5" customHeight="1" x14ac:dyDescent="0.3">
      <c r="H159" s="37"/>
    </row>
    <row r="160" spans="8:8" ht="34.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ht="16.5" customHeight="1" x14ac:dyDescent="0.3">
      <c r="H168" s="37"/>
    </row>
    <row r="169" spans="8:8" ht="16.5" customHeight="1" x14ac:dyDescent="0.3">
      <c r="H169" s="37"/>
    </row>
  </sheetData>
  <sheetProtection algorithmName="SHA-512" hashValue="H9IpoFgQcUW2B+Tew2WILNq0K/sSKia8hqAPANvXHUaxIjWqyIre3JIKveI539mIGaymJIerhKuoLa0vIqatvQ==" saltValue="GT36hzkJGBmNn/fIDfbURQ=="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",'FP-Fund #### Journal Entries'!F3)</f>
        <v>FY 2022–2023</v>
      </c>
      <c r="K4" s="3"/>
      <c r="L4" s="3"/>
      <c r="M4" s="3"/>
      <c r="N4" s="3"/>
      <c r="O4" s="3"/>
      <c r="P4" s="3"/>
      <c r="Q4" s="71"/>
    </row>
    <row r="5" spans="2:17" ht="20.399999999999999" x14ac:dyDescent="0.35">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6" t="s">
        <v>1688</v>
      </c>
      <c r="I8" s="73"/>
      <c r="J8" s="226" t="s">
        <v>1689</v>
      </c>
      <c r="K8" s="73"/>
      <c r="L8" s="225"/>
      <c r="M8" s="73"/>
      <c r="N8" s="226" t="s">
        <v>1687</v>
      </c>
      <c r="O8" s="73"/>
      <c r="P8" s="225"/>
      <c r="Q8" s="71"/>
    </row>
    <row r="9" spans="2:17" x14ac:dyDescent="0.35">
      <c r="B9" s="69"/>
      <c r="C9" s="73" t="s">
        <v>19</v>
      </c>
      <c r="Q9" s="71"/>
    </row>
    <row r="10" spans="2:17" ht="36.6" thickBot="1" x14ac:dyDescent="0.4">
      <c r="B10" s="69"/>
      <c r="D10" s="75" t="s">
        <v>21</v>
      </c>
      <c r="F10" s="104"/>
      <c r="G10" s="103"/>
      <c r="H10" s="104"/>
      <c r="I10" s="103"/>
      <c r="J10" s="104"/>
      <c r="K10" s="103"/>
      <c r="L10" s="103">
        <f>SUM(F10+H10-J10)</f>
        <v>0</v>
      </c>
      <c r="M10" s="103"/>
      <c r="N10" s="104"/>
      <c r="O10" s="103"/>
      <c r="P10" s="103">
        <f>L10-N10</f>
        <v>0</v>
      </c>
      <c r="Q10" s="71"/>
    </row>
    <row r="11" spans="2:17" ht="19.2" thickTop="1" thickBot="1" x14ac:dyDescent="0.4">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36.6" thickBot="1" x14ac:dyDescent="0.4">
      <c r="B14" s="69"/>
      <c r="D14" s="75" t="s">
        <v>21</v>
      </c>
      <c r="F14" s="104"/>
      <c r="G14" s="103"/>
      <c r="H14" s="104"/>
      <c r="I14" s="103"/>
      <c r="J14" s="104"/>
      <c r="K14" s="103"/>
      <c r="L14" s="103">
        <f>SUM(F14+H14-J14)</f>
        <v>0</v>
      </c>
      <c r="M14" s="103"/>
      <c r="N14" s="104"/>
      <c r="O14" s="103"/>
      <c r="P14" s="103">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36.6" thickBot="1" x14ac:dyDescent="0.4">
      <c r="B18" s="69"/>
      <c r="D18" s="75" t="s">
        <v>21</v>
      </c>
      <c r="F18" s="104"/>
      <c r="G18" s="103"/>
      <c r="H18" s="104"/>
      <c r="I18" s="103"/>
      <c r="J18" s="104"/>
      <c r="K18" s="103"/>
      <c r="L18" s="103">
        <f>SUM(F18+H18-J18)</f>
        <v>0</v>
      </c>
      <c r="M18" s="103"/>
      <c r="N18" s="104"/>
      <c r="O18" s="103"/>
      <c r="P18" s="103">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97D4A4-DA8F-4D83-8BEE-C0820157DCCB}">
  <ds:schemaRefs>
    <ds:schemaRef ds:uri="http://schemas.microsoft.com/office/2006/metadata/properties"/>
    <ds:schemaRef ds:uri="http://schemas.microsoft.com/office/infopath/2007/PartnerControls"/>
    <ds:schemaRef ds:uri="34c91bc0-47e8-459a-859a-0a8b02681609"/>
    <ds:schemaRef ds:uri="93acb6f5-a267-438f-a085-1cd1a6c988ea"/>
  </ds:schemaRefs>
</ds:datastoreItem>
</file>

<file path=customXml/itemProps2.xml><?xml version="1.0" encoding="utf-8"?>
<ds:datastoreItem xmlns:ds="http://schemas.openxmlformats.org/officeDocument/2006/customXml" ds:itemID="{5059EC89-EB37-42A7-AC12-E65722F7AE3B}">
  <ds:schemaRefs>
    <ds:schemaRef ds:uri="http://schemas.microsoft.com/sharepoint/v3/contenttype/forms"/>
  </ds:schemaRefs>
</ds:datastoreItem>
</file>

<file path=customXml/itemProps3.xml><?xml version="1.0" encoding="utf-8"?>
<ds:datastoreItem xmlns:ds="http://schemas.openxmlformats.org/officeDocument/2006/customXml" ds:itemID="{164473C4-28A6-453B-B775-DAB09D8126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acb6f5-a267-438f-a085-1cd1a6c988ea"/>
    <ds:schemaRef ds:uri="34c91bc0-47e8-459a-859a-0a8b026816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16</vt:i4>
      </vt:variant>
    </vt:vector>
  </HeadingPairs>
  <TitlesOfParts>
    <vt:vector size="39" baseType="lpstr">
      <vt:lpstr>Drop Down Menus</vt:lpstr>
      <vt:lpstr>qryIndex02a</vt:lpstr>
      <vt:lpstr>LS-Version Changes</vt:lpstr>
      <vt:lpstr>LS-Fund 0001 Journal Entries</vt:lpstr>
      <vt:lpstr>LS-Fund 0159 Journal Entries</vt:lpstr>
      <vt:lpstr>LS-Fund 0587 Journal Entries</vt:lpstr>
      <vt:lpstr>LS-Fund 0890 Journal Entries</vt:lpstr>
      <vt:lpstr>LS-Fund 0932 Journal Entries</vt:lpstr>
      <vt:lpstr>LS-Fund 3037 Journal Entries</vt:lpstr>
      <vt:lpstr>LS-Fund 3060 Journal Entries</vt:lpstr>
      <vt:lpstr>LS-Fund 3066 Journal Entries</vt:lpstr>
      <vt:lpstr>LS-Fund 3085 Journal Entries</vt:lpstr>
      <vt:lpstr>LS-Department Note Disclosure</vt:lpstr>
      <vt:lpstr>LS-Lease Liabilities</vt:lpstr>
      <vt:lpstr>LS-Check Figures  </vt:lpstr>
      <vt:lpstr>LR-Version Changes</vt:lpstr>
      <vt:lpstr>LR-Fund 3037 Journal Entries</vt:lpstr>
      <vt:lpstr>LR-Fund 3066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3037 Journal Entries'!Print_Area</vt:lpstr>
      <vt:lpstr>'LR-Fund 3066 Journal Entries'!Print_Area</vt:lpstr>
      <vt:lpstr>'LS-Department Note Disclosure'!Print_Area</vt:lpstr>
      <vt:lpstr>'LS-Fund 0001 Journal Entries'!Print_Area</vt:lpstr>
      <vt:lpstr>'LS-Fund 0159 Journal Entries'!Print_Area</vt:lpstr>
      <vt:lpstr>'LS-Fund 0587 Journal Entries'!Print_Area</vt:lpstr>
      <vt:lpstr>'LS-Fund 0890 Journal Entries'!Print_Area</vt:lpstr>
      <vt:lpstr>'LS-Fund 0932 Journal Entries'!Print_Area</vt:lpstr>
      <vt:lpstr>'LS-Fund 3037 Journal Entries'!Print_Area</vt:lpstr>
      <vt:lpstr>'LS-Fund 3060 Journal Entries'!Print_Area</vt:lpstr>
      <vt:lpstr>'LS-Fund 3066 Journal Entries'!Print_Area</vt:lpstr>
      <vt:lpstr>'LS-Fund 3085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Christian Bennett</cp:lastModifiedBy>
  <dcterms:created xsi:type="dcterms:W3CDTF">2023-03-08T17:19:33Z</dcterms:created>
  <dcterms:modified xsi:type="dcterms:W3CDTF">2025-02-12T17:32:43Z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3422500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