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A7CE6D5E-9827-4DF9-90C5-433EB8A8771B}"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140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0140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S22" i="2"/>
  <c r="K22" i="2"/>
  <c r="K127" i="2" s="1"/>
  <c r="S21" i="2"/>
  <c r="K21" i="2"/>
  <c r="K126" i="2" s="1"/>
  <c r="S19" i="2"/>
  <c r="S17" i="2"/>
  <c r="J17" i="2"/>
  <c r="S16" i="2"/>
  <c r="J16" i="2"/>
  <c r="K123" i="2" s="1"/>
  <c r="S15" i="2"/>
  <c r="J15" i="2"/>
  <c r="K122" i="2" s="1"/>
  <c r="K128" i="2" l="1"/>
  <c r="B16" i="7"/>
  <c r="K124"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<sst xmlns="http://schemas.openxmlformats.org/spreadsheetml/2006/main" count="7785" uniqueCount="1762">
  <si>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</si>
  <si>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</si>
  <si>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</si>
  <si>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</si>
  <si>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</si>
  <si>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</si>
  <si>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</si>
  <si>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</si>
  <si>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</si>
  <si>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</si>
  <si>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</si>
  <si>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</si>
  <si>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</si>
  <si>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</si>
  <si>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</si>
  <si>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</si>
  <si>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</si>
  <si>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</si>
  <si>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</si>
  <si>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</si>
  <si>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</si>
  <si>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</si>
  <si>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</si>
  <si>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</si>
  <si>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</si>
  <si>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</si>
  <si>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</si>
  <si>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</si>
  <si>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</si>
  <si>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</si>
  <si>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</si>
  <si>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</si>
  <si>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</si>
  <si>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</si>
  <si>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</si>
  <si>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</si>
  <si>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</si>
  <si>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</si>
  <si>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</si>
  <si>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</si>
  <si>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</si>
  <si>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</si>
  <si>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</si>
  <si>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</si>
  <si>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</si>
  <si>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</si>
  <si>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</si>
  <si>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</si>
  <si>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</si>
  <si>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</si>
  <si>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</si>
  <si>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</si>
  <si>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</si>
  <si>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</si>
  <si>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</si>
  <si>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</si>
  <si>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</si>
  <si>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</si>
  <si>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</si>
  <si>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</si>
  <si>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</si>
  <si>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</si>
  <si>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</si>
  <si>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</si>
  <si>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</si>
  <si>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</si>
  <si>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</si>
  <si>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</si>
  <si>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</si>
  <si>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</si>
  <si>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</si>
  <si>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</si>
  <si>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</si>
  <si>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</si>
  <si>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</si>
  <si>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</si>
  <si>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</si>
  <si>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</si>
  <si>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</si>
  <si>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</si>
  <si>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</si>
  <si>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</si>
  <si>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</si>
  <si>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</si>
  <si>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</si>
  <si>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</si>
  <si>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</si>
  <si>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</si>
  <si>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</si>
  <si>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</si>
  <si>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</si>
  <si>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</si>
  <si>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</si>
  <si>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</si>
  <si>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</si>
  <si>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</si>
  <si>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</si>
  <si>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</si>
  <si>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</si>
  <si>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</si>
  <si>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</si>
  <si>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</si>
  <si>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</si>
  <si>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</si>
  <si>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</si>
  <si>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</si>
  <si>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</si>
  <si>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</si>
  <si>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</si>
  <si>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</si>
  <si>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</si>
  <si>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</si>
  <si>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</si>
  <si>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</si>
  <si>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</si>
  <si>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</si>
  <si>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</si>
  <si>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</si>
  <si>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</si>
  <si>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</si>
  <si>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</si>
  <si>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</si>
  <si>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</si>
  <si>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</si>
  <si>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</si>
  <si>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</si>
  <si>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</si>
  <si>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</si>
  <si>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</si>
  <si>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</si>
  <si>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</si>
  <si>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</si>
  <si>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</si>
  <si>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</si>
  <si>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</si>
  <si>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</si>
  <si>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</si>
  <si>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</si>
  <si>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</si>
  <si>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</si>
  <si>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</si>
  <si>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</si>
  <si>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</si>
  <si>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</si>
  <si>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</si>
  <si>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</si>
  <si>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</si>
  <si>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</si>
  <si>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</si>
  <si>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</si>
  <si>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</si>
  <si>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</si>
  <si>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</si>
  <si>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</si>
  <si>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</si>
  <si>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</si>
  <si>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</si>
  <si>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</si>
  <si>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</si>
  <si>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</si>
  <si>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</si>
  <si>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</si>
  <si>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</si>
  <si>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</si>
  <si>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</si>
  <si>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</si>
  <si>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</si>
  <si>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</si>
  <si>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</si>
  <si>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</si>
  <si>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</si>
  <si>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</si>
  <si>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</si>
  <si>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</si>
  <si>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</si>
  <si>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</si>
  <si>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</si>
  <si>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</si>
  <si>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</si>
  <si>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</si>
  <si>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</si>
  <si>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</si>
  <si>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</si>
  <si>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</si>
  <si>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</si>
  <si>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</si>
  <si>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</si>
  <si>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</si>
  <si>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</si>
  <si>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</si>
  <si>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</si>
  <si>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</si>
  <si>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</si>
  <si>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</si>
  <si>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</si>
  <si>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</si>
  <si>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</si>
  <si>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</si>
  <si>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</si>
  <si>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</si>
  <si>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</si>
  <si>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</si>
  <si>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</si>
  <si>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</si>
  <si>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</si>
  <si>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</si>
  <si>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</si>
  <si>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</si>
  <si>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</si>
  <si>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</si>
  <si>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</si>
  <si>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</si>
  <si>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</si>
  <si>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</si>
  <si>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</si>
  <si>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</si>
  <si>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</si>
  <si>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</si>
  <si>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</si>
  <si>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</si>
  <si>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</si>
  <si>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</si>
  <si>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</si>
  <si>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</si>
  <si>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</si>
  <si>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</si>
  <si>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</si>
  <si>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</si>
  <si>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</si>
  <si>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</si>
  <si>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</si>
  <si>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</si>
  <si>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</si>
  <si>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</si>
  <si>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</si>
  <si>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</si>
  <si>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</si>
  <si>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</si>
  <si>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</si>
  <si>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</si>
  <si>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</si>
  <si>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</si>
  <si>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</si>
  <si>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</si>
  <si>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</si>
  <si>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</si>
  <si>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</si>
  <si>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</si>
  <si>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</si>
  <si>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</si>
  <si>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</si>
  <si>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</si>
  <si>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</si>
  <si>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</si>
  <si>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</si>
  <si>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</si>
  <si>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</si>
  <si>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</si>
  <si>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</si>
  <si>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</si>
  <si>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</si>
  <si>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</si>
  <si>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</si>
  <si>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</si>
  <si>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</si>
  <si>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</si>
  <si>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</si>
  <si>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</si>
  <si>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</si>
  <si>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</si>
  <si>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</si>
  <si>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</si>
  <si>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</si>
  <si>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</si>
  <si>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</si>
  <si>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</si>
  <si>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</si>
  <si>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</si>
  <si>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</si>
  <si>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</si>
  <si>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</si>
  <si>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</si>
  <si>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</si>
  <si>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</si>
  <si>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</si>
  <si>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</si>
  <si>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</si>
  <si>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</si>
  <si>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</si>
  <si>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</si>
  <si>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</si>
  <si>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</si>
  <si>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</si>
  <si>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</si>
  <si>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</si>
  <si>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</si>
  <si>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</si>
  <si>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</si>
  <si>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</si>
  <si>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</si>
  <si>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</si>
  <si>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</si>
  <si>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</si>
  <si>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</si>
  <si>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</si>
  <si>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</si>
  <si>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</si>
  <si>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</si>
  <si>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</si>
  <si>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</si>
  <si>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</si>
  <si>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</si>
  <si>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</si>
  <si>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</si>
  <si>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</si>
  <si>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</si>
  <si>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</si>
  <si>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</si>
  <si>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</si>
  <si>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</si>
  <si>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</si>
  <si>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</si>
  <si>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</si>
  <si>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</si>
  <si>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</si>
  <si>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</si>
  <si>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</si>
  <si>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</si>
  <si>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</si>
  <si>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</si>
  <si>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</si>
  <si>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</si>
  <si>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</si>
  <si>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</si>
  <si>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</si>
  <si>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</si>
  <si>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</si>
  <si>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</si>
  <si>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</si>
  <si>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</si>
  <si>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</si>
  <si>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</si>
  <si>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</si>
  <si>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</si>
  <si>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</si>
  <si>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</si>
  <si>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</si>
  <si>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</si>
  <si>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</si>
  <si>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</si>
  <si>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</si>
  <si>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</si>
  <si>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</si>
  <si>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</si>
  <si>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</si>
  <si>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</si>
  <si>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</si>
  <si>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</si>
  <si>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</si>
  <si>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</si>
  <si>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</si>
  <si>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</si>
  <si>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</si>
  <si>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</si>
  <si>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</si>
  <si>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</si>
  <si>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</si>
  <si>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</si>
  <si>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</si>
  <si>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</si>
  <si>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</si>
  <si>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</si>
  <si>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</si>
  <si>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</si>
  <si>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</si>
  <si>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</si>
  <si>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</si>
  <si>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</si>
  <si>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</si>
  <si>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</si>
  <si>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</si>
  <si>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</si>
  <si>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</si>
  <si>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</si>
  <si>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</si>
  <si>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</si>
  <si>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</si>
  <si>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</si>
  <si>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</si>
  <si>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</si>
  <si>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</si>
  <si>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</si>
  <si>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</si>
  <si>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</si>
  <si>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</si>
  <si>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</si>
  <si>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</si>
  <si>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</si>
  <si>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</si>
  <si>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</si>
  <si>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</si>
  <si>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</si>
  <si>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</si>
  <si>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</si>
  <si>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</si>
  <si>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</si>
  <si>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</si>
  <si>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</si>
  <si>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</si>
  <si>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</si>
  <si>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</si>
  <si>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</si>
  <si>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</si>
  <si>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</si>
  <si>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</si>
  <si>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</si>
  <si>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</si>
  <si>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</si>
  <si>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</si>
  <si>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</si>
  <si>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</si>
  <si>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</si>
  <si>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</si>
  <si>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</si>
  <si>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</si>
  <si>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</si>
  <si>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</si>
  <si>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</si>
  <si>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</si>
  <si>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</si>
  <si>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</si>
  <si>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</si>
  <si>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</si>
  <si>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</si>
  <si>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</si>
  <si>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</si>
  <si>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</si>
  <si>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</si>
  <si>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</si>
  <si>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</si>
  <si>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</si>
  <si>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</si>
  <si>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</si>
  <si>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</si>
  <si>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</si>
  <si>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</si>
  <si>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</si>
  <si>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</si>
  <si>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</si>
  <si>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</si>
  <si>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</si>
  <si>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</si>
  <si>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</si>
  <si>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</si>
  <si>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</si>
  <si>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</si>
  <si>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</si>
  <si>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</si>
  <si>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</si>
  <si>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</si>
  <si>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</si>
  <si>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</si>
  <si>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</si>
  <si>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</si>
  <si>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</si>
  <si>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</si>
  <si>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</si>
  <si>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</si>
  <si>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</si>
  <si>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</si>
  <si>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</si>
  <si>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</si>
  <si>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</si>
  <si>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</si>
  <si>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</si>
  <si>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</si>
  <si>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</si>
  <si>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</si>
  <si>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</si>
  <si>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</si>
  <si>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</si>
  <si>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</si>
  <si>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</si>
  <si>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</si>
  <si>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</si>
  <si>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</si>
  <si>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</si>
  <si>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</si>
  <si>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</si>
  <si>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</si>
  <si>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</si>
  <si>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</si>
  <si>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</si>
  <si>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</si>
  <si>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</si>
  <si>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</si>
  <si>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</si>
  <si>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</si>
  <si>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</si>
  <si>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</si>
  <si>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</si>
  <si>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</si>
  <si>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</si>
  <si>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</si>
  <si>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</si>
  <si>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</si>
  <si>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</si>
  <si>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</si>
  <si>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</si>
  <si>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</si>
  <si>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</si>
  <si>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</si>
  <si>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</si>
  <si>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</si>
  <si>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</si>
  <si>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</si>
  <si>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</si>
  <si>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</si>
  <si>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</si>
  <si>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</si>
  <si>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</si>
  <si>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</si>
  <si>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</si>
  <si>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</si>
  <si>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</si>
  <si>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</si>
  <si>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</si>
  <si>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</si>
  <si>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</si>
  <si>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</si>
  <si>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</si>
  <si>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</si>
  <si>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</si>
  <si>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</si>
  <si>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</si>
  <si>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</si>
  <si>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</si>
  <si>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</si>
  <si>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</si>
  <si>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</si>
  <si>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</si>
  <si>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</si>
  <si>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</si>
  <si>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</si>
  <si>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</si>
  <si>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</si>
  <si>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</si>
  <si>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</si>
  <si>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</si>
  <si>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</si>
  <si>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</si>
  <si>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</si>
  <si>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</si>
  <si>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</si>
  <si>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</si>
  <si>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</si>
  <si>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</si>
  <si>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</si>
  <si>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</si>
  <si>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</si>
  <si>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</si>
  <si>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</si>
  <si>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</si>
  <si>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</si>
  <si>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</si>
  <si>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</si>
  <si>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</si>
  <si>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</si>
  <si>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</si>
  <si>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</si>
  <si>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</si>
  <si>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</si>
  <si>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</si>
  <si>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</si>
  <si>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</si>
  <si>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</si>
  <si>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</si>
  <si>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</si>
  <si>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</si>
  <si>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</si>
  <si>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</si>
  <si>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</si>
  <si>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</si>
  <si>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</si>
  <si>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</si>
  <si>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</si>
  <si>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</si>
  <si>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</si>
  <si>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</si>
  <si>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</si>
  <si>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</si>
  <si>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</si>
  <si>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</si>
  <si>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</si>
  <si>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</si>
  <si>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</si>
  <si>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</si>
  <si>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</si>
  <si>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</si>
  <si>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</si>
  <si>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</si>
  <si>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</si>
  <si>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</si>
  <si>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</si>
  <si>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</si>
  <si>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</si>
  <si>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</si>
  <si>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</si>
  <si>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</si>
  <si>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</si>
  <si>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</si>
  <si>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</si>
  <si>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</si>
  <si>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</si>
  <si>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</si>
  <si>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</si>
  <si>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</si>
  <si>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</si>
  <si>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</si>
  <si>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</si>
  <si>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</si>
  <si>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</si>
  <si>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</si>
  <si>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</si>
  <si>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</si>
  <si>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</si>
  <si>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</si>
  <si>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</si>
  <si>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</si>
  <si>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</si>
  <si>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</si>
  <si>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</si>
  <si>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</si>
  <si>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</si>
  <si>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</si>
  <si>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</si>
  <si>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</si>
  <si>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</si>
  <si>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</si>
  <si>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</si>
  <si>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</si>
  <si>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</si>
  <si>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</si>
  <si>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</si>
  <si>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</si>
  <si>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</si>
  <si>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</si>
  <si>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</si>
  <si>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</si>
  <si>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</si>
  <si>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</si>
  <si>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</si>
  <si>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</si>
  <si>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</si>
  <si>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</si>
  <si>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</si>
  <si>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</si>
  <si>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</si>
  <si>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</si>
  <si>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</si>
  <si>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</si>
  <si>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</si>
  <si>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</si>
  <si>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</si>
  <si>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</si>
  <si>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</si>
  <si>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</si>
  <si>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</si>
  <si>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</si>
  <si>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</si>
  <si>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</si>
  <si>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</si>
  <si>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</si>
  <si>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</si>
  <si>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</si>
  <si>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</si>
  <si>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</si>
  <si>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</si>
  <si>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</si>
  <si>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</si>
  <si>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</si>
  <si>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</si>
  <si>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</si>
  <si>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</si>
  <si>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</si>
  <si>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</si>
  <si>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</si>
  <si>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</si>
  <si>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</si>
  <si>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</si>
  <si>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</si>
  <si>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</si>
  <si>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</si>
  <si>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</si>
  <si>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</si>
  <si>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</si>
  <si>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</si>
  <si>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</si>
  <si>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</si>
  <si>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</si>
  <si>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</si>
  <si>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</si>
  <si>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</si>
  <si>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</si>
  <si>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</si>
  <si>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</si>
  <si>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</si>
  <si>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</si>
  <si>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</si>
  <si>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</si>
  <si>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</si>
  <si>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</si>
  <si>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</si>
  <si>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</si>
  <si>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</si>
  <si>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</si>
  <si>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</si>
  <si>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</si>
  <si>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</si>
  <si>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</si>
  <si>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</si>
  <si>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</si>
  <si>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</si>
  <si>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</si>
  <si>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</si>
  <si>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</si>
  <si>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</si>
  <si>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</si>
  <si>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</si>
  <si>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</si>
  <si>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</si>
  <si>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</si>
  <si>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</si>
  <si>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</si>
  <si>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</si>
  <si>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</si>
  <si>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</si>
  <si>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</si>
  <si>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</si>
  <si>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</si>
  <si>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</si>
  <si>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</si>
  <si>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</si>
  <si>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</si>
  <si>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</si>
  <si>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</si>
  <si>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</si>
  <si>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</si>
  <si>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</si>
  <si>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</si>
  <si>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</si>
  <si>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</si>
  <si>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</si>
  <si>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</si>
  <si>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</si>
  <si>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</si>
  <si>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</si>
  <si>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</si>
  <si>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</si>
  <si>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</si>
  <si>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</si>
  <si>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</si>
  <si>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</si>
  <si>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</si>
  <si>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</si>
  <si>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</si>
  <si>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</si>
  <si>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</si>
  <si>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</si>
  <si>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</si>
  <si>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</si>
  <si>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</si>
  <si>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</si>
  <si>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</si>
  <si>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</si>
  <si>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</si>
  <si>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</si>
  <si>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</si>
  <si>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</si>
  <si>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</si>
  <si>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</si>
  <si>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</si>
  <si>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</si>
  <si>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</si>
  <si>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</si>
  <si>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</si>
  <si>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</si>
  <si>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</si>
  <si>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</si>
  <si>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</si>
  <si>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</si>
  <si>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</si>
  <si>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</si>
  <si>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</si>
  <si>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</si>
  <si>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</si>
  <si>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</si>
  <si>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</si>
  <si>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</si>
  <si>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</si>
  <si>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</si>
  <si>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</si>
  <si>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</si>
  <si>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</si>
  <si>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</si>
  <si>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</si>
  <si>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</si>
  <si>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</si>
  <si>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</si>
  <si>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</si>
  <si>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</si>
  <si>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</si>
  <si>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</si>
  <si>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</si>
  <si>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</si>
  <si>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</si>
  <si>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</si>
  <si>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</si>
  <si>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</si>
  <si>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</si>
  <si>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</si>
  <si>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</si>
  <si>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</si>
  <si>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</si>
  <si>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</si>
  <si>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</si>
  <si>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</si>
  <si>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</si>
  <si>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</si>
  <si>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</si>
  <si>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</si>
  <si>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</si>
  <si>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</si>
  <si>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</si>
  <si>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</si>
  <si>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</si>
  <si>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</si>
  <si>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</si>
  <si>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</si>
  <si>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</si>
  <si>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</si>
  <si>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</si>
  <si>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</si>
  <si>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</si>
  <si>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</si>
  <si>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</si>
  <si>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</si>
  <si>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</si>
  <si>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</si>
  <si>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</si>
  <si>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</si>
  <si>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</si>
  <si>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</si>
  <si>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</si>
  <si>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</si>
  <si>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</si>
  <si>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</si>
  <si>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</si>
  <si>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</si>
  <si>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</si>
  <si>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</si>
  <si>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</si>
  <si>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</si>
  <si>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</si>
  <si>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</si>
  <si>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</si>
  <si>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</si>
  <si>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</si>
  <si>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</si>
  <si>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</si>
  <si>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</si>
  <si>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</si>
  <si>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</si>
  <si>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</si>
  <si>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</si>
  <si>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</si>
  <si>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</si>
  <si>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</si>
  <si>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</si>
  <si>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</si>
  <si>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</si>
  <si>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</si>
  <si>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</si>
  <si>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</si>
  <si>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</si>
  <si>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</si>
  <si>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</si>
  <si>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</si>
  <si>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</si>
  <si>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</si>
  <si>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</si>
  <si>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</si>
  <si>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</si>
  <si>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</si>
  <si>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</si>
  <si>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</si>
  <si>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</si>
  <si>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</si>
  <si>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</si>
  <si>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</si>
  <si>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</si>
  <si>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</si>
  <si>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</si>
  <si>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</si>
  <si>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</si>
  <si>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</si>
  <si>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</si>
  <si>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</si>
  <si>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</si>
  <si>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</si>
  <si>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</si>
  <si>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</si>
  <si>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</si>
  <si>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</si>
  <si>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</si>
  <si>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</si>
  <si>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</si>
  <si>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</si>
  <si>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</si>
  <si>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</si>
  <si>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</si>
  <si>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</si>
  <si>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</si>
  <si>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</si>
  <si>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</si>
  <si>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</si>
  <si>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</si>
  <si>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</si>
  <si>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</si>
  <si>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</si>
  <si>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</si>
  <si>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</si>
  <si>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</si>
  <si>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</si>
  <si>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</si>
  <si>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</si>
  <si>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</si>
  <si>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</si>
  <si>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</si>
  <si>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</si>
  <si>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</si>
  <si>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</si>
  <si>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</si>
  <si>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</si>
  <si>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</si>
  <si>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</si>
  <si>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</si>
  <si>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</si>
  <si>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</si>
  <si>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</si>
  <si>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</si>
  <si>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</si>
  <si>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</si>
  <si>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</si>
  <si>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</si>
  <si>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</si>
  <si>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</si>
  <si>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</si>
  <si>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</si>
  <si>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</si>
  <si>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</si>
  <si>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</si>
  <si>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</si>
  <si>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</si>
  <si>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</si>
  <si>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</si>
  <si>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</si>
  <si>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</si>
  <si>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</si>
  <si>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</si>
  <si>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</si>
  <si>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</si>
  <si>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</si>
  <si>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</si>
  <si>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</si>
  <si>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</si>
  <si>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</si>
  <si>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</si>
  <si>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</si>
  <si>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</si>
  <si>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</si>
  <si>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</si>
  <si>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</si>
  <si>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</si>
  <si>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</si>
  <si>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</si>
  <si>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</si>
  <si>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</si>
  <si>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</si>
  <si>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</si>
  <si>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</si>
  <si>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</si>
  <si>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</si>
  <si>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</si>
  <si>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</si>
  <si>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</si>
  <si>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</si>
  <si>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</si>
  <si>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</si>
  <si>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</si>
  <si>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</si>
  <si>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</si>
  <si>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</si>
  <si>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</si>
  <si>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</si>
  <si>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</si>
  <si>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</si>
  <si>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</si>
  <si>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</si>
  <si>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</si>
  <si>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</si>
  <si>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</si>
  <si>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</si>
  <si>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</si>
  <si>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</si>
  <si>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</si>
  <si>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</si>
  <si>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</si>
  <si>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</si>
  <si>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</si>
  <si>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</si>
  <si>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</si>
  <si>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</si>
  <si>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</si>
  <si>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</si>
  <si>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</si>
  <si>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</si>
  <si>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</si>
  <si>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</si>
  <si>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</si>
  <si>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</si>
  <si>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</si>
  <si>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</si>
  <si>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</si>
  <si>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</si>
  <si>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</si>
  <si>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</si>
  <si>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</si>
  <si>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</si>
  <si>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</si>
  <si>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</si>
  <si>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</si>
  <si>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</si>
  <si>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</si>
  <si>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</si>
  <si>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</si>
  <si>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</si>
  <si>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</si>
  <si>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</si>
  <si>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</si>
  <si>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</si>
  <si>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</si>
  <si>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</si>
  <si>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</si>
  <si>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</si>
  <si>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</si>
  <si>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</si>
  <si>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</si>
  <si>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</si>
  <si>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</si>
  <si>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</si>
  <si>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</si>
  <si>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</si>
  <si>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</si>
  <si>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</si>
  <si>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</si>
  <si>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</si>
  <si>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</si>
  <si>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</si>
  <si>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</si>
  <si>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</si>
  <si>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</si>
  <si>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</si>
  <si>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</si>
  <si>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</si>
  <si>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</si>
  <si>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</si>
  <si>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</si>
  <si>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</si>
  <si>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</si>
  <si>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</si>
  <si>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</si>
  <si>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</si>
  <si>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</si>
  <si>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</si>
  <si>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</si>
  <si>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</si>
  <si>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</si>
  <si>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</si>
  <si>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</si>
  <si>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</si>
  <si>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</si>
  <si>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</si>
  <si>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</si>
  <si>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</si>
  <si>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</si>
  <si>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</si>
  <si>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</si>
  <si>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</si>
  <si>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</si>
  <si>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</si>
  <si>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</si>
  <si>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</si>
  <si>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</si>
  <si>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</si>
  <si>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</si>
  <si>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</si>
  <si>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</si>
  <si>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</si>
  <si>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</si>
  <si>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</si>
  <si>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</si>
  <si>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</si>
  <si>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</si>
  <si>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</si>
  <si>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</si>
  <si>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</si>
  <si>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</si>
  <si>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</si>
  <si>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</si>
  <si>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</si>
  <si>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</si>
  <si>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</si>
  <si>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</si>
  <si>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</si>
  <si>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</si>
  <si>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</si>
  <si>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</si>
  <si>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</si>
  <si>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</si>
  <si>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</si>
  <si>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</si>
  <si>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</si>
  <si>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</si>
  <si>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</si>
  <si>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</si>
  <si>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</si>
  <si>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</si>
  <si>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</si>
  <si>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</si>
  <si>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</si>
  <si>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</si>
  <si>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</si>
  <si>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</si>
  <si>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</si>
  <si>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</si>
  <si>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</si>
  <si>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</si>
  <si>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</si>
  <si>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</si>
  <si>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</si>
  <si>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</si>
  <si>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</si>
  <si>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</si>
  <si>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</si>
  <si>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</si>
  <si>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</si>
  <si>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</si>
  <si>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</si>
  <si>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</si>
  <si>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</si>
  <si>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</si>
  <si>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</si>
  <si>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</si>
  <si>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</si>
  <si>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</si>
  <si>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</si>
  <si>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</si>
  <si>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</si>
  <si>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</si>
  <si>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</si>
  <si>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</si>
  <si>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</si>
  <si>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</si>
  <si>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</si>
  <si>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</si>
  <si>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</si>
  <si>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</si>
  <si>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</si>
  <si>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</si>
  <si>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</si>
  <si>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</si>
  <si>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</si>
  <si>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</si>
  <si>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</si>
  <si>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</si>
  <si>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</si>
  <si>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</si>
  <si>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</si>
  <si>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</si>
  <si>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</si>
  <si>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</si>
  <si>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</si>
  <si>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</si>
  <si>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</si>
  <si>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</si>
  <si>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</si>
  <si>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</si>
  <si>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</si>
  <si>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</si>
  <si>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</si>
  <si>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</si>
  <si>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</si>
  <si>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</si>
  <si>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</si>
  <si>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</si>
  <si>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</si>
  <si>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</si>
  <si>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</si>
  <si>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</si>
  <si>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</si>
  <si>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</si>
  <si>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</si>
  <si>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</si>
  <si>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</si>
  <si>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</si>
  <si>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</si>
  <si>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</si>
  <si>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</si>
  <si>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</si>
  <si>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</si>
  <si>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</si>
  <si>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</si>
  <si>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</si>
  <si>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</si>
  <si>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</si>
  <si>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</si>
  <si>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</si>
  <si>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</si>
  <si>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</si>
  <si>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</si>
  <si>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</si>
  <si>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</si>
  <si>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</si>
  <si>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</si>
  <si>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</si>
  <si>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</si>
  <si>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</si>
  <si>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</si>
  <si>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</si>
  <si>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</si>
  <si>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</si>
  <si>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</si>
  <si>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</si>
  <si>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</si>
  <si>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</si>
  <si>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</si>
  <si>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</si>
  <si>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</si>
  <si>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</si>
  <si>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</si>
  <si>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</si>
  <si>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</si>
  <si>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</si>
  <si>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</si>
  <si>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</si>
  <si>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</si>
  <si>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</si>
  <si>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</si>
  <si>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</si>
  <si>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</si>
  <si>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</si>
  <si>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</si>
  <si>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</si>
  <si>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</si>
  <si>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</si>
  <si>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</si>
  <si>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</si>
  <si>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</si>
  <si>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</si>
  <si>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</si>
  <si>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</si>
  <si>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</si>
  <si>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</si>
  <si>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</si>
  <si>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</si>
  <si>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</si>
  <si>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</si>
  <si>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</si>
  <si>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</si>
  <si>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</si>
  <si>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</si>
  <si>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</si>
  <si>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</si>
  <si>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</si>
  <si>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</si>
  <si>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</si>
  <si>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</si>
  <si>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</si>
  <si>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</si>
  <si>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</si>
  <si>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</si>
  <si>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</si>
  <si>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</si>
  <si>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</si>
  <si>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</si>
  <si>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</si>
  <si>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</si>
  <si>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</si>
  <si>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</si>
  <si>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</si>
  <si>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</si>
  <si>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</si>
  <si>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</si>
  <si>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</si>
  <si>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</si>
  <si>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</si>
  <si>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</si>
  <si>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</si>
  <si>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</si>
  <si>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</si>
  <si>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</si>
  <si>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</si>
  <si>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</si>
  <si>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</si>
  <si>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</si>
  <si>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</si>
  <si>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</si>
  <si>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</si>
  <si>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</si>
  <si>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</si>
  <si>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</si>
  <si>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</si>
  <si>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</si>
  <si>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</si>
  <si>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</si>
  <si>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</si>
  <si>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</si>
  <si>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</si>
  <si>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</si>
  <si>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</si>
  <si>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</si>
  <si>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</si>
  <si>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</si>
  <si>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</si>
  <si>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</si>
  <si>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</si>
  <si>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</si>
  <si>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</si>
  <si>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</si>
  <si>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</si>
  <si>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</si>
  <si>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</si>
  <si>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</si>
  <si>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</si>
  <si>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</si>
  <si>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</si>
  <si>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</si>
  <si>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</si>
  <si>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</si>
  <si>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</si>
  <si>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</si>
  <si>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</si>
  <si>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</si>
  <si>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</si>
  <si>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</si>
  <si>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</si>
  <si>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</si>
  <si>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</si>
  <si>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</si>
  <si>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</si>
  <si>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</si>
  <si>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</si>
  <si>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</si>
  <si>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</si>
  <si>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</si>
  <si>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</si>
  <si>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</si>
  <si>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</si>
  <si>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</si>
  <si>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</si>
  <si>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</si>
  <si>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</si>
  <si>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</si>
  <si>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</si>
  <si>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</si>
  <si>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</si>
  <si>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</si>
  <si>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</si>
  <si>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</si>
  <si>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</si>
  <si>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</si>
  <si>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</si>
  <si>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</si>
  <si>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</si>
  <si>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</si>
  <si>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</si>
  <si>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</si>
  <si>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</si>
  <si>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</si>
  <si>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</si>
  <si>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</si>
  <si>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</si>
  <si>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</si>
  <si>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</si>
  <si>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</si>
  <si>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</si>
  <si>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</si>
  <si>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</si>
  <si>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</si>
  <si>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</si>
  <si>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</si>
  <si>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</si>
  <si>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</si>
  <si>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</si>
  <si>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</si>
  <si>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</si>
  <si>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</si>
  <si>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</si>
  <si>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</si>
  <si>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</si>
  <si>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</si>
  <si>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</si>
  <si>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</si>
  <si>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</si>
  <si>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</si>
  <si>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</si>
  <si>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</si>
  <si>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</si>
  <si>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</si>
  <si>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</si>
  <si>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</si>
  <si>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</si>
  <si>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</si>
  <si>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</si>
  <si>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</si>
  <si>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</si>
  <si>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</si>
  <si>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</si>
  <si>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</si>
  <si>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</si>
  <si>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</si>
  <si>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</si>
  <si>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</si>
  <si>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</si>
  <si>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</si>
  <si>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</si>
  <si>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</si>
  <si>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</si>
  <si>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</si>
  <si>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</si>
  <si>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</si>
  <si>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</si>
  <si>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</si>
  <si>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</si>
  <si>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</si>
  <si>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</si>
  <si>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</si>
  <si>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</si>
  <si>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</si>
  <si>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</si>
  <si>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</si>
  <si>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</si>
  <si>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</si>
  <si>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</si>
  <si>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</si>
  <si>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</si>
  <si>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</si>
  <si>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</si>
  <si>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</si>
  <si>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</si>
  <si>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</si>
  <si>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</si>
  <si>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</si>
  <si>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</si>
  <si>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</si>
  <si>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</si>
  <si>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</si>
  <si>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</si>
  <si>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</si>
  <si>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</si>
  <si>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</si>
  <si>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</si>
  <si>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</si>
  <si>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</si>
  <si>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</si>
  <si>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</si>
  <si>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</si>
  <si>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</si>
  <si>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</si>
  <si>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</si>
  <si>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</si>
  <si>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</si>
  <si>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</si>
  <si>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</si>
  <si>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</si>
  <si>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</si>
  <si>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</si>
  <si>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</si>
  <si>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</si>
  <si>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</si>
  <si>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</si>
  <si>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</si>
  <si>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</si>
  <si>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</si>
  <si>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</si>
  <si>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</si>
  <si>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</si>
  <si>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</si>
  <si>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</si>
  <si>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</si>
  <si>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</si>
  <si>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</si>
  <si>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</si>
  <si>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</si>
  <si>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</si>
  <si>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</si>
  <si>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</si>
  <si>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</si>
  <si>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</si>
  <si>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</si>
  <si>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</si>
  <si>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</si>
  <si>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</si>
  <si>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</si>
  <si>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</si>
  <si>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</si>
  <si>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</si>
  <si>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</si>
  <si>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</si>
  <si>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</si>
  <si>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</si>
  <si>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</si>
  <si>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</si>
  <si>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</si>
  <si>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</si>
  <si>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</si>
  <si>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</si>
  <si>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</si>
  <si>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</si>
  <si>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</si>
  <si>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</si>
  <si>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</si>
  <si>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</si>
  <si>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</si>
  <si>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</si>
  <si>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</si>
  <si>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</si>
  <si>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</si>
  <si>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</si>
  <si>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</si>
  <si>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</si>
  <si>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</si>
  <si>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</si>
  <si>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</si>
  <si>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</si>
  <si>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</si>
  <si>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</si>
  <si>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</si>
  <si>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</si>
  <si>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</si>
  <si>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</si>
  <si>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</si>
  <si>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</si>
  <si>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</si>
  <si>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</si>
  <si>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</si>
  <si>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</si>
  <si>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</si>
  <si>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</si>
  <si>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</si>
  <si>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</si>
  <si>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</si>
  <si>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</si>
  <si>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</si>
  <si>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</si>
  <si>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</si>
  <si>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</si>
  <si>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</si>
  <si>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</si>
  <si>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</si>
  <si>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</si>
  <si>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</si>
  <si>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</si>
  <si>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</si>
  <si>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</si>
  <si>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</si>
  <si>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</si>
  <si>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</si>
  <si>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</si>
  <si>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</si>
  <si>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</si>
  <si>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</si>
  <si>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</si>
  <si>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</si>
  <si>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</si>
  <si>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</si>
  <si>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</si>
  <si>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</si>
  <si>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</si>
  <si>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</si>
  <si>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</si>
  <si>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</si>
  <si>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</si>
  <si>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</si>
  <si>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</si>
  <si>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</si>
  <si>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</si>
  <si>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</si>
  <si>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</si>
  <si>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</si>
  <si>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</si>
  <si>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</si>
  <si>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</si>
  <si>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</si>
  <si>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</si>
  <si>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</si>
  <si>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</si>
  <si>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</si>
  <si>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</si>
  <si>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</si>
  <si>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</si>
  <si>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</si>
  <si>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</si>
  <si>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</si>
  <si>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</si>
  <si>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</si>
  <si>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</si>
  <si>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</si>
  <si>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</si>
  <si>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</si>
  <si>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</si>
  <si>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</si>
  <si>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</si>
  <si>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</si>
  <si>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</si>
  <si>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</si>
  <si>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</si>
  <si>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</si>
  <si>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</si>
  <si>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</si>
  <si>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</si>
  <si>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</si>
  <si>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</si>
  <si>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</si>
  <si>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</si>
  <si>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</si>
  <si>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</si>
  <si>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</si>
  <si>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</si>
  <si>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</si>
  <si>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</si>
  <si>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</si>
  <si>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</si>
  <si>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</si>
  <si>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</si>
  <si>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</si>
  <si>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</si>
  <si>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</si>
  <si>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</si>
  <si>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</si>
  <si>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</si>
  <si>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</si>
  <si>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</si>
  <si>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</si>
  <si>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</si>
  <si>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</si>
  <si>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</si>
  <si>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</si>
  <si>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</si>
  <si>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</si>
  <si>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</si>
  <si>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</si>
  <si>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</si>
  <si>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</si>
  <si>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</si>
  <si>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</si>
  <si>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</si>
  <si>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</si>
  <si>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</si>
  <si>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</si>
  <si>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</si>
  <si>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</si>
  <si>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</si>
  <si>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</si>
  <si>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</si>
  <si>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</si>
  <si>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</si>
  <si>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</si>
  <si>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</si>
  <si>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</si>
  <si>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</si>
  <si>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</si>
  <si>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</si>
  <si>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</si>
  <si>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</si>
  <si>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</si>
  <si>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</si>
  <si>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</si>
  <si>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</si>
  <si>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</si>
  <si>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</si>
  <si>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</si>
  <si>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</si>
  <si>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</si>
  <si>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</si>
  <si>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</si>
  <si>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</si>
  <si>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</si>
  <si>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</si>
  <si>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</si>
  <si>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</si>
  <si>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</si>
  <si>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</si>
  <si>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</si>
  <si>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</si>
  <si>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</si>
  <si>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</si>
  <si>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</si>
  <si>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</si>
  <si>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</si>
  <si>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</si>
  <si>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</si>
  <si>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</si>
  <si>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</si>
  <si>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</si>
  <si>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</si>
  <si>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</si>
  <si>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</si>
  <si>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</si>
  <si>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</si>
  <si>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</si>
  <si>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</si>
  <si>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</si>
  <si>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</si>
  <si>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</si>
  <si>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</si>
  <si>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</si>
  <si>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</si>
  <si>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</si>
  <si>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</si>
  <si>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</si>
  <si>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</si>
  <si>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</si>
  <si>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</si>
  <si>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</si>
  <si>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</si>
  <si>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</si>
  <si>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</si>
  <si>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</si>
  <si>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</si>
  <si>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</si>
  <si>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</si>
  <si>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</si>
  <si>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</si>
  <si>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</si>
  <si>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</si>
  <si>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</si>
  <si>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</si>
  <si>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</si>
  <si>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</si>
  <si>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</si>
  <si>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</si>
  <si>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</si>
  <si>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</si>
  <si>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</si>
  <si>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</si>
  <si>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</si>
  <si>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</si>
  <si>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</si>
  <si>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Delta Protection Commission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</si>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</sst>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5" activePane="bottomLeft" state="frozen"/>
      <selection activeCell="H56" sqref="H56"/>
      <selection pane="bottomLeft" activeCell="A18" sqref="A18:XFD18"/>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H137" sqref="H137"/>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770</v>
      </c>
      <c r="G5" s="188"/>
      <c r="H5" s="188"/>
      <c r="I5" s="188"/>
      <c r="L5" s="12"/>
      <c r="M5" s="12"/>
      <c r="N5" s="12"/>
      <c r="O5" s="12"/>
      <c r="P5" s="12"/>
      <c r="Q5" s="12"/>
    </row>
    <row r="6" spans="1:19" ht="16.5" customHeight="1" x14ac:dyDescent="0.3">
      <c r="A6" s="186" t="s">
        <v>1635</v>
      </c>
      <c r="B6" s="186"/>
      <c r="C6" s="186"/>
      <c r="D6" s="186"/>
      <c r="E6" s="186"/>
      <c r="F6" s="189">
        <v>140</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441275</v>
      </c>
      <c r="M17" s="143">
        <v>441275</v>
      </c>
      <c r="P17" s="143">
        <v>441275</v>
      </c>
      <c r="Q17" s="155"/>
      <c r="S17" s="154">
        <f t="shared" si="0"/>
        <v>0</v>
      </c>
    </row>
    <row r="18" spans="1:19" ht="16.5" customHeight="1" x14ac:dyDescent="0.3">
      <c r="A18" s="54"/>
      <c r="B18" s="9" t="s">
        <v>169</v>
      </c>
      <c r="C18" s="9"/>
      <c r="D18" s="9"/>
      <c r="E18" s="140"/>
      <c r="F18" s="141"/>
      <c r="G18" s="141"/>
      <c r="H18" s="142"/>
      <c r="I18" s="142"/>
      <c r="J18" s="178">
        <f>P18</f>
        <v>0</v>
      </c>
      <c r="M18" s="143">
        <v>0</v>
      </c>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47279</v>
      </c>
      <c r="N22" s="143">
        <v>47279</v>
      </c>
      <c r="P22" s="155"/>
      <c r="Q22" s="143">
        <v>47279</v>
      </c>
      <c r="S22" s="154">
        <f t="shared" ref="S22:S25" si="1">Q22-N22</f>
        <v>0</v>
      </c>
    </row>
    <row r="23" spans="1:19" ht="16.5" customHeight="1" x14ac:dyDescent="0.3">
      <c r="A23" s="165" t="s">
        <v>1646</v>
      </c>
      <c r="B23" s="9"/>
      <c r="C23" s="9" t="s">
        <v>174</v>
      </c>
      <c r="D23" s="9"/>
      <c r="E23" s="140"/>
      <c r="F23" s="141"/>
      <c r="G23" s="141"/>
      <c r="H23" s="142"/>
      <c r="I23" s="142"/>
      <c r="J23" s="150"/>
      <c r="K23" s="178">
        <f>N23</f>
        <v>365540</v>
      </c>
      <c r="N23" s="143">
        <v>365540</v>
      </c>
      <c r="P23" s="155"/>
      <c r="Q23" s="143">
        <v>365540</v>
      </c>
      <c r="S23" s="154">
        <f t="shared" si="1"/>
        <v>0</v>
      </c>
    </row>
    <row r="24" spans="1:19" ht="16.5" customHeight="1" x14ac:dyDescent="0.3">
      <c r="A24" s="54"/>
      <c r="B24" s="9"/>
      <c r="C24" s="9" t="s">
        <v>176</v>
      </c>
      <c r="D24" s="9"/>
      <c r="E24" s="140"/>
      <c r="F24" s="141"/>
      <c r="G24" s="141"/>
      <c r="H24" s="142"/>
      <c r="I24" s="142"/>
      <c r="J24" s="150"/>
      <c r="K24" s="178">
        <f>Q24</f>
        <v>28456</v>
      </c>
      <c r="N24" s="143">
        <v>28456</v>
      </c>
      <c r="P24" s="155"/>
      <c r="Q24" s="152">
        <f>IF(SUM($Q$20:$Q$23)&lt;SUM($P$15:$P$17),-SUM($Q$20:$Q$23)+SUM($P$15:$P$17),0)</f>
        <v>28456</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v>0</v>
      </c>
      <c r="P25" s="155"/>
      <c r="Q25" s="155"/>
      <c r="S25" s="154">
        <f t="shared" si="1"/>
        <v>0</v>
      </c>
    </row>
    <row r="26" spans="1:19" ht="16.5" customHeight="1" x14ac:dyDescent="0.3">
      <c r="A26" s="54"/>
      <c r="C26" s="20"/>
      <c r="D26" s="20"/>
      <c r="E26" s="20"/>
      <c r="F26" s="127"/>
      <c r="G26" s="127"/>
      <c r="H26" s="22"/>
      <c r="I26" s="22"/>
      <c r="J26" s="107">
        <f>SUM(J15:J25)</f>
        <v>441275</v>
      </c>
      <c r="K26" s="107">
        <f>SUM(K15:K25)</f>
        <v>441275</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47279</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47279</v>
      </c>
    </row>
    <row r="59" spans="1:16" ht="16.5" customHeight="1" x14ac:dyDescent="0.3">
      <c r="A59" s="54"/>
      <c r="C59" s="16"/>
      <c r="D59" s="16"/>
      <c r="E59" s="16"/>
      <c r="F59" s="17"/>
      <c r="G59" s="17"/>
      <c r="H59" s="18"/>
      <c r="I59" s="18"/>
      <c r="J59" s="107">
        <f>SUM(J55:J58)</f>
        <v>47279</v>
      </c>
      <c r="K59" s="107">
        <f>SUM(K55:K58)</f>
        <v>47279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48242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10154</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58396</v>
      </c>
    </row>
    <row r="65" spans="1:12" ht="16.5" customHeight="1" x14ac:dyDescent="0.3">
      <c r="A65" s="54"/>
      <c r="C65" s="16"/>
      <c r="D65" s="16"/>
      <c r="E65" s="16"/>
      <c r="F65" s="17"/>
      <c r="G65" s="17"/>
      <c r="H65" s="18"/>
      <c r="I65" s="18"/>
      <c r="J65" s="107">
        <f>SUM(J62:J64)</f>
        <v>58396</v>
      </c>
      <c r="K65" s="107">
        <f>SUM(K62:K64)</f>
        <v>58396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48242</v>
      </c>
      <c r="K68" s="144"/>
    </row>
    <row r="69" spans="1:12" ht="16.5" customHeight="1" x14ac:dyDescent="0.3">
      <c r="A69" s="54"/>
      <c r="B69" s="9"/>
      <c r="C69" s="9" t="s">
        <v>186</v>
      </c>
      <c r="D69" s="140"/>
      <c r="E69" s="140"/>
      <c r="F69" s="141"/>
      <c r="G69" s="141"/>
      <c r="H69" s="142"/>
      <c r="I69" s="142"/>
      <c r="J69" s="144"/>
      <c r="K69" s="143">
        <v>48242</v>
      </c>
    </row>
    <row r="70" spans="1:12" ht="16.5" customHeight="1" x14ac:dyDescent="0.3">
      <c r="A70" s="54"/>
      <c r="C70" s="16"/>
      <c r="D70" s="16"/>
      <c r="E70" s="16"/>
      <c r="F70" s="17"/>
      <c r="G70" s="17"/>
      <c r="H70" s="18"/>
      <c r="I70" s="18"/>
      <c r="J70" s="107">
        <f>SUM(J68:J69)</f>
        <v>48242</v>
      </c>
      <c r="K70" s="107">
        <f>SUM(K68:K69)</f>
        <v>48242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35010</v>
      </c>
      <c r="K75" s="144"/>
    </row>
    <row r="76" spans="1:12" ht="16.5" customHeight="1" x14ac:dyDescent="0.3">
      <c r="A76" s="54"/>
      <c r="B76" s="9"/>
      <c r="C76" s="9" t="s">
        <v>194</v>
      </c>
      <c r="D76" s="140"/>
      <c r="E76" s="140"/>
      <c r="F76" s="141"/>
      <c r="G76" s="141"/>
      <c r="H76" s="142"/>
      <c r="I76" s="142"/>
      <c r="J76" s="144"/>
      <c r="K76" s="143">
        <v>35010</v>
      </c>
    </row>
    <row r="77" spans="1:12" ht="16.5" customHeight="1" x14ac:dyDescent="0.25">
      <c r="A77" s="54"/>
      <c r="B77" s="193" t="s">
        <v>1735</v>
      </c>
      <c r="C77" s="193"/>
      <c r="D77" s="193"/>
      <c r="E77" s="193"/>
      <c r="F77" s="193"/>
      <c r="G77" s="193"/>
      <c r="H77" s="193"/>
      <c r="I77" s="193"/>
      <c r="J77" s="107">
        <f>SUM(J75:J76)</f>
        <v>35010</v>
      </c>
      <c r="K77" s="107">
        <f>SUM(K75:K76)</f>
        <v>35010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441275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-94558</v>
      </c>
    </row>
    <row r="128" spans="1:12" ht="16.5" customHeight="1" x14ac:dyDescent="0.3">
      <c r="D128" s="140" t="s">
        <v>1657</v>
      </c>
      <c r="H128" s="10"/>
      <c r="K128" s="169">
        <f>-K23-K48+J68+J75+J96-K113</f>
        <v>-282288</v>
      </c>
    </row>
    <row r="129" spans="4:11" ht="16.5" customHeight="1" x14ac:dyDescent="0.3">
      <c r="D129" s="140" t="s">
        <v>1658</v>
      </c>
      <c r="H129" s="10"/>
      <c r="K129" s="169">
        <f>-K76</f>
        <v>-35010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4" zoomScale="70" zoomScaleNormal="70" workbookViewId="0">
      <selection activeCell="B19" sqref="B19"/>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349999999999994" customHeight="1" x14ac:dyDescent="0.3">
      <c r="A2" s="202" t="s">
        <v>138</v>
      </c>
      <c r="B2" s="202"/>
      <c r="C2" s="202"/>
      <c r="D2" s="202"/>
      <c r="E2" s="202"/>
      <c r="F2" s="202"/>
      <c r="G2" s="3"/>
      <c r="H2" s="3"/>
      <c r="I2" s="3"/>
      <c r="J2" s="3"/>
      <c r="K2" s="3"/>
      <c r="L2" s="3"/>
      <c r="M2" s="3"/>
    </row>
    <row r="3" spans="1:13" ht="32.1" customHeight="1" x14ac:dyDescent="0.3">
      <c r="A3" s="196" t="s">
        <v>195</v>
      </c>
      <c r="B3" s="196"/>
      <c r="C3" s="196"/>
      <c r="D3" s="24"/>
      <c r="E3" s="3"/>
      <c r="F3" s="3"/>
      <c r="G3" s="3"/>
      <c r="H3" s="3"/>
      <c r="I3" s="3"/>
      <c r="J3" s="3"/>
      <c r="K3" s="3"/>
      <c r="L3" s="3"/>
      <c r="M3" s="3"/>
    </row>
    <row r="4" spans="1:13" ht="31.35" customHeight="1" x14ac:dyDescent="0.3">
      <c r="A4" s="197" t="s">
        <v>5</v>
      </c>
      <c r="B4" s="197"/>
      <c r="C4" s="197"/>
      <c r="D4" s="24"/>
      <c r="E4" s="3"/>
      <c r="F4" s="3"/>
      <c r="G4" s="3"/>
      <c r="H4" s="3"/>
      <c r="I4" s="3"/>
      <c r="J4" s="3"/>
      <c r="K4" s="3"/>
      <c r="L4" s="3"/>
      <c r="M4" s="3"/>
    </row>
    <row r="5" spans="1:13" ht="31.35"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3840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35010</v>
      </c>
      <c r="C13" s="55">
        <v>9044</v>
      </c>
      <c r="D13" s="199" t="s">
        <v>4</v>
      </c>
      <c r="E13" s="200"/>
      <c r="F13" s="200"/>
      <c r="G13" s="29"/>
      <c r="H13" s="29"/>
      <c r="I13" s="29"/>
      <c r="J13" s="29"/>
      <c r="K13" s="29"/>
      <c r="L13" s="29"/>
      <c r="M13" s="29"/>
    </row>
    <row r="14" spans="1:13" x14ac:dyDescent="0.25">
      <c r="A14" s="51" t="str">
        <f>LEFT(A13,4)+1&amp;"–"&amp;RIGHT(A13,4)+1</f>
        <v>2024–2025</v>
      </c>
      <c r="B14" s="55">
        <v>37415</v>
      </c>
      <c r="C14" s="55">
        <v>7961</v>
      </c>
      <c r="D14" s="199"/>
      <c r="E14" s="200"/>
      <c r="F14" s="200"/>
    </row>
    <row r="15" spans="1:13" ht="15.6" x14ac:dyDescent="0.25">
      <c r="A15" s="51" t="str">
        <f>LEFT(A14,4)+1&amp;"–"&amp;RIGHT(A14,4)+1</f>
        <v>2025–2026</v>
      </c>
      <c r="B15" s="55">
        <v>39933</v>
      </c>
      <c r="C15" s="55">
        <v>6805</v>
      </c>
      <c r="D15" s="195" t="s">
        <v>125</v>
      </c>
      <c r="E15" s="195"/>
      <c r="F15" s="195"/>
      <c r="G15" s="30"/>
      <c r="H15" s="30"/>
      <c r="I15" s="30"/>
      <c r="J15" s="30"/>
      <c r="K15" s="30"/>
      <c r="L15" s="30"/>
      <c r="M15" s="30"/>
    </row>
    <row r="16" spans="1:13" x14ac:dyDescent="0.25">
      <c r="A16" s="51" t="str">
        <f>LEFT(A15,4)+1&amp;"–"&amp;RIGHT(A15,4)+1</f>
        <v>2026–2027</v>
      </c>
      <c r="B16" s="55">
        <v>42569</v>
      </c>
      <c r="C16" s="55">
        <v>5571</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45328</v>
      </c>
      <c r="C17" s="55">
        <v>4256</v>
      </c>
      <c r="D17" s="195"/>
      <c r="E17" s="195"/>
      <c r="F17" s="195"/>
      <c r="G17" s="31"/>
      <c r="H17" s="31"/>
      <c r="I17" s="31"/>
      <c r="J17" s="31"/>
      <c r="K17" s="31"/>
    </row>
    <row r="18" spans="1:13" ht="15" customHeight="1" x14ac:dyDescent="0.3">
      <c r="A18" s="51" t="str">
        <f>LEFT(A17,4)+1&amp;"–"&amp;RIGHT(A17,4)+5</f>
        <v>2028–2033</v>
      </c>
      <c r="B18" s="55">
        <v>117043</v>
      </c>
      <c r="C18" s="55">
        <v>4337</v>
      </c>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t="s">
        <v>1761</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3840</v>
      </c>
      <c r="C40" s="209"/>
      <c r="E40" s="32"/>
    </row>
    <row r="41" spans="1:13" ht="15.6" x14ac:dyDescent="0.3">
      <c r="A41" s="5" t="s">
        <v>192</v>
      </c>
      <c r="B41" s="194" t="str">
        <f>B10</f>
        <v>Delta Protection Commission</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3840</v>
      </c>
      <c r="C71" s="209"/>
    </row>
    <row r="72" spans="1:13" ht="15.6" x14ac:dyDescent="0.3">
      <c r="A72" s="5" t="s">
        <v>192</v>
      </c>
      <c r="B72" s="194" t="str">
        <f>B10</f>
        <v>Delta Protection Commission</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0140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3840 - Delta Protection Commission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365540</v>
      </c>
      <c r="G10" s="58"/>
      <c r="H10" s="61">
        <v>0</v>
      </c>
      <c r="I10" s="58"/>
      <c r="J10" s="61">
        <v>48242</v>
      </c>
      <c r="K10" s="58"/>
      <c r="L10" s="63">
        <f>SUM(F10+H10-J10)</f>
        <v>317298</v>
      </c>
      <c r="M10" s="58"/>
      <c r="N10" s="61">
        <v>35010</v>
      </c>
      <c r="O10" s="58"/>
      <c r="P10" s="63">
        <f>L10-N10</f>
        <v>282288</v>
      </c>
      <c r="Q10" s="43"/>
    </row>
    <row r="11" spans="2:17" ht="19.2" thickTop="1" thickBot="1" x14ac:dyDescent="0.4">
      <c r="B11" s="41"/>
      <c r="C11" s="45" t="s">
        <v>19</v>
      </c>
      <c r="F11" s="62">
        <f>SUM(F10:F10)</f>
        <v>365540</v>
      </c>
      <c r="G11" s="58"/>
      <c r="H11" s="62">
        <f>SUM(H10:H10)</f>
        <v>0</v>
      </c>
      <c r="I11" s="58"/>
      <c r="J11" s="62">
        <f>SUM(J10:J10)</f>
        <v>48242</v>
      </c>
      <c r="K11" s="58"/>
      <c r="L11" s="62">
        <f>SUM(L10:L10)</f>
        <v>317298</v>
      </c>
      <c r="M11" s="58"/>
      <c r="N11" s="62">
        <f>SUM(N10:N10)</f>
        <v>35010</v>
      </c>
      <c r="O11" s="58"/>
      <c r="P11" s="62">
        <f>SUM(P10:P10)</f>
        <v>282288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0140 Journal Entries'!$F$8="Governmental Fund",'LS-Fund 0140 Journal Entries'!$K$23,0)</f>
        <v>365540</v>
      </c>
      <c r="C16" s="116" t="s">
        <v>146</v>
      </c>
      <c r="D16" s="84">
        <f>IF('LS-Fund 0140 Journal Entries'!$F$8="Governmental Fund",'LS-Fund 0140 Journal Entries'!$K$48,0)</f>
        <v>0</v>
      </c>
      <c r="E16" s="118" t="s">
        <v>147</v>
      </c>
      <c r="F16" s="84">
        <f>IF('LS-Fund 0140 Journal Entries'!$F$8="Governmental Fund",'LS-Fund 0140 Journal Entries'!$J$68,0)</f>
        <v>48242</v>
      </c>
      <c r="G16" s="117" t="s">
        <v>147</v>
      </c>
      <c r="H16" s="84">
        <f>IF('LS-Fund 0140 Journal Entries'!$F$8="Governmental Fund",'LS-Fund 0140 Journal Entries'!$J$96,0)</f>
        <v>0</v>
      </c>
      <c r="I16" s="117" t="s">
        <v>146</v>
      </c>
      <c r="J16" s="84">
        <f>IF('LS-Fund 0140 Journal Entries'!$F$8="Governmental Fund",'LS-Fund 0140 Journal Entries'!$K$113,0)</f>
        <v>0</v>
      </c>
      <c r="K16" s="118" t="s">
        <v>150</v>
      </c>
      <c r="L16" s="87">
        <f>+B16+D16-F16-H16+J16</f>
        <v>317298</v>
      </c>
      <c r="M16" s="86"/>
      <c r="N16" s="88">
        <f>SUM('LS-Department Note Disclosure'!B13:B36)</f>
        <v>317298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0140 Journal Entries'!$F$8="Proprietary - Internal Service Fund",'LS-Fund 0140 Journal Entries'!$K$23,0)</f>
        <v>0</v>
      </c>
      <c r="C24" s="116" t="s">
        <v>146</v>
      </c>
      <c r="D24" s="84">
        <f>IF('LS-Fund 0140 Journal Entries'!$F$8="Proprietary - Internal Service Fund",'LS-Fund 0140 Journal Entries'!$K$48,0)</f>
        <v>0</v>
      </c>
      <c r="E24" s="118" t="s">
        <v>147</v>
      </c>
      <c r="F24" s="84">
        <f>IF('LS-Fund 0140 Journal Entries'!$F$8="Proprietary - Internal Service Fund",'LS-Fund 0140 Journal Entries'!$J$68,0)</f>
        <v>0</v>
      </c>
      <c r="G24" s="117" t="s">
        <v>147</v>
      </c>
      <c r="H24" s="84">
        <f>IF('LS-Fund 0140 Journal Entries'!$F$8="Proprietary - Internal Service Fund",'LS-Fund 0140 Journal Entries'!$J$96,0)</f>
        <v>0</v>
      </c>
      <c r="I24" s="117" t="s">
        <v>146</v>
      </c>
      <c r="J24" s="84">
        <f>IF('LS-Fund 0140 Journal Entries'!$F$8="Proprietary - Internal Service Fund",'LS-Fund 0140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0140 Journal Entries'!$F$8="Proprietary - Enterprise Fund",'LS-Fund 0140 Journal Entries'!$K$23,0)</f>
        <v>0</v>
      </c>
      <c r="C33" s="116" t="s">
        <v>146</v>
      </c>
      <c r="D33" s="84">
        <f>IF('LS-Fund 0140 Journal Entries'!$F$8="Proprietary - Enterprise Fund",'LS-Fund 0140 Journal Entries'!$K$48,0)</f>
        <v>0</v>
      </c>
      <c r="E33" s="118" t="s">
        <v>147</v>
      </c>
      <c r="F33" s="84">
        <f>IF('LS-Fund 0140 Journal Entries'!$F$8="Proprietary - Enterprise Fund",'LS-Fund 0140 Journal Entries'!$J$68,0)</f>
        <v>0</v>
      </c>
      <c r="G33" s="117" t="s">
        <v>147</v>
      </c>
      <c r="H33" s="84">
        <f>IF('LS-Fund 0140 Journal Entries'!$F$8="Proprietary - Enterprise Fund",'LS-Fund 0140 Journal Entries'!$J$96,0)</f>
        <v>0</v>
      </c>
      <c r="I33" s="117" t="s">
        <v>146</v>
      </c>
      <c r="J33" s="84">
        <f>IF('LS-Fund 0140 Journal Entries'!$F$8="Proprietary - Enterprise Fund",'LS-Fund 0140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0140 Journal Entries'!$F$8="Governmental Fund",'LS-Fund 0140 Journal Entries'!$K$76,0)</f>
        <v>35010</v>
      </c>
      <c r="C42" s="92"/>
      <c r="E42" s="92"/>
      <c r="G42" s="115"/>
      <c r="H42" s="115"/>
      <c r="I42" s="115"/>
      <c r="J42" s="115"/>
      <c r="K42" s="92"/>
      <c r="L42" s="92"/>
      <c r="M42" s="93"/>
      <c r="N42" s="88">
        <f>'LS-Department Note Disclosure'!B13</f>
        <v>35010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0140 Journal Entries'!$F$8="Proprietary - Internal Service Fund",'LS-Fund 0140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0140 Journal Entries'!$F$8="Proprietary - Enterprise Fund",'LS-Fund 0140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365540</v>
      </c>
      <c r="J66" s="97">
        <f>SUM(D66)</f>
        <v>365540</v>
      </c>
      <c r="L66" s="98" t="str">
        <f>CONCATENATE("Balance July 1, ",LEFT('LS-Department Note Disclosure'!$B$8,4))</f>
        <v>Balance July 1, 2022</v>
      </c>
      <c r="N66" s="97">
        <f>'LS-Lease Liabilities'!F10</f>
        <v>365540</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48242</v>
      </c>
      <c r="E68" s="119" t="s">
        <v>146</v>
      </c>
      <c r="F68" s="79" t="s">
        <v>1753</v>
      </c>
      <c r="H68" s="97">
        <f>$H$16</f>
        <v>0</v>
      </c>
      <c r="J68" s="97">
        <f>SUM(D68,H68)</f>
        <v>48242</v>
      </c>
      <c r="L68" s="98" t="s">
        <v>14</v>
      </c>
      <c r="N68" s="97">
        <f>'LS-Lease Liabilities'!J10</f>
        <v>48242</v>
      </c>
      <c r="P68" s="89">
        <f t="shared" si="0"/>
        <v>0</v>
      </c>
    </row>
    <row r="69" spans="1:17" x14ac:dyDescent="0.3">
      <c r="B69" s="79" t="s">
        <v>156</v>
      </c>
      <c r="D69" s="97">
        <f>$B$42</f>
        <v>35010</v>
      </c>
      <c r="J69" s="97">
        <f>SUM(D69)</f>
        <v>35010</v>
      </c>
      <c r="L69" s="98" t="s">
        <v>15</v>
      </c>
      <c r="N69" s="97">
        <f>'LS-Lease Liabilities'!N10</f>
        <v>35010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6BFE34D-6E2F-4F55-96A3-ACDFAC36BF2A}"/>
</file>

<file path=customXml/itemProps2.xml><?xml version="1.0" encoding="utf-8"?>
<ds:datastoreItem xmlns:ds="http://schemas.openxmlformats.org/officeDocument/2006/customXml" ds:itemID="{A614D0F6-F11C-4442-B1AA-C8530FC51638}"/>
</file>

<file path=customXml/itemProps3.xml><?xml version="1.0" encoding="utf-8"?>
<ds:datastoreItem xmlns:ds="http://schemas.openxmlformats.org/officeDocument/2006/customXml" ds:itemID="{9401ABA7-035B-49E4-B6DB-668B3EE021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0140 Journal Entries</vt:lpstr>
      <vt:lpstr>LS-Department Note Disclosure</vt:lpstr>
      <vt:lpstr>LS-Lease Liabilities</vt:lpstr>
      <vt:lpstr>LS-Check Figures  </vt:lpstr>
      <vt:lpstr>'LS-Department Note Disclosure'!Print_Area</vt:lpstr>
      <vt:lpstr>'LS-Fund 0140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2024-04-30T17:45:38Z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3419100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