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4260\"/>
    </mc:Choice>
  </mc:AlternateContent>
  <xr:revisionPtr revIDLastSave="0" documentId="13_ncr:1_{1E11DB6C-6822-4A81-A3CB-C92E987E01CF}"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890 Journal Entries" sheetId="14" r:id="rId5"/>
    <sheet name="LS-Department Note Disclosure" sheetId="3" r:id="rId6"/>
    <sheet name="LS-Lease Liabilities" sheetId="4" r:id="rId7"/>
    <sheet name="LS-Check Figures  " sheetId="7" r:id="rId8"/>
  </sheets>
  <externalReferences>
    <externalReference r:id="rId9"/>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3">'LS-Fund 0001 Journal Entries'!$A$1:$J$9</definedName>
    <definedName name="_xlnm.Print_Area" localSheetId="4">'LS-Fund 0890 Journal Entries'!$A$1:$J$9</definedName>
    <definedName name="_xlnm.Print_Area" localSheetId="6">'LS-Lease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F10" i="4"/>
  <c r="B42" i="7"/>
  <c r="F16" i="7"/>
  <c r="B16" i="7"/>
  <c r="K129" i="14"/>
  <c r="K123" i="14"/>
  <c r="L114" i="14"/>
  <c r="K114" i="14"/>
  <c r="J114" i="14"/>
  <c r="K105" i="14"/>
  <c r="J105" i="14"/>
  <c r="L105" i="14" s="1"/>
  <c r="L91" i="14"/>
  <c r="K91" i="14"/>
  <c r="J91" i="14"/>
  <c r="K77" i="14"/>
  <c r="J77" i="14"/>
  <c r="L77" i="14" s="1"/>
  <c r="K70" i="14"/>
  <c r="J70" i="14"/>
  <c r="L70" i="14" s="1"/>
  <c r="K65" i="14"/>
  <c r="J65" i="14"/>
  <c r="L65" i="14" s="1"/>
  <c r="B63" i="14"/>
  <c r="K59" i="14"/>
  <c r="J59" i="14"/>
  <c r="L59" i="14" s="1"/>
  <c r="K49" i="14"/>
  <c r="J49" i="14"/>
  <c r="L49" i="14" s="1"/>
  <c r="K43" i="14"/>
  <c r="J43" i="14"/>
  <c r="L43" i="14" s="1"/>
  <c r="L36" i="14"/>
  <c r="K36" i="14"/>
  <c r="J36" i="14"/>
  <c r="S25" i="14"/>
  <c r="S24" i="14"/>
  <c r="Q24" i="14"/>
  <c r="K24" i="14"/>
  <c r="S23" i="14"/>
  <c r="K23" i="14"/>
  <c r="K128" i="14" s="1"/>
  <c r="S22" i="14"/>
  <c r="K22" i="14"/>
  <c r="K127" i="14" s="1"/>
  <c r="S21" i="14"/>
  <c r="K21" i="14"/>
  <c r="S20" i="14"/>
  <c r="K20" i="14"/>
  <c r="K125" i="14" s="1"/>
  <c r="S19" i="14"/>
  <c r="P18" i="14"/>
  <c r="S18" i="14" s="1"/>
  <c r="J18" i="14"/>
  <c r="K25" i="14" s="1"/>
  <c r="S17" i="14"/>
  <c r="J17" i="14"/>
  <c r="K124" i="14" s="1"/>
  <c r="S16" i="14"/>
  <c r="J16" i="14"/>
  <c r="S15" i="14"/>
  <c r="J15" i="14"/>
  <c r="F9" i="14"/>
  <c r="B100" i="14" s="1"/>
  <c r="K26" i="14" l="1"/>
  <c r="K122" i="14"/>
  <c r="C104" i="14"/>
  <c r="K126" i="14"/>
  <c r="J19" i="14"/>
  <c r="J26" i="14" s="1"/>
  <c r="L26" i="14" s="1"/>
  <c r="C64" i="14"/>
  <c r="C35" i="14"/>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<sst xmlns="http://schemas.openxmlformats.org/spreadsheetml/2006/main" count="7906" uniqueCount="1761">
  <si>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</si>
  <si>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</si>
  <si>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</si>
  <si>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</si>
  <si>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</si>
  <si>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</si>
  <si>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</si>
  <si>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</si>
  <si>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</si>
  <si>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</si>
  <si>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</si>
  <si>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</si>
  <si>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</si>
  <si>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</si>
  <si>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</si>
  <si>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</si>
  <si>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</si>
  <si>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</si>
  <si>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</si>
  <si>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</si>
  <si>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</si>
  <si>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</si>
  <si>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</si>
  <si>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</si>
  <si>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</si>
  <si>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</si>
  <si>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</si>
  <si>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</si>
  <si>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</si>
  <si>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</si>
  <si>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</si>
  <si>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</si>
  <si>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</si>
  <si>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</si>
  <si>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</si>
  <si>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</si>
  <si>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</si>
  <si>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</si>
  <si>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</si>
  <si>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</si>
  <si>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</si>
  <si>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</si>
  <si>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</si>
  <si>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</si>
  <si>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</si>
  <si>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</si>
  <si>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</si>
  <si>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</si>
  <si>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</si>
  <si>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</si>
  <si>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</si>
  <si>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</si>
  <si>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</si>
  <si>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</si>
  <si>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</si>
  <si>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</si>
  <si>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</si>
  <si>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</si>
  <si>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</si>
  <si>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</si>
  <si>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</si>
  <si>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</si>
  <si>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</si>
  <si>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</si>
  <si>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</si>
  <si>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</si>
  <si>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</si>
  <si>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</si>
  <si>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</si>
  <si>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</si>
  <si>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</si>
  <si>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</si>
  <si>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</si>
  <si>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</si>
  <si>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</si>
  <si>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</si>
  <si>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</si>
  <si>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</si>
  <si>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</si>
  <si>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</si>
  <si>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</si>
  <si>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</si>
  <si>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</si>
  <si>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</si>
  <si>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</si>
  <si>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</si>
  <si>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</si>
  <si>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</si>
  <si>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</si>
  <si>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</si>
  <si>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</si>
  <si>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</si>
  <si>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</si>
  <si>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</si>
  <si>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</si>
  <si>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</si>
  <si>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</si>
  <si>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</si>
  <si>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</si>
  <si>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</si>
  <si>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</si>
  <si>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</si>
  <si>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</si>
  <si>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</si>
  <si>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</si>
  <si>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</si>
  <si>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</si>
  <si>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</si>
  <si>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</si>
  <si>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</si>
  <si>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</si>
  <si>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</si>
  <si>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</si>
  <si>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</si>
  <si>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</si>
  <si>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</si>
  <si>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</si>
  <si>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</si>
  <si>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</si>
  <si>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</si>
  <si>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</si>
  <si>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</si>
  <si>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</si>
  <si>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</si>
  <si>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</si>
  <si>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</si>
  <si>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</si>
  <si>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</si>
  <si>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</si>
  <si>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</si>
  <si>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</si>
  <si>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</si>
  <si>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</si>
  <si>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</si>
  <si>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</si>
  <si>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</si>
  <si>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</si>
  <si>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</si>
  <si>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</si>
  <si>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</si>
  <si>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</si>
  <si>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</si>
  <si>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</si>
  <si>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</si>
  <si>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</si>
  <si>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</si>
  <si>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</si>
  <si>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</si>
  <si>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</si>
  <si>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</si>
  <si>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</si>
  <si>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</si>
  <si>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</si>
  <si>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</si>
  <si>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</si>
  <si>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</si>
  <si>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</si>
  <si>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</si>
  <si>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</si>
  <si>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</si>
  <si>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</si>
  <si>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</si>
  <si>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</si>
  <si>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</si>
  <si>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</si>
  <si>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</si>
  <si>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</si>
  <si>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</si>
  <si>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</si>
  <si>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</si>
  <si>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</si>
  <si>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</si>
  <si>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</si>
  <si>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</si>
  <si>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</si>
  <si>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</si>
  <si>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</si>
  <si>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</si>
  <si>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</si>
  <si>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</si>
  <si>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</si>
  <si>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</si>
  <si>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</si>
  <si>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</si>
  <si>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</si>
  <si>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</si>
  <si>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</si>
  <si>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</si>
  <si>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</si>
  <si>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</si>
  <si>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</si>
  <si>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</si>
  <si>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</si>
  <si>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</si>
  <si>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</si>
  <si>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</si>
  <si>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</si>
  <si>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</si>
  <si>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</si>
  <si>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</si>
  <si>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</si>
  <si>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</si>
  <si>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</si>
  <si>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</si>
  <si>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</si>
  <si>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</si>
  <si>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</si>
  <si>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</si>
  <si>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</si>
  <si>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</si>
  <si>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</si>
  <si>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</si>
  <si>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</si>
  <si>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</si>
  <si>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</si>
  <si>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</si>
  <si>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</si>
  <si>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</si>
  <si>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</si>
  <si>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</si>
  <si>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</si>
  <si>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</si>
  <si>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</si>
  <si>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</si>
  <si>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</si>
  <si>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</si>
  <si>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</si>
  <si>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</si>
  <si>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</si>
  <si>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</si>
  <si>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</si>
  <si>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</si>
  <si>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</si>
  <si>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</si>
  <si>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</si>
  <si>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</si>
  <si>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</si>
  <si>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</si>
  <si>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</si>
  <si>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</si>
  <si>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</si>
  <si>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</si>
  <si>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</si>
  <si>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</si>
  <si>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</si>
  <si>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</si>
  <si>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</si>
  <si>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</si>
  <si>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</si>
  <si>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</si>
  <si>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</si>
  <si>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</si>
  <si>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</si>
  <si>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</si>
  <si>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</si>
  <si>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</si>
  <si>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</si>
  <si>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</si>
  <si>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</si>
  <si>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</si>
  <si>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</si>
  <si>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</si>
  <si>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</si>
  <si>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</si>
  <si>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</si>
  <si>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</si>
  <si>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</si>
  <si>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</si>
  <si>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</si>
  <si>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</si>
  <si>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</si>
  <si>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</si>
  <si>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</si>
  <si>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</si>
  <si>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</si>
  <si>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</si>
  <si>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</si>
  <si>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</si>
  <si>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</si>
  <si>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</si>
  <si>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</si>
  <si>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</si>
  <si>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</si>
  <si>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</si>
  <si>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</si>
  <si>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</si>
  <si>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</si>
  <si>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</si>
  <si>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</si>
  <si>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</si>
  <si>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</si>
  <si>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</si>
  <si>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</si>
  <si>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</si>
  <si>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</si>
  <si>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</si>
  <si>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</si>
  <si>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</si>
  <si>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</si>
  <si>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</si>
  <si>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</si>
  <si>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</si>
  <si>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</si>
  <si>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</si>
  <si>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</si>
  <si>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</si>
  <si>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</si>
  <si>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</si>
  <si>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</si>
  <si>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</si>
  <si>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</si>
  <si>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</si>
  <si>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</si>
  <si>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</si>
  <si>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</si>
  <si>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</si>
  <si>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</si>
  <si>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</si>
  <si>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</si>
  <si>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</si>
  <si>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</si>
  <si>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</si>
  <si>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</si>
  <si>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</si>
  <si>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</si>
  <si>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</si>
  <si>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</si>
  <si>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</si>
  <si>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</si>
  <si>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</si>
  <si>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</si>
  <si>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</si>
  <si>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</si>
  <si>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</si>
  <si>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</si>
  <si>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</si>
  <si>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</si>
  <si>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</si>
  <si>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</si>
  <si>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</si>
  <si>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</si>
  <si>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</si>
  <si>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</si>
  <si>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</si>
  <si>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</si>
  <si>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</si>
  <si>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</si>
  <si>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</si>
  <si>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</si>
  <si>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</si>
  <si>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</si>
  <si>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</si>
  <si>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</si>
  <si>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</si>
  <si>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</si>
  <si>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</si>
  <si>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</si>
  <si>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</si>
  <si>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</si>
  <si>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</si>
  <si>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</si>
  <si>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</si>
  <si>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</si>
  <si>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</si>
  <si>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</si>
  <si>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</si>
  <si>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</si>
  <si>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</si>
  <si>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</si>
  <si>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</si>
  <si>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</si>
  <si>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</si>
  <si>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</si>
  <si>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</si>
  <si>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</si>
  <si>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</si>
  <si>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</si>
  <si>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</si>
  <si>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</si>
  <si>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</si>
  <si>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</si>
  <si>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</si>
  <si>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</si>
  <si>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</si>
  <si>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</si>
  <si>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</si>
  <si>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</si>
  <si>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</si>
  <si>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</si>
  <si>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</si>
  <si>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</si>
  <si>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</si>
  <si>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</si>
  <si>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</si>
  <si>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</si>
  <si>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</si>
  <si>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</si>
  <si>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</si>
  <si>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</si>
  <si>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</si>
  <si>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</si>
  <si>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</si>
  <si>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</si>
  <si>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</si>
  <si>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</si>
  <si>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</si>
  <si>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</si>
  <si>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</si>
  <si>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</si>
  <si>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</si>
  <si>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</si>
  <si>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</si>
  <si>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</si>
  <si>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</si>
  <si>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</si>
  <si>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</si>
  <si>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</si>
  <si>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</si>
  <si>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</si>
  <si>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</si>
  <si>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</si>
  <si>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</si>
  <si>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</si>
  <si>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</si>
  <si>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</si>
  <si>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</si>
  <si>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</si>
  <si>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</si>
  <si>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</si>
  <si>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</si>
  <si>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</si>
  <si>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</si>
  <si>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</si>
  <si>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</si>
  <si>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</si>
  <si>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</si>
  <si>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</si>
  <si>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</si>
  <si>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</si>
  <si>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</si>
  <si>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</si>
  <si>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</si>
  <si>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</si>
  <si>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</si>
  <si>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</si>
  <si>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</si>
  <si>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</si>
  <si>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</si>
  <si>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</si>
  <si>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</si>
  <si>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</si>
  <si>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</si>
  <si>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</si>
  <si>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</si>
  <si>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</si>
  <si>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</si>
  <si>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</si>
  <si>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</si>
  <si>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</si>
  <si>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</si>
  <si>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</si>
  <si>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</si>
  <si>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</si>
  <si>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</si>
  <si>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</si>
  <si>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</si>
  <si>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</si>
  <si>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</si>
  <si>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</si>
  <si>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</si>
  <si>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</si>
  <si>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</si>
  <si>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</si>
  <si>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</si>
  <si>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</si>
  <si>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</si>
  <si>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</si>
  <si>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</si>
  <si>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</si>
  <si>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</si>
  <si>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</si>
  <si>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</si>
  <si>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</si>
  <si>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</si>
  <si>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</si>
  <si>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</si>
  <si>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</si>
  <si>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</si>
  <si>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</si>
  <si>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</si>
  <si>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</si>
  <si>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</si>
  <si>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</si>
  <si>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</si>
  <si>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</si>
  <si>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</si>
  <si>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</si>
  <si>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</si>
  <si>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</si>
  <si>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</si>
  <si>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</si>
  <si>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</si>
  <si>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</si>
  <si>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</si>
  <si>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</si>
  <si>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</si>
  <si>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</si>
  <si>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</si>
  <si>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</si>
  <si>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</si>
  <si>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</si>
  <si>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</si>
  <si>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</si>
  <si>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</si>
  <si>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</si>
  <si>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</si>
  <si>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</si>
  <si>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</si>
  <si>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</si>
  <si>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</si>
  <si>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</si>
  <si>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</si>
  <si>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</si>
  <si>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</si>
  <si>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</si>
  <si>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</si>
  <si>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</si>
  <si>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</si>
  <si>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</si>
  <si>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</si>
  <si>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</si>
  <si>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</si>
  <si>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</si>
  <si>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</si>
  <si>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</si>
  <si>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</si>
  <si>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</si>
  <si>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</si>
  <si>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</si>
  <si>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</si>
  <si>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</si>
  <si>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</si>
  <si>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</si>
  <si>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</si>
  <si>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</si>
  <si>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</si>
  <si>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</si>
  <si>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</si>
  <si>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</si>
  <si>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</si>
  <si>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</si>
  <si>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</si>
  <si>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</si>
  <si>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</si>
  <si>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</si>
  <si>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</si>
  <si>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</si>
  <si>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</si>
  <si>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</si>
  <si>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</si>
  <si>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</si>
  <si>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</si>
  <si>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</si>
  <si>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</si>
  <si>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</si>
  <si>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</si>
  <si>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</si>
  <si>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</si>
  <si>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</si>
  <si>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</si>
  <si>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</si>
  <si>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</si>
  <si>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</si>
  <si>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</si>
  <si>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</si>
  <si>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</si>
  <si>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</si>
  <si>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</si>
  <si>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</si>
  <si>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</si>
  <si>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</si>
  <si>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</si>
  <si>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</si>
  <si>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</si>
  <si>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</si>
  <si>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</si>
  <si>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</si>
  <si>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</si>
  <si>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</si>
  <si>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</si>
  <si>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</si>
  <si>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</si>
  <si>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</si>
  <si>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</si>
  <si>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</si>
  <si>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</si>
  <si>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</si>
  <si>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</si>
  <si>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</si>
  <si>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</si>
  <si>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</si>
  <si>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</si>
  <si>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</si>
  <si>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</si>
  <si>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</si>
  <si>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</si>
  <si>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</si>
  <si>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</si>
  <si>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</si>
  <si>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</si>
  <si>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</si>
  <si>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</si>
  <si>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</si>
  <si>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</si>
  <si>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</si>
  <si>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</si>
  <si>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</si>
  <si>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</si>
  <si>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</si>
  <si>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</si>
  <si>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</si>
  <si>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</si>
  <si>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</si>
  <si>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</si>
  <si>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</si>
  <si>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</si>
  <si>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</si>
  <si>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</si>
  <si>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</si>
  <si>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</si>
  <si>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</si>
  <si>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</si>
  <si>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</si>
  <si>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</si>
  <si>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</si>
  <si>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</si>
  <si>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</si>
  <si>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</si>
  <si>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</si>
  <si>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</si>
  <si>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</si>
  <si>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</si>
  <si>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</si>
  <si>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</si>
  <si>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</si>
  <si>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</si>
  <si>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</si>
  <si>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</si>
  <si>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</si>
  <si>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</si>
  <si>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</si>
  <si>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</si>
  <si>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</si>
  <si>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</si>
  <si>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</si>
  <si>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</si>
  <si>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</si>
  <si>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</si>
  <si>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</si>
  <si>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</si>
  <si>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</si>
  <si>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</si>
  <si>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</si>
  <si>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</si>
  <si>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</si>
  <si>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</si>
  <si>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</si>
  <si>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</si>
  <si>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</si>
  <si>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</si>
  <si>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</si>
  <si>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</si>
  <si>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</si>
  <si>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</si>
  <si>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</si>
  <si>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</si>
  <si>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</si>
  <si>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</si>
  <si>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</si>
  <si>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</si>
  <si>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</si>
  <si>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</si>
  <si>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</si>
  <si>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</si>
  <si>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</si>
  <si>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</si>
  <si>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</si>
  <si>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</si>
  <si>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</si>
  <si>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</si>
  <si>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</si>
  <si>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</si>
  <si>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</si>
  <si>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</si>
  <si>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</si>
  <si>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</si>
  <si>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</si>
  <si>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</si>
  <si>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</si>
  <si>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</si>
  <si>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</si>
  <si>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</si>
  <si>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</si>
  <si>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</si>
  <si>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</si>
  <si>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</si>
  <si>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</si>
  <si>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</si>
  <si>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</si>
  <si>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</si>
  <si>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</si>
  <si>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</si>
  <si>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</si>
  <si>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</si>
  <si>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</si>
  <si>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</si>
  <si>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</si>
  <si>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</si>
  <si>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</si>
  <si>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</si>
  <si>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</si>
  <si>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</si>
  <si>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</si>
  <si>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</si>
  <si>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</si>
  <si>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</si>
  <si>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</si>
  <si>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</si>
  <si>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</si>
  <si>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</si>
  <si>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</si>
  <si>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</si>
  <si>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</si>
  <si>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</si>
  <si>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</si>
  <si>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</si>
  <si>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</si>
  <si>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</si>
  <si>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</si>
  <si>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</si>
  <si>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</si>
  <si>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</si>
  <si>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</si>
  <si>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</si>
  <si>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</si>
  <si>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</si>
  <si>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</si>
  <si>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</si>
  <si>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</si>
  <si>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</si>
  <si>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</si>
  <si>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</si>
  <si>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</si>
  <si>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</si>
  <si>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</si>
  <si>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</si>
  <si>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</si>
  <si>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</si>
  <si>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</si>
  <si>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</si>
  <si>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</si>
  <si>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</si>
  <si>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</si>
  <si>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</si>
  <si>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</si>
  <si>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</si>
  <si>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</si>
  <si>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</si>
  <si>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</si>
  <si>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</si>
  <si>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</si>
  <si>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</si>
  <si>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</si>
  <si>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</si>
  <si>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</si>
  <si>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</si>
  <si>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</si>
  <si>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</si>
  <si>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</si>
  <si>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</si>
  <si>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</si>
  <si>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</si>
  <si>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</si>
  <si>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</si>
  <si>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</si>
  <si>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</si>
  <si>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</si>
  <si>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</si>
  <si>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</si>
  <si>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</si>
  <si>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</si>
  <si>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</si>
  <si>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</si>
  <si>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</si>
  <si>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</si>
  <si>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</si>
  <si>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</si>
  <si>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</si>
  <si>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</si>
  <si>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</si>
  <si>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</si>
  <si>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</si>
  <si>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</si>
  <si>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</si>
  <si>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</si>
  <si>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</si>
  <si>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</si>
  <si>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</si>
  <si>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</si>
  <si>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</si>
  <si>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</si>
  <si>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</si>
  <si>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</si>
  <si>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</si>
  <si>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</si>
  <si>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</si>
  <si>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</si>
  <si>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</si>
  <si>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</si>
  <si>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</si>
  <si>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</si>
  <si>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</si>
  <si>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</si>
  <si>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</si>
  <si>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</si>
  <si>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</si>
  <si>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</si>
  <si>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</si>
  <si>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</si>
  <si>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</si>
  <si>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</si>
  <si>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</si>
  <si>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</si>
  <si>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</si>
  <si>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</si>
  <si>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</si>
  <si>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</si>
  <si>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</si>
  <si>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</si>
  <si>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</si>
  <si>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</si>
  <si>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</si>
  <si>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</si>
  <si>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</si>
  <si>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</si>
  <si>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</si>
  <si>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</si>
  <si>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</si>
  <si>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</si>
  <si>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</si>
  <si>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</si>
  <si>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</si>
  <si>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</si>
  <si>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</si>
  <si>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</si>
  <si>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</si>
  <si>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</si>
  <si>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</si>
  <si>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</si>
  <si>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</si>
  <si>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</si>
  <si>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</si>
  <si>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</si>
  <si>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</si>
  <si>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</si>
  <si>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</si>
  <si>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</si>
  <si>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</si>
  <si>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</si>
  <si>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</si>
  <si>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</si>
  <si>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</si>
  <si>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</si>
  <si>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</si>
  <si>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</si>
  <si>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</si>
  <si>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</si>
  <si>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</si>
  <si>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</si>
  <si>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</si>
  <si>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</si>
  <si>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</si>
  <si>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</si>
  <si>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</si>
  <si>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</si>
  <si>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</si>
  <si>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</si>
  <si>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</si>
  <si>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</si>
  <si>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</si>
  <si>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</si>
  <si>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</si>
  <si>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</si>
  <si>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</si>
  <si>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</si>
  <si>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</si>
  <si>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</si>
  <si>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</si>
  <si>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</si>
  <si>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</si>
  <si>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</si>
  <si>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</si>
  <si>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</si>
  <si>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</si>
  <si>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</si>
  <si>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</si>
  <si>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</si>
  <si>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</si>
  <si>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</si>
  <si>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</si>
  <si>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</si>
  <si>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</si>
  <si>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</si>
  <si>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</si>
  <si>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</si>
  <si>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</si>
  <si>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</si>
  <si>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</si>
  <si>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</si>
  <si>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</si>
  <si>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</si>
  <si>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</si>
  <si>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</si>
  <si>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</si>
  <si>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</si>
  <si>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</si>
  <si>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</si>
  <si>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</si>
  <si>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</si>
  <si>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</si>
  <si>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</si>
  <si>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</si>
  <si>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</si>
  <si>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</si>
  <si>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</si>
  <si>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</si>
  <si>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</si>
  <si>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</si>
  <si>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</si>
  <si>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</si>
  <si>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</si>
  <si>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</si>
  <si>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</si>
  <si>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</si>
  <si>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</si>
  <si>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</si>
  <si>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</si>
  <si>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</si>
  <si>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</si>
  <si>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</si>
  <si>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</si>
  <si>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</si>
  <si>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</si>
  <si>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</si>
  <si>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</si>
  <si>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</si>
  <si>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</si>
  <si>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</si>
  <si>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</si>
  <si>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</si>
  <si>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</si>
  <si>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</si>
  <si>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</si>
  <si>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</si>
  <si>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</si>
  <si>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</si>
  <si>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</si>
  <si>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</si>
  <si>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</si>
  <si>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</si>
  <si>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</si>
  <si>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</si>
  <si>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</si>
  <si>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</si>
  <si>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</si>
  <si>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</si>
  <si>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</si>
  <si>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</si>
  <si>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</si>
  <si>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</si>
  <si>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</si>
  <si>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</si>
  <si>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</si>
  <si>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</si>
  <si>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</si>
  <si>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</si>
  <si>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</si>
  <si>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</si>
  <si>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</si>
  <si>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</si>
  <si>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</si>
  <si>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</si>
  <si>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</si>
  <si>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</si>
  <si>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</si>
  <si>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</si>
  <si>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</si>
  <si>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</si>
  <si>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</si>
  <si>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</si>
  <si>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</si>
  <si>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</si>
  <si>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</si>
  <si>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</si>
  <si>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</si>
  <si>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</si>
  <si>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</si>
  <si>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</si>
  <si>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</si>
  <si>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</si>
  <si>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</si>
  <si>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</si>
  <si>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</si>
  <si>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</si>
  <si>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</si>
  <si>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</si>
  <si>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</si>
  <si>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</si>
  <si>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</si>
  <si>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</si>
  <si>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</si>
  <si>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</si>
  <si>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</si>
  <si>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</si>
  <si>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</si>
  <si>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</si>
  <si>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</si>
  <si>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</si>
  <si>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</si>
  <si>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</si>
  <si>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</si>
  <si>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</si>
  <si>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</si>
  <si>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</si>
  <si>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</si>
  <si>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</si>
  <si>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</si>
  <si>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</si>
  <si>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</si>
  <si>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</si>
  <si>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</si>
  <si>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</si>
  <si>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</si>
  <si>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</si>
  <si>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</si>
  <si>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</si>
  <si>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</si>
  <si>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</si>
  <si>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</si>
  <si>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</si>
  <si>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</si>
  <si>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</si>
  <si>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</si>
  <si>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</si>
  <si>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</si>
  <si>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</si>
  <si>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</si>
  <si>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</si>
  <si>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</si>
  <si>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</si>
  <si>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</si>
  <si>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</si>
  <si>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</si>
  <si>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</si>
  <si>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</si>
  <si>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</si>
  <si>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</si>
  <si>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</si>
  <si>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</si>
  <si>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</si>
  <si>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</si>
  <si>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</si>
  <si>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</si>
  <si>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</si>
  <si>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</si>
  <si>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</si>
  <si>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</si>
  <si>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</si>
  <si>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</si>
  <si>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</si>
  <si>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</si>
  <si>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</si>
  <si>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</si>
  <si>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</si>
  <si>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</si>
  <si>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</si>
  <si>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</si>
  <si>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</si>
  <si>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</si>
  <si>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</si>
  <si>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</si>
  <si>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</si>
  <si>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</si>
  <si>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</si>
  <si>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</si>
  <si>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</si>
  <si>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</si>
  <si>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</si>
  <si>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</si>
  <si>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</si>
  <si>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</si>
  <si>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</si>
  <si>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</si>
  <si>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</si>
  <si>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</si>
  <si>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</si>
  <si>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</si>
  <si>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</si>
  <si>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</si>
  <si>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</si>
  <si>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</si>
  <si>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</si>
  <si>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</si>
  <si>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</si>
  <si>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</si>
  <si>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</si>
  <si>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</si>
  <si>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</si>
  <si>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</si>
  <si>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</si>
  <si>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</si>
  <si>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</si>
  <si>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</si>
  <si>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</si>
  <si>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</si>
  <si>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</si>
  <si>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</si>
  <si>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</si>
  <si>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</si>
  <si>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</si>
  <si>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</si>
  <si>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</si>
  <si>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</si>
  <si>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</si>
  <si>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</si>
  <si>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</si>
  <si>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</si>
  <si>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</si>
  <si>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</si>
  <si>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</si>
  <si>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</si>
  <si>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</si>
  <si>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</si>
  <si>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</si>
  <si>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</si>
  <si>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</si>
  <si>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</si>
  <si>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</si>
  <si>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</si>
  <si>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</si>
  <si>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</si>
  <si>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</si>
  <si>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</si>
  <si>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</si>
  <si>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</si>
  <si>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</si>
  <si>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</si>
  <si>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</si>
  <si>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</si>
  <si>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</si>
  <si>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</si>
  <si>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</si>
  <si>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</si>
  <si>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</si>
  <si>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</si>
  <si>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</si>
  <si>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</si>
  <si>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</si>
  <si>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</si>
  <si>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</si>
  <si>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</si>
  <si>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</si>
  <si>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</si>
  <si>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</si>
  <si>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</si>
  <si>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</si>
  <si>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</si>
  <si>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</si>
  <si>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</si>
  <si>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</si>
  <si>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</si>
  <si>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</si>
  <si>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</si>
  <si>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</si>
  <si>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</si>
  <si>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</si>
  <si>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</si>
  <si>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</si>
  <si>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</si>
  <si>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</si>
  <si>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</si>
  <si>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</si>
  <si>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</si>
  <si>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</si>
  <si>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</si>
  <si>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</si>
  <si>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</si>
  <si>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</si>
  <si>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</si>
  <si>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</si>
  <si>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</si>
  <si>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</si>
  <si>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</si>
  <si>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</si>
  <si>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</si>
  <si>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</si>
  <si>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</si>
  <si>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</si>
  <si>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</si>
  <si>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</si>
  <si>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</si>
  <si>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</si>
  <si>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</si>
  <si>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</si>
  <si>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</si>
  <si>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</si>
  <si>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</si>
  <si>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</si>
  <si>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</si>
  <si>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</si>
  <si>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</si>
  <si>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</si>
  <si>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</si>
  <si>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</si>
  <si>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</si>
  <si>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</si>
  <si>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</si>
  <si>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</si>
  <si>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</si>
  <si>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</si>
  <si>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</si>
  <si>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</si>
  <si>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</si>
  <si>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</si>
  <si>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</si>
  <si>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</si>
  <si>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</si>
  <si>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</si>
  <si>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</si>
  <si>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</si>
  <si>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</si>
  <si>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</si>
  <si>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</si>
  <si>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</si>
  <si>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</si>
  <si>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</si>
  <si>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</si>
  <si>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</si>
  <si>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</si>
  <si>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</si>
  <si>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</si>
  <si>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</si>
  <si>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</si>
  <si>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</si>
  <si>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</si>
  <si>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</si>
  <si>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</si>
  <si>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</si>
  <si>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</si>
  <si>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</si>
  <si>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</si>
  <si>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</si>
  <si>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</si>
  <si>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</si>
  <si>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</si>
  <si>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</si>
  <si>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</si>
  <si>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</si>
  <si>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</si>
  <si>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</si>
  <si>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</si>
  <si>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</si>
  <si>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</si>
  <si>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</si>
  <si>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</si>
  <si>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</si>
  <si>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</si>
  <si>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</si>
  <si>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</si>
  <si>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</si>
  <si>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</si>
  <si>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</si>
  <si>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</si>
  <si>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</si>
  <si>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</si>
  <si>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</si>
  <si>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</si>
  <si>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</si>
  <si>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</si>
  <si>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</si>
  <si>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</si>
  <si>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</si>
  <si>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</si>
  <si>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</si>
  <si>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</si>
  <si>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</si>
  <si>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</si>
  <si>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</si>
  <si>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</si>
  <si>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</si>
  <si>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</si>
  <si>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</si>
  <si>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</si>
  <si>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</si>
  <si>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</si>
  <si>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</si>
  <si>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</si>
  <si>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</si>
  <si>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</si>
  <si>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</si>
  <si>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</si>
  <si>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</si>
  <si>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</si>
  <si>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</si>
  <si>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</si>
  <si>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</si>
  <si>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</si>
  <si>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</si>
  <si>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</si>
  <si>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</si>
  <si>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</si>
  <si>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</si>
  <si>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</si>
  <si>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</si>
  <si>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</si>
  <si>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</si>
  <si>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</si>
  <si>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</si>
  <si>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</si>
  <si>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</si>
  <si>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</si>
  <si>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</si>
  <si>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</si>
  <si>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</si>
  <si>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</si>
  <si>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</si>
  <si>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</si>
  <si>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</si>
  <si>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</si>
  <si>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</si>
  <si>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</si>
  <si>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</si>
  <si>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</si>
  <si>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</si>
  <si>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</si>
  <si>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</si>
  <si>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</si>
  <si>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</si>
  <si>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</si>
  <si>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</si>
  <si>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</si>
  <si>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</si>
  <si>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</si>
  <si>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</si>
  <si>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</si>
  <si>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</si>
  <si>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</si>
  <si>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</si>
  <si>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</si>
  <si>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</si>
  <si>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</si>
  <si>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</si>
  <si>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</si>
  <si>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</si>
  <si>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</si>
  <si>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</si>
  <si>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</si>
  <si>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</si>
  <si>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</si>
  <si>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</si>
  <si>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</si>
  <si>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</si>
  <si>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</si>
  <si>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</si>
  <si>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</si>
  <si>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</si>
  <si>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</si>
  <si>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</si>
  <si>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</si>
  <si>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</si>
  <si>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</si>
  <si>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</si>
  <si>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</si>
  <si>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</si>
  <si>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</si>
  <si>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</si>
  <si>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</si>
  <si>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</si>
  <si>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</si>
  <si>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</si>
  <si>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</si>
  <si>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</si>
  <si>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</si>
  <si>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</si>
  <si>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</si>
  <si>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</si>
  <si>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</si>
  <si>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</si>
  <si>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</si>
  <si>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</si>
  <si>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</si>
  <si>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</si>
  <si>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</si>
  <si>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</si>
  <si>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</si>
  <si>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</si>
  <si>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</si>
  <si>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</si>
  <si>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</si>
  <si>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</si>
  <si>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</si>
  <si>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</si>
  <si>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</si>
  <si>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</si>
  <si>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</si>
  <si>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</si>
  <si>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</si>
  <si>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</si>
  <si>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</si>
  <si>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</si>
  <si>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</si>
  <si>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</si>
  <si>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</si>
  <si>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</si>
  <si>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</si>
  <si>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</si>
  <si>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</si>
  <si>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</si>
  <si>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</si>
  <si>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</si>
  <si>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</si>
  <si>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</si>
  <si>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</si>
  <si>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</si>
  <si>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</si>
  <si>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</si>
  <si>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</si>
  <si>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</si>
  <si>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</si>
  <si>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</si>
  <si>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</si>
  <si>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</si>
  <si>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</si>
  <si>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</si>
  <si>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</si>
  <si>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</si>
  <si>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</si>
  <si>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</si>
  <si>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</si>
  <si>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</si>
  <si>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</si>
  <si>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</si>
  <si>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</si>
  <si>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</si>
  <si>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</si>
  <si>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</si>
  <si>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</si>
  <si>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</si>
  <si>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</si>
  <si>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</si>
  <si>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</si>
  <si>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</si>
  <si>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</si>
  <si>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</si>
  <si>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</si>
  <si>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</si>
  <si>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</si>
  <si>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</si>
  <si>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</si>
  <si>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</si>
  <si>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</si>
  <si>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</si>
  <si>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</si>
  <si>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</si>
  <si>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</si>
  <si>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</si>
  <si>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</si>
  <si>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</si>
  <si>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</si>
  <si>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</si>
  <si>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</si>
  <si>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</si>
  <si>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</si>
  <si>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</si>
  <si>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</si>
  <si>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</si>
  <si>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</si>
  <si>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</si>
  <si>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</si>
  <si>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</si>
  <si>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</si>
  <si>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</si>
  <si>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</si>
  <si>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</si>
  <si>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</si>
  <si>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</si>
  <si>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</si>
  <si>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</si>
  <si>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</si>
  <si>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</si>
  <si>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</si>
  <si>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</si>
  <si>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</si>
  <si>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</si>
  <si>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</si>
  <si>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</si>
  <si>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</si>
  <si>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</si>
  <si>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</si>
  <si>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</si>
  <si>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</si>
  <si>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</si>
  <si>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</si>
  <si>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</si>
  <si>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</si>
  <si>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</si>
  <si>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</si>
  <si>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</si>
  <si>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</si>
  <si>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</si>
  <si>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</si>
  <si>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</si>
  <si>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</si>
  <si>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</si>
  <si>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</si>
  <si>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</si>
  <si>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</si>
  <si>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</si>
  <si>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</si>
  <si>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</si>
  <si>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</si>
  <si>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</si>
  <si>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</si>
  <si>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</si>
  <si>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</si>
  <si>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</si>
  <si>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</si>
  <si>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</si>
  <si>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</si>
  <si>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</si>
  <si>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</si>
  <si>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</si>
  <si>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</si>
  <si>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</si>
  <si>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</si>
  <si>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</si>
  <si>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</si>
  <si>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</si>
  <si>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</si>
  <si>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</si>
  <si>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</si>
  <si>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</si>
  <si>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</si>
  <si>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</si>
  <si>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</si>
  <si>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</si>
  <si>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</si>
  <si>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</si>
  <si>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</si>
  <si>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</si>
  <si>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</si>
  <si>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</si>
  <si>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</si>
  <si>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</si>
  <si>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</si>
  <si>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</si>
  <si>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</si>
  <si>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</si>
  <si>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</si>
  <si>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</si>
  <si>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</si>
  <si>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</si>
  <si>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</si>
  <si>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</si>
  <si>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</si>
  <si>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</si>
  <si>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</si>
  <si>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</si>
  <si>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</si>
  <si>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</si>
  <si>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</si>
  <si>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</si>
  <si>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</si>
  <si>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</si>
  <si>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</si>
  <si>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</si>
  <si>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</si>
  <si>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</si>
  <si>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</si>
  <si>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</si>
  <si>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</si>
  <si>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</si>
  <si>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</si>
  <si>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</si>
  <si>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</si>
  <si>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</si>
  <si>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</si>
  <si>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</si>
  <si>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</si>
  <si>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</si>
  <si>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</si>
  <si>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</si>
  <si>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</si>
  <si>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</si>
  <si>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</si>
  <si>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</si>
  <si>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</si>
  <si>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</si>
  <si>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</si>
  <si>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</si>
  <si>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</si>
  <si>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</si>
  <si>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</si>
  <si>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</si>
  <si>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</si>
  <si>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</si>
  <si>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</si>
  <si>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</si>
  <si>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</si>
  <si>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</si>
  <si>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</si>
  <si>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</si>
  <si>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</si>
  <si>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</si>
  <si>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</si>
  <si>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</si>
  <si>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</si>
  <si>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</si>
  <si>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</si>
  <si>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</si>
  <si>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</si>
  <si>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</si>
  <si>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</si>
  <si>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</si>
  <si>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</si>
  <si>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</si>
  <si>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</si>
  <si>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</si>
  <si>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</si>
  <si>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</si>
  <si>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</si>
  <si>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</si>
  <si>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</si>
  <si>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</si>
  <si>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</si>
  <si>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</si>
  <si>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</si>
  <si>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</si>
  <si>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</si>
  <si>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</si>
  <si>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</si>
  <si>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</si>
  <si>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</si>
  <si>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</si>
  <si>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</si>
  <si>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</si>
  <si>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</si>
  <si>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</si>
  <si>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</si>
  <si>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</si>
  <si>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</si>
  <si>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</si>
  <si>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</si>
  <si>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</si>
  <si>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</si>
  <si>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</si>
  <si>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</si>
  <si>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</si>
  <si>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</si>
  <si>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</si>
  <si>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</si>
  <si>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</si>
  <si>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</si>
  <si>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</si>
  <si>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</si>
  <si>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</si>
  <si>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</si>
  <si>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</si>
  <si>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</si>
  <si>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</si>
  <si>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</si>
  <si>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</si>
  <si>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</si>
  <si>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</si>
  <si>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</si>
  <si>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</si>
  <si>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</si>
  <si>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</si>
  <si>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</si>
  <si>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</si>
  <si>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</si>
  <si>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</si>
  <si>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</si>
  <si>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</si>
  <si>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</si>
  <si>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</si>
  <si>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</si>
  <si>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</si>
  <si>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</si>
  <si>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</si>
  <si>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</si>
  <si>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</si>
  <si>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</si>
  <si>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</si>
  <si>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</si>
  <si>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</si>
  <si>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</si>
  <si>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</si>
  <si>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</si>
  <si>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</si>
  <si>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</si>
  <si>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</si>
  <si>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</si>
  <si>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</si>
  <si>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</si>
  <si>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</si>
  <si>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</si>
  <si>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</si>
  <si>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</si>
  <si>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</si>
  <si>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</si>
  <si>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</si>
  <si>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</si>
  <si>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</si>
  <si>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</si>
  <si>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</si>
  <si>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</si>
  <si>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</si>
  <si>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</si>
  <si>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</si>
  <si>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</si>
  <si>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</si>
  <si>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</si>
  <si>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</si>
  <si>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</si>
  <si>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</si>
  <si>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</si>
  <si>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</si>
  <si>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</si>
  <si>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</si>
  <si>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</si>
  <si>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</si>
  <si>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</si>
  <si>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</si>
  <si>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</si>
  <si>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</si>
  <si>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</si>
  <si>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</si>
  <si>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</si>
  <si>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</si>
  <si>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</si>
  <si>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</si>
  <si>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</si>
  <si>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</si>
  <si>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</si>
  <si>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</si>
  <si>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</si>
  <si>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</si>
  <si>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</si>
  <si>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</si>
  <si>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Health Care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</si>
</sst>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4260\FY%2022-23%200890%20Completed%20Annual%20Reporting%20Submission-Revised%206.6.24.xlsx" TargetMode="External"/><Relationship Id="rId2" Type="http://schemas.microsoft.com/office/2019/04/relationships/externalLinkLongPath" Target="FY%2022-23%200890%20Completed%20Annual%20Reporting%20Submission-Revised%206.6.24.xlsx?B37064EF" TargetMode="External"/><Relationship Id="rId1" Type="http://schemas.openxmlformats.org/officeDocument/2006/relationships/externalLinkPath" Target="file:///\\B37064EF\FY%2022-23%200890%20Completed%20Annual%20Reporting%20Submission-Revised%206.6.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890 Journal Entries"/>
      <sheetName val="LS-Department Note Disclosure"/>
      <sheetName val="LS-Lease Liabilities"/>
      <sheetName val="LS-Check Figures  "/>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28.25"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67" zoomScaleNormal="70" workbookViewId="0">
      <selection activeCell="K34" sqref="K3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839</v>
      </c>
      <c r="G5" s="188"/>
      <c r="H5" s="188"/>
      <c r="I5" s="188"/>
      <c r="L5" s="12"/>
      <c r="M5" s="12"/>
      <c r="N5" s="12"/>
      <c r="O5" s="12"/>
      <c r="P5" s="12"/>
      <c r="Q5" s="12"/>
    </row>
    <row r="6" spans="1:19" ht="16.5" customHeight="1" x14ac:dyDescent="0.25">
      <c r="A6" s="186" t="s">
        <v>1635</v>
      </c>
      <c r="B6" s="186"/>
      <c r="C6" s="186"/>
      <c r="D6" s="186"/>
      <c r="E6" s="186"/>
      <c r="F6" s="189">
        <v>1</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43336446</v>
      </c>
      <c r="M17" s="143">
        <v>43336446</v>
      </c>
      <c r="P17" s="143">
        <v>76811286</v>
      </c>
      <c r="Q17" s="155"/>
      <c r="S17" s="154">
        <f t="shared" si="0"/>
        <v>33474840</v>
      </c>
    </row>
    <row r="18" spans="1:19" ht="16.5" customHeight="1" x14ac:dyDescent="0.25">
      <c r="A18" s="54"/>
      <c r="B18" s="9" t="s">
        <v>169</v>
      </c>
      <c r="C18" s="9"/>
      <c r="D18" s="9"/>
      <c r="E18" s="140"/>
      <c r="F18" s="141"/>
      <c r="G18" s="141"/>
      <c r="H18" s="142"/>
      <c r="I18" s="142"/>
      <c r="J18" s="178">
        <f>P18</f>
        <v>801718</v>
      </c>
      <c r="M18" s="143">
        <v>513787</v>
      </c>
      <c r="P18" s="152">
        <f>IF(SUM($Q$20:$Q$23)&gt;SUM($P$15:$P$17),SUM($Q$20:$Q$23)-SUM($P$15:$P$17),0)</f>
        <v>801718</v>
      </c>
      <c r="Q18" s="155"/>
      <c r="S18" s="154">
        <f t="shared" si="0"/>
        <v>287931</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5173860</v>
      </c>
      <c r="N22" s="143">
        <v>5173860</v>
      </c>
      <c r="P22" s="155"/>
      <c r="Q22" s="143">
        <v>10191295</v>
      </c>
      <c r="S22" s="154">
        <f t="shared" ref="S22:S25" si="1">Q22-N22</f>
        <v>5017435</v>
      </c>
    </row>
    <row r="23" spans="1:19" ht="16.5" customHeight="1" x14ac:dyDescent="0.25">
      <c r="A23" s="165" t="s">
        <v>1646</v>
      </c>
      <c r="B23" s="9"/>
      <c r="C23" s="9" t="s">
        <v>174</v>
      </c>
      <c r="D23" s="9"/>
      <c r="E23" s="140"/>
      <c r="F23" s="141"/>
      <c r="G23" s="141"/>
      <c r="H23" s="142"/>
      <c r="I23" s="142"/>
      <c r="J23" s="150"/>
      <c r="K23" s="178">
        <f>N23</f>
        <v>38306002</v>
      </c>
      <c r="N23" s="143">
        <v>38306002</v>
      </c>
      <c r="P23" s="155"/>
      <c r="Q23" s="143">
        <v>67421709</v>
      </c>
      <c r="S23" s="154">
        <f t="shared" si="1"/>
        <v>29115707</v>
      </c>
    </row>
    <row r="24" spans="1:19" ht="16.5" customHeight="1" x14ac:dyDescent="0.25">
      <c r="A24" s="54"/>
      <c r="B24" s="9"/>
      <c r="C24" s="9" t="s">
        <v>176</v>
      </c>
      <c r="D24" s="9"/>
      <c r="E24" s="140"/>
      <c r="F24" s="141"/>
      <c r="G24" s="141"/>
      <c r="H24" s="142"/>
      <c r="I24" s="142"/>
      <c r="J24" s="150"/>
      <c r="K24" s="178">
        <f>Q24</f>
        <v>0</v>
      </c>
      <c r="N24" s="143">
        <v>370371</v>
      </c>
      <c r="P24" s="155"/>
      <c r="Q24" s="152">
        <f>IF(SUM($Q$20:$Q$23)&lt;SUM($P$15:$P$17),-SUM($Q$20:$Q$23)+SUM($P$15:$P$17),0)</f>
        <v>0</v>
      </c>
      <c r="S24" s="154">
        <f t="shared" si="1"/>
        <v>-370371</v>
      </c>
    </row>
    <row r="25" spans="1:19" ht="16.5" customHeight="1" x14ac:dyDescent="0.25">
      <c r="A25" s="54"/>
      <c r="B25" s="9"/>
      <c r="C25" s="9" t="s">
        <v>177</v>
      </c>
      <c r="D25" s="9"/>
      <c r="E25" s="140"/>
      <c r="F25" s="141"/>
      <c r="G25" s="141"/>
      <c r="H25" s="142"/>
      <c r="I25" s="142"/>
      <c r="J25" s="150"/>
      <c r="K25" s="178">
        <f>IF(SUM($K$20:$K$24)&lt;SUM($J$15:$J$18),-SUM($K$20:$K$24)+SUM($J$15:$J$18),0)</f>
        <v>658302</v>
      </c>
      <c r="N25" s="143"/>
      <c r="P25" s="155"/>
      <c r="Q25" s="155"/>
      <c r="S25" s="154">
        <f t="shared" si="1"/>
        <v>0</v>
      </c>
    </row>
    <row r="26" spans="1:19" ht="16.5" customHeight="1" x14ac:dyDescent="0.25">
      <c r="A26" s="54"/>
      <c r="C26" s="20"/>
      <c r="D26" s="20"/>
      <c r="E26" s="20"/>
      <c r="F26" s="127"/>
      <c r="G26" s="127"/>
      <c r="H26" s="22"/>
      <c r="I26" s="22"/>
      <c r="J26" s="107">
        <f>SUM(J15:J25)</f>
        <v>44138164</v>
      </c>
      <c r="K26" s="107">
        <f>SUM(K15:K25)</f>
        <v>44138164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4995487</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4995487</v>
      </c>
    </row>
    <row r="59" spans="1:16" ht="16.5" customHeight="1" x14ac:dyDescent="0.25">
      <c r="A59" s="54"/>
      <c r="C59" s="16"/>
      <c r="D59" s="16"/>
      <c r="E59" s="16"/>
      <c r="F59" s="17"/>
      <c r="G59" s="17"/>
      <c r="H59" s="18"/>
      <c r="I59" s="18"/>
      <c r="J59" s="107">
        <f>SUM(J55:J58)</f>
        <v>4995487</v>
      </c>
      <c r="K59" s="107">
        <f>SUM(K55:K58)</f>
        <v>4995487</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4730987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72062</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4803049</v>
      </c>
    </row>
    <row r="65" spans="1:12" ht="16.5" customHeight="1" x14ac:dyDescent="0.25">
      <c r="A65" s="54"/>
      <c r="C65" s="16"/>
      <c r="D65" s="16"/>
      <c r="E65" s="16"/>
      <c r="F65" s="17"/>
      <c r="G65" s="17"/>
      <c r="H65" s="18"/>
      <c r="I65" s="18"/>
      <c r="J65" s="107">
        <f>SUM(J62:J64)</f>
        <v>4803049</v>
      </c>
      <c r="K65" s="107">
        <f>SUM(K62:K64)</f>
        <v>4803049</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4730987</v>
      </c>
      <c r="K68" s="144"/>
    </row>
    <row r="69" spans="1:12" ht="16.5" customHeight="1" x14ac:dyDescent="0.25">
      <c r="A69" s="54"/>
      <c r="B69" s="9"/>
      <c r="C69" s="9" t="s">
        <v>186</v>
      </c>
      <c r="D69" s="140"/>
      <c r="E69" s="140"/>
      <c r="F69" s="141"/>
      <c r="G69" s="141"/>
      <c r="H69" s="142"/>
      <c r="I69" s="142"/>
      <c r="J69" s="144"/>
      <c r="K69" s="143">
        <v>4730987</v>
      </c>
    </row>
    <row r="70" spans="1:12" ht="16.5" customHeight="1" x14ac:dyDescent="0.25">
      <c r="A70" s="54"/>
      <c r="C70" s="16"/>
      <c r="D70" s="16"/>
      <c r="E70" s="16"/>
      <c r="F70" s="17"/>
      <c r="G70" s="17"/>
      <c r="H70" s="18"/>
      <c r="I70" s="18"/>
      <c r="J70" s="107">
        <f>SUM(J68:J69)</f>
        <v>4730987</v>
      </c>
      <c r="K70" s="107">
        <f>SUM(K68:K69)</f>
        <v>4730987</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4437543</v>
      </c>
      <c r="K75" s="144"/>
    </row>
    <row r="76" spans="1:12" ht="16.5" customHeight="1" x14ac:dyDescent="0.25">
      <c r="A76" s="54"/>
      <c r="B76" s="9"/>
      <c r="C76" s="9" t="s">
        <v>194</v>
      </c>
      <c r="D76" s="140"/>
      <c r="E76" s="140"/>
      <c r="F76" s="141"/>
      <c r="G76" s="141"/>
      <c r="H76" s="142"/>
      <c r="I76" s="142"/>
      <c r="J76" s="144"/>
      <c r="K76" s="143">
        <v>4437543</v>
      </c>
    </row>
    <row r="77" spans="1:12" ht="16.5" customHeight="1" x14ac:dyDescent="0.2">
      <c r="A77" s="54"/>
      <c r="B77" s="193" t="s">
        <v>1735</v>
      </c>
      <c r="C77" s="193"/>
      <c r="D77" s="193"/>
      <c r="E77" s="193"/>
      <c r="F77" s="193"/>
      <c r="G77" s="193"/>
      <c r="H77" s="193"/>
      <c r="I77" s="193"/>
      <c r="J77" s="107">
        <f>SUM(J75:J76)</f>
        <v>4437543</v>
      </c>
      <c r="K77" s="107">
        <f>SUM(K75:K76)</f>
        <v>4437543</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v>301310</v>
      </c>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v>301310</v>
      </c>
    </row>
    <row r="91" spans="1:16" ht="16.5" customHeight="1" x14ac:dyDescent="0.25">
      <c r="B91" s="130" t="s">
        <v>1641</v>
      </c>
      <c r="H91" s="10"/>
      <c r="J91" s="108">
        <f>SUM(J85:J90)</f>
        <v>301310</v>
      </c>
      <c r="K91" s="108">
        <f>SUM(K85:K90)</f>
        <v>301310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43035136</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-9868037</v>
      </c>
    </row>
    <row r="128" spans="1:12" ht="16.5" customHeight="1" x14ac:dyDescent="0.25">
      <c r="D128" s="140" t="s">
        <v>1657</v>
      </c>
      <c r="H128" s="10"/>
      <c r="K128" s="169">
        <f>-K23-K48+J68+J75+J96-K113</f>
        <v>-29137472</v>
      </c>
    </row>
    <row r="129" spans="4:11" ht="16.5" customHeight="1" x14ac:dyDescent="0.25">
      <c r="D129" s="140" t="s">
        <v>1658</v>
      </c>
      <c r="H129" s="10"/>
      <c r="K129" s="169">
        <f>-K76</f>
        <v>-4437543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A3E2A-8A28-461A-91E8-BE0E6986E69E}">
  <sheetPr>
    <tabColor theme="9" tint="0.59999389629810485"/>
    <pageSetUpPr fitToPage="1"/>
  </sheetPr>
  <dimension ref="A1:S193"/>
  <sheetViews>
    <sheetView zoomScale="67" zoomScaleNormal="70" workbookViewId="0">
      <selection activeCell="K8" sqref="K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839</v>
      </c>
      <c r="G5" s="188"/>
      <c r="H5" s="188"/>
      <c r="I5" s="188"/>
      <c r="L5" s="12"/>
      <c r="M5" s="12"/>
      <c r="N5" s="12"/>
      <c r="O5" s="12"/>
      <c r="P5" s="12"/>
      <c r="Q5" s="12"/>
    </row>
    <row r="6" spans="1:19" ht="16.5" customHeight="1" x14ac:dyDescent="0.25">
      <c r="A6" s="186" t="s">
        <v>1635</v>
      </c>
      <c r="B6" s="186"/>
      <c r="C6" s="186"/>
      <c r="D6" s="186"/>
      <c r="E6" s="186"/>
      <c r="F6" s="189">
        <v>890</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Fund",VLOOKUP(F5,[2]qryIndex02a!$A$2:$K$654,4,FALSE)),"Unidentified")</f>
        <v>HEALTH AND HUMAN SERVICES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43336446</v>
      </c>
      <c r="M17" s="143">
        <v>43336446</v>
      </c>
      <c r="P17" s="143"/>
      <c r="Q17" s="155"/>
      <c r="S17" s="154">
        <f t="shared" si="0"/>
        <v>-43336446</v>
      </c>
    </row>
    <row r="18" spans="1:19" ht="16.5" customHeight="1" x14ac:dyDescent="0.25">
      <c r="A18" s="54"/>
      <c r="B18" s="9" t="s">
        <v>169</v>
      </c>
      <c r="C18" s="9"/>
      <c r="D18" s="9"/>
      <c r="E18" s="140"/>
      <c r="F18" s="141"/>
      <c r="G18" s="141"/>
      <c r="H18" s="142"/>
      <c r="I18" s="142"/>
      <c r="J18" s="178">
        <f>P18</f>
        <v>0</v>
      </c>
      <c r="M18" s="143">
        <v>513787</v>
      </c>
      <c r="P18" s="152">
        <f>IF(SUM($Q$20:$Q$23)&gt;SUM($P$15:$P$17),SUM($Q$20:$Q$23)-SUM($P$15:$P$17),0)</f>
        <v>0</v>
      </c>
      <c r="Q18" s="155"/>
      <c r="S18" s="154">
        <f t="shared" si="0"/>
        <v>-513787</v>
      </c>
    </row>
    <row r="19" spans="1:19" ht="16.5" customHeight="1" x14ac:dyDescent="0.25">
      <c r="A19" s="54"/>
      <c r="B19" s="9" t="s">
        <v>170</v>
      </c>
      <c r="C19" s="9"/>
      <c r="D19" s="9"/>
      <c r="E19" s="140"/>
      <c r="F19" s="141"/>
      <c r="G19" s="141"/>
      <c r="H19" s="142"/>
      <c r="I19" s="142"/>
      <c r="J19" s="178">
        <f>IF(SUM($K$20:$K$24)&gt;SUM($J$15:$J$18),SUM($K$20:$K$24)-SUM($J$15:$J$18),0)</f>
        <v>143416</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5173860</v>
      </c>
      <c r="N22" s="143">
        <v>5173860</v>
      </c>
      <c r="P22" s="155"/>
      <c r="Q22" s="143"/>
      <c r="S22" s="154">
        <f t="shared" ref="S22:S25" si="1">Q22-N22</f>
        <v>-5173860</v>
      </c>
    </row>
    <row r="23" spans="1:19" ht="16.5" customHeight="1" x14ac:dyDescent="0.25">
      <c r="A23" s="165" t="s">
        <v>1646</v>
      </c>
      <c r="B23" s="9"/>
      <c r="C23" s="9" t="s">
        <v>174</v>
      </c>
      <c r="D23" s="9"/>
      <c r="E23" s="140"/>
      <c r="F23" s="141"/>
      <c r="G23" s="141"/>
      <c r="H23" s="142"/>
      <c r="I23" s="142"/>
      <c r="J23" s="150"/>
      <c r="K23" s="178">
        <f>N23</f>
        <v>38306002</v>
      </c>
      <c r="N23" s="143">
        <v>38306002</v>
      </c>
      <c r="P23" s="155"/>
      <c r="Q23" s="143"/>
      <c r="S23" s="154">
        <f t="shared" si="1"/>
        <v>-38306002</v>
      </c>
    </row>
    <row r="24" spans="1:19" ht="16.5" customHeight="1" x14ac:dyDescent="0.25">
      <c r="A24" s="54"/>
      <c r="B24" s="9"/>
      <c r="C24" s="9" t="s">
        <v>176</v>
      </c>
      <c r="D24" s="9"/>
      <c r="E24" s="140"/>
      <c r="F24" s="141"/>
      <c r="G24" s="141"/>
      <c r="H24" s="142"/>
      <c r="I24" s="142"/>
      <c r="J24" s="150"/>
      <c r="K24" s="178">
        <f>Q24</f>
        <v>0</v>
      </c>
      <c r="N24" s="143">
        <v>370371</v>
      </c>
      <c r="P24" s="155"/>
      <c r="Q24" s="152">
        <f>IF(SUM($Q$20:$Q$23)&lt;SUM($P$15:$P$17),-SUM($Q$20:$Q$23)+SUM($P$15:$P$17),0)</f>
        <v>0</v>
      </c>
      <c r="S24" s="154">
        <f t="shared" si="1"/>
        <v>-370371</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43479862</v>
      </c>
      <c r="K26" s="107">
        <f>SUM(K15:K25)</f>
        <v>43479862</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ADJ)",VLOOKUP($F$9,'[2]Drop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4995487</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4995487</v>
      </c>
    </row>
    <row r="59" spans="1:16" ht="16.5" customHeight="1" x14ac:dyDescent="0.25">
      <c r="A59" s="54"/>
      <c r="C59" s="16"/>
      <c r="D59" s="16"/>
      <c r="E59" s="16"/>
      <c r="F59" s="17"/>
      <c r="G59" s="17"/>
      <c r="H59" s="18"/>
      <c r="I59" s="18"/>
      <c r="J59" s="107">
        <f>SUM(J55:J58)</f>
        <v>4995487</v>
      </c>
      <c r="K59" s="107">
        <f>SUM(K55:K58)</f>
        <v>4995487</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4730987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72062</v>
      </c>
      <c r="K63" s="147"/>
    </row>
    <row r="64" spans="1:16" ht="16.5" customHeight="1" x14ac:dyDescent="0.25">
      <c r="A64" s="54"/>
      <c r="B64" s="9"/>
      <c r="C64" s="9" t="str">
        <f>IF($F$7="Proprietary","Cr: Acct 0870 - SERVICES &amp; CHARGES (MG ADJ)",VLOOKUP($F$9,'[2]Drop Down Menus'!$F$2:$G$10,2,FALSE))</f>
        <v>Cr: Acct 0815 - HLTH&amp;HUM SV SV.LAB(GAAP ADJ)</v>
      </c>
      <c r="D64" s="140"/>
      <c r="E64" s="140"/>
      <c r="F64" s="141"/>
      <c r="G64" s="141"/>
      <c r="H64" s="142"/>
      <c r="I64" s="142"/>
      <c r="J64" s="147"/>
      <c r="K64" s="143">
        <v>4803049</v>
      </c>
    </row>
    <row r="65" spans="1:12" ht="16.5" customHeight="1" x14ac:dyDescent="0.25">
      <c r="A65" s="54"/>
      <c r="C65" s="16"/>
      <c r="D65" s="16"/>
      <c r="E65" s="16"/>
      <c r="F65" s="17"/>
      <c r="G65" s="17"/>
      <c r="H65" s="18"/>
      <c r="I65" s="18"/>
      <c r="J65" s="107">
        <f>SUM(J62:J64)</f>
        <v>4803049</v>
      </c>
      <c r="K65" s="107">
        <f>SUM(K62:K64)</f>
        <v>4803049</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4730987</v>
      </c>
      <c r="K68" s="144"/>
    </row>
    <row r="69" spans="1:12" ht="16.5" customHeight="1" x14ac:dyDescent="0.25">
      <c r="A69" s="54"/>
      <c r="B69" s="9"/>
      <c r="C69" s="9" t="s">
        <v>186</v>
      </c>
      <c r="D69" s="140"/>
      <c r="E69" s="140"/>
      <c r="F69" s="141"/>
      <c r="G69" s="141"/>
      <c r="H69" s="142"/>
      <c r="I69" s="142"/>
      <c r="J69" s="144"/>
      <c r="K69" s="143">
        <v>4730987</v>
      </c>
    </row>
    <row r="70" spans="1:12" ht="16.5" customHeight="1" x14ac:dyDescent="0.25">
      <c r="A70" s="54"/>
      <c r="C70" s="16"/>
      <c r="D70" s="16"/>
      <c r="E70" s="16"/>
      <c r="F70" s="17"/>
      <c r="G70" s="17"/>
      <c r="H70" s="18"/>
      <c r="I70" s="18"/>
      <c r="J70" s="107">
        <f>SUM(J68:J69)</f>
        <v>4730987</v>
      </c>
      <c r="K70" s="107">
        <f>SUM(K68:K69)</f>
        <v>4730987</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4437543</v>
      </c>
      <c r="K75" s="144"/>
    </row>
    <row r="76" spans="1:12" ht="16.5" customHeight="1" x14ac:dyDescent="0.25">
      <c r="A76" s="54"/>
      <c r="B76" s="9"/>
      <c r="C76" s="9" t="s">
        <v>194</v>
      </c>
      <c r="D76" s="140"/>
      <c r="E76" s="140"/>
      <c r="F76" s="141"/>
      <c r="G76" s="141"/>
      <c r="H76" s="142"/>
      <c r="I76" s="142"/>
      <c r="J76" s="144"/>
      <c r="K76" s="143">
        <v>4437543</v>
      </c>
    </row>
    <row r="77" spans="1:12" ht="16.5" customHeight="1" x14ac:dyDescent="0.2">
      <c r="A77" s="54"/>
      <c r="B77" s="193" t="s">
        <v>1735</v>
      </c>
      <c r="C77" s="193"/>
      <c r="D77" s="193"/>
      <c r="E77" s="193"/>
      <c r="F77" s="193"/>
      <c r="G77" s="193"/>
      <c r="H77" s="193"/>
      <c r="I77" s="193"/>
      <c r="J77" s="107">
        <f>SUM(J75:J76)</f>
        <v>4437543</v>
      </c>
      <c r="K77" s="107">
        <f>SUM(K75:K76)</f>
        <v>4437543</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v>301310</v>
      </c>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v>301310</v>
      </c>
    </row>
    <row r="91" spans="1:16" ht="16.5" customHeight="1" x14ac:dyDescent="0.25">
      <c r="B91" s="130" t="s">
        <v>1641</v>
      </c>
      <c r="H91" s="10"/>
      <c r="J91" s="108">
        <f>SUM(J85:J90)</f>
        <v>301310</v>
      </c>
      <c r="K91" s="108">
        <f>SUM(K85:K90)</f>
        <v>301310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ADJ)",VLOOKUP($F$9,'[2]Drop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ADJ)",VLOOKUP($F$9,'[2]Drop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43035136</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-9868037</v>
      </c>
    </row>
    <row r="128" spans="1:12" ht="16.5" customHeight="1" x14ac:dyDescent="0.25">
      <c r="D128" s="140" t="s">
        <v>1657</v>
      </c>
      <c r="H128" s="10"/>
      <c r="K128" s="169">
        <f>-K23-K48+J68+J75+J96-K113</f>
        <v>-29137472</v>
      </c>
    </row>
    <row r="129" spans="4:11" ht="16.5" customHeight="1" x14ac:dyDescent="0.25">
      <c r="D129" s="140" t="s">
        <v>1658</v>
      </c>
      <c r="H129" s="10"/>
      <c r="K129" s="169">
        <f>-K76</f>
        <v>-4437543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AF34B4CC-8C3D-4254-999D-1BE587A1A69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4CED412-C510-4143-9989-06DEBC352C3B}">
      <formula1>0</formula1>
    </dataValidation>
    <dataValidation operator="lessThan" allowBlank="1" showInputMessage="1" showErrorMessage="1" sqref="A3:A8" xr:uid="{5FC82B83-E456-444F-B204-7AF30B4B864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Normal="100" workbookViewId="0">
      <selection activeCell="C24" sqref="C2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4260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8875086</v>
      </c>
      <c r="C13" s="55">
        <v>126214</v>
      </c>
      <c r="D13" s="197" t="s">
        <v>4</v>
      </c>
      <c r="E13" s="198"/>
      <c r="F13" s="198"/>
      <c r="G13" s="29"/>
      <c r="H13" s="29"/>
      <c r="I13" s="29"/>
      <c r="J13" s="29"/>
      <c r="K13" s="29"/>
      <c r="L13" s="29"/>
      <c r="M13" s="29"/>
    </row>
    <row r="14" spans="1:13" x14ac:dyDescent="0.2">
      <c r="A14" s="51" t="str">
        <f>LEFT(A13,4)+1&amp;"–"&amp;RIGHT(A13,4)+1</f>
        <v>2024–2025</v>
      </c>
      <c r="B14" s="55">
        <v>7991844</v>
      </c>
      <c r="C14" s="55">
        <v>108842</v>
      </c>
      <c r="D14" s="197"/>
      <c r="E14" s="198"/>
      <c r="F14" s="198"/>
    </row>
    <row r="15" spans="1:13" ht="15.75" x14ac:dyDescent="0.2">
      <c r="A15" s="51" t="str">
        <f>LEFT(A14,4)+1&amp;"–"&amp;RIGHT(A14,4)+1</f>
        <v>2025–2026</v>
      </c>
      <c r="B15" s="55">
        <v>6930258</v>
      </c>
      <c r="C15" s="55">
        <v>94128</v>
      </c>
      <c r="D15" s="194" t="s">
        <v>125</v>
      </c>
      <c r="E15" s="194"/>
      <c r="F15" s="194"/>
      <c r="G15" s="30"/>
      <c r="H15" s="30"/>
      <c r="I15" s="30"/>
      <c r="J15" s="30"/>
      <c r="K15" s="30"/>
      <c r="L15" s="30"/>
      <c r="M15" s="30"/>
    </row>
    <row r="16" spans="1:13" x14ac:dyDescent="0.2">
      <c r="A16" s="51" t="str">
        <f>LEFT(A15,4)+1&amp;"–"&amp;RIGHT(A15,4)+1</f>
        <v>2026–2027</v>
      </c>
      <c r="B16" s="55">
        <v>6457946</v>
      </c>
      <c r="C16" s="55">
        <v>80790</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6672612</v>
      </c>
      <c r="C17" s="55">
        <v>67710</v>
      </c>
      <c r="D17" s="194"/>
      <c r="E17" s="194"/>
      <c r="F17" s="194"/>
      <c r="G17" s="31"/>
      <c r="H17" s="31"/>
      <c r="I17" s="31"/>
      <c r="J17" s="31"/>
      <c r="K17" s="31"/>
    </row>
    <row r="18" spans="1:13" ht="15" customHeight="1" x14ac:dyDescent="0.25">
      <c r="A18" s="51" t="str">
        <f>LEFT(A17,4)+1&amp;"–"&amp;RIGHT(A17,4)+5</f>
        <v>2028–2033</v>
      </c>
      <c r="B18" s="55">
        <v>22014020</v>
      </c>
      <c r="C18" s="55">
        <v>160480</v>
      </c>
      <c r="D18" s="197" t="s">
        <v>6</v>
      </c>
      <c r="E18" s="198"/>
      <c r="F18" s="198"/>
      <c r="G18" s="29"/>
      <c r="H18" s="29"/>
      <c r="I18" s="29"/>
      <c r="J18" s="29"/>
      <c r="K18" s="29"/>
      <c r="L18" s="29"/>
      <c r="M18" s="29"/>
    </row>
    <row r="19" spans="1:13" x14ac:dyDescent="0.2">
      <c r="A19" s="51" t="str">
        <f t="shared" ref="A19:A32" si="0">LEFT(A18,4)+5&amp;"–"&amp;RIGHT(A18,4)+5</f>
        <v>2033–2038</v>
      </c>
      <c r="B19" s="55">
        <v>6835884</v>
      </c>
      <c r="C19" s="55">
        <v>49330</v>
      </c>
      <c r="D19" s="197"/>
      <c r="E19" s="198"/>
      <c r="F19" s="198"/>
    </row>
    <row r="20" spans="1:13" ht="15.75" x14ac:dyDescent="0.2">
      <c r="A20" s="51" t="str">
        <f t="shared" si="0"/>
        <v>2038–2043</v>
      </c>
      <c r="B20" s="55">
        <v>1372380</v>
      </c>
      <c r="C20" s="55">
        <v>1372</v>
      </c>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4260</v>
      </c>
      <c r="C40" s="202"/>
      <c r="E40" s="32"/>
    </row>
    <row r="41" spans="1:13" ht="15.75" x14ac:dyDescent="0.25">
      <c r="A41" s="5" t="s">
        <v>192</v>
      </c>
      <c r="B41" s="200" t="str">
        <f>B10</f>
        <v>Department of Health Care Services</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4260</v>
      </c>
      <c r="C71" s="202"/>
    </row>
    <row r="72" spans="1:13" ht="15.75" x14ac:dyDescent="0.25">
      <c r="A72" s="5" t="s">
        <v>192</v>
      </c>
      <c r="B72" s="200" t="str">
        <f>B10</f>
        <v>Department of Health Care Services</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67" zoomScaleNormal="90" workbookViewId="0">
      <selection activeCell="S24" sqref="S2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4260 - Department of Health Care Services</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'LS-Fund 0001 Journal Entries'!K23+'LS-Fund 0890 Journal Entries'!K23</f>
        <v>76612004</v>
      </c>
      <c r="G10" s="58"/>
      <c r="H10" s="61"/>
      <c r="I10" s="58"/>
      <c r="J10" s="61">
        <f>'LS-Fund 0001 Journal Entries'!J68+'LS-Fund 0890 Journal Entries'!J68</f>
        <v>9461974</v>
      </c>
      <c r="K10" s="58"/>
      <c r="L10" s="63">
        <f>SUM(F10+H10-J10)</f>
        <v>67150030</v>
      </c>
      <c r="M10" s="58"/>
      <c r="N10" s="61">
        <f>'LS-Fund 0001 Journal Entries'!J75+'LS-Fund 0890 Journal Entries'!J75</f>
        <v>8875086</v>
      </c>
      <c r="O10" s="58"/>
      <c r="P10" s="63">
        <f>L10-N10</f>
        <v>58274944</v>
      </c>
      <c r="Q10" s="43"/>
    </row>
    <row r="11" spans="2:17" ht="19.5" thickTop="1" thickBot="1" x14ac:dyDescent="0.3">
      <c r="B11" s="41"/>
      <c r="C11" s="45" t="s">
        <v>19</v>
      </c>
      <c r="F11" s="62">
        <f>SUM(F10:F10)</f>
        <v>76612004</v>
      </c>
      <c r="G11" s="58"/>
      <c r="H11" s="62">
        <f>SUM(H10:H10)</f>
        <v>0</v>
      </c>
      <c r="I11" s="58"/>
      <c r="J11" s="62">
        <f>SUM(J10:J10)</f>
        <v>9461974</v>
      </c>
      <c r="K11" s="58"/>
      <c r="L11" s="62">
        <f>SUM(L10:L10)</f>
        <v>67150030</v>
      </c>
      <c r="M11" s="58"/>
      <c r="N11" s="62">
        <f>SUM(N10:N10)</f>
        <v>8875086</v>
      </c>
      <c r="O11" s="58"/>
      <c r="P11" s="62">
        <f>SUM(P10:P10)</f>
        <v>58274944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80" zoomScaleNormal="80" workbookViewId="0">
      <selection activeCell="N66" sqref="N6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'LS-Fund 0001 Journal Entries'!K23+'LS-Fund 0890 Journal Entries'!K23</f>
        <v>76612004</v>
      </c>
      <c r="C16" s="116" t="s">
        <v>146</v>
      </c>
      <c r="D16" s="84">
        <v>0</v>
      </c>
      <c r="E16" s="118" t="s">
        <v>147</v>
      </c>
      <c r="F16" s="84">
        <f>'LS-Fund 0001 Journal Entries'!J68+'LS-Fund 0890 Journal Entries'!J68</f>
        <v>9461974</v>
      </c>
      <c r="G16" s="117" t="s">
        <v>147</v>
      </c>
      <c r="H16" s="84">
        <v>0</v>
      </c>
      <c r="I16" s="117" t="s">
        <v>146</v>
      </c>
      <c r="J16" s="84">
        <v>0</v>
      </c>
      <c r="K16" s="118" t="s">
        <v>150</v>
      </c>
      <c r="L16" s="87">
        <f>+B16+D16-F16-H16+J16</f>
        <v>67150030</v>
      </c>
      <c r="M16" s="86"/>
      <c r="N16" s="88">
        <f>SUM('LS-Department Note Disclosure'!B13:B36)</f>
        <v>67150030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'LS-Fund 0001 Journal Entries'!K76+'LS-Fund 0890 Journal Entries'!K76</f>
        <v>8875086</v>
      </c>
      <c r="C42" s="92"/>
      <c r="E42" s="92"/>
      <c r="G42" s="115"/>
      <c r="H42" s="115"/>
      <c r="I42" s="115"/>
      <c r="J42" s="115"/>
      <c r="K42" s="92"/>
      <c r="L42" s="92"/>
      <c r="M42" s="93"/>
      <c r="N42" s="88">
        <f>'LS-Department Note Disclosure'!B13</f>
        <v>8875086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76612004</v>
      </c>
      <c r="J66" s="97">
        <f>SUM(D66)</f>
        <v>76612004</v>
      </c>
      <c r="L66" s="98" t="str">
        <f>CONCATENATE("Balance July 1, ",LEFT('LS-Department Note Disclosure'!$B$8,4))</f>
        <v>Balance July 1, 2022</v>
      </c>
      <c r="N66" s="97">
        <f>'LS-Lease Liabilities'!F10</f>
        <v>76612004</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9461974</v>
      </c>
      <c r="E68" s="119" t="s">
        <v>146</v>
      </c>
      <c r="F68" s="79" t="s">
        <v>1753</v>
      </c>
      <c r="H68" s="97">
        <f>$H$16</f>
        <v>0</v>
      </c>
      <c r="J68" s="97">
        <f>SUM(D68,H68)</f>
        <v>9461974</v>
      </c>
      <c r="L68" s="98" t="s">
        <v>14</v>
      </c>
      <c r="N68" s="97">
        <f>'LS-Lease Liabilities'!J10</f>
        <v>9461974</v>
      </c>
      <c r="P68" s="89">
        <f t="shared" si="0"/>
        <v>0</v>
      </c>
    </row>
    <row r="69" spans="1:17" x14ac:dyDescent="0.25">
      <c r="B69" s="79" t="s">
        <v>156</v>
      </c>
      <c r="D69" s="97">
        <f>$B$42</f>
        <v>8875086</v>
      </c>
      <c r="J69" s="97">
        <f>SUM(D69)</f>
        <v>8875086</v>
      </c>
      <c r="L69" s="98" t="s">
        <v>15</v>
      </c>
      <c r="N69" s="97">
        <f>'LS-Lease Liabilities'!N10</f>
        <v>8875086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1D9EEBB-199F-419D-BA84-A5AEC06E4EEA}"/>
</file>

<file path=customXml/itemProps2.xml><?xml version="1.0" encoding="utf-8"?>
<ds:datastoreItem xmlns:ds="http://schemas.openxmlformats.org/officeDocument/2006/customXml" ds:itemID="{608E1CB3-91D9-4173-A5D7-F268670ADF3A}"/>
</file>

<file path=customXml/itemProps3.xml><?xml version="1.0" encoding="utf-8"?>
<ds:datastoreItem xmlns:ds="http://schemas.openxmlformats.org/officeDocument/2006/customXml" ds:itemID="{0CC40740-C2C0-44DE-9579-0E31E3804A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0890 Journal Entries</vt:lpstr>
      <vt:lpstr>LS-Department Note Disclosure</vt:lpstr>
      <vt:lpstr>LS-Lease Liabilities</vt:lpstr>
      <vt:lpstr>LS-Check Figures  </vt:lpstr>
      <vt:lpstr>'LS-Department Note Disclosure'!Print_Area</vt:lpstr>
      <vt:lpstr>'LS-Fund 0001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2024-06-22T17:51:04Z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