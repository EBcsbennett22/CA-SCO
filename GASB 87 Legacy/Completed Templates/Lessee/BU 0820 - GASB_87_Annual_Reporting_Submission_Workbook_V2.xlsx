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updateLinks="always" codeName="ThisWorkbook"/>
  <mc:AlternateContent xmlns:mc="http://schemas.openxmlformats.org/markup-compatibility/2006">
    <mc:Choice Requires="x15">
      <x15ac:absPath xmlns:x15ac="http://schemas.microsoft.com/office/spreadsheetml/2010/11/ac" url="https://eidebailly-my.sharepoint.com/personal/pschick_eidebailly_com/Documents/Current Projects/State of California/Accounting Standards/Current Year/GASB 87/Completed Templates/Lessee/"/>
    </mc:Choice>
  </mc:AlternateContent>
  <xr:revisionPtr revIDLastSave="21" documentId="13_ncr:1_{340DAFAE-9773-4626-8CE6-3B37890163B5}" xr6:coauthVersionLast="47" xr6:coauthVersionMax="47" xr10:uidLastSave="{C0AE6B53-B3D1-4445-97C2-6031C582B0BE}"/>
  <bookViews>
    <workbookView xWindow="-108" yWindow="-108" windowWidth="23256" windowHeight="12720" tabRatio="921" firstSheet="18" activeTab="23" xr2:uid="{00000000-000D-0000-FFFF-FFFF00000000}"/>
  </bookViews>
  <sheets>
    <sheet name="Drop Down Menus" sheetId="1" state="hidden" r:id="rId1"/>
    <sheet name="qryIndex02a" sheetId="11" state="hidden" r:id="rId2"/>
    <sheet name="LS-Version Changes" sheetId="13" r:id="rId3"/>
    <sheet name="0001 LS Journal" sheetId="2" r:id="rId4"/>
    <sheet name="0012 LS Journal" sheetId="14" r:id="rId5"/>
    <sheet name="0017 LS Journal" sheetId="15" r:id="rId6"/>
    <sheet name="0044 LS Journal" sheetId="16" r:id="rId7"/>
    <sheet name="0142 LS Journal" sheetId="17" r:id="rId8"/>
    <sheet name="0256 LS Journal" sheetId="18" r:id="rId9"/>
    <sheet name="0367 LS Journal" sheetId="19" r:id="rId10"/>
    <sheet name="0378 LS Journal" sheetId="20" r:id="rId11"/>
    <sheet name="0460 LS Journal" sheetId="21" r:id="rId12"/>
    <sheet name="0566 LS Journal" sheetId="22" r:id="rId13"/>
    <sheet name="0567 LS Journal" sheetId="23" r:id="rId14"/>
    <sheet name="0569 LS Journal" sheetId="24" r:id="rId15"/>
    <sheet name="0890 LS Journal" sheetId="25" r:id="rId16"/>
    <sheet name="1008 LS Journal" sheetId="27" r:id="rId17"/>
    <sheet name="3016 LS Journal" sheetId="28" r:id="rId18"/>
    <sheet name="3053 LS Journal" sheetId="29" r:id="rId19"/>
    <sheet name="3086 LS Journal" sheetId="30" r:id="rId20"/>
    <sheet name="3087 LS Journal" sheetId="31" r:id="rId21"/>
    <sheet name="3320 LS Journal" sheetId="33" r:id="rId22"/>
    <sheet name="9731 LS Journal" sheetId="34" r:id="rId23"/>
    <sheet name="9740 LS Journal" sheetId="35" r:id="rId24"/>
    <sheet name="LS-Department Note Disclosure" sheetId="3" r:id="rId25"/>
    <sheet name="LS-Lease Liabilities" sheetId="4" r:id="rId26"/>
    <sheet name="LS-Check Figures  " sheetId="7" r:id="rId27"/>
  </sheets>
  <externalReferences>
    <externalReference r:id="rId28"/>
    <externalReference r:id="rId29"/>
    <externalReference r:id="rId30"/>
    <externalReference r:id="rId31"/>
    <externalReference r:id="rId32"/>
    <externalReference r:id="rId33"/>
    <externalReference r:id="rId34"/>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5">#REF!</definedName>
    <definedName name="AgencyCode" localSheetId="6">#REF!</definedName>
    <definedName name="AgencyCode" localSheetId="7">#REF!</definedName>
    <definedName name="AgencyCode" localSheetId="8">#REF!</definedName>
    <definedName name="AgencyCode" localSheetId="9">#REF!</definedName>
    <definedName name="AgencyCode" localSheetId="10">#REF!</definedName>
    <definedName name="AgencyCode" localSheetId="11">#REF!</definedName>
    <definedName name="AgencyCode" localSheetId="12">#REF!</definedName>
    <definedName name="AgencyCode" localSheetId="13">#REF!</definedName>
    <definedName name="AgencyCode" localSheetId="14">#REF!</definedName>
    <definedName name="AgencyCode" localSheetId="15">#REF!</definedName>
    <definedName name="AgencyCode" localSheetId="16">#REF!</definedName>
    <definedName name="AgencyCode" localSheetId="18">#REF!</definedName>
    <definedName name="AgencyCode" localSheetId="19">#REF!</definedName>
    <definedName name="AgencyCode" localSheetId="20">#REF!</definedName>
    <definedName name="AgencyCode">#REF!</definedName>
    <definedName name="AgencyCode1" localSheetId="5">#REF!</definedName>
    <definedName name="AgencyCode1" localSheetId="6">#REF!</definedName>
    <definedName name="AgencyCode1" localSheetId="7">#REF!</definedName>
    <definedName name="AgencyCode1" localSheetId="8">#REF!</definedName>
    <definedName name="AgencyCode1" localSheetId="9">#REF!</definedName>
    <definedName name="AgencyCode1" localSheetId="10">#REF!</definedName>
    <definedName name="AgencyCode1" localSheetId="11">#REF!</definedName>
    <definedName name="AgencyCode1" localSheetId="12">#REF!</definedName>
    <definedName name="AgencyCode1" localSheetId="13">#REF!</definedName>
    <definedName name="AgencyCode1" localSheetId="14">#REF!</definedName>
    <definedName name="AgencyCode1" localSheetId="15">#REF!</definedName>
    <definedName name="AgencyCode1" localSheetId="16">#REF!</definedName>
    <definedName name="AgencyCode1" localSheetId="18">#REF!</definedName>
    <definedName name="AgencyCode1" localSheetId="19">#REF!</definedName>
    <definedName name="AgencyCode1" localSheetId="20">#REF!</definedName>
    <definedName name="AgencyCode1">#REF!</definedName>
    <definedName name="AnalystGASB">[1]DeveloperInfo!$D$20</definedName>
    <definedName name="Annuity" localSheetId="5">#REF!</definedName>
    <definedName name="Annuity" localSheetId="6">#REF!</definedName>
    <definedName name="Annuity" localSheetId="7">#REF!</definedName>
    <definedName name="Annuity" localSheetId="8">#REF!</definedName>
    <definedName name="Annuity" localSheetId="9">#REF!</definedName>
    <definedName name="Annuity" localSheetId="10">#REF!</definedName>
    <definedName name="Annuity" localSheetId="11">#REF!</definedName>
    <definedName name="Annuity" localSheetId="12">#REF!</definedName>
    <definedName name="Annuity" localSheetId="13">#REF!</definedName>
    <definedName name="Annuity" localSheetId="14">#REF!</definedName>
    <definedName name="Annuity" localSheetId="15">#REF!</definedName>
    <definedName name="Annuity" localSheetId="16">#REF!</definedName>
    <definedName name="Annuity" localSheetId="18">#REF!</definedName>
    <definedName name="Annuity" localSheetId="19">#REF!</definedName>
    <definedName name="Annuity" localSheetId="20">#REF!</definedName>
    <definedName name="Annuity">#REF!</definedName>
    <definedName name="Annuity1" localSheetId="5">#REF!</definedName>
    <definedName name="Annuity1" localSheetId="6">#REF!</definedName>
    <definedName name="Annuity1" localSheetId="7">#REF!</definedName>
    <definedName name="Annuity1" localSheetId="8">#REF!</definedName>
    <definedName name="Annuity1" localSheetId="9">#REF!</definedName>
    <definedName name="Annuity1" localSheetId="10">#REF!</definedName>
    <definedName name="Annuity1" localSheetId="11">#REF!</definedName>
    <definedName name="Annuity1" localSheetId="12">#REF!</definedName>
    <definedName name="Annuity1" localSheetId="13">#REF!</definedName>
    <definedName name="Annuity1" localSheetId="14">#REF!</definedName>
    <definedName name="Annuity1" localSheetId="15">#REF!</definedName>
    <definedName name="Annuity1" localSheetId="16">#REF!</definedName>
    <definedName name="Annuity1" localSheetId="18">#REF!</definedName>
    <definedName name="Annuity1" localSheetId="19">#REF!</definedName>
    <definedName name="Annuity1" localSheetId="20">#REF!</definedName>
    <definedName name="Annuity1">#REF!</definedName>
    <definedName name="AnnuityLY" localSheetId="5">#REF!</definedName>
    <definedName name="AnnuityLY" localSheetId="6">#REF!</definedName>
    <definedName name="AnnuityLY" localSheetId="7">#REF!</definedName>
    <definedName name="AnnuityLY" localSheetId="8">#REF!</definedName>
    <definedName name="AnnuityLY" localSheetId="9">#REF!</definedName>
    <definedName name="AnnuityLY" localSheetId="10">#REF!</definedName>
    <definedName name="AnnuityLY" localSheetId="11">#REF!</definedName>
    <definedName name="AnnuityLY" localSheetId="12">#REF!</definedName>
    <definedName name="AnnuityLY" localSheetId="13">#REF!</definedName>
    <definedName name="AnnuityLY" localSheetId="14">#REF!</definedName>
    <definedName name="AnnuityLY" localSheetId="15">#REF!</definedName>
    <definedName name="AnnuityLY" localSheetId="16">#REF!</definedName>
    <definedName name="AnnuityLY" localSheetId="18">#REF!</definedName>
    <definedName name="AnnuityLY" localSheetId="19">#REF!</definedName>
    <definedName name="AnnuityLY" localSheetId="20">#REF!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5">#REF!</definedName>
    <definedName name="EmployerRates" localSheetId="6">#REF!</definedName>
    <definedName name="EmployerRates" localSheetId="7">#REF!</definedName>
    <definedName name="EmployerRates" localSheetId="8">#REF!</definedName>
    <definedName name="EmployerRates" localSheetId="9">#REF!</definedName>
    <definedName name="EmployerRates" localSheetId="10">#REF!</definedName>
    <definedName name="EmployerRates" localSheetId="11">#REF!</definedName>
    <definedName name="EmployerRates" localSheetId="12">#REF!</definedName>
    <definedName name="EmployerRates" localSheetId="13">#REF!</definedName>
    <definedName name="EmployerRates" localSheetId="14">#REF!</definedName>
    <definedName name="EmployerRates" localSheetId="15">#REF!</definedName>
    <definedName name="EmployerRates" localSheetId="16">#REF!</definedName>
    <definedName name="EmployerRates" localSheetId="18">#REF!</definedName>
    <definedName name="EmployerRates" localSheetId="19">#REF!</definedName>
    <definedName name="EmployerRates" localSheetId="20">#REF!</definedName>
    <definedName name="EmployerRates">#REF!</definedName>
    <definedName name="EmployerRates1" localSheetId="5">#REF!</definedName>
    <definedName name="EmployerRates1" localSheetId="6">#REF!</definedName>
    <definedName name="EmployerRates1" localSheetId="7">#REF!</definedName>
    <definedName name="EmployerRates1" localSheetId="8">#REF!</definedName>
    <definedName name="EmployerRates1" localSheetId="9">#REF!</definedName>
    <definedName name="EmployerRates1" localSheetId="10">#REF!</definedName>
    <definedName name="EmployerRates1" localSheetId="11">#REF!</definedName>
    <definedName name="EmployerRates1" localSheetId="12">#REF!</definedName>
    <definedName name="EmployerRates1" localSheetId="13">#REF!</definedName>
    <definedName name="EmployerRates1" localSheetId="14">#REF!</definedName>
    <definedName name="EmployerRates1" localSheetId="15">#REF!</definedName>
    <definedName name="EmployerRates1" localSheetId="16">#REF!</definedName>
    <definedName name="EmployerRates1" localSheetId="18">#REF!</definedName>
    <definedName name="EmployerRates1" localSheetId="19">#REF!</definedName>
    <definedName name="EmployerRates1" localSheetId="20">#REF!</definedName>
    <definedName name="EmployerRates1">#REF!</definedName>
    <definedName name="EmployerRatesLEO" localSheetId="5">#REF!</definedName>
    <definedName name="EmployerRatesLEO" localSheetId="6">#REF!</definedName>
    <definedName name="EmployerRatesLEO" localSheetId="7">#REF!</definedName>
    <definedName name="EmployerRatesLEO" localSheetId="8">#REF!</definedName>
    <definedName name="EmployerRatesLEO" localSheetId="9">#REF!</definedName>
    <definedName name="EmployerRatesLEO" localSheetId="10">#REF!</definedName>
    <definedName name="EmployerRatesLEO" localSheetId="11">#REF!</definedName>
    <definedName name="EmployerRatesLEO" localSheetId="12">#REF!</definedName>
    <definedName name="EmployerRatesLEO" localSheetId="13">#REF!</definedName>
    <definedName name="EmployerRatesLEO" localSheetId="14">#REF!</definedName>
    <definedName name="EmployerRatesLEO" localSheetId="15">#REF!</definedName>
    <definedName name="EmployerRatesLEO" localSheetId="16">#REF!</definedName>
    <definedName name="EmployerRatesLEO" localSheetId="18">#REF!</definedName>
    <definedName name="EmployerRatesLEO" localSheetId="19">#REF!</definedName>
    <definedName name="EmployerRatesLEO" localSheetId="20">#REF!</definedName>
    <definedName name="EmployerRatesLEO">#REF!</definedName>
    <definedName name="EmployerRatesLEO1" localSheetId="5">#REF!</definedName>
    <definedName name="EmployerRatesLEO1" localSheetId="6">#REF!</definedName>
    <definedName name="EmployerRatesLEO1" localSheetId="7">#REF!</definedName>
    <definedName name="EmployerRatesLEO1" localSheetId="8">#REF!</definedName>
    <definedName name="EmployerRatesLEO1" localSheetId="9">#REF!</definedName>
    <definedName name="EmployerRatesLEO1" localSheetId="10">#REF!</definedName>
    <definedName name="EmployerRatesLEO1" localSheetId="11">#REF!</definedName>
    <definedName name="EmployerRatesLEO1" localSheetId="13">#REF!</definedName>
    <definedName name="EmployerRatesLEO1" localSheetId="14">#REF!</definedName>
    <definedName name="EmployerRatesLEO1" localSheetId="15">#REF!</definedName>
    <definedName name="EmployerRatesLEO1" localSheetId="16">#REF!</definedName>
    <definedName name="EmployerRatesLEO1" localSheetId="18">#REF!</definedName>
    <definedName name="EmployerRatesLEO1" localSheetId="19">#REF!</definedName>
    <definedName name="EmployerRatesLEO1" localSheetId="20">#REF!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5">#REF!</definedName>
    <definedName name="Pension" localSheetId="6">#REF!</definedName>
    <definedName name="Pension" localSheetId="7">#REF!</definedName>
    <definedName name="Pension" localSheetId="8">#REF!</definedName>
    <definedName name="Pension" localSheetId="9">#REF!</definedName>
    <definedName name="Pension" localSheetId="10">#REF!</definedName>
    <definedName name="Pension" localSheetId="11">#REF!</definedName>
    <definedName name="Pension" localSheetId="12">#REF!</definedName>
    <definedName name="Pension" localSheetId="13">#REF!</definedName>
    <definedName name="Pension" localSheetId="14">#REF!</definedName>
    <definedName name="Pension" localSheetId="15">#REF!</definedName>
    <definedName name="Pension" localSheetId="16">#REF!</definedName>
    <definedName name="Pension" localSheetId="18">#REF!</definedName>
    <definedName name="Pension" localSheetId="19">#REF!</definedName>
    <definedName name="Pension" localSheetId="20">#REF!</definedName>
    <definedName name="Pension">#REF!</definedName>
    <definedName name="Pension1" localSheetId="5">#REF!</definedName>
    <definedName name="Pension1" localSheetId="6">#REF!</definedName>
    <definedName name="Pension1" localSheetId="7">#REF!</definedName>
    <definedName name="Pension1" localSheetId="8">#REF!</definedName>
    <definedName name="Pension1" localSheetId="9">#REF!</definedName>
    <definedName name="Pension1" localSheetId="10">#REF!</definedName>
    <definedName name="Pension1" localSheetId="11">#REF!</definedName>
    <definedName name="Pension1" localSheetId="12">#REF!</definedName>
    <definedName name="Pension1" localSheetId="13">#REF!</definedName>
    <definedName name="Pension1" localSheetId="14">#REF!</definedName>
    <definedName name="Pension1" localSheetId="15">#REF!</definedName>
    <definedName name="Pension1" localSheetId="16">#REF!</definedName>
    <definedName name="Pension1" localSheetId="18">#REF!</definedName>
    <definedName name="Pension1" localSheetId="19">#REF!</definedName>
    <definedName name="Pension1" localSheetId="20">#REF!</definedName>
    <definedName name="Pension1">#REF!</definedName>
    <definedName name="PensionLY" localSheetId="5">#REF!</definedName>
    <definedName name="PensionLY" localSheetId="6">#REF!</definedName>
    <definedName name="PensionLY" localSheetId="7">#REF!</definedName>
    <definedName name="PensionLY" localSheetId="8">#REF!</definedName>
    <definedName name="PensionLY" localSheetId="9">#REF!</definedName>
    <definedName name="PensionLY" localSheetId="10">#REF!</definedName>
    <definedName name="PensionLY" localSheetId="11">#REF!</definedName>
    <definedName name="PensionLY" localSheetId="12">#REF!</definedName>
    <definedName name="PensionLY" localSheetId="13">#REF!</definedName>
    <definedName name="PensionLY" localSheetId="14">#REF!</definedName>
    <definedName name="PensionLY" localSheetId="15">#REF!</definedName>
    <definedName name="PensionLY" localSheetId="16">#REF!</definedName>
    <definedName name="PensionLY" localSheetId="18">#REF!</definedName>
    <definedName name="PensionLY" localSheetId="19">#REF!</definedName>
    <definedName name="PensionLY" localSheetId="20">#REF!</definedName>
    <definedName name="PensionLY">#REF!</definedName>
    <definedName name="PlanNameLongGASB">[1]DeveloperInfo!$D$7</definedName>
    <definedName name="PlanNameShortGASB">[1]DeveloperInfo!$D$8</definedName>
    <definedName name="_xlnm.Print_Area" localSheetId="3">'0001 LS Journal'!$A$1:$J$9</definedName>
    <definedName name="_xlnm.Print_Area" localSheetId="4">'0012 LS Journal'!$A$1:$J$9</definedName>
    <definedName name="_xlnm.Print_Area" localSheetId="5">'0017 LS Journal'!$A$1:$J$9</definedName>
    <definedName name="_xlnm.Print_Area" localSheetId="6">'0044 LS Journal'!$A$1:$J$9</definedName>
    <definedName name="_xlnm.Print_Area" localSheetId="7">'0142 LS Journal'!$A$1:$J$9</definedName>
    <definedName name="_xlnm.Print_Area" localSheetId="8">'0256 LS Journal'!$A$1:$J$9</definedName>
    <definedName name="_xlnm.Print_Area" localSheetId="9">'0367 LS Journal'!$A$1:$J$9</definedName>
    <definedName name="_xlnm.Print_Area" localSheetId="10">'0378 LS Journal'!$A$1:$J$9</definedName>
    <definedName name="_xlnm.Print_Area" localSheetId="11">'0460 LS Journal'!$A$1:$J$9</definedName>
    <definedName name="_xlnm.Print_Area" localSheetId="12">'0566 LS Journal'!$A$1:$J$9</definedName>
    <definedName name="_xlnm.Print_Area" localSheetId="13">'0567 LS Journal'!$A$1:$J$9</definedName>
    <definedName name="_xlnm.Print_Area" localSheetId="14">'0569 LS Journal'!$A$1:$J$9</definedName>
    <definedName name="_xlnm.Print_Area" localSheetId="15">'0890 LS Journal'!$A$1:$J$9</definedName>
    <definedName name="_xlnm.Print_Area" localSheetId="16">'1008 LS Journal'!$A$1:$J$9</definedName>
    <definedName name="_xlnm.Print_Area" localSheetId="17">'3016 LS Journal'!$A$1:$J$9</definedName>
    <definedName name="_xlnm.Print_Area" localSheetId="18">'3053 LS Journal'!$A$1:$J$9</definedName>
    <definedName name="_xlnm.Print_Area" localSheetId="19">'3086 LS Journal'!$A$1:$J$9</definedName>
    <definedName name="_xlnm.Print_Area" localSheetId="20">'3087 LS Journal'!$A$1:$J$9</definedName>
    <definedName name="_xlnm.Print_Area" localSheetId="21">'3320 LS Journal'!$A$1:$J$9</definedName>
    <definedName name="_xlnm.Print_Area" localSheetId="22">'9731 LS Journal'!$A$1:$J$9</definedName>
    <definedName name="_xlnm.Print_Area" localSheetId="23">'9740 LS Journal'!$A$1:$J$9</definedName>
    <definedName name="_xlnm.Print_Area" localSheetId="24">'LS-Department Note Disclosure'!$A$1:$C$85</definedName>
    <definedName name="_xlnm.Print_Area" localSheetId="25">'LS-Lease Liabilities'!$B$2:$Q$17</definedName>
    <definedName name="ProjDisc?">[1]DeveloperInfo!$D$65</definedName>
    <definedName name="ProValResults" localSheetId="5">#REF!</definedName>
    <definedName name="ProValResults" localSheetId="6">#REF!</definedName>
    <definedName name="ProValResults" localSheetId="7">#REF!</definedName>
    <definedName name="ProValResults" localSheetId="8">#REF!</definedName>
    <definedName name="ProValResults" localSheetId="9">#REF!</definedName>
    <definedName name="ProValResults" localSheetId="10">#REF!</definedName>
    <definedName name="ProValResults" localSheetId="11">#REF!</definedName>
    <definedName name="ProValResults" localSheetId="12">#REF!</definedName>
    <definedName name="ProValResults" localSheetId="13">#REF!</definedName>
    <definedName name="ProValResults" localSheetId="14">#REF!</definedName>
    <definedName name="ProValResults" localSheetId="15">#REF!</definedName>
    <definedName name="ProValResults" localSheetId="16">#REF!</definedName>
    <definedName name="ProValResults" localSheetId="18">#REF!</definedName>
    <definedName name="ProValResults" localSheetId="19">#REF!</definedName>
    <definedName name="ProValResults" localSheetId="20">#REF!</definedName>
    <definedName name="ProValResults">#REF!</definedName>
    <definedName name="ProValResults1" localSheetId="5">#REF!</definedName>
    <definedName name="ProValResults1" localSheetId="6">#REF!</definedName>
    <definedName name="ProValResults1" localSheetId="7">#REF!</definedName>
    <definedName name="ProValResults1" localSheetId="8">#REF!</definedName>
    <definedName name="ProValResults1" localSheetId="9">#REF!</definedName>
    <definedName name="ProValResults1" localSheetId="10">#REF!</definedName>
    <definedName name="ProValResults1" localSheetId="11">#REF!</definedName>
    <definedName name="ProValResults1" localSheetId="12">#REF!</definedName>
    <definedName name="ProValResults1" localSheetId="13">#REF!</definedName>
    <definedName name="ProValResults1" localSheetId="14">#REF!</definedName>
    <definedName name="ProValResults1" localSheetId="15">#REF!</definedName>
    <definedName name="ProValResults1" localSheetId="16">#REF!</definedName>
    <definedName name="ProValResults1" localSheetId="18">#REF!</definedName>
    <definedName name="ProValResults1" localSheetId="19">#REF!</definedName>
    <definedName name="ProValResults1" localSheetId="20">#REF!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5">#REF!</definedName>
    <definedName name="TableData" localSheetId="6">#REF!</definedName>
    <definedName name="TableData" localSheetId="7">#REF!</definedName>
    <definedName name="TableData" localSheetId="8">#REF!</definedName>
    <definedName name="TableData" localSheetId="9">#REF!</definedName>
    <definedName name="TableData" localSheetId="10">#REF!</definedName>
    <definedName name="TableData" localSheetId="11">#REF!</definedName>
    <definedName name="TableData" localSheetId="12">#REF!</definedName>
    <definedName name="TableData" localSheetId="13">#REF!</definedName>
    <definedName name="TableData" localSheetId="14">#REF!</definedName>
    <definedName name="TableData" localSheetId="15">#REF!</definedName>
    <definedName name="TableData" localSheetId="16">#REF!</definedName>
    <definedName name="TableData" localSheetId="18">#REF!</definedName>
    <definedName name="TableData" localSheetId="19">#REF!</definedName>
    <definedName name="TableData" localSheetId="20">#REF!</definedName>
    <definedName name="TableData">#REF!</definedName>
    <definedName name="TableData1" localSheetId="5">#REF!</definedName>
    <definedName name="TableData1" localSheetId="6">#REF!</definedName>
    <definedName name="TableData1" localSheetId="7">#REF!</definedName>
    <definedName name="TableData1" localSheetId="8">#REF!</definedName>
    <definedName name="TableData1" localSheetId="9">#REF!</definedName>
    <definedName name="TableData1" localSheetId="10">#REF!</definedName>
    <definedName name="TableData1" localSheetId="11">#REF!</definedName>
    <definedName name="TableData1" localSheetId="12">#REF!</definedName>
    <definedName name="TableData1" localSheetId="13">#REF!</definedName>
    <definedName name="TableData1" localSheetId="14">#REF!</definedName>
    <definedName name="TableData1" localSheetId="15">#REF!</definedName>
    <definedName name="TableData1" localSheetId="16">#REF!</definedName>
    <definedName name="TableData1" localSheetId="18">#REF!</definedName>
    <definedName name="TableData1" localSheetId="19">#REF!</definedName>
    <definedName name="TableData1" localSheetId="20">#REF!</definedName>
    <definedName name="TableData1">#REF!</definedName>
    <definedName name="Type" localSheetId="5">#REF!</definedName>
    <definedName name="Type" localSheetId="6">#REF!</definedName>
    <definedName name="Type" localSheetId="7">#REF!</definedName>
    <definedName name="Type" localSheetId="8">#REF!</definedName>
    <definedName name="Type" localSheetId="9">#REF!</definedName>
    <definedName name="Type" localSheetId="10">#REF!</definedName>
    <definedName name="Type" localSheetId="11">#REF!</definedName>
    <definedName name="Type" localSheetId="12">#REF!</definedName>
    <definedName name="Type" localSheetId="13">#REF!</definedName>
    <definedName name="Type" localSheetId="14">#REF!</definedName>
    <definedName name="Type" localSheetId="15">#REF!</definedName>
    <definedName name="Type" localSheetId="16">#REF!</definedName>
    <definedName name="Type" localSheetId="18">#REF!</definedName>
    <definedName name="Type" localSheetId="19">#REF!</definedName>
    <definedName name="Type" localSheetId="20">#REF!</definedName>
    <definedName name="Type">#REF!</definedName>
    <definedName name="TypeAnnuity" localSheetId="5">#REF!</definedName>
    <definedName name="TypeAnnuity" localSheetId="6">#REF!</definedName>
    <definedName name="TypeAnnuity" localSheetId="7">#REF!</definedName>
    <definedName name="TypeAnnuity" localSheetId="8">#REF!</definedName>
    <definedName name="TypeAnnuity" localSheetId="9">#REF!</definedName>
    <definedName name="TypeAnnuity" localSheetId="10">#REF!</definedName>
    <definedName name="TypeAnnuity" localSheetId="11">#REF!</definedName>
    <definedName name="TypeAnnuity" localSheetId="13">#REF!</definedName>
    <definedName name="TypeAnnuity" localSheetId="14">#REF!</definedName>
    <definedName name="TypeAnnuity" localSheetId="15">#REF!</definedName>
    <definedName name="TypeAnnuity" localSheetId="16">#REF!</definedName>
    <definedName name="TypeAnnuity" localSheetId="18">#REF!</definedName>
    <definedName name="TypeAnnuity" localSheetId="19">#REF!</definedName>
    <definedName name="TypeAnnuity" localSheetId="20">#REF!</definedName>
    <definedName name="TypeAnnuity">#REF!</definedName>
    <definedName name="TypeAnnuity1" localSheetId="5">#REF!</definedName>
    <definedName name="TypeAnnuity1" localSheetId="6">#REF!</definedName>
    <definedName name="TypeAnnuity1" localSheetId="7">#REF!</definedName>
    <definedName name="TypeAnnuity1" localSheetId="8">#REF!</definedName>
    <definedName name="TypeAnnuity1" localSheetId="9">#REF!</definedName>
    <definedName name="TypeAnnuity1" localSheetId="10">#REF!</definedName>
    <definedName name="TypeAnnuity1" localSheetId="11">#REF!</definedName>
    <definedName name="TypeAnnuity1" localSheetId="13">#REF!</definedName>
    <definedName name="TypeAnnuity1" localSheetId="14">#REF!</definedName>
    <definedName name="TypeAnnuity1" localSheetId="15">#REF!</definedName>
    <definedName name="TypeAnnuity1" localSheetId="16">#REF!</definedName>
    <definedName name="TypeAnnuity1" localSheetId="18">#REF!</definedName>
    <definedName name="TypeAnnuity1" localSheetId="19">#REF!</definedName>
    <definedName name="TypeAnnuity1" localSheetId="20">#REF!</definedName>
    <definedName name="TypeAnnuity1">#REF!</definedName>
    <definedName name="TypePension" localSheetId="5">#REF!</definedName>
    <definedName name="TypePension" localSheetId="6">#REF!</definedName>
    <definedName name="TypePension" localSheetId="7">#REF!</definedName>
    <definedName name="TypePension" localSheetId="8">#REF!</definedName>
    <definedName name="TypePension" localSheetId="9">#REF!</definedName>
    <definedName name="TypePension" localSheetId="10">#REF!</definedName>
    <definedName name="TypePension" localSheetId="11">#REF!</definedName>
    <definedName name="TypePension" localSheetId="13">#REF!</definedName>
    <definedName name="TypePension" localSheetId="14">#REF!</definedName>
    <definedName name="TypePension" localSheetId="15">#REF!</definedName>
    <definedName name="TypePension" localSheetId="16">#REF!</definedName>
    <definedName name="TypePension" localSheetId="18">#REF!</definedName>
    <definedName name="TypePension" localSheetId="19">#REF!</definedName>
    <definedName name="TypePension" localSheetId="20">#REF!</definedName>
    <definedName name="TypePension">#REF!</definedName>
    <definedName name="TypePension1" localSheetId="5">#REF!</definedName>
    <definedName name="TypePension1" localSheetId="6">#REF!</definedName>
    <definedName name="TypePension1" localSheetId="7">#REF!</definedName>
    <definedName name="TypePension1" localSheetId="8">#REF!</definedName>
    <definedName name="TypePension1" localSheetId="9">#REF!</definedName>
    <definedName name="TypePension1" localSheetId="10">#REF!</definedName>
    <definedName name="TypePension1" localSheetId="11">#REF!</definedName>
    <definedName name="TypePension1" localSheetId="13">#REF!</definedName>
    <definedName name="TypePension1" localSheetId="14">#REF!</definedName>
    <definedName name="TypePension1" localSheetId="15">#REF!</definedName>
    <definedName name="TypePension1" localSheetId="16">#REF!</definedName>
    <definedName name="TypePension1" localSheetId="18">#REF!</definedName>
    <definedName name="TypePension1" localSheetId="19">#REF!</definedName>
    <definedName name="TypePension1" localSheetId="20">#REF!</definedName>
    <definedName name="TypePension1">#REF!</definedName>
    <definedName name="UnfundedData" localSheetId="5">#REF!</definedName>
    <definedName name="UnfundedData" localSheetId="6">#REF!</definedName>
    <definedName name="UnfundedData" localSheetId="7">#REF!</definedName>
    <definedName name="UnfundedData" localSheetId="8">#REF!</definedName>
    <definedName name="UnfundedData" localSheetId="9">#REF!</definedName>
    <definedName name="UnfundedData" localSheetId="10">#REF!</definedName>
    <definedName name="UnfundedData" localSheetId="11">#REF!</definedName>
    <definedName name="UnfundedData" localSheetId="13">#REF!</definedName>
    <definedName name="UnfundedData" localSheetId="14">#REF!</definedName>
    <definedName name="UnfundedData" localSheetId="15">#REF!</definedName>
    <definedName name="UnfundedData" localSheetId="16">#REF!</definedName>
    <definedName name="UnfundedData" localSheetId="18">#REF!</definedName>
    <definedName name="UnfundedData" localSheetId="19">#REF!</definedName>
    <definedName name="UnfundedData" localSheetId="20">#REF!</definedName>
    <definedName name="UnfundedData">#REF!</definedName>
    <definedName name="UnfundedData1" localSheetId="5">#REF!</definedName>
    <definedName name="UnfundedData1" localSheetId="6">#REF!</definedName>
    <definedName name="UnfundedData1" localSheetId="7">#REF!</definedName>
    <definedName name="UnfundedData1" localSheetId="8">#REF!</definedName>
    <definedName name="UnfundedData1" localSheetId="9">#REF!</definedName>
    <definedName name="UnfundedData1" localSheetId="10">#REF!</definedName>
    <definedName name="UnfundedData1" localSheetId="11">#REF!</definedName>
    <definedName name="UnfundedData1" localSheetId="13">#REF!</definedName>
    <definedName name="UnfundedData1" localSheetId="14">#REF!</definedName>
    <definedName name="UnfundedData1" localSheetId="15">#REF!</definedName>
    <definedName name="UnfundedData1" localSheetId="16">#REF!</definedName>
    <definedName name="UnfundedData1" localSheetId="18">#REF!</definedName>
    <definedName name="UnfundedData1" localSheetId="19">#REF!</definedName>
    <definedName name="UnfundedData1" localSheetId="20">#REF!</definedName>
    <definedName name="UnfundedData1">#REF!</definedName>
    <definedName name="UnfundedLY" localSheetId="5">#REF!</definedName>
    <definedName name="UnfundedLY" localSheetId="6">#REF!</definedName>
    <definedName name="UnfundedLY" localSheetId="7">#REF!</definedName>
    <definedName name="UnfundedLY" localSheetId="8">#REF!</definedName>
    <definedName name="UnfundedLY" localSheetId="9">#REF!</definedName>
    <definedName name="UnfundedLY" localSheetId="10">#REF!</definedName>
    <definedName name="UnfundedLY" localSheetId="11">#REF!</definedName>
    <definedName name="UnfundedLY" localSheetId="13">#REF!</definedName>
    <definedName name="UnfundedLY" localSheetId="14">#REF!</definedName>
    <definedName name="UnfundedLY" localSheetId="15">#REF!</definedName>
    <definedName name="UnfundedLY" localSheetId="16">#REF!</definedName>
    <definedName name="UnfundedLY" localSheetId="18">#REF!</definedName>
    <definedName name="UnfundedLY" localSheetId="19">#REF!</definedName>
    <definedName name="UnfundedLY" localSheetId="20">#REF!</definedName>
    <definedName name="UnfundedLY">#REF!</definedName>
    <definedName name="UnfundedLY1" localSheetId="5">#REF!</definedName>
    <definedName name="UnfundedLY1" localSheetId="6">#REF!</definedName>
    <definedName name="UnfundedLY1" localSheetId="7">#REF!</definedName>
    <definedName name="UnfundedLY1" localSheetId="8">#REF!</definedName>
    <definedName name="UnfundedLY1" localSheetId="9">#REF!</definedName>
    <definedName name="UnfundedLY1" localSheetId="10">#REF!</definedName>
    <definedName name="UnfundedLY1" localSheetId="11">#REF!</definedName>
    <definedName name="UnfundedLY1" localSheetId="13">#REF!</definedName>
    <definedName name="UnfundedLY1" localSheetId="14">#REF!</definedName>
    <definedName name="UnfundedLY1" localSheetId="15">#REF!</definedName>
    <definedName name="UnfundedLY1" localSheetId="16">#REF!</definedName>
    <definedName name="UnfundedLY1" localSheetId="18">#REF!</definedName>
    <definedName name="UnfundedLY1" localSheetId="19">#REF!</definedName>
    <definedName name="UnfundedLY1" localSheetId="20">#REF!</definedName>
    <definedName name="UnfundedLY1">#REF!</definedName>
    <definedName name="UnfundedLYLEO1" localSheetId="5">#REF!</definedName>
    <definedName name="UnfundedLYLEO1" localSheetId="6">#REF!</definedName>
    <definedName name="UnfundedLYLEO1" localSheetId="7">#REF!</definedName>
    <definedName name="UnfundedLYLEO1" localSheetId="8">#REF!</definedName>
    <definedName name="UnfundedLYLEO1" localSheetId="9">#REF!</definedName>
    <definedName name="UnfundedLYLEO1" localSheetId="10">#REF!</definedName>
    <definedName name="UnfundedLYLEO1" localSheetId="11">#REF!</definedName>
    <definedName name="UnfundedLYLEO1" localSheetId="13">#REF!</definedName>
    <definedName name="UnfundedLYLEO1" localSheetId="14">#REF!</definedName>
    <definedName name="UnfundedLYLEO1" localSheetId="15">#REF!</definedName>
    <definedName name="UnfundedLYLEO1" localSheetId="16">#REF!</definedName>
    <definedName name="UnfundedLYLEO1" localSheetId="18">#REF!</definedName>
    <definedName name="UnfundedLYLEO1" localSheetId="19">#REF!</definedName>
    <definedName name="UnfundedLYLEO1" localSheetId="20">#REF!</definedName>
    <definedName name="UnfundedLYLEO1">#REF!</definedName>
    <definedName name="UnfunedLYLEO" localSheetId="5">#REF!</definedName>
    <definedName name="UnfunedLYLEO" localSheetId="6">#REF!</definedName>
    <definedName name="UnfunedLYLEO" localSheetId="7">#REF!</definedName>
    <definedName name="UnfunedLYLEO" localSheetId="8">#REF!</definedName>
    <definedName name="UnfunedLYLEO" localSheetId="9">#REF!</definedName>
    <definedName name="UnfunedLYLEO" localSheetId="10">#REF!</definedName>
    <definedName name="UnfunedLYLEO" localSheetId="11">#REF!</definedName>
    <definedName name="UnfunedLYLEO" localSheetId="13">#REF!</definedName>
    <definedName name="UnfunedLYLEO" localSheetId="14">#REF!</definedName>
    <definedName name="UnfunedLYLEO" localSheetId="15">#REF!</definedName>
    <definedName name="UnfunedLYLEO" localSheetId="16">#REF!</definedName>
    <definedName name="UnfunedLYLEO" localSheetId="18">#REF!</definedName>
    <definedName name="UnfunedLYLEO" localSheetId="19">#REF!</definedName>
    <definedName name="UnfunedLYLEO" localSheetId="20">#REF!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 i="3" l="1"/>
  <c r="B21" i="3"/>
  <c r="H10" i="4" l="1"/>
  <c r="K129" i="35" l="1"/>
  <c r="K114" i="35"/>
  <c r="J114" i="35"/>
  <c r="L114" i="35" s="1"/>
  <c r="K105" i="35"/>
  <c r="J105" i="35"/>
  <c r="L105" i="35" s="1"/>
  <c r="C104" i="35"/>
  <c r="B100" i="35"/>
  <c r="K91" i="35"/>
  <c r="J91" i="35"/>
  <c r="K77" i="35"/>
  <c r="J77" i="35"/>
  <c r="K70" i="35"/>
  <c r="L70" i="35" s="1"/>
  <c r="J70" i="35"/>
  <c r="K65" i="35"/>
  <c r="J65" i="35"/>
  <c r="C64" i="35"/>
  <c r="B63" i="35"/>
  <c r="K59" i="35"/>
  <c r="J59" i="35"/>
  <c r="K49" i="35"/>
  <c r="J49" i="35"/>
  <c r="K43" i="35"/>
  <c r="J43" i="35"/>
  <c r="K36" i="35"/>
  <c r="J36" i="35"/>
  <c r="L36" i="35" s="1"/>
  <c r="C35" i="35"/>
  <c r="S25" i="35"/>
  <c r="Q24" i="35"/>
  <c r="S24" i="35" s="1"/>
  <c r="S23" i="35"/>
  <c r="K23" i="35"/>
  <c r="K128" i="35" s="1"/>
  <c r="S22" i="35"/>
  <c r="K22" i="35"/>
  <c r="K127" i="35" s="1"/>
  <c r="S21" i="35"/>
  <c r="K21" i="35"/>
  <c r="K126" i="35" s="1"/>
  <c r="S20" i="35"/>
  <c r="K20" i="35"/>
  <c r="S19" i="35"/>
  <c r="P18" i="35"/>
  <c r="S18" i="35" s="1"/>
  <c r="S17" i="35"/>
  <c r="J17" i="35"/>
  <c r="K124" i="35" s="1"/>
  <c r="S16" i="35"/>
  <c r="J16" i="35"/>
  <c r="K123" i="35" s="1"/>
  <c r="S15" i="35"/>
  <c r="J15" i="35"/>
  <c r="K122" i="35" s="1"/>
  <c r="F9" i="35"/>
  <c r="K129" i="34"/>
  <c r="K125" i="34"/>
  <c r="K114" i="34"/>
  <c r="J114" i="34"/>
  <c r="K105" i="34"/>
  <c r="J105" i="34"/>
  <c r="C104" i="34"/>
  <c r="B100" i="34"/>
  <c r="L91" i="34"/>
  <c r="K91" i="34"/>
  <c r="J91" i="34"/>
  <c r="K77" i="34"/>
  <c r="J77" i="34"/>
  <c r="L77" i="34" s="1"/>
  <c r="K70" i="34"/>
  <c r="J70" i="34"/>
  <c r="K65" i="34"/>
  <c r="J65" i="34"/>
  <c r="C64" i="34"/>
  <c r="B63" i="34"/>
  <c r="K59" i="34"/>
  <c r="J59" i="34"/>
  <c r="L59" i="34" s="1"/>
  <c r="K49" i="34"/>
  <c r="J49" i="34"/>
  <c r="L49" i="34" s="1"/>
  <c r="L43" i="34"/>
  <c r="K43" i="34"/>
  <c r="J43" i="34"/>
  <c r="K36" i="34"/>
  <c r="L36" i="34" s="1"/>
  <c r="J36" i="34"/>
  <c r="C35" i="34"/>
  <c r="S25" i="34"/>
  <c r="Q24" i="34"/>
  <c r="S24" i="34" s="1"/>
  <c r="S23" i="34"/>
  <c r="K23" i="34"/>
  <c r="K128" i="34" s="1"/>
  <c r="S22" i="34"/>
  <c r="K22" i="34"/>
  <c r="K127" i="34" s="1"/>
  <c r="S21" i="34"/>
  <c r="K21" i="34"/>
  <c r="K126" i="34" s="1"/>
  <c r="S20" i="34"/>
  <c r="K20" i="34"/>
  <c r="S19" i="34"/>
  <c r="P18" i="34"/>
  <c r="S18" i="34" s="1"/>
  <c r="S17" i="34"/>
  <c r="J17" i="34"/>
  <c r="K124" i="34" s="1"/>
  <c r="S16" i="34"/>
  <c r="J16" i="34"/>
  <c r="K123" i="34" s="1"/>
  <c r="S15" i="34"/>
  <c r="J15" i="34"/>
  <c r="K122" i="34" s="1"/>
  <c r="F9" i="34"/>
  <c r="K129" i="33"/>
  <c r="L114" i="33"/>
  <c r="K114" i="33"/>
  <c r="J114" i="33"/>
  <c r="K105" i="33"/>
  <c r="J105" i="33"/>
  <c r="K91" i="33"/>
  <c r="L91" i="33" s="1"/>
  <c r="J91" i="33"/>
  <c r="K77" i="33"/>
  <c r="L77" i="33" s="1"/>
  <c r="J77" i="33"/>
  <c r="K70" i="33"/>
  <c r="J70" i="33"/>
  <c r="K65" i="33"/>
  <c r="J65" i="33"/>
  <c r="L65" i="33" s="1"/>
  <c r="B63" i="33"/>
  <c r="K59" i="33"/>
  <c r="J59" i="33"/>
  <c r="K49" i="33"/>
  <c r="J49" i="33"/>
  <c r="K43" i="33"/>
  <c r="J43" i="33"/>
  <c r="L43" i="33" s="1"/>
  <c r="K36" i="33"/>
  <c r="J36" i="33"/>
  <c r="L36" i="33" s="1"/>
  <c r="S25" i="33"/>
  <c r="Q24" i="33"/>
  <c r="K24" i="33" s="1"/>
  <c r="S23" i="33"/>
  <c r="K23" i="33"/>
  <c r="K128" i="33" s="1"/>
  <c r="S22" i="33"/>
  <c r="K22" i="33"/>
  <c r="K127" i="33" s="1"/>
  <c r="S21" i="33"/>
  <c r="K21" i="33"/>
  <c r="K126" i="33" s="1"/>
  <c r="S20" i="33"/>
  <c r="K20" i="33"/>
  <c r="K125" i="33" s="1"/>
  <c r="S19" i="33"/>
  <c r="S18" i="33"/>
  <c r="P18" i="33"/>
  <c r="J18" i="33"/>
  <c r="S17" i="33"/>
  <c r="J17" i="33"/>
  <c r="K124" i="33" s="1"/>
  <c r="S16" i="33"/>
  <c r="J16" i="33"/>
  <c r="K123" i="33" s="1"/>
  <c r="S15" i="33"/>
  <c r="J15" i="33"/>
  <c r="K122" i="33" s="1"/>
  <c r="F9" i="33"/>
  <c r="C104" i="33" s="1"/>
  <c r="K129" i="31"/>
  <c r="K114" i="31"/>
  <c r="J114" i="31"/>
  <c r="K105" i="31"/>
  <c r="J105" i="31"/>
  <c r="L105" i="31" s="1"/>
  <c r="L91" i="31"/>
  <c r="K91" i="31"/>
  <c r="J91" i="31"/>
  <c r="K77" i="31"/>
  <c r="J77" i="31"/>
  <c r="K70" i="31"/>
  <c r="L70" i="31" s="1"/>
  <c r="J70" i="31"/>
  <c r="K65" i="31"/>
  <c r="J65" i="31"/>
  <c r="B63" i="31"/>
  <c r="K59" i="31"/>
  <c r="J59" i="31"/>
  <c r="L59" i="31" s="1"/>
  <c r="K49" i="31"/>
  <c r="J49" i="31"/>
  <c r="L49" i="31" s="1"/>
  <c r="K43" i="31"/>
  <c r="J43" i="31"/>
  <c r="L43" i="31" s="1"/>
  <c r="K36" i="31"/>
  <c r="L36" i="31" s="1"/>
  <c r="J36" i="31"/>
  <c r="S25" i="31"/>
  <c r="Q24" i="31"/>
  <c r="S24" i="31" s="1"/>
  <c r="K24" i="31"/>
  <c r="S23" i="31"/>
  <c r="K23" i="31"/>
  <c r="K128" i="31" s="1"/>
  <c r="S22" i="31"/>
  <c r="K22" i="31"/>
  <c r="K127" i="31" s="1"/>
  <c r="S21" i="31"/>
  <c r="K21" i="31"/>
  <c r="K126" i="31" s="1"/>
  <c r="S20" i="31"/>
  <c r="K20" i="31"/>
  <c r="S19" i="31"/>
  <c r="P18" i="31"/>
  <c r="S18" i="31" s="1"/>
  <c r="S17" i="31"/>
  <c r="J17" i="31"/>
  <c r="K124" i="31" s="1"/>
  <c r="S16" i="31"/>
  <c r="J16" i="31"/>
  <c r="K123" i="31" s="1"/>
  <c r="S15" i="31"/>
  <c r="J15" i="31"/>
  <c r="K122" i="31" s="1"/>
  <c r="F9" i="31"/>
  <c r="C64" i="31" s="1"/>
  <c r="K129" i="30"/>
  <c r="L114" i="30"/>
  <c r="K114" i="30"/>
  <c r="J114" i="30"/>
  <c r="K105" i="30"/>
  <c r="J105" i="30"/>
  <c r="K91" i="30"/>
  <c r="L91" i="30" s="1"/>
  <c r="J91" i="30"/>
  <c r="K77" i="30"/>
  <c r="J77" i="30"/>
  <c r="K70" i="30"/>
  <c r="J70" i="30"/>
  <c r="L70" i="30" s="1"/>
  <c r="K65" i="30"/>
  <c r="J65" i="30"/>
  <c r="B63" i="30"/>
  <c r="K59" i="30"/>
  <c r="J59" i="30"/>
  <c r="L59" i="30" s="1"/>
  <c r="K49" i="30"/>
  <c r="J49" i="30"/>
  <c r="L49" i="30" s="1"/>
  <c r="K43" i="30"/>
  <c r="L43" i="30" s="1"/>
  <c r="J43" i="30"/>
  <c r="K36" i="30"/>
  <c r="J36" i="30"/>
  <c r="L36" i="30" s="1"/>
  <c r="S25" i="30"/>
  <c r="Q24" i="30"/>
  <c r="K24" i="30" s="1"/>
  <c r="S23" i="30"/>
  <c r="K23" i="30"/>
  <c r="K128" i="30" s="1"/>
  <c r="S22" i="30"/>
  <c r="K22" i="30"/>
  <c r="K127" i="30" s="1"/>
  <c r="S21" i="30"/>
  <c r="K21" i="30"/>
  <c r="K126" i="30" s="1"/>
  <c r="S20" i="30"/>
  <c r="K20" i="30"/>
  <c r="K125" i="30" s="1"/>
  <c r="S19" i="30"/>
  <c r="P18" i="30"/>
  <c r="S18" i="30" s="1"/>
  <c r="S17" i="30"/>
  <c r="J17" i="30"/>
  <c r="K124" i="30" s="1"/>
  <c r="S16" i="30"/>
  <c r="J16" i="30"/>
  <c r="K123" i="30" s="1"/>
  <c r="S15" i="30"/>
  <c r="J15" i="30"/>
  <c r="K122" i="30" s="1"/>
  <c r="F9" i="30"/>
  <c r="C104" i="30" s="1"/>
  <c r="K129" i="29"/>
  <c r="K114" i="29"/>
  <c r="J114" i="29"/>
  <c r="K105" i="29"/>
  <c r="J105" i="29"/>
  <c r="L105" i="29" s="1"/>
  <c r="K91" i="29"/>
  <c r="J91" i="29"/>
  <c r="L91" i="29" s="1"/>
  <c r="K77" i="29"/>
  <c r="L77" i="29" s="1"/>
  <c r="J77" i="29"/>
  <c r="K70" i="29"/>
  <c r="J70" i="29"/>
  <c r="L70" i="29" s="1"/>
  <c r="K65" i="29"/>
  <c r="J65" i="29"/>
  <c r="B63" i="29"/>
  <c r="K59" i="29"/>
  <c r="L59" i="29" s="1"/>
  <c r="J59" i="29"/>
  <c r="K49" i="29"/>
  <c r="J49" i="29"/>
  <c r="L49" i="29" s="1"/>
  <c r="K43" i="29"/>
  <c r="L43" i="29" s="1"/>
  <c r="J43" i="29"/>
  <c r="K36" i="29"/>
  <c r="J36" i="29"/>
  <c r="S25" i="29"/>
  <c r="Q24" i="29"/>
  <c r="K24" i="29" s="1"/>
  <c r="S23" i="29"/>
  <c r="K23" i="29"/>
  <c r="K128" i="29" s="1"/>
  <c r="S22" i="29"/>
  <c r="K22" i="29"/>
  <c r="K127" i="29" s="1"/>
  <c r="S21" i="29"/>
  <c r="K21" i="29"/>
  <c r="K126" i="29" s="1"/>
  <c r="S20" i="29"/>
  <c r="K20" i="29"/>
  <c r="K125" i="29" s="1"/>
  <c r="S19" i="29"/>
  <c r="P18" i="29"/>
  <c r="J18" i="29" s="1"/>
  <c r="S17" i="29"/>
  <c r="J17" i="29"/>
  <c r="K124" i="29" s="1"/>
  <c r="S16" i="29"/>
  <c r="J16" i="29"/>
  <c r="K123" i="29" s="1"/>
  <c r="S15" i="29"/>
  <c r="J15" i="29"/>
  <c r="K122" i="29" s="1"/>
  <c r="F9" i="29"/>
  <c r="C104" i="29" s="1"/>
  <c r="K129" i="28"/>
  <c r="K114" i="28"/>
  <c r="J114" i="28"/>
  <c r="L114" i="28" s="1"/>
  <c r="K105" i="28"/>
  <c r="J105" i="28"/>
  <c r="L105" i="28" s="1"/>
  <c r="K91" i="28"/>
  <c r="J91" i="28"/>
  <c r="L91" i="28" s="1"/>
  <c r="K77" i="28"/>
  <c r="J77" i="28"/>
  <c r="L77" i="28" s="1"/>
  <c r="K70" i="28"/>
  <c r="J70" i="28"/>
  <c r="L70" i="28" s="1"/>
  <c r="K65" i="28"/>
  <c r="L65" i="28" s="1"/>
  <c r="J65" i="28"/>
  <c r="B63" i="28"/>
  <c r="K59" i="28"/>
  <c r="J59" i="28"/>
  <c r="K49" i="28"/>
  <c r="J49" i="28"/>
  <c r="L49" i="28" s="1"/>
  <c r="K43" i="28"/>
  <c r="J43" i="28"/>
  <c r="L43" i="28" s="1"/>
  <c r="K36" i="28"/>
  <c r="L36" i="28" s="1"/>
  <c r="J36" i="28"/>
  <c r="S25" i="28"/>
  <c r="Q24" i="28"/>
  <c r="S24" i="28" s="1"/>
  <c r="K24" i="28"/>
  <c r="S23" i="28"/>
  <c r="K23" i="28"/>
  <c r="K128" i="28" s="1"/>
  <c r="S22" i="28"/>
  <c r="K22" i="28"/>
  <c r="S21" i="28"/>
  <c r="K21" i="28"/>
  <c r="K126" i="28" s="1"/>
  <c r="S20" i="28"/>
  <c r="K20" i="28"/>
  <c r="K125" i="28" s="1"/>
  <c r="S19" i="28"/>
  <c r="P18" i="28"/>
  <c r="J18" i="28" s="1"/>
  <c r="S17" i="28"/>
  <c r="J17" i="28"/>
  <c r="K124" i="28" s="1"/>
  <c r="S16" i="28"/>
  <c r="J16" i="28"/>
  <c r="K123" i="28" s="1"/>
  <c r="S15" i="28"/>
  <c r="J15" i="28"/>
  <c r="F9" i="28"/>
  <c r="B100" i="28" s="1"/>
  <c r="S18" i="29" l="1"/>
  <c r="J19" i="31"/>
  <c r="L114" i="29"/>
  <c r="S24" i="30"/>
  <c r="L77" i="31"/>
  <c r="L114" i="31"/>
  <c r="L59" i="33"/>
  <c r="K24" i="34"/>
  <c r="L65" i="34"/>
  <c r="L49" i="35"/>
  <c r="K25" i="31"/>
  <c r="L59" i="28"/>
  <c r="K122" i="28"/>
  <c r="L36" i="29"/>
  <c r="L77" i="30"/>
  <c r="K125" i="31"/>
  <c r="L70" i="34"/>
  <c r="L59" i="35"/>
  <c r="L77" i="35"/>
  <c r="J19" i="28"/>
  <c r="J26" i="28" s="1"/>
  <c r="K127" i="28"/>
  <c r="J18" i="35"/>
  <c r="J18" i="31"/>
  <c r="L91" i="35"/>
  <c r="L105" i="33"/>
  <c r="J18" i="34"/>
  <c r="L105" i="34"/>
  <c r="L105" i="30"/>
  <c r="L49" i="33"/>
  <c r="L70" i="33"/>
  <c r="L114" i="34"/>
  <c r="K24" i="35"/>
  <c r="K25" i="35" s="1"/>
  <c r="K26" i="35" s="1"/>
  <c r="L43" i="35"/>
  <c r="L65" i="35"/>
  <c r="C104" i="28"/>
  <c r="L65" i="31"/>
  <c r="L65" i="30"/>
  <c r="L65" i="29"/>
  <c r="J19" i="33"/>
  <c r="J26" i="33" s="1"/>
  <c r="S24" i="33"/>
  <c r="K25" i="34"/>
  <c r="K26" i="34" s="1"/>
  <c r="K25" i="33"/>
  <c r="K26" i="33" s="1"/>
  <c r="J19" i="34"/>
  <c r="J26" i="34" s="1"/>
  <c r="L26" i="34" s="1"/>
  <c r="C35" i="33"/>
  <c r="K125" i="35"/>
  <c r="B100" i="33"/>
  <c r="C64" i="33"/>
  <c r="J26" i="31"/>
  <c r="K26" i="31"/>
  <c r="S18" i="28"/>
  <c r="K25" i="29"/>
  <c r="K26" i="29" s="1"/>
  <c r="K25" i="28"/>
  <c r="K26" i="28" s="1"/>
  <c r="C35" i="31"/>
  <c r="J19" i="29"/>
  <c r="J26" i="29" s="1"/>
  <c r="L26" i="29" s="1"/>
  <c r="S24" i="29"/>
  <c r="C35" i="30"/>
  <c r="C64" i="30"/>
  <c r="B100" i="31"/>
  <c r="C64" i="29"/>
  <c r="J18" i="30"/>
  <c r="J19" i="30" s="1"/>
  <c r="B100" i="30"/>
  <c r="C104" i="31"/>
  <c r="C35" i="28"/>
  <c r="C64" i="28"/>
  <c r="B100" i="29"/>
  <c r="C35" i="29"/>
  <c r="L26" i="28" l="1"/>
  <c r="L26" i="33"/>
  <c r="J19" i="35"/>
  <c r="J26" i="35" s="1"/>
  <c r="L26" i="35" s="1"/>
  <c r="J26" i="30"/>
  <c r="K25" i="30"/>
  <c r="K26" i="30" s="1"/>
  <c r="L26" i="31"/>
  <c r="L26" i="30" l="1"/>
  <c r="K129" i="27" l="1"/>
  <c r="K114" i="27"/>
  <c r="J114" i="27"/>
  <c r="K105" i="27"/>
  <c r="J105" i="27"/>
  <c r="K91" i="27"/>
  <c r="J91" i="27"/>
  <c r="K77" i="27"/>
  <c r="J77" i="27"/>
  <c r="K70" i="27"/>
  <c r="J70" i="27"/>
  <c r="K65" i="27"/>
  <c r="J65" i="27"/>
  <c r="B63" i="27"/>
  <c r="K59" i="27"/>
  <c r="J59" i="27"/>
  <c r="K49" i="27"/>
  <c r="J49" i="27"/>
  <c r="L49" i="27" s="1"/>
  <c r="K43" i="27"/>
  <c r="J43" i="27"/>
  <c r="L43" i="27" s="1"/>
  <c r="K36" i="27"/>
  <c r="J36" i="27"/>
  <c r="S25" i="27"/>
  <c r="Q24" i="27"/>
  <c r="K24" i="27" s="1"/>
  <c r="S23" i="27"/>
  <c r="K23" i="27"/>
  <c r="K128" i="27" s="1"/>
  <c r="S22" i="27"/>
  <c r="K22" i="27"/>
  <c r="K127" i="27" s="1"/>
  <c r="S21" i="27"/>
  <c r="K21" i="27"/>
  <c r="K126" i="27" s="1"/>
  <c r="S20" i="27"/>
  <c r="K20" i="27"/>
  <c r="K125" i="27" s="1"/>
  <c r="S19" i="27"/>
  <c r="P18" i="27"/>
  <c r="S18" i="27" s="1"/>
  <c r="S17" i="27"/>
  <c r="J17" i="27"/>
  <c r="K124" i="27" s="1"/>
  <c r="S16" i="27"/>
  <c r="J16" i="27"/>
  <c r="K123" i="27" s="1"/>
  <c r="S15" i="27"/>
  <c r="J15" i="27"/>
  <c r="K122" i="27" s="1"/>
  <c r="F9" i="27"/>
  <c r="C64" i="27" s="1"/>
  <c r="L59" i="27" l="1"/>
  <c r="L91" i="27"/>
  <c r="L105" i="27"/>
  <c r="L77" i="27"/>
  <c r="L36" i="27"/>
  <c r="L114" i="27"/>
  <c r="L70" i="27"/>
  <c r="L65" i="27"/>
  <c r="S24" i="27"/>
  <c r="C35" i="27"/>
  <c r="B100" i="27"/>
  <c r="J18" i="27"/>
  <c r="C104" i="27"/>
  <c r="K25" i="27" l="1"/>
  <c r="K26" i="27" s="1"/>
  <c r="J19" i="27"/>
  <c r="J26" i="27" s="1"/>
  <c r="L26" i="27" l="1"/>
  <c r="K129" i="25"/>
  <c r="K114" i="25"/>
  <c r="J114" i="25"/>
  <c r="L114" i="25" s="1"/>
  <c r="K105" i="25"/>
  <c r="J105" i="25"/>
  <c r="L105" i="25" s="1"/>
  <c r="K91" i="25"/>
  <c r="J91" i="25"/>
  <c r="L91" i="25" s="1"/>
  <c r="K77" i="25"/>
  <c r="J77" i="25"/>
  <c r="K70" i="25"/>
  <c r="J70" i="25"/>
  <c r="K65" i="25"/>
  <c r="J65" i="25"/>
  <c r="B63" i="25"/>
  <c r="K59" i="25"/>
  <c r="J59" i="25"/>
  <c r="L59" i="25" s="1"/>
  <c r="K49" i="25"/>
  <c r="J49" i="25"/>
  <c r="K43" i="25"/>
  <c r="J43" i="25"/>
  <c r="L43" i="25" s="1"/>
  <c r="K36" i="25"/>
  <c r="J36" i="25"/>
  <c r="S25" i="25"/>
  <c r="Q24" i="25"/>
  <c r="S24" i="25" s="1"/>
  <c r="S23" i="25"/>
  <c r="K23" i="25"/>
  <c r="K128" i="25" s="1"/>
  <c r="S22" i="25"/>
  <c r="K22" i="25"/>
  <c r="K127" i="25" s="1"/>
  <c r="S21" i="25"/>
  <c r="K21" i="25"/>
  <c r="K126" i="25" s="1"/>
  <c r="S20" i="25"/>
  <c r="K20" i="25"/>
  <c r="S19" i="25"/>
  <c r="P18" i="25"/>
  <c r="S18" i="25" s="1"/>
  <c r="S17" i="25"/>
  <c r="J17" i="25"/>
  <c r="K124" i="25" s="1"/>
  <c r="S16" i="25"/>
  <c r="J16" i="25"/>
  <c r="K123" i="25" s="1"/>
  <c r="S15" i="25"/>
  <c r="J15" i="25"/>
  <c r="F9" i="25"/>
  <c r="B100" i="25" s="1"/>
  <c r="L36" i="25" l="1"/>
  <c r="L49" i="25"/>
  <c r="L77" i="25"/>
  <c r="L70" i="25"/>
  <c r="L65" i="25"/>
  <c r="J18" i="25"/>
  <c r="K24" i="25"/>
  <c r="K25" i="25" s="1"/>
  <c r="K26" i="25" s="1"/>
  <c r="K122" i="25"/>
  <c r="C104" i="25"/>
  <c r="C35" i="25"/>
  <c r="C64" i="25"/>
  <c r="K125" i="25"/>
  <c r="J19" i="25" l="1"/>
  <c r="J26" i="25" s="1"/>
  <c r="L26" i="25" s="1"/>
  <c r="K129" i="24" l="1"/>
  <c r="K114" i="24"/>
  <c r="J114" i="24"/>
  <c r="K105" i="24"/>
  <c r="J105" i="24"/>
  <c r="L105" i="24" s="1"/>
  <c r="K91" i="24"/>
  <c r="J91" i="24"/>
  <c r="K77" i="24"/>
  <c r="J77" i="24"/>
  <c r="K70" i="24"/>
  <c r="J70" i="24"/>
  <c r="K65" i="24"/>
  <c r="J65" i="24"/>
  <c r="B63" i="24"/>
  <c r="K59" i="24"/>
  <c r="J59" i="24"/>
  <c r="K49" i="24"/>
  <c r="J49" i="24"/>
  <c r="L49" i="24" s="1"/>
  <c r="K43" i="24"/>
  <c r="J43" i="24"/>
  <c r="K36" i="24"/>
  <c r="J36" i="24"/>
  <c r="L36" i="24" s="1"/>
  <c r="S25" i="24"/>
  <c r="Q24" i="24"/>
  <c r="S24" i="24" s="1"/>
  <c r="S23" i="24"/>
  <c r="K23" i="24"/>
  <c r="K128" i="24" s="1"/>
  <c r="S22" i="24"/>
  <c r="K22" i="24"/>
  <c r="K127" i="24" s="1"/>
  <c r="S21" i="24"/>
  <c r="K21" i="24"/>
  <c r="K126" i="24" s="1"/>
  <c r="S20" i="24"/>
  <c r="K20" i="24"/>
  <c r="K125" i="24" s="1"/>
  <c r="S19" i="24"/>
  <c r="P18" i="24"/>
  <c r="S18" i="24" s="1"/>
  <c r="S17" i="24"/>
  <c r="J17" i="24"/>
  <c r="K124" i="24" s="1"/>
  <c r="S16" i="24"/>
  <c r="J16" i="24"/>
  <c r="K123" i="24" s="1"/>
  <c r="S15" i="24"/>
  <c r="J15" i="24"/>
  <c r="K122" i="24" s="1"/>
  <c r="F9" i="24"/>
  <c r="C64" i="24" s="1"/>
  <c r="L91" i="24" l="1"/>
  <c r="L43" i="24"/>
  <c r="L114" i="24"/>
  <c r="J18" i="24"/>
  <c r="K24" i="24"/>
  <c r="J19" i="24" s="1"/>
  <c r="J26" i="24" s="1"/>
  <c r="L77" i="24"/>
  <c r="L70" i="24"/>
  <c r="L65" i="24"/>
  <c r="L59" i="24"/>
  <c r="B100" i="24"/>
  <c r="C104" i="24"/>
  <c r="C35" i="24"/>
  <c r="K25" i="24" l="1"/>
  <c r="K26" i="24" s="1"/>
  <c r="L26" i="24" s="1"/>
  <c r="K129" i="23"/>
  <c r="K114" i="23"/>
  <c r="J114" i="23"/>
  <c r="K105" i="23"/>
  <c r="L105" i="23" s="1"/>
  <c r="J105" i="23"/>
  <c r="K91" i="23"/>
  <c r="J91" i="23"/>
  <c r="L91" i="23" s="1"/>
  <c r="K77" i="23"/>
  <c r="J77" i="23"/>
  <c r="L77" i="23" s="1"/>
  <c r="K70" i="23"/>
  <c r="J70" i="23"/>
  <c r="L70" i="23" s="1"/>
  <c r="K65" i="23"/>
  <c r="J65" i="23"/>
  <c r="B63" i="23"/>
  <c r="K59" i="23"/>
  <c r="J59" i="23"/>
  <c r="K49" i="23"/>
  <c r="J49" i="23"/>
  <c r="K43" i="23"/>
  <c r="J43" i="23"/>
  <c r="L43" i="23" s="1"/>
  <c r="K36" i="23"/>
  <c r="J36" i="23"/>
  <c r="L36" i="23" s="1"/>
  <c r="S25" i="23"/>
  <c r="Q24" i="23"/>
  <c r="K24" i="23" s="1"/>
  <c r="S23" i="23"/>
  <c r="K23" i="23"/>
  <c r="K128" i="23" s="1"/>
  <c r="S22" i="23"/>
  <c r="K22" i="23"/>
  <c r="K127" i="23" s="1"/>
  <c r="S21" i="23"/>
  <c r="K21" i="23"/>
  <c r="K126" i="23" s="1"/>
  <c r="S20" i="23"/>
  <c r="K20" i="23"/>
  <c r="K125" i="23" s="1"/>
  <c r="S19" i="23"/>
  <c r="P18" i="23"/>
  <c r="S18" i="23" s="1"/>
  <c r="S17" i="23"/>
  <c r="J17" i="23"/>
  <c r="K124" i="23" s="1"/>
  <c r="S16" i="23"/>
  <c r="J16" i="23"/>
  <c r="K123" i="23" s="1"/>
  <c r="S15" i="23"/>
  <c r="J15" i="23"/>
  <c r="K122" i="23" s="1"/>
  <c r="F9" i="23"/>
  <c r="C104" i="23" s="1"/>
  <c r="L49" i="23" l="1"/>
  <c r="L114" i="23"/>
  <c r="L65" i="23"/>
  <c r="L59" i="23"/>
  <c r="J18" i="23"/>
  <c r="K25" i="23" s="1"/>
  <c r="K26" i="23" s="1"/>
  <c r="S24" i="23"/>
  <c r="C35" i="23"/>
  <c r="C64" i="23"/>
  <c r="B100" i="23"/>
  <c r="J19" i="23" l="1"/>
  <c r="J26" i="23" s="1"/>
  <c r="L26" i="23" s="1"/>
  <c r="K129" i="22" l="1"/>
  <c r="K114" i="22"/>
  <c r="J114" i="22"/>
  <c r="K105" i="22"/>
  <c r="J105" i="22"/>
  <c r="L105" i="22" s="1"/>
  <c r="K91" i="22"/>
  <c r="L91" i="22" s="1"/>
  <c r="J91" i="22"/>
  <c r="K77" i="22"/>
  <c r="J77" i="22"/>
  <c r="L77" i="22" s="1"/>
  <c r="K70" i="22"/>
  <c r="J70" i="22"/>
  <c r="K65" i="22"/>
  <c r="J65" i="22"/>
  <c r="B63" i="22"/>
  <c r="K59" i="22"/>
  <c r="J59" i="22"/>
  <c r="K49" i="22"/>
  <c r="J49" i="22"/>
  <c r="K43" i="22"/>
  <c r="J43" i="22"/>
  <c r="K36" i="22"/>
  <c r="J36" i="22"/>
  <c r="L36" i="22" s="1"/>
  <c r="S25" i="22"/>
  <c r="Q24" i="22"/>
  <c r="S24" i="22" s="1"/>
  <c r="S23" i="22"/>
  <c r="K23" i="22"/>
  <c r="K128" i="22" s="1"/>
  <c r="S22" i="22"/>
  <c r="K22" i="22"/>
  <c r="K127" i="22" s="1"/>
  <c r="S21" i="22"/>
  <c r="K21" i="22"/>
  <c r="K126" i="22" s="1"/>
  <c r="S20" i="22"/>
  <c r="K20" i="22"/>
  <c r="S19" i="22"/>
  <c r="P18" i="22"/>
  <c r="S18" i="22" s="1"/>
  <c r="S17" i="22"/>
  <c r="J17" i="22"/>
  <c r="K124" i="22" s="1"/>
  <c r="S16" i="22"/>
  <c r="J16" i="22"/>
  <c r="K123" i="22" s="1"/>
  <c r="S15" i="22"/>
  <c r="J15" i="22"/>
  <c r="F9" i="22"/>
  <c r="C104" i="22" s="1"/>
  <c r="L43" i="22" l="1"/>
  <c r="L49" i="22"/>
  <c r="L114" i="22"/>
  <c r="K24" i="22"/>
  <c r="J18" i="22"/>
  <c r="L70" i="22"/>
  <c r="L65" i="22"/>
  <c r="L59" i="22"/>
  <c r="K122" i="22"/>
  <c r="C35" i="22"/>
  <c r="B100" i="22"/>
  <c r="C64" i="22"/>
  <c r="K125" i="22"/>
  <c r="J19" i="22" l="1"/>
  <c r="J26" i="22" s="1"/>
  <c r="K25" i="22"/>
  <c r="K26" i="22" s="1"/>
  <c r="L26" i="22" s="1"/>
  <c r="K129" i="21" l="1"/>
  <c r="K114" i="21"/>
  <c r="J114" i="21"/>
  <c r="L114" i="21" s="1"/>
  <c r="K105" i="21"/>
  <c r="J105" i="21"/>
  <c r="K91" i="21"/>
  <c r="J91" i="21"/>
  <c r="K77" i="21"/>
  <c r="J77" i="21"/>
  <c r="K70" i="21"/>
  <c r="J70" i="21"/>
  <c r="K65" i="21"/>
  <c r="J65" i="21"/>
  <c r="B63" i="21"/>
  <c r="K59" i="21"/>
  <c r="J59" i="21"/>
  <c r="K49" i="21"/>
  <c r="J49" i="21"/>
  <c r="L49" i="21" s="1"/>
  <c r="K43" i="21"/>
  <c r="J43" i="21"/>
  <c r="L43" i="21" s="1"/>
  <c r="K36" i="21"/>
  <c r="J36" i="21"/>
  <c r="L36" i="21" s="1"/>
  <c r="S25" i="21"/>
  <c r="Q24" i="21"/>
  <c r="S24" i="21" s="1"/>
  <c r="S23" i="21"/>
  <c r="K23" i="21"/>
  <c r="S22" i="21"/>
  <c r="K22" i="21"/>
  <c r="K127" i="21" s="1"/>
  <c r="S21" i="21"/>
  <c r="K21" i="21"/>
  <c r="K126" i="21" s="1"/>
  <c r="S20" i="21"/>
  <c r="K20" i="21"/>
  <c r="K125" i="21" s="1"/>
  <c r="S19" i="21"/>
  <c r="P18" i="21"/>
  <c r="S18" i="21" s="1"/>
  <c r="S17" i="21"/>
  <c r="J17" i="21"/>
  <c r="K124" i="21" s="1"/>
  <c r="S16" i="21"/>
  <c r="J16" i="21"/>
  <c r="K123" i="21" s="1"/>
  <c r="S15" i="21"/>
  <c r="J15" i="21"/>
  <c r="F9" i="21"/>
  <c r="C35" i="21" s="1"/>
  <c r="L91" i="21" l="1"/>
  <c r="L105" i="21"/>
  <c r="K24" i="21"/>
  <c r="J18" i="21"/>
  <c r="L77" i="21"/>
  <c r="L70" i="21"/>
  <c r="L65" i="21"/>
  <c r="L59" i="21"/>
  <c r="C64" i="21"/>
  <c r="C104" i="21"/>
  <c r="K128" i="21"/>
  <c r="B100" i="21"/>
  <c r="K122" i="21"/>
  <c r="J19" i="21" l="1"/>
  <c r="J26" i="21" s="1"/>
  <c r="K25" i="21"/>
  <c r="K26" i="21" s="1"/>
  <c r="L26" i="21" s="1"/>
  <c r="K129" i="20" l="1"/>
  <c r="K114" i="20"/>
  <c r="J114" i="20"/>
  <c r="L114" i="20" s="1"/>
  <c r="K105" i="20"/>
  <c r="J105" i="20"/>
  <c r="L105" i="20" s="1"/>
  <c r="K91" i="20"/>
  <c r="J91" i="20"/>
  <c r="K77" i="20"/>
  <c r="J77" i="20"/>
  <c r="K70" i="20"/>
  <c r="J70" i="20"/>
  <c r="K65" i="20"/>
  <c r="J65" i="20"/>
  <c r="B63" i="20"/>
  <c r="K59" i="20"/>
  <c r="J59" i="20"/>
  <c r="K49" i="20"/>
  <c r="J49" i="20"/>
  <c r="L49" i="20" s="1"/>
  <c r="K43" i="20"/>
  <c r="J43" i="20"/>
  <c r="L43" i="20" s="1"/>
  <c r="K36" i="20"/>
  <c r="J36" i="20"/>
  <c r="L36" i="20" s="1"/>
  <c r="S25" i="20"/>
  <c r="Q24" i="20"/>
  <c r="S24" i="20" s="1"/>
  <c r="S23" i="20"/>
  <c r="K23" i="20"/>
  <c r="K128" i="20" s="1"/>
  <c r="S22" i="20"/>
  <c r="K22" i="20"/>
  <c r="K127" i="20" s="1"/>
  <c r="S21" i="20"/>
  <c r="K21" i="20"/>
  <c r="K126" i="20" s="1"/>
  <c r="S20" i="20"/>
  <c r="K20" i="20"/>
  <c r="S19" i="20"/>
  <c r="P18" i="20"/>
  <c r="S18" i="20" s="1"/>
  <c r="S17" i="20"/>
  <c r="J17" i="20"/>
  <c r="K124" i="20" s="1"/>
  <c r="S16" i="20"/>
  <c r="J16" i="20"/>
  <c r="K123" i="20" s="1"/>
  <c r="S15" i="20"/>
  <c r="J15" i="20"/>
  <c r="K122" i="20" s="1"/>
  <c r="F9" i="20"/>
  <c r="C104" i="20" s="1"/>
  <c r="L91" i="20" l="1"/>
  <c r="L77" i="20"/>
  <c r="L70" i="20"/>
  <c r="L65" i="20"/>
  <c r="L59" i="20"/>
  <c r="K24" i="20"/>
  <c r="C64" i="20"/>
  <c r="K125" i="20"/>
  <c r="C35" i="20"/>
  <c r="J18" i="20"/>
  <c r="B100" i="20"/>
  <c r="J19" i="20" l="1"/>
  <c r="K25" i="20"/>
  <c r="K26" i="20" s="1"/>
  <c r="J26" i="20"/>
  <c r="L26" i="20" l="1"/>
  <c r="K129" i="19" l="1"/>
  <c r="K114" i="19"/>
  <c r="J114" i="19"/>
  <c r="L114" i="19" s="1"/>
  <c r="K105" i="19"/>
  <c r="J105" i="19"/>
  <c r="K91" i="19"/>
  <c r="J91" i="19"/>
  <c r="K77" i="19"/>
  <c r="J77" i="19"/>
  <c r="K70" i="19"/>
  <c r="J70" i="19"/>
  <c r="K65" i="19"/>
  <c r="J65" i="19"/>
  <c r="B63" i="19"/>
  <c r="K59" i="19"/>
  <c r="J59" i="19"/>
  <c r="K49" i="19"/>
  <c r="J49" i="19"/>
  <c r="L49" i="19" s="1"/>
  <c r="K43" i="19"/>
  <c r="J43" i="19"/>
  <c r="L43" i="19" s="1"/>
  <c r="K36" i="19"/>
  <c r="J36" i="19"/>
  <c r="L36" i="19" s="1"/>
  <c r="S25" i="19"/>
  <c r="Q24" i="19"/>
  <c r="S24" i="19" s="1"/>
  <c r="S23" i="19"/>
  <c r="K23" i="19"/>
  <c r="K128" i="19" s="1"/>
  <c r="S22" i="19"/>
  <c r="K22" i="19"/>
  <c r="K127" i="19" s="1"/>
  <c r="S21" i="19"/>
  <c r="K21" i="19"/>
  <c r="K126" i="19" s="1"/>
  <c r="S20" i="19"/>
  <c r="K20" i="19"/>
  <c r="K125" i="19" s="1"/>
  <c r="S19" i="19"/>
  <c r="P18" i="19"/>
  <c r="S18" i="19" s="1"/>
  <c r="S17" i="19"/>
  <c r="J17" i="19"/>
  <c r="K124" i="19" s="1"/>
  <c r="S16" i="19"/>
  <c r="J16" i="19"/>
  <c r="K123" i="19" s="1"/>
  <c r="S15" i="19"/>
  <c r="J15" i="19"/>
  <c r="K122" i="19" s="1"/>
  <c r="F9" i="19"/>
  <c r="C104" i="19" s="1"/>
  <c r="L91" i="19" l="1"/>
  <c r="L105" i="19"/>
  <c r="K24" i="19"/>
  <c r="J18" i="19"/>
  <c r="L77" i="19"/>
  <c r="L70" i="19"/>
  <c r="L65" i="19"/>
  <c r="L59" i="19"/>
  <c r="C35" i="19"/>
  <c r="C64" i="19"/>
  <c r="B100" i="19"/>
  <c r="J19" i="19" l="1"/>
  <c r="J26" i="19" s="1"/>
  <c r="K25" i="19"/>
  <c r="K26" i="19" s="1"/>
  <c r="L26" i="19" s="1"/>
  <c r="F9" i="18"/>
  <c r="C104" i="18" s="1"/>
  <c r="J15" i="18"/>
  <c r="S15" i="18"/>
  <c r="J16" i="18"/>
  <c r="K123" i="18" s="1"/>
  <c r="S16" i="18"/>
  <c r="J17" i="18"/>
  <c r="K124" i="18" s="1"/>
  <c r="S17" i="18"/>
  <c r="P18" i="18"/>
  <c r="J18" i="18" s="1"/>
  <c r="S19" i="18"/>
  <c r="K20" i="18"/>
  <c r="K125" i="18" s="1"/>
  <c r="S20" i="18"/>
  <c r="K21" i="18"/>
  <c r="K126" i="18" s="1"/>
  <c r="S21" i="18"/>
  <c r="K22" i="18"/>
  <c r="S22" i="18"/>
  <c r="K23" i="18"/>
  <c r="K128" i="18" s="1"/>
  <c r="S23" i="18"/>
  <c r="Q24" i="18"/>
  <c r="K24" i="18" s="1"/>
  <c r="S25" i="18"/>
  <c r="J36" i="18"/>
  <c r="K36" i="18"/>
  <c r="L36" i="18"/>
  <c r="J43" i="18"/>
  <c r="K43" i="18"/>
  <c r="L43" i="18"/>
  <c r="J49" i="18"/>
  <c r="K49" i="18"/>
  <c r="L49" i="18"/>
  <c r="J59" i="18"/>
  <c r="K59" i="18"/>
  <c r="B63" i="18"/>
  <c r="J65" i="18"/>
  <c r="K65" i="18"/>
  <c r="J70" i="18"/>
  <c r="K70" i="18"/>
  <c r="J77" i="18"/>
  <c r="K77" i="18"/>
  <c r="J91" i="18"/>
  <c r="L91" i="18" s="1"/>
  <c r="K91" i="18"/>
  <c r="J105" i="18"/>
  <c r="L105" i="18" s="1"/>
  <c r="K105" i="18"/>
  <c r="J114" i="18"/>
  <c r="K114" i="18"/>
  <c r="L114" i="18"/>
  <c r="K122" i="18"/>
  <c r="K129" i="18"/>
  <c r="L77" i="18" l="1"/>
  <c r="L70" i="18"/>
  <c r="C64" i="18"/>
  <c r="C35" i="18"/>
  <c r="B100" i="18"/>
  <c r="L65" i="18"/>
  <c r="L59" i="18"/>
  <c r="S18" i="18"/>
  <c r="S24" i="18"/>
  <c r="J19" i="18"/>
  <c r="J26" i="18" s="1"/>
  <c r="K25" i="18"/>
  <c r="K26" i="18" s="1"/>
  <c r="K127" i="18"/>
  <c r="L26" i="18" l="1"/>
  <c r="K129" i="17" l="1"/>
  <c r="K114" i="17"/>
  <c r="J114" i="17"/>
  <c r="L114" i="17" s="1"/>
  <c r="K105" i="17"/>
  <c r="J105" i="17"/>
  <c r="L105" i="17" s="1"/>
  <c r="K91" i="17"/>
  <c r="J91" i="17"/>
  <c r="K77" i="17"/>
  <c r="J77" i="17"/>
  <c r="K70" i="17"/>
  <c r="J70" i="17"/>
  <c r="K65" i="17"/>
  <c r="J65" i="17"/>
  <c r="L65" i="17" s="1"/>
  <c r="B63" i="17"/>
  <c r="K59" i="17"/>
  <c r="J59" i="17"/>
  <c r="K49" i="17"/>
  <c r="J49" i="17"/>
  <c r="L49" i="17" s="1"/>
  <c r="K43" i="17"/>
  <c r="J43" i="17"/>
  <c r="K36" i="17"/>
  <c r="J36" i="17"/>
  <c r="L36" i="17" s="1"/>
  <c r="S25" i="17"/>
  <c r="Q24" i="17"/>
  <c r="S24" i="17" s="1"/>
  <c r="S23" i="17"/>
  <c r="K23" i="17"/>
  <c r="K128" i="17" s="1"/>
  <c r="S22" i="17"/>
  <c r="K22" i="17"/>
  <c r="K127" i="17" s="1"/>
  <c r="S21" i="17"/>
  <c r="K21" i="17"/>
  <c r="K126" i="17" s="1"/>
  <c r="S20" i="17"/>
  <c r="K20" i="17"/>
  <c r="S19" i="17"/>
  <c r="P18" i="17"/>
  <c r="S18" i="17" s="1"/>
  <c r="S17" i="17"/>
  <c r="J17" i="17"/>
  <c r="K124" i="17" s="1"/>
  <c r="S16" i="17"/>
  <c r="J16" i="17"/>
  <c r="K123" i="17" s="1"/>
  <c r="S15" i="17"/>
  <c r="J15" i="17"/>
  <c r="K122" i="17" s="1"/>
  <c r="F9" i="17"/>
  <c r="B100" i="17" s="1"/>
  <c r="L59" i="17" l="1"/>
  <c r="L91" i="17"/>
  <c r="L43" i="17"/>
  <c r="L77" i="17"/>
  <c r="K24" i="17"/>
  <c r="J18" i="17"/>
  <c r="J19" i="17" s="1"/>
  <c r="J26" i="17" s="1"/>
  <c r="L70" i="17"/>
  <c r="K25" i="17"/>
  <c r="K26" i="17" s="1"/>
  <c r="C35" i="17"/>
  <c r="C64" i="17"/>
  <c r="K125" i="17"/>
  <c r="C104" i="17"/>
  <c r="L26" i="17" l="1"/>
  <c r="K129" i="16" l="1"/>
  <c r="K114" i="16"/>
  <c r="J114" i="16"/>
  <c r="L114" i="16" s="1"/>
  <c r="K105" i="16"/>
  <c r="J105" i="16"/>
  <c r="L105" i="16" s="1"/>
  <c r="K91" i="16"/>
  <c r="J91" i="16"/>
  <c r="L91" i="16" s="1"/>
  <c r="K77" i="16"/>
  <c r="J77" i="16"/>
  <c r="K70" i="16"/>
  <c r="J70" i="16"/>
  <c r="K65" i="16"/>
  <c r="J65" i="16"/>
  <c r="B63" i="16"/>
  <c r="K59" i="16"/>
  <c r="J59" i="16"/>
  <c r="K49" i="16"/>
  <c r="J49" i="16"/>
  <c r="L49" i="16" s="1"/>
  <c r="K43" i="16"/>
  <c r="J43" i="16"/>
  <c r="L43" i="16" s="1"/>
  <c r="K36" i="16"/>
  <c r="J36" i="16"/>
  <c r="L36" i="16" s="1"/>
  <c r="S25" i="16"/>
  <c r="Q24" i="16"/>
  <c r="S24" i="16" s="1"/>
  <c r="S23" i="16"/>
  <c r="K23" i="16"/>
  <c r="K128" i="16" s="1"/>
  <c r="S22" i="16"/>
  <c r="K22" i="16"/>
  <c r="K127" i="16" s="1"/>
  <c r="S21" i="16"/>
  <c r="K21" i="16"/>
  <c r="K126" i="16" s="1"/>
  <c r="S20" i="16"/>
  <c r="K20" i="16"/>
  <c r="S19" i="16"/>
  <c r="P18" i="16"/>
  <c r="S18" i="16" s="1"/>
  <c r="S17" i="16"/>
  <c r="J17" i="16"/>
  <c r="K124" i="16" s="1"/>
  <c r="S16" i="16"/>
  <c r="J16" i="16"/>
  <c r="K123" i="16" s="1"/>
  <c r="S15" i="16"/>
  <c r="J15" i="16"/>
  <c r="K122" i="16" s="1"/>
  <c r="F9" i="16"/>
  <c r="C104" i="16" s="1"/>
  <c r="L77" i="16" l="1"/>
  <c r="L70" i="16"/>
  <c r="L65" i="16"/>
  <c r="L59" i="16"/>
  <c r="K24" i="16"/>
  <c r="J18" i="16"/>
  <c r="K25" i="16"/>
  <c r="K26" i="16" s="1"/>
  <c r="C64" i="16"/>
  <c r="K125" i="16"/>
  <c r="B100" i="16"/>
  <c r="C35" i="16"/>
  <c r="J19" i="16" l="1"/>
  <c r="J26" i="16" s="1"/>
  <c r="L26" i="16" s="1"/>
  <c r="K129" i="15" l="1"/>
  <c r="K114" i="15"/>
  <c r="J114" i="15"/>
  <c r="K105" i="15"/>
  <c r="J105" i="15"/>
  <c r="K91" i="15"/>
  <c r="J91" i="15"/>
  <c r="L91" i="15" s="1"/>
  <c r="K77" i="15"/>
  <c r="J77" i="15"/>
  <c r="K70" i="15"/>
  <c r="J70" i="15"/>
  <c r="K65" i="15"/>
  <c r="J65" i="15"/>
  <c r="B63" i="15"/>
  <c r="K59" i="15"/>
  <c r="J59" i="15"/>
  <c r="K49" i="15"/>
  <c r="J49" i="15"/>
  <c r="L49" i="15" s="1"/>
  <c r="K43" i="15"/>
  <c r="J43" i="15"/>
  <c r="L43" i="15" s="1"/>
  <c r="K36" i="15"/>
  <c r="J36" i="15"/>
  <c r="L36" i="15" s="1"/>
  <c r="S25" i="15"/>
  <c r="Q24" i="15"/>
  <c r="S24" i="15" s="1"/>
  <c r="S23" i="15"/>
  <c r="K23" i="15"/>
  <c r="K128" i="15" s="1"/>
  <c r="S22" i="15"/>
  <c r="K22" i="15"/>
  <c r="K127" i="15" s="1"/>
  <c r="S21" i="15"/>
  <c r="K21" i="15"/>
  <c r="K126" i="15" s="1"/>
  <c r="S20" i="15"/>
  <c r="K20" i="15"/>
  <c r="K125" i="15" s="1"/>
  <c r="S19" i="15"/>
  <c r="P18" i="15"/>
  <c r="S18" i="15" s="1"/>
  <c r="S17" i="15"/>
  <c r="J17" i="15"/>
  <c r="K124" i="15" s="1"/>
  <c r="S16" i="15"/>
  <c r="J16" i="15"/>
  <c r="K123" i="15" s="1"/>
  <c r="S15" i="15"/>
  <c r="J15" i="15"/>
  <c r="F9" i="15"/>
  <c r="C104" i="15" s="1"/>
  <c r="L105" i="15" l="1"/>
  <c r="L114" i="15"/>
  <c r="K24" i="15"/>
  <c r="J18" i="15"/>
  <c r="L77" i="15"/>
  <c r="L70" i="15"/>
  <c r="L65" i="15"/>
  <c r="L59" i="15"/>
  <c r="K122" i="15"/>
  <c r="C35" i="15"/>
  <c r="C64" i="15"/>
  <c r="B100" i="15"/>
  <c r="K25" i="15" l="1"/>
  <c r="K26" i="15" s="1"/>
  <c r="J19" i="15"/>
  <c r="J26" i="15" s="1"/>
  <c r="L26" i="15" s="1"/>
  <c r="K129" i="14"/>
  <c r="K114" i="14"/>
  <c r="J114" i="14"/>
  <c r="K105" i="14"/>
  <c r="J105" i="14"/>
  <c r="K91" i="14"/>
  <c r="J91" i="14"/>
  <c r="K77" i="14"/>
  <c r="J77" i="14"/>
  <c r="L77" i="14" s="1"/>
  <c r="K70" i="14"/>
  <c r="J70" i="14"/>
  <c r="K65" i="14"/>
  <c r="J65" i="14"/>
  <c r="B63" i="14"/>
  <c r="K59" i="14"/>
  <c r="J59" i="14"/>
  <c r="K49" i="14"/>
  <c r="J49" i="14"/>
  <c r="K43" i="14"/>
  <c r="J43" i="14"/>
  <c r="L43" i="14" s="1"/>
  <c r="K36" i="14"/>
  <c r="J36" i="14"/>
  <c r="S25" i="14"/>
  <c r="Q24" i="14"/>
  <c r="S24" i="14" s="1"/>
  <c r="S23" i="14"/>
  <c r="K23" i="14"/>
  <c r="K128" i="14" s="1"/>
  <c r="S22" i="14"/>
  <c r="K22" i="14"/>
  <c r="K127" i="14" s="1"/>
  <c r="S21" i="14"/>
  <c r="K21" i="14"/>
  <c r="K126" i="14" s="1"/>
  <c r="S20" i="14"/>
  <c r="K20" i="14"/>
  <c r="K125" i="14" s="1"/>
  <c r="S19" i="14"/>
  <c r="P18" i="14"/>
  <c r="S18" i="14" s="1"/>
  <c r="S17" i="14"/>
  <c r="J17" i="14"/>
  <c r="K124" i="14" s="1"/>
  <c r="S16" i="14"/>
  <c r="J16" i="14"/>
  <c r="K123" i="14" s="1"/>
  <c r="S15" i="14"/>
  <c r="J15" i="14"/>
  <c r="K122" i="14" s="1"/>
  <c r="F9" i="14"/>
  <c r="C104" i="14" s="1"/>
  <c r="L105" i="14" l="1"/>
  <c r="L91" i="14"/>
  <c r="L49" i="14"/>
  <c r="L114" i="14"/>
  <c r="L36" i="14"/>
  <c r="L70" i="14"/>
  <c r="L65" i="14"/>
  <c r="L59" i="14"/>
  <c r="J18" i="14"/>
  <c r="K24" i="14"/>
  <c r="C35" i="14"/>
  <c r="C64" i="14"/>
  <c r="B100" i="14"/>
  <c r="K25" i="14" l="1"/>
  <c r="K26" i="14" s="1"/>
  <c r="J19" i="14"/>
  <c r="J26" i="14" s="1"/>
  <c r="L26" i="14" l="1"/>
  <c r="Q24" i="2" l="1"/>
  <c r="P18" i="2"/>
  <c r="K129" i="2" l="1"/>
  <c r="S20" i="2"/>
  <c r="K20" i="2"/>
  <c r="K125" i="2" s="1"/>
  <c r="J18" i="2" l="1"/>
  <c r="S25" i="2"/>
  <c r="S24" i="2"/>
  <c r="S23" i="2"/>
  <c r="K23" i="2"/>
  <c r="K128" i="2" s="1"/>
  <c r="S22" i="2"/>
  <c r="K22" i="2"/>
  <c r="K127" i="2" s="1"/>
  <c r="S21" i="2"/>
  <c r="K21" i="2"/>
  <c r="K126" i="2" s="1"/>
  <c r="S19" i="2"/>
  <c r="S17" i="2"/>
  <c r="J17" i="2"/>
  <c r="K124" i="2" s="1"/>
  <c r="S16" i="2"/>
  <c r="J16" i="2"/>
  <c r="K123" i="2" s="1"/>
  <c r="S15" i="2"/>
  <c r="J15" i="2"/>
  <c r="K122" i="2" s="1"/>
  <c r="K24" i="2" l="1"/>
  <c r="S18" i="2"/>
  <c r="K25" i="2" l="1"/>
  <c r="J19" i="2"/>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D80" i="7"/>
  <c r="J80" i="7" s="1"/>
  <c r="P80" i="7" s="1"/>
  <c r="F33" i="7"/>
  <c r="D90" i="7" s="1"/>
  <c r="J90" i="7" s="1"/>
  <c r="P90" i="7" s="1"/>
  <c r="D79" i="7"/>
  <c r="J79" i="7" s="1"/>
  <c r="P79" i="7" s="1"/>
  <c r="N57" i="7"/>
  <c r="N49" i="7"/>
  <c r="N42" i="7"/>
  <c r="N33" i="7"/>
  <c r="N24" i="7"/>
  <c r="B33"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<sst xmlns="http://schemas.openxmlformats.org/spreadsheetml/2006/main" count="10244" uniqueCount="1761">
  <si>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</si>
  <si>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</si>
  <si>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</si>
  <si>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</si>
  <si>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</si>
  <si>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</si>
  <si>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</si>
  <si>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</si>
  <si>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</si>
  <si>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</si>
  <si>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</si>
  <si>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</si>
  <si>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</si>
  <si>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</si>
  <si>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</si>
  <si>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</si>
  <si>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</si>
  <si>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</si>
  <si>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</si>
  <si>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</si>
  <si>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</si>
  <si>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</si>
  <si>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</si>
  <si>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</si>
  <si>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</si>
  <si>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</si>
  <si>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</si>
  <si>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</si>
  <si>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</si>
  <si>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</si>
  <si>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</si>
  <si>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</si>
  <si>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</si>
  <si>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</si>
  <si>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</si>
  <si>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</si>
  <si>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</si>
  <si>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</si>
  <si>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</si>
  <si>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</si>
  <si>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</si>
  <si>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</si>
  <si>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</si>
  <si>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</si>
  <si>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</si>
  <si>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</si>
  <si>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</si>
  <si>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</si>
  <si>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</si>
  <si>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</si>
  <si>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</si>
  <si>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</si>
  <si>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</si>
  <si>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</si>
  <si>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</si>
  <si>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</si>
  <si>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</si>
  <si>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</si>
  <si>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</si>
  <si>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</si>
  <si>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</si>
  <si>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</si>
  <si>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</si>
  <si>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</si>
  <si>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</si>
  <si>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</si>
  <si>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</si>
  <si>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</si>
  <si>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</si>
  <si>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</si>
  <si>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</si>
  <si>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</si>
  <si>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</si>
  <si>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</si>
  <si>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</si>
  <si>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</si>
  <si>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</si>
  <si>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</si>
  <si>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</si>
  <si>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</si>
  <si>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</si>
  <si>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</si>
  <si>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</si>
  <si>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</si>
  <si>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</si>
  <si>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</si>
  <si>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</si>
  <si>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</si>
  <si>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</si>
  <si>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</si>
  <si>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</si>
  <si>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</si>
  <si>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</si>
  <si>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</si>
  <si>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</si>
  <si>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</si>
  <si>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</si>
  <si>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</si>
  <si>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</si>
  <si>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</si>
  <si>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</si>
  <si>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</si>
  <si>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</si>
  <si>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</si>
  <si>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</si>
  <si>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</si>
  <si>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</si>
  <si>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</si>
  <si>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</si>
  <si>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</si>
  <si>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</si>
  <si>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</si>
  <si>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</si>
  <si>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</si>
  <si>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</si>
  <si>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</si>
  <si>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</si>
  <si>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</si>
  <si>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</si>
  <si>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</si>
  <si>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</si>
  <si>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</si>
  <si>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</si>
  <si>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</si>
  <si>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</si>
  <si>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</si>
  <si>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</si>
  <si>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</si>
  <si>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</si>
  <si>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</si>
  <si>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</si>
  <si>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</si>
  <si>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</si>
  <si>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</si>
  <si>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</si>
  <si>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</si>
  <si>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</si>
  <si>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</si>
  <si>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</si>
  <si>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</si>
  <si>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</si>
  <si>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</si>
  <si>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</si>
  <si>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</si>
  <si>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</si>
  <si>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</si>
  <si>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</si>
  <si>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</si>
  <si>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</si>
  <si>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</si>
  <si>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</si>
  <si>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</si>
  <si>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</si>
  <si>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</si>
  <si>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</si>
  <si>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</si>
  <si>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</si>
  <si>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</si>
  <si>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</si>
  <si>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</si>
  <si>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</si>
  <si>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</si>
  <si>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</si>
  <si>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</si>
  <si>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</si>
  <si>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</si>
  <si>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</si>
  <si>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</si>
  <si>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</si>
  <si>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</si>
  <si>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</si>
  <si>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</si>
  <si>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</si>
  <si>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</si>
  <si>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</si>
  <si>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</si>
  <si>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</si>
  <si>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</si>
  <si>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</si>
  <si>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</si>
  <si>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</si>
  <si>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</si>
  <si>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</si>
  <si>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</si>
  <si>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</si>
  <si>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</si>
  <si>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</si>
  <si>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</si>
  <si>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</si>
  <si>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</si>
  <si>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</si>
  <si>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</si>
  <si>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</si>
  <si>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</si>
  <si>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</si>
  <si>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</si>
  <si>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</si>
  <si>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</si>
  <si>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</si>
  <si>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</si>
  <si>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</si>
  <si>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</si>
  <si>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</si>
  <si>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</si>
  <si>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</si>
  <si>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</si>
  <si>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</si>
  <si>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</si>
  <si>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</si>
  <si>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</si>
  <si>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</si>
  <si>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</si>
  <si>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</si>
  <si>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</si>
  <si>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</si>
  <si>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</si>
  <si>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</si>
  <si>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</si>
  <si>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</si>
  <si>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</si>
  <si>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</si>
  <si>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</si>
  <si>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</si>
  <si>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</si>
  <si>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</si>
  <si>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</si>
  <si>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</si>
  <si>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</si>
  <si>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</si>
  <si>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</si>
  <si>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</si>
  <si>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</si>
  <si>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</si>
  <si>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</si>
  <si>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</si>
  <si>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</si>
  <si>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</si>
  <si>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</si>
  <si>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</si>
  <si>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</si>
  <si>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</si>
  <si>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</si>
  <si>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</si>
  <si>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</si>
  <si>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</si>
  <si>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</si>
  <si>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</si>
  <si>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</si>
  <si>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</si>
  <si>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</si>
  <si>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</si>
  <si>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</si>
  <si>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</si>
  <si>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</si>
  <si>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</si>
  <si>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</si>
  <si>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</si>
  <si>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</si>
  <si>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</si>
  <si>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</si>
  <si>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</si>
  <si>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</si>
  <si>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</si>
  <si>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</si>
  <si>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</si>
  <si>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</si>
  <si>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</si>
  <si>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</si>
  <si>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</si>
  <si>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</si>
  <si>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</si>
  <si>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</si>
  <si>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</si>
  <si>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</si>
  <si>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</si>
  <si>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</si>
  <si>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</si>
  <si>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</si>
  <si>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</si>
  <si>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</si>
  <si>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</si>
  <si>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</si>
  <si>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</si>
  <si>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</si>
  <si>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</si>
  <si>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</si>
  <si>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</si>
  <si>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</si>
  <si>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</si>
  <si>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</si>
  <si>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</si>
  <si>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</si>
  <si>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</si>
  <si>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</si>
  <si>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</si>
  <si>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</si>
  <si>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</si>
  <si>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</si>
  <si>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</si>
  <si>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</si>
  <si>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</si>
  <si>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</si>
  <si>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</si>
  <si>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</si>
  <si>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</si>
  <si>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</si>
  <si>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</si>
  <si>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</si>
  <si>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</si>
  <si>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</si>
  <si>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</si>
  <si>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</si>
  <si>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</si>
  <si>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</si>
  <si>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</si>
  <si>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</si>
  <si>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</si>
  <si>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</si>
  <si>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</si>
  <si>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</si>
  <si>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</si>
  <si>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</si>
  <si>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</si>
  <si>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</si>
  <si>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</si>
  <si>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</si>
  <si>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</si>
  <si>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</si>
  <si>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</si>
  <si>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</si>
  <si>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</si>
  <si>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</si>
  <si>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</si>
  <si>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</si>
  <si>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</si>
  <si>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</si>
  <si>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</si>
  <si>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</si>
  <si>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</si>
  <si>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</si>
  <si>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</si>
  <si>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</si>
  <si>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</si>
  <si>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</si>
  <si>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</si>
  <si>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</si>
  <si>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</si>
  <si>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</si>
  <si>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</si>
  <si>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</si>
  <si>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</si>
  <si>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</si>
  <si>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</si>
  <si>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</si>
  <si>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</si>
  <si>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</si>
  <si>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</si>
  <si>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</si>
  <si>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</si>
  <si>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</si>
  <si>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</si>
  <si>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</si>
  <si>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</si>
  <si>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</si>
  <si>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</si>
  <si>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</si>
  <si>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</si>
  <si>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</si>
  <si>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</si>
  <si>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</si>
  <si>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</si>
  <si>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</si>
  <si>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</si>
  <si>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</si>
  <si>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</si>
  <si>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</si>
  <si>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</si>
  <si>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</si>
  <si>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</si>
  <si>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</si>
  <si>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</si>
  <si>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</si>
  <si>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</si>
  <si>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</si>
  <si>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</si>
  <si>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</si>
  <si>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</si>
  <si>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</si>
  <si>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</si>
  <si>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</si>
  <si>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</si>
  <si>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</si>
  <si>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</si>
  <si>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</si>
  <si>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</si>
  <si>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</si>
  <si>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</si>
  <si>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</si>
  <si>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</si>
  <si>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</si>
  <si>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</si>
  <si>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</si>
  <si>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</si>
  <si>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</si>
  <si>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</si>
  <si>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</si>
  <si>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</si>
  <si>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</si>
  <si>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</si>
  <si>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</si>
  <si>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</si>
  <si>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</si>
  <si>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</si>
  <si>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</si>
  <si>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</si>
  <si>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</si>
  <si>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</si>
  <si>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</si>
  <si>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</si>
  <si>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</si>
  <si>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</si>
  <si>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</si>
  <si>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</si>
  <si>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</si>
  <si>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</si>
  <si>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</si>
  <si>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</si>
  <si>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</si>
  <si>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</si>
  <si>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</si>
  <si>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</si>
  <si>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</si>
  <si>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</si>
  <si>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</si>
  <si>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</si>
  <si>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</si>
  <si>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</si>
  <si>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</si>
  <si>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</si>
  <si>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</si>
  <si>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</si>
  <si>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</si>
  <si>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</si>
  <si>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</si>
  <si>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</si>
  <si>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</si>
  <si>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</si>
  <si>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</si>
  <si>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</si>
  <si>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</si>
  <si>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</si>
  <si>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</si>
  <si>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</si>
  <si>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</si>
  <si>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</si>
  <si>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</si>
  <si>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</si>
  <si>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</si>
  <si>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</si>
  <si>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</si>
  <si>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</si>
  <si>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</si>
  <si>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</si>
  <si>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</si>
  <si>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</si>
  <si>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</si>
  <si>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</si>
  <si>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</si>
  <si>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</si>
  <si>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</si>
  <si>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</si>
  <si>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</si>
  <si>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</si>
  <si>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</si>
  <si>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</si>
  <si>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</si>
  <si>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</si>
  <si>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</si>
  <si>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</si>
  <si>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</si>
  <si>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</si>
  <si>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</si>
  <si>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</si>
  <si>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</si>
  <si>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</si>
  <si>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</si>
  <si>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</si>
  <si>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</si>
  <si>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</si>
  <si>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</si>
  <si>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</si>
  <si>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</si>
  <si>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</si>
  <si>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</si>
  <si>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</si>
  <si>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</si>
  <si>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</si>
  <si>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</si>
  <si>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</si>
  <si>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</si>
  <si>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</si>
  <si>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</si>
  <si>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</si>
  <si>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</si>
  <si>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</si>
  <si>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</si>
  <si>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</si>
  <si>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</si>
  <si>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</si>
  <si>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</si>
  <si>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</si>
  <si>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</si>
  <si>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</si>
  <si>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</si>
  <si>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</si>
  <si>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</si>
  <si>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</si>
  <si>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</si>
  <si>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</si>
  <si>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</si>
  <si>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</si>
  <si>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</si>
  <si>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</si>
  <si>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</si>
  <si>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</si>
  <si>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</si>
  <si>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</si>
  <si>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</si>
  <si>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</si>
  <si>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</si>
  <si>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</si>
  <si>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</si>
  <si>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</si>
  <si>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</si>
  <si>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</si>
  <si>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</si>
  <si>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</si>
  <si>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</si>
  <si>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</si>
  <si>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</si>
  <si>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</si>
  <si>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</si>
  <si>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</si>
  <si>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</si>
  <si>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</si>
  <si>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</si>
  <si>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</si>
  <si>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</si>
  <si>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</si>
  <si>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</si>
  <si>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</si>
  <si>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</si>
  <si>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</si>
  <si>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</si>
  <si>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</si>
  <si>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</si>
  <si>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</si>
  <si>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</si>
  <si>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</si>
  <si>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</si>
  <si>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</si>
  <si>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</si>
  <si>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</si>
  <si>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</si>
  <si>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</si>
  <si>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</si>
  <si>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</si>
  <si>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</si>
  <si>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</si>
  <si>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</si>
  <si>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</si>
  <si>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</si>
  <si>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</si>
  <si>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</si>
  <si>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</si>
  <si>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</si>
  <si>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</si>
  <si>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</si>
  <si>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</si>
  <si>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</si>
  <si>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</si>
  <si>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</si>
  <si>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</si>
  <si>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</si>
  <si>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</si>
  <si>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</si>
  <si>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</si>
  <si>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</si>
  <si>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</si>
  <si>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</si>
  <si>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</si>
  <si>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</si>
  <si>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</si>
  <si>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</si>
  <si>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</si>
  <si>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</si>
  <si>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</si>
  <si>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</si>
  <si>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</si>
  <si>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</si>
  <si>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</si>
  <si>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</si>
  <si>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</si>
  <si>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</si>
  <si>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</si>
  <si>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</si>
  <si>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</si>
  <si>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</si>
  <si>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</si>
  <si>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</si>
  <si>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</si>
  <si>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</si>
  <si>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</si>
  <si>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</si>
  <si>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</si>
  <si>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</si>
  <si>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</si>
  <si>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</si>
  <si>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</si>
  <si>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</si>
  <si>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</si>
  <si>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</si>
  <si>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</si>
  <si>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</si>
  <si>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</si>
  <si>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</si>
  <si>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</si>
  <si>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</si>
  <si>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</si>
  <si>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</si>
  <si>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</si>
  <si>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</si>
  <si>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</si>
  <si>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</si>
  <si>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</si>
  <si>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</si>
  <si>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</si>
  <si>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</si>
  <si>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</si>
  <si>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</si>
  <si>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</si>
  <si>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</si>
  <si>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</si>
  <si>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</si>
  <si>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</si>
  <si>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</si>
  <si>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</si>
  <si>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</si>
  <si>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</si>
  <si>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</si>
  <si>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</si>
  <si>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</si>
  <si>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</si>
  <si>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</si>
  <si>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</si>
  <si>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</si>
  <si>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</si>
  <si>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</si>
  <si>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</si>
  <si>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</si>
  <si>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</si>
  <si>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</si>
  <si>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</si>
  <si>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</si>
  <si>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</si>
  <si>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</si>
  <si>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</si>
  <si>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</si>
  <si>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</si>
  <si>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</si>
  <si>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</si>
  <si>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</si>
  <si>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</si>
  <si>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</si>
  <si>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</si>
  <si>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</si>
  <si>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</si>
  <si>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</si>
  <si>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</si>
  <si>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</si>
  <si>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</si>
  <si>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</si>
  <si>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</si>
  <si>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</si>
  <si>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</si>
  <si>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</si>
  <si>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</si>
  <si>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</si>
  <si>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</si>
  <si>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</si>
  <si>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</si>
  <si>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</si>
  <si>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</si>
  <si>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</si>
  <si>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</si>
  <si>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</si>
  <si>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</si>
  <si>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</si>
  <si>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</si>
  <si>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</si>
  <si>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</si>
  <si>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</si>
  <si>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</si>
  <si>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</si>
  <si>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</si>
  <si>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</si>
  <si>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</si>
  <si>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</si>
  <si>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</si>
  <si>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</si>
  <si>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</si>
  <si>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</si>
  <si>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</si>
  <si>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</si>
  <si>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</si>
  <si>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</si>
  <si>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</si>
  <si>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</si>
  <si>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</si>
  <si>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</si>
  <si>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</si>
  <si>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</si>
  <si>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</si>
  <si>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</si>
  <si>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</si>
  <si>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</si>
  <si>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</si>
  <si>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</si>
  <si>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</si>
  <si>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</si>
  <si>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</si>
  <si>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</si>
  <si>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</si>
  <si>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</si>
  <si>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</si>
  <si>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</si>
  <si>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</si>
  <si>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</si>
  <si>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</si>
  <si>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</si>
  <si>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</si>
  <si>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</si>
  <si>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</si>
  <si>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</si>
  <si>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</si>
  <si>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</si>
  <si>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</si>
  <si>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</si>
  <si>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</si>
  <si>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</si>
  <si>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</si>
  <si>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</si>
  <si>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</si>
  <si>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</si>
  <si>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</si>
  <si>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</si>
  <si>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</si>
  <si>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</si>
  <si>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</si>
  <si>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</si>
  <si>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</si>
  <si>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</si>
  <si>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</si>
  <si>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</si>
  <si>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</si>
  <si>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</si>
  <si>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</si>
  <si>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</si>
  <si>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</si>
  <si>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</si>
  <si>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</si>
  <si>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</si>
  <si>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</si>
  <si>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</si>
  <si>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</si>
  <si>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</si>
  <si>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</si>
  <si>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</si>
  <si>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</si>
  <si>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</si>
  <si>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</si>
  <si>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</si>
  <si>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</si>
  <si>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</si>
  <si>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</si>
  <si>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</si>
  <si>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</si>
  <si>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</si>
  <si>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</si>
  <si>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</si>
  <si>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</si>
  <si>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</si>
  <si>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</si>
  <si>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</si>
  <si>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</si>
  <si>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</si>
  <si>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</si>
  <si>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</si>
  <si>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</si>
  <si>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</si>
  <si>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</si>
  <si>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</si>
  <si>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</si>
  <si>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</si>
  <si>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</si>
  <si>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</si>
  <si>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</si>
  <si>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</si>
  <si>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</si>
  <si>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</si>
  <si>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</si>
  <si>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</si>
  <si>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</si>
  <si>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</si>
  <si>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</si>
  <si>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</si>
  <si>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</si>
  <si>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</si>
  <si>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</si>
  <si>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</si>
  <si>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</si>
  <si>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</si>
  <si>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</si>
  <si>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</si>
  <si>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</si>
  <si>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</si>
  <si>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</si>
  <si>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</si>
  <si>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</si>
  <si>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</si>
  <si>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</si>
  <si>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</si>
  <si>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</si>
  <si>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</si>
  <si>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</si>
  <si>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</si>
  <si>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</si>
  <si>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</si>
  <si>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</si>
  <si>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</si>
  <si>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</si>
  <si>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</si>
  <si>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</si>
  <si>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</si>
  <si>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</si>
  <si>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</si>
  <si>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</si>
  <si>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</si>
  <si>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</si>
  <si>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</si>
  <si>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</si>
  <si>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</si>
  <si>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</si>
  <si>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</si>
  <si>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</si>
  <si>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</si>
  <si>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</si>
  <si>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</si>
  <si>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</si>
  <si>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</si>
  <si>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</si>
  <si>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</si>
  <si>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</si>
  <si>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</si>
  <si>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</si>
  <si>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</si>
  <si>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</si>
  <si>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</si>
  <si>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</si>
  <si>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</si>
  <si>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</si>
  <si>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</si>
  <si>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</si>
  <si>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</si>
  <si>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</si>
  <si>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</si>
  <si>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</si>
  <si>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</si>
  <si>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</si>
  <si>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</si>
  <si>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</si>
  <si>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</si>
  <si>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</si>
  <si>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</si>
  <si>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</si>
  <si>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</si>
  <si>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</si>
  <si>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</si>
  <si>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</si>
  <si>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</si>
  <si>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</si>
  <si>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</si>
  <si>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</si>
  <si>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</si>
  <si>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</si>
  <si>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</si>
  <si>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</si>
  <si>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</si>
  <si>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</si>
  <si>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</si>
  <si>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</si>
  <si>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</si>
  <si>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</si>
  <si>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</si>
  <si>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</si>
  <si>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</si>
  <si>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</si>
  <si>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</si>
  <si>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</si>
  <si>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</si>
  <si>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</si>
  <si>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</si>
  <si>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</si>
  <si>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</si>
  <si>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</si>
  <si>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</si>
  <si>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</si>
  <si>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</si>
  <si>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</si>
  <si>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</si>
  <si>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</si>
  <si>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</si>
  <si>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</si>
  <si>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</si>
  <si>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</si>
  <si>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</si>
  <si>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</si>
  <si>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</si>
  <si>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</si>
  <si>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</si>
  <si>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</si>
  <si>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</si>
  <si>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</si>
  <si>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</si>
  <si>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</si>
  <si>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</si>
  <si>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</si>
  <si>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</si>
  <si>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</si>
  <si>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</si>
  <si>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</si>
  <si>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</si>
  <si>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</si>
  <si>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</si>
  <si>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</si>
  <si>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</si>
  <si>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</si>
  <si>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</si>
  <si>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</si>
  <si>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</si>
  <si>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</si>
  <si>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</si>
  <si>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</si>
  <si>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</si>
  <si>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</si>
  <si>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</si>
  <si>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</si>
  <si>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</si>
  <si>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</si>
  <si>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</si>
  <si>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</si>
  <si>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</si>
  <si>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</si>
  <si>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</si>
  <si>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</si>
  <si>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</si>
  <si>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</si>
  <si>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</si>
  <si>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</si>
  <si>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</si>
  <si>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</si>
  <si>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</si>
  <si>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</si>
  <si>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</si>
  <si>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</si>
  <si>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</si>
  <si>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</si>
  <si>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</si>
  <si>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</si>
  <si>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</si>
  <si>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</si>
  <si>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</si>
  <si>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</si>
  <si>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</si>
  <si>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</si>
  <si>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</si>
  <si>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</si>
  <si>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</si>
  <si>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</si>
  <si>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</si>
  <si>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</si>
  <si>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</si>
  <si>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</si>
  <si>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</si>
  <si>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</si>
  <si>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</si>
  <si>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</si>
  <si>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</si>
  <si>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</si>
  <si>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</si>
  <si>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</si>
  <si>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</si>
  <si>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</si>
  <si>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</si>
  <si>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</si>
  <si>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</si>
  <si>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</si>
  <si>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</si>
  <si>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</si>
  <si>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</si>
  <si>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</si>
  <si>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</si>
  <si>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</si>
  <si>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</si>
  <si>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</si>
  <si>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</si>
  <si>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</si>
  <si>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</si>
  <si>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</si>
  <si>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</si>
  <si>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</si>
  <si>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</si>
  <si>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</si>
  <si>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</si>
  <si>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</si>
  <si>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</si>
  <si>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</si>
  <si>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</si>
  <si>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</si>
  <si>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</si>
  <si>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</si>
  <si>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</si>
  <si>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</si>
  <si>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</si>
  <si>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</si>
  <si>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</si>
  <si>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</si>
  <si>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</si>
  <si>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</si>
  <si>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</si>
  <si>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</si>
  <si>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</si>
  <si>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</si>
  <si>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</si>
  <si>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</si>
  <si>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</si>
  <si>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</si>
  <si>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</si>
  <si>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</si>
  <si>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</si>
  <si>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</si>
  <si>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</si>
  <si>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</si>
  <si>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</si>
  <si>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</si>
  <si>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</si>
  <si>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</si>
  <si>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</si>
  <si>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</si>
  <si>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</si>
  <si>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</si>
  <si>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</si>
  <si>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</si>
  <si>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</si>
  <si>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</si>
  <si>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</si>
  <si>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</si>
  <si>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</si>
  <si>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</si>
  <si>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</si>
  <si>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</si>
  <si>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</si>
  <si>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</si>
  <si>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</si>
  <si>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</si>
  <si>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</si>
  <si>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</si>
  <si>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</si>
  <si>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</si>
  <si>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</si>
  <si>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</si>
  <si>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</si>
  <si>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</si>
  <si>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</si>
  <si>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</si>
  <si>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</si>
  <si>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</si>
  <si>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</si>
  <si>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</si>
  <si>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</si>
  <si>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</si>
  <si>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</si>
  <si>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</si>
  <si>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</si>
  <si>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</si>
  <si>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</si>
  <si>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</si>
  <si>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</si>
  <si>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</si>
  <si>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</si>
  <si>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</si>
  <si>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</si>
  <si>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</si>
  <si>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</si>
  <si>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</si>
  <si>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</si>
  <si>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</si>
  <si>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</si>
  <si>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</si>
  <si>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</si>
  <si>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</si>
  <si>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</si>
  <si>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</si>
  <si>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</si>
  <si>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</si>
  <si>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</si>
  <si>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</si>
  <si>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</si>
  <si>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</si>
  <si>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</si>
  <si>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</si>
  <si>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</si>
  <si>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</si>
  <si>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</si>
  <si>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</si>
  <si>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</si>
  <si>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</si>
  <si>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</si>
  <si>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</si>
  <si>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</si>
  <si>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</si>
  <si>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</si>
  <si>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</si>
  <si>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</si>
  <si>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</si>
  <si>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</si>
  <si>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</si>
  <si>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</si>
  <si>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</si>
  <si>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</si>
  <si>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</si>
  <si>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</si>
  <si>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</si>
  <si>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</si>
  <si>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</si>
  <si>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</si>
  <si>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</si>
  <si>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</si>
  <si>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</si>
  <si>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</si>
  <si>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</si>
  <si>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</si>
  <si>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</si>
  <si>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</si>
  <si>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</si>
  <si>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</si>
  <si>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</si>
  <si>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</si>
  <si>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</si>
  <si>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</si>
  <si>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</si>
  <si>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</si>
  <si>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</si>
  <si>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</si>
  <si>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</si>
  <si>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</si>
  <si>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</si>
  <si>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</si>
  <si>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</si>
  <si>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</si>
  <si>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</si>
  <si>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</si>
  <si>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</si>
  <si>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</si>
  <si>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</si>
  <si>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</si>
  <si>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</si>
  <si>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</si>
  <si>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</si>
  <si>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</si>
  <si>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</si>
  <si>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</si>
  <si>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</si>
  <si>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</si>
  <si>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</si>
  <si>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</si>
  <si>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</si>
  <si>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</si>
  <si>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</si>
  <si>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</si>
  <si>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</si>
  <si>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</si>
  <si>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</si>
  <si>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</si>
  <si>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</si>
  <si>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</si>
  <si>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</si>
  <si>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</si>
  <si>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</si>
  <si>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</si>
  <si>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</si>
  <si>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</si>
  <si>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</si>
  <si>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</si>
  <si>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</si>
  <si>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</si>
  <si>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</si>
  <si>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</si>
  <si>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</si>
  <si>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</si>
  <si>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</si>
  <si>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</si>
  <si>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</si>
  <si>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</si>
  <si>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</si>
  <si>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</si>
  <si>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</si>
  <si>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</si>
  <si>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</si>
  <si>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</si>
  <si>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</si>
  <si>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</si>
  <si>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</si>
  <si>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</si>
  <si>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</si>
  <si>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</si>
  <si>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</si>
  <si>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</si>
  <si>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</si>
  <si>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</si>
  <si>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</si>
  <si>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</si>
  <si>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</si>
  <si>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</si>
  <si>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</si>
  <si>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</si>
  <si>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</si>
  <si>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</si>
  <si>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</si>
  <si>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</si>
  <si>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</si>
  <si>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</si>
  <si>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</si>
  <si>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</si>
  <si>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</si>
  <si>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</si>
  <si>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</si>
  <si>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</si>
  <si>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</si>
  <si>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</si>
  <si>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</si>
  <si>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</si>
  <si>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</si>
  <si>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</si>
  <si>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</si>
  <si>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</si>
  <si>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</si>
  <si>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</si>
  <si>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</si>
  <si>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</si>
  <si>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</si>
  <si>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</si>
  <si>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</si>
  <si>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</si>
  <si>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</si>
  <si>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</si>
  <si>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</si>
  <si>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</si>
  <si>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</si>
  <si>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</si>
  <si>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</si>
  <si>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</si>
  <si>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</si>
  <si>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</si>
  <si>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</si>
  <si>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</si>
  <si>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</si>
  <si>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</si>
  <si>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</si>
  <si>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</si>
  <si>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</si>
  <si>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</si>
  <si>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</si>
  <si>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</si>
  <si>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</si>
  <si>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</si>
  <si>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</si>
  <si>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</si>
  <si>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</si>
  <si>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</si>
  <si>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</si>
  <si>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</si>
  <si>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</si>
  <si>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</si>
  <si>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</si>
  <si>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</si>
  <si>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</si>
  <si>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</si>
  <si>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</si>
  <si>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</si>
  <si>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</si>
  <si>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</si>
  <si>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</si>
  <si>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</si>
  <si>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</si>
  <si>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</si>
  <si>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</si>
  <si>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</si>
  <si>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</si>
  <si>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</si>
  <si>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</si>
  <si>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</si>
  <si>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</si>
  <si>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</si>
  <si>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</si>
  <si>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</si>
  <si>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</si>
  <si>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</si>
  <si>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</si>
  <si>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</si>
  <si>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</si>
  <si>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</si>
  <si>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</si>
  <si>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</si>
  <si>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</si>
  <si>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</si>
  <si>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</si>
  <si>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</si>
  <si>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</si>
  <si>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</si>
  <si>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</si>
  <si>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</si>
  <si>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</si>
  <si>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</si>
  <si>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</si>
  <si>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</si>
  <si>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</si>
  <si>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</si>
  <si>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</si>
  <si>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</si>
  <si>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</si>
  <si>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</si>
  <si>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</si>
  <si>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</si>
  <si>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</si>
  <si>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</si>
  <si>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</si>
  <si>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</si>
  <si>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</si>
  <si>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</si>
  <si>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</si>
  <si>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</si>
  <si>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</si>
  <si>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</si>
  <si>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</si>
  <si>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</si>
  <si>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</si>
  <si>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</si>
  <si>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</si>
  <si>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</si>
  <si>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</si>
  <si>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</si>
  <si>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</si>
  <si>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</si>
  <si>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</si>
  <si>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</si>
  <si>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</si>
  <si>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</si>
  <si>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</si>
  <si>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</si>
  <si>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</si>
  <si>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</si>
  <si>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</si>
  <si>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</si>
  <si>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</si>
  <si>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</si>
  <si>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</si>
  <si>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</si>
  <si>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</si>
  <si>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</si>
  <si>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</si>
  <si>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</si>
  <si>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</si>
  <si>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</si>
  <si>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</si>
  <si>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</si>
  <si>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</si>
  <si>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</si>
  <si>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</si>
  <si>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</si>
  <si>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</si>
  <si>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</si>
  <si>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</si>
  <si>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</si>
  <si>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</si>
  <si>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</si>
  <si>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</si>
  <si>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</si>
  <si>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</si>
  <si>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</si>
  <si>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</si>
  <si>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</si>
  <si>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</si>
  <si>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</si>
  <si>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</si>
  <si>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</si>
  <si>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</si>
  <si>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</si>
  <si>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</si>
  <si>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</si>
  <si>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</si>
  <si>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</si>
  <si>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</si>
  <si>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</si>
  <si>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</si>
  <si>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</si>
  <si>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</si>
  <si>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</si>
  <si>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</si>
  <si>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</si>
  <si>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</si>
  <si>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</si>
  <si>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</si>
  <si>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</si>
  <si>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</si>
  <si>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</si>
  <si>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</si>
  <si>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</si>
  <si>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</si>
  <si>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</si>
  <si>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</si>
  <si>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</si>
  <si>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</si>
  <si>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</si>
  <si>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</si>
  <si>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</si>
  <si>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</si>
  <si>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</si>
  <si>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</si>
  <si>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</si>
  <si>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</si>
  <si>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</si>
  <si>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</si>
  <si>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</si>
  <si>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</si>
  <si>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</si>
  <si>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</si>
  <si>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</si>
  <si>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</si>
  <si>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</si>
  <si>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</si>
  <si>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</si>
  <si>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</si>
  <si>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</si>
  <si>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</si>
  <si>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</si>
  <si>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</si>
  <si>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</si>
  <si>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</si>
  <si>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</si>
  <si>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</si>
  <si>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</si>
  <si>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</si>
  <si>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</si>
  <si>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</si>
  <si>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</si>
  <si>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</si>
  <si>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</si>
  <si>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</si>
  <si>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</si>
  <si>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</si>
  <si>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</si>
  <si>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</si>
  <si>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</si>
  <si>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</si>
  <si>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</si>
  <si>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</si>
  <si>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</si>
  <si>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</si>
  <si>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</si>
  <si>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</si>
  <si>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</si>
  <si>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</si>
  <si>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</si>
  <si>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</si>
  <si>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</si>
  <si>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</si>
  <si>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</si>
  <si>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</si>
  <si>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</si>
  <si>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</si>
  <si>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</si>
  <si>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</si>
  <si>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</si>
  <si>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</si>
  <si>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</si>
  <si>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</si>
  <si>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</si>
  <si>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</si>
  <si>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</si>
  <si>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</si>
  <si>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</si>
  <si>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</si>
  <si>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</si>
  <si>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</si>
  <si>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</si>
  <si>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</si>
  <si>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</si>
  <si>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</si>
  <si>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</si>
  <si>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</si>
  <si>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</si>
  <si>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</si>
  <si>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</si>
  <si>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</si>
  <si>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</si>
  <si>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</si>
  <si>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</si>
  <si>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</si>
  <si>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</si>
  <si>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</si>
  <si>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</si>
  <si>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</si>
  <si>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</si>
  <si>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</si>
  <si>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</si>
  <si>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</si>
  <si>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</si>
  <si>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</si>
  <si>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</si>
  <si>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</si>
  <si>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</si>
  <si>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</si>
  <si>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</si>
  <si>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</si>
  <si>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</si>
  <si>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</si>
  <si>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</si>
  <si>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</si>
  <si>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</si>
  <si>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</si>
  <si>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</si>
  <si>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</si>
  <si>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</si>
  <si>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</si>
  <si>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</si>
  <si>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</si>
  <si>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</si>
  <si>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</si>
  <si>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</si>
  <si>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</si>
  <si>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</si>
  <si>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</si>
  <si>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</si>
  <si>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</si>
  <si>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</si>
  <si>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</si>
  <si>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</si>
  <si>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</si>
  <si>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</si>
  <si>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</si>
  <si>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</si>
  <si>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</si>
  <si>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</si>
  <si>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</si>
  <si>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</si>
  <si>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</si>
  <si>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</si>
  <si>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</si>
  <si>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</si>
  <si>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</si>
  <si>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</si>
  <si>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</si>
  <si>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</si>
  <si>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</si>
  <si>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</si>
  <si>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</si>
  <si>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</si>
  <si>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</si>
  <si>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</si>
  <si>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</si>
  <si>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</si>
  <si>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</si>
  <si>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</si>
  <si>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</si>
  <si>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</si>
  <si>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</si>
  <si>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</si>
  <si>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</si>
  <si>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</si>
  <si>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</si>
  <si>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</si>
  <si>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</si>
  <si>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</si>
  <si>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</si>
  <si>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</si>
  <si>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</si>
  <si>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</si>
  <si>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</si>
  <si>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</si>
  <si>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</si>
  <si>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</si>
  <si>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</si>
  <si>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</si>
  <si>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</si>
  <si>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</si>
  <si>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</si>
  <si>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</si>
  <si>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</si>
  <si>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</si>
  <si>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</si>
  <si>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</si>
  <si>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</si>
  <si>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</si>
  <si>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</si>
  <si>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</si>
  <si>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</si>
  <si>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</si>
  <si>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</si>
  <si>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</si>
  <si>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</si>
  <si>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</si>
  <si>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</si>
  <si>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</si>
  <si>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</si>
  <si>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</si>
  <si>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</si>
  <si>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</si>
  <si>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</si>
  <si>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</si>
  <si>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</si>
  <si>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</si>
  <si>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</si>
  <si>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</si>
  <si>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</si>
  <si>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</si>
  <si>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</si>
  <si>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</si>
  <si>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</si>
  <si>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</si>
  <si>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</si>
  <si>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</si>
  <si>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</si>
  <si>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</si>
  <si>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</si>
  <si>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</si>
  <si>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</si>
  <si>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</si>
  <si>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</si>
  <si>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</si>
  <si>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</si>
  <si>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</si>
  <si>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</si>
  <si>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</si>
  <si>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</si>
  <si>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</si>
  <si>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</si>
  <si>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</si>
  <si>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</si>
  <si>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</si>
  <si>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</si>
  <si>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</si>
  <si>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</si>
  <si>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</si>
  <si>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</si>
  <si>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</si>
  <si>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</si>
  <si>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</si>
  <si>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</si>
  <si>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</si>
  <si>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</si>
  <si>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</si>
  <si>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</si>
  <si>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</si>
  <si>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</si>
  <si>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</si>
  <si>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</si>
  <si>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</si>
  <si>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</si>
  <si>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</si>
  <si>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</si>
  <si>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</si>
  <si>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</si>
  <si>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</si>
  <si>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</si>
  <si>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</si>
  <si>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</si>
  <si>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</si>
  <si>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</si>
  <si>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</si>
  <si>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</si>
  <si>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</si>
  <si>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</si>
  <si>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</si>
  <si>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</si>
  <si>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</si>
  <si>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</si>
  <si>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</si>
  <si>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</si>
  <si>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</si>
  <si>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</si>
  <si>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</si>
  <si>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</si>
  <si>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</si>
  <si>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</si>
  <si>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</si>
  <si>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</si>
  <si>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</si>
  <si>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</si>
  <si>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</si>
  <si>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</si>
  <si>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</si>
  <si>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</si>
  <si>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</si>
  <si>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</si>
  <si>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</si>
  <si>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</si>
  <si>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</si>
  <si>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</si>
  <si>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</si>
  <si>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</si>
  <si>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</si>
  <si>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</si>
  <si>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</si>
  <si>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</si>
  <si>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</si>
  <si>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</si>
  <si>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</si>
  <si>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</si>
  <si>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</si>
  <si>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</si>
  <si>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</si>
  <si>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</si>
  <si>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</si>
  <si>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</si>
  <si>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</si>
  <si>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</si>
  <si>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</si>
  <si>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</si>
  <si>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</si>
  <si>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</si>
  <si>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</si>
  <si>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</si>
  <si>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</si>
  <si>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</si>
  <si>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</si>
  <si>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</si>
  <si>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</si>
  <si>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</si>
  <si>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</si>
  <si>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</si>
  <si>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</si>
  <si>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</si>
  <si>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</si>
  <si>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</si>
  <si>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</si>
  <si>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</si>
  <si>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</si>
  <si>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</si>
  <si>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</si>
  <si>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Justice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</si>
</sst>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5">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quotePrefix="1" applyNumberFormat="1" applyFont="1" applyFill="1" applyAlignment="1" applyProtection="1">
      <alignment horizontal="left"/>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externalLink" Target="externalLinks/externalLink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ESKTOP\FR%20Documents\23-24\BLANK%20GASB_87_Annual_Reporting_Submission_Workbook_V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ACCTG\FINANCIAL%20REPORTS\REPORTS\GASB%2087\Templates\3016.%203053,%203086,%20308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moorec\Desktop\GASB%2087\3053_Annual_Reporting_Submission_Workbook_V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moorec\Desktop\GASB%2087\3086_Annual_Reporting_Submission_Workbook_V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moorec\Desktop\GASB%2087\3087_Annual_Reporting_Submission_Workbook_V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ACCTG\FINANCIAL%20REPORTS\REPORTS\GASB%2087\Templates\3320,%209731,%2097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 Down Menus"/>
      <sheetName val="qryIndex02a"/>
      <sheetName val="LS-Version Changes"/>
      <sheetName val="0001"/>
      <sheetName val="LS-Department Note Disclosure"/>
      <sheetName val="LS-Lease Liabilities"/>
      <sheetName val="LS-Check Figures  "/>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 Down Menus"/>
      <sheetName val="qryIndex02a"/>
      <sheetName val="LS-Version Changes"/>
      <sheetName val="3016"/>
      <sheetName val="3053"/>
      <sheetName val="3086"/>
      <sheetName val="3087"/>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 Down Menus"/>
      <sheetName val="qryIndex02a"/>
      <sheetName val="LS-Version Changes"/>
      <sheetName val="LS-Fund ####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 Down Menus"/>
      <sheetName val="qryIndex02a"/>
      <sheetName val="LS-Version Changes"/>
      <sheetName val="LS-Fund ####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 Down Menus"/>
      <sheetName val="qryIndex02a"/>
      <sheetName val="LS-Version Changes"/>
      <sheetName val="LS-Fund ####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 Down Menus"/>
      <sheetName val="qryIndex02a"/>
      <sheetName val="LS-Version Changes"/>
      <sheetName val="3320"/>
      <sheetName val="9731"/>
      <sheetName val="9740"/>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59999389629810485"/>
  </sheetPr>
  <dimension ref="A1:F29"/>
  <sheetViews>
    <sheetView zoomScale="90" zoomScaleNormal="90" workbookViewId="0">
      <pane ySplit="10" topLeftCell="A11" activePane="bottomLeft" state="frozen"/>
      <selection activeCell="H56" sqref="H56"/>
      <selection pane="bottomLeft" activeCell="M17" sqref="M17"/>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9" tint="0.59999389629810485"/>
    <pageSetUpPr fitToPage="1"/>
  </sheetPr>
  <dimension ref="A1:S193"/>
  <sheetViews>
    <sheetView zoomScale="70" zoomScaleNormal="70" workbookViewId="0">
      <selection activeCell="J112" activeCellId="1" sqref="J41 J112"/>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1</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54342</v>
      </c>
      <c r="M16" s="143">
        <v>54342</v>
      </c>
      <c r="P16" s="143">
        <v>54088</v>
      </c>
      <c r="Q16" s="155"/>
      <c r="S16" s="154">
        <f t="shared" si="0"/>
        <v>-254</v>
      </c>
    </row>
    <row r="17" spans="1:19" ht="16.5" customHeight="1" x14ac:dyDescent="0.3">
      <c r="A17" s="159" t="s">
        <v>1638</v>
      </c>
      <c r="B17" s="9" t="s">
        <v>173</v>
      </c>
      <c r="C17" s="9"/>
      <c r="D17" s="9"/>
      <c r="E17" s="140"/>
      <c r="F17" s="141"/>
      <c r="G17" s="141"/>
      <c r="H17" s="142"/>
      <c r="I17" s="142"/>
      <c r="J17" s="178">
        <f>M17</f>
        <v>55121298</v>
      </c>
      <c r="M17" s="143">
        <v>55121298</v>
      </c>
      <c r="P17" s="143">
        <v>52040077</v>
      </c>
      <c r="Q17" s="155"/>
      <c r="S17" s="154">
        <f t="shared" si="0"/>
        <v>-3081221</v>
      </c>
    </row>
    <row r="18" spans="1:19" ht="16.5" customHeight="1" x14ac:dyDescent="0.3">
      <c r="A18" s="54"/>
      <c r="B18" s="9" t="s">
        <v>169</v>
      </c>
      <c r="C18" s="9"/>
      <c r="D18" s="9"/>
      <c r="E18" s="140"/>
      <c r="F18" s="141"/>
      <c r="G18" s="141"/>
      <c r="H18" s="142"/>
      <c r="I18" s="142"/>
      <c r="J18" s="178">
        <f>P18</f>
        <v>441386</v>
      </c>
      <c r="M18" s="143">
        <v>520857</v>
      </c>
      <c r="P18" s="152">
        <f>IF(SUM($Q$20:$Q$23)&gt;SUM($P$15:$P$17),SUM($Q$20:$Q$23)-SUM($P$15:$P$17),0)</f>
        <v>441386</v>
      </c>
      <c r="Q18" s="155"/>
      <c r="S18" s="154">
        <f t="shared" si="0"/>
        <v>-79471</v>
      </c>
    </row>
    <row r="19" spans="1:19" ht="16.5" customHeight="1" x14ac:dyDescent="0.3">
      <c r="A19" s="54"/>
      <c r="B19" s="9" t="s">
        <v>170</v>
      </c>
      <c r="C19" s="9"/>
      <c r="D19" s="9"/>
      <c r="E19" s="140"/>
      <c r="F19" s="141"/>
      <c r="G19" s="141"/>
      <c r="H19" s="142"/>
      <c r="I19" s="142"/>
      <c r="J19" s="178">
        <f>IF(SUM($K$20:$K$24)&gt;SUM($J$15:$J$18),SUM($K$20:$K$24)-SUM($J$15:$J$18),0)</f>
        <v>0</v>
      </c>
      <c r="M19" s="143">
        <v>33382</v>
      </c>
      <c r="P19" s="155"/>
      <c r="Q19" s="155"/>
      <c r="S19" s="154">
        <f t="shared" si="0"/>
        <v>-33382</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10868</v>
      </c>
      <c r="N21" s="143">
        <v>10868</v>
      </c>
      <c r="P21" s="155"/>
      <c r="Q21" s="143">
        <v>10817</v>
      </c>
      <c r="S21" s="154">
        <f>Q21-N21</f>
        <v>-51</v>
      </c>
    </row>
    <row r="22" spans="1:19" ht="16.5" customHeight="1" x14ac:dyDescent="0.3">
      <c r="A22" s="54"/>
      <c r="B22" s="9"/>
      <c r="C22" s="9" t="s">
        <v>179</v>
      </c>
      <c r="D22" s="9"/>
      <c r="E22" s="140"/>
      <c r="F22" s="141"/>
      <c r="G22" s="141"/>
      <c r="H22" s="142"/>
      <c r="I22" s="142"/>
      <c r="J22" s="150"/>
      <c r="K22" s="178">
        <f>N22</f>
        <v>8360400.1218375713</v>
      </c>
      <c r="N22" s="143">
        <v>8360400.1218375713</v>
      </c>
      <c r="P22" s="155"/>
      <c r="Q22" s="143">
        <v>8466546</v>
      </c>
      <c r="S22" s="154">
        <f t="shared" ref="S22:S25" si="1">Q22-N22</f>
        <v>106145.87816242874</v>
      </c>
    </row>
    <row r="23" spans="1:19" ht="16.5" customHeight="1" x14ac:dyDescent="0.3">
      <c r="A23" s="165" t="s">
        <v>1646</v>
      </c>
      <c r="B23" s="9"/>
      <c r="C23" s="9" t="s">
        <v>174</v>
      </c>
      <c r="D23" s="9"/>
      <c r="E23" s="140"/>
      <c r="F23" s="141"/>
      <c r="G23" s="141"/>
      <c r="H23" s="142"/>
      <c r="I23" s="142"/>
      <c r="J23" s="150"/>
      <c r="K23" s="178">
        <f>N23</f>
        <v>47243187.797642089</v>
      </c>
      <c r="N23" s="143">
        <v>47243187.797642089</v>
      </c>
      <c r="P23" s="155"/>
      <c r="Q23" s="143">
        <v>44058188</v>
      </c>
      <c r="S23" s="154">
        <f t="shared" si="1"/>
        <v>-3184999.7976420894</v>
      </c>
    </row>
    <row r="24" spans="1:19" ht="16.5" customHeight="1" x14ac:dyDescent="0.3">
      <c r="A24" s="54"/>
      <c r="B24" s="9"/>
      <c r="C24" s="9" t="s">
        <v>176</v>
      </c>
      <c r="D24" s="9"/>
      <c r="E24" s="140"/>
      <c r="F24" s="141"/>
      <c r="G24" s="141"/>
      <c r="H24" s="142"/>
      <c r="I24" s="142"/>
      <c r="J24" s="150"/>
      <c r="K24" s="178">
        <f>Q24</f>
        <v>0</v>
      </c>
      <c r="N24" s="143">
        <v>115421</v>
      </c>
      <c r="P24" s="155"/>
      <c r="Q24" s="152">
        <f>IF(SUM($Q$20:$Q$23)&lt;SUM($P$15:$P$17),-SUM($Q$20:$Q$23)+SUM($P$15:$P$17),0)</f>
        <v>0</v>
      </c>
      <c r="S24" s="154">
        <f t="shared" si="1"/>
        <v>-115421</v>
      </c>
    </row>
    <row r="25" spans="1:19" ht="16.5" customHeight="1" x14ac:dyDescent="0.3">
      <c r="A25" s="54"/>
      <c r="B25" s="9"/>
      <c r="C25" s="9" t="s">
        <v>177</v>
      </c>
      <c r="D25" s="9"/>
      <c r="E25" s="140"/>
      <c r="F25" s="141"/>
      <c r="G25" s="141"/>
      <c r="H25" s="142"/>
      <c r="I25" s="142"/>
      <c r="J25" s="150"/>
      <c r="K25" s="178">
        <f>IF(SUM($K$20:$K$24)&lt;SUM($J$15:$J$18),-SUM($K$20:$K$24)+SUM($J$15:$J$18),0)</f>
        <v>2570.0805203393102</v>
      </c>
      <c r="N25" s="143"/>
      <c r="P25" s="155"/>
      <c r="Q25" s="155"/>
      <c r="S25" s="154">
        <f t="shared" si="1"/>
        <v>0</v>
      </c>
    </row>
    <row r="26" spans="1:19" ht="16.5" customHeight="1" x14ac:dyDescent="0.3">
      <c r="A26" s="54"/>
      <c r="C26" s="20"/>
      <c r="D26" s="20"/>
      <c r="E26" s="20"/>
      <c r="F26" s="127"/>
      <c r="G26" s="127"/>
      <c r="H26" s="22"/>
      <c r="I26" s="22"/>
      <c r="J26" s="107">
        <f>SUM(J15:J25)</f>
        <v>55617026</v>
      </c>
      <c r="K26" s="107">
        <f>SUM(K15:K25)</f>
        <v>55617026</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78598</v>
      </c>
      <c r="K33" s="144"/>
    </row>
    <row r="34" spans="1:12" ht="16.5" customHeight="1" x14ac:dyDescent="0.3">
      <c r="A34" s="54"/>
      <c r="B34" s="9"/>
      <c r="C34" s="9" t="s">
        <v>1748</v>
      </c>
      <c r="D34" s="140"/>
      <c r="E34" s="140"/>
      <c r="F34" s="141"/>
      <c r="G34" s="141"/>
      <c r="H34" s="142"/>
      <c r="I34" s="142"/>
      <c r="J34" s="144"/>
      <c r="K34" s="143">
        <v>78598</v>
      </c>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78598</v>
      </c>
      <c r="K36" s="107">
        <f>SUM(K33:K35)</f>
        <v>78598</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78598</v>
      </c>
      <c r="K41" s="144"/>
    </row>
    <row r="42" spans="1:12" ht="16.5" customHeight="1" x14ac:dyDescent="0.3">
      <c r="A42" s="54"/>
      <c r="B42" s="9"/>
      <c r="C42" s="9" t="s">
        <v>181</v>
      </c>
      <c r="D42" s="140"/>
      <c r="E42" s="140"/>
      <c r="F42" s="141"/>
      <c r="G42" s="141"/>
      <c r="H42" s="142"/>
      <c r="I42" s="142"/>
      <c r="J42" s="144"/>
      <c r="K42" s="143">
        <v>78598</v>
      </c>
    </row>
    <row r="43" spans="1:12" ht="16.5" customHeight="1" x14ac:dyDescent="0.3">
      <c r="A43" s="54"/>
      <c r="B43" s="130" t="s">
        <v>1640</v>
      </c>
      <c r="C43" s="16"/>
      <c r="D43" s="16"/>
      <c r="E43" s="16"/>
      <c r="F43" s="17"/>
      <c r="G43" s="17"/>
      <c r="H43" s="18"/>
      <c r="I43" s="18"/>
      <c r="J43" s="107">
        <f>SUM(J39:J42)</f>
        <v>78598</v>
      </c>
      <c r="K43" s="107">
        <f>SUM(K39:K42)</f>
        <v>78598</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78598</v>
      </c>
      <c r="K47" s="144"/>
    </row>
    <row r="48" spans="1:12" ht="16.5" customHeight="1" x14ac:dyDescent="0.3">
      <c r="A48" s="165" t="s">
        <v>1646</v>
      </c>
      <c r="B48" s="9"/>
      <c r="C48" s="9" t="s">
        <v>174</v>
      </c>
      <c r="D48" s="140"/>
      <c r="E48" s="140"/>
      <c r="F48" s="141"/>
      <c r="G48" s="141"/>
      <c r="H48" s="142"/>
      <c r="I48" s="142"/>
      <c r="J48" s="144"/>
      <c r="K48" s="143">
        <v>78598</v>
      </c>
    </row>
    <row r="49" spans="1:16" ht="16.5" customHeight="1" x14ac:dyDescent="0.3">
      <c r="A49" s="54"/>
      <c r="C49" s="16"/>
      <c r="D49" s="16"/>
      <c r="E49" s="16"/>
      <c r="F49" s="17"/>
      <c r="G49" s="17"/>
      <c r="H49" s="18"/>
      <c r="I49" s="18"/>
      <c r="J49" s="107">
        <f>SUM(J47:J48)</f>
        <v>78598</v>
      </c>
      <c r="K49" s="107">
        <f>SUM(K47:K48)</f>
        <v>78598</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9061491</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v>10868</v>
      </c>
    </row>
    <row r="58" spans="1:16" ht="16.5" customHeight="1" x14ac:dyDescent="0.3">
      <c r="A58" s="54"/>
      <c r="B58" s="9"/>
      <c r="C58" s="9" t="s">
        <v>179</v>
      </c>
      <c r="D58" s="140"/>
      <c r="E58" s="140"/>
      <c r="F58" s="141"/>
      <c r="G58" s="141"/>
      <c r="H58" s="142"/>
      <c r="I58" s="142"/>
      <c r="J58" s="144"/>
      <c r="K58" s="143">
        <v>9050623</v>
      </c>
    </row>
    <row r="59" spans="1:16" ht="16.5" customHeight="1" x14ac:dyDescent="0.3">
      <c r="A59" s="54"/>
      <c r="C59" s="16"/>
      <c r="D59" s="16"/>
      <c r="E59" s="16"/>
      <c r="F59" s="17"/>
      <c r="G59" s="17"/>
      <c r="H59" s="18"/>
      <c r="I59" s="18"/>
      <c r="J59" s="107">
        <f>SUM(J55:J58)</f>
        <v>9061491</v>
      </c>
      <c r="K59" s="107">
        <f>SUM(K55:K58)</f>
        <v>9061491</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8711797</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408115</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9119912</v>
      </c>
    </row>
    <row r="65" spans="1:12" ht="16.5" customHeight="1" x14ac:dyDescent="0.3">
      <c r="A65" s="54"/>
      <c r="C65" s="16"/>
      <c r="D65" s="16"/>
      <c r="E65" s="16"/>
      <c r="F65" s="17"/>
      <c r="G65" s="17"/>
      <c r="H65" s="18"/>
      <c r="I65" s="18"/>
      <c r="J65" s="107">
        <f>SUM(J62:J64)</f>
        <v>9119912</v>
      </c>
      <c r="K65" s="107">
        <f>SUM(K62:K64)</f>
        <v>9119912</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8711797</v>
      </c>
      <c r="K68" s="144"/>
    </row>
    <row r="69" spans="1:12" ht="16.5" customHeight="1" x14ac:dyDescent="0.3">
      <c r="A69" s="54"/>
      <c r="B69" s="9"/>
      <c r="C69" s="9" t="s">
        <v>186</v>
      </c>
      <c r="D69" s="140"/>
      <c r="E69" s="140"/>
      <c r="F69" s="141"/>
      <c r="G69" s="141"/>
      <c r="H69" s="142"/>
      <c r="I69" s="142"/>
      <c r="J69" s="144"/>
      <c r="K69" s="143">
        <v>8711797</v>
      </c>
    </row>
    <row r="70" spans="1:12" ht="16.5" customHeight="1" x14ac:dyDescent="0.3">
      <c r="A70" s="54"/>
      <c r="C70" s="16"/>
      <c r="D70" s="16"/>
      <c r="E70" s="16"/>
      <c r="F70" s="17"/>
      <c r="G70" s="17"/>
      <c r="H70" s="18"/>
      <c r="I70" s="18"/>
      <c r="J70" s="107">
        <f>SUM(J68:J69)</f>
        <v>8711797</v>
      </c>
      <c r="K70" s="107">
        <f>SUM(K68:K69)</f>
        <v>8711797</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8312165</v>
      </c>
      <c r="K75" s="144"/>
    </row>
    <row r="76" spans="1:12" ht="16.5" customHeight="1" x14ac:dyDescent="0.3">
      <c r="A76" s="54"/>
      <c r="B76" s="9"/>
      <c r="C76" s="9" t="s">
        <v>194</v>
      </c>
      <c r="D76" s="140"/>
      <c r="E76" s="140"/>
      <c r="F76" s="141"/>
      <c r="G76" s="141"/>
      <c r="H76" s="142"/>
      <c r="I76" s="142"/>
      <c r="J76" s="144"/>
      <c r="K76" s="143">
        <v>8312165</v>
      </c>
    </row>
    <row r="77" spans="1:12" ht="16.5" customHeight="1" x14ac:dyDescent="0.25">
      <c r="A77" s="54"/>
      <c r="B77" s="193" t="s">
        <v>1735</v>
      </c>
      <c r="C77" s="193"/>
      <c r="D77" s="193"/>
      <c r="E77" s="193"/>
      <c r="F77" s="193"/>
      <c r="G77" s="193"/>
      <c r="H77" s="193"/>
      <c r="I77" s="193"/>
      <c r="J77" s="107">
        <f>SUM(J75:J76)</f>
        <v>8312165</v>
      </c>
      <c r="K77" s="107">
        <f>SUM(K75:K76)</f>
        <v>8312165</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v>1941296</v>
      </c>
      <c r="K112" s="25"/>
    </row>
    <row r="113" spans="1:12" ht="16.5" customHeight="1" x14ac:dyDescent="0.25">
      <c r="A113" s="165" t="s">
        <v>1646</v>
      </c>
      <c r="B113" s="9"/>
      <c r="C113" s="9" t="s">
        <v>174</v>
      </c>
      <c r="D113" s="7"/>
      <c r="E113" s="25"/>
      <c r="F113" s="25"/>
      <c r="G113" s="25"/>
      <c r="H113" s="25"/>
      <c r="I113" s="25"/>
      <c r="J113" s="25"/>
      <c r="K113" s="143">
        <v>1941296</v>
      </c>
    </row>
    <row r="114" spans="1:12" ht="16.5" customHeight="1" x14ac:dyDescent="0.3">
      <c r="A114" s="6"/>
      <c r="B114" s="130" t="s">
        <v>1640</v>
      </c>
      <c r="C114" s="114"/>
      <c r="D114" s="114"/>
      <c r="H114" s="10"/>
      <c r="J114" s="108">
        <f>SUM(J110:J113)</f>
        <v>1941296</v>
      </c>
      <c r="K114" s="108">
        <f>SUM(K110:K113)</f>
        <v>1941296</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54342</v>
      </c>
    </row>
    <row r="124" spans="1:12" ht="16.5" customHeight="1" x14ac:dyDescent="0.3">
      <c r="D124" s="140" t="s">
        <v>1653</v>
      </c>
      <c r="H124" s="10"/>
      <c r="K124" s="169">
        <f>J17+J41-K90-K103+J112</f>
        <v>57141192</v>
      </c>
    </row>
    <row r="125" spans="1:12" ht="16.5" customHeight="1" x14ac:dyDescent="0.3">
      <c r="D125" s="140" t="s">
        <v>1654</v>
      </c>
      <c r="H125" s="10"/>
      <c r="K125" s="169">
        <f>-K20-K56+J85+J97</f>
        <v>0</v>
      </c>
    </row>
    <row r="126" spans="1:12" ht="16.5" customHeight="1" x14ac:dyDescent="0.3">
      <c r="D126" s="140" t="s">
        <v>1655</v>
      </c>
      <c r="H126" s="10"/>
      <c r="K126" s="169">
        <f>-K21-K57+J86+J98</f>
        <v>-21736</v>
      </c>
    </row>
    <row r="127" spans="1:12" ht="16.5" customHeight="1" x14ac:dyDescent="0.3">
      <c r="D127" s="140" t="s">
        <v>1656</v>
      </c>
      <c r="H127" s="10"/>
      <c r="K127" s="169">
        <f>-K22-K58+J87+J99</f>
        <v>-17411023.121837571</v>
      </c>
    </row>
    <row r="128" spans="1:12" ht="16.5" customHeight="1" x14ac:dyDescent="0.3">
      <c r="D128" s="140" t="s">
        <v>1657</v>
      </c>
      <c r="H128" s="10"/>
      <c r="K128" s="169">
        <f>-K23-K48+J68+J75+J96-K113</f>
        <v>-32239119.797642089</v>
      </c>
    </row>
    <row r="129" spans="4:11" ht="16.5" customHeight="1" x14ac:dyDescent="0.3">
      <c r="D129" s="140" t="s">
        <v>1658</v>
      </c>
      <c r="H129" s="10"/>
      <c r="K129" s="169">
        <f>-K76</f>
        <v>-8312165</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tint="0.59999389629810485"/>
    <pageSetUpPr fitToPage="1"/>
  </sheetPr>
  <dimension ref="A1:S193"/>
  <sheetViews>
    <sheetView zoomScale="70" zoomScaleNormal="70" workbookViewId="0">
      <selection activeCell="N9" sqref="N9"/>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12</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Fund",VLOOKUP(F5,[2]qryIndex02a!$A$2:$K$654,4,FALSE)),"Unidentified")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33418</v>
      </c>
      <c r="M17" s="143">
        <v>33418</v>
      </c>
      <c r="P17" s="143">
        <v>86145</v>
      </c>
      <c r="Q17" s="155"/>
      <c r="S17" s="154">
        <f t="shared" si="0"/>
        <v>52727</v>
      </c>
    </row>
    <row r="18" spans="1:19" ht="16.5" customHeight="1" x14ac:dyDescent="0.3">
      <c r="A18" s="54"/>
      <c r="B18" s="9" t="s">
        <v>169</v>
      </c>
      <c r="C18" s="9"/>
      <c r="D18" s="9"/>
      <c r="E18" s="140"/>
      <c r="F18" s="141"/>
      <c r="G18" s="141"/>
      <c r="H18" s="142"/>
      <c r="I18" s="142"/>
      <c r="J18" s="178">
        <f>P18</f>
        <v>382</v>
      </c>
      <c r="M18" s="143">
        <v>303</v>
      </c>
      <c r="P18" s="152">
        <f>IF(SUM($Q$20:$Q$23)&gt;SUM($P$15:$P$17),SUM($Q$20:$Q$23)-SUM($P$15:$P$17),0)</f>
        <v>382</v>
      </c>
      <c r="Q18" s="155"/>
      <c r="S18" s="154">
        <f t="shared" si="0"/>
        <v>79</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5145</v>
      </c>
      <c r="N22" s="143">
        <v>5145</v>
      </c>
      <c r="P22" s="155"/>
      <c r="Q22" s="143">
        <v>13344</v>
      </c>
      <c r="S22" s="154">
        <f t="shared" ref="S22:S25" si="1">Q22-N22</f>
        <v>8199</v>
      </c>
    </row>
    <row r="23" spans="1:19" ht="16.5" customHeight="1" x14ac:dyDescent="0.3">
      <c r="A23" s="165" t="s">
        <v>1646</v>
      </c>
      <c r="B23" s="9"/>
      <c r="C23" s="9" t="s">
        <v>174</v>
      </c>
      <c r="D23" s="9"/>
      <c r="E23" s="140"/>
      <c r="F23" s="141"/>
      <c r="G23" s="141"/>
      <c r="H23" s="142"/>
      <c r="I23" s="142"/>
      <c r="J23" s="150"/>
      <c r="K23" s="178">
        <f>N23</f>
        <v>28447</v>
      </c>
      <c r="N23" s="143">
        <v>28447</v>
      </c>
      <c r="P23" s="155"/>
      <c r="Q23" s="143">
        <v>73183</v>
      </c>
      <c r="S23" s="154">
        <f t="shared" si="1"/>
        <v>44736</v>
      </c>
    </row>
    <row r="24" spans="1:19" ht="16.5" customHeight="1" x14ac:dyDescent="0.3">
      <c r="A24" s="54"/>
      <c r="B24" s="9"/>
      <c r="C24" s="9" t="s">
        <v>176</v>
      </c>
      <c r="D24" s="9"/>
      <c r="E24" s="140"/>
      <c r="F24" s="141"/>
      <c r="G24" s="141"/>
      <c r="H24" s="142"/>
      <c r="I24" s="142"/>
      <c r="J24" s="150"/>
      <c r="K24" s="178">
        <f>Q24</f>
        <v>0</v>
      </c>
      <c r="N24" s="143">
        <v>130</v>
      </c>
      <c r="P24" s="155"/>
      <c r="Q24" s="152">
        <f>IF(SUM($Q$20:$Q$23)&lt;SUM($P$15:$P$17),-SUM($Q$20:$Q$23)+SUM($P$15:$P$17),0)</f>
        <v>0</v>
      </c>
      <c r="S24" s="154">
        <f t="shared" si="1"/>
        <v>-130</v>
      </c>
    </row>
    <row r="25" spans="1:19" ht="16.5" customHeight="1" x14ac:dyDescent="0.3">
      <c r="A25" s="54"/>
      <c r="B25" s="9"/>
      <c r="C25" s="9" t="s">
        <v>177</v>
      </c>
      <c r="D25" s="9"/>
      <c r="E25" s="140"/>
      <c r="F25" s="141"/>
      <c r="G25" s="141"/>
      <c r="H25" s="142"/>
      <c r="I25" s="142"/>
      <c r="J25" s="150"/>
      <c r="K25" s="178">
        <f>IF(SUM($K$20:$K$24)&lt;SUM($J$15:$J$18),-SUM($K$20:$K$24)+SUM($J$15:$J$18),0)</f>
        <v>208</v>
      </c>
      <c r="N25" s="143"/>
      <c r="P25" s="155"/>
      <c r="Q25" s="155"/>
      <c r="S25" s="154">
        <f t="shared" si="1"/>
        <v>0</v>
      </c>
    </row>
    <row r="26" spans="1:19" ht="16.5" customHeight="1" x14ac:dyDescent="0.3">
      <c r="A26" s="54"/>
      <c r="C26" s="20"/>
      <c r="D26" s="20"/>
      <c r="E26" s="20"/>
      <c r="F26" s="127"/>
      <c r="G26" s="127"/>
      <c r="H26" s="22"/>
      <c r="I26" s="22"/>
      <c r="J26" s="107">
        <f>SUM(J15:J25)</f>
        <v>33800</v>
      </c>
      <c r="K26" s="107">
        <f>SUM(K15:K25)</f>
        <v>33800</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5515</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5515</v>
      </c>
    </row>
    <row r="59" spans="1:16" ht="16.5" customHeight="1" x14ac:dyDescent="0.3">
      <c r="A59" s="54"/>
      <c r="C59" s="16"/>
      <c r="D59" s="16"/>
      <c r="E59" s="16"/>
      <c r="F59" s="17"/>
      <c r="G59" s="17"/>
      <c r="H59" s="18"/>
      <c r="I59" s="18"/>
      <c r="J59" s="107">
        <f>SUM(J55:J58)</f>
        <v>5515</v>
      </c>
      <c r="K59" s="107">
        <f>SUM(K55:K58)</f>
        <v>5515</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5418</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196</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5614</v>
      </c>
    </row>
    <row r="65" spans="1:12" ht="16.5" customHeight="1" x14ac:dyDescent="0.3">
      <c r="A65" s="54"/>
      <c r="C65" s="16"/>
      <c r="D65" s="16"/>
      <c r="E65" s="16"/>
      <c r="F65" s="17"/>
      <c r="G65" s="17"/>
      <c r="H65" s="18"/>
      <c r="I65" s="18"/>
      <c r="J65" s="107">
        <f>SUM(J62:J64)</f>
        <v>5614</v>
      </c>
      <c r="K65" s="107">
        <f>SUM(K62:K64)</f>
        <v>5614</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5418</v>
      </c>
      <c r="K68" s="144"/>
    </row>
    <row r="69" spans="1:12" ht="16.5" customHeight="1" x14ac:dyDescent="0.3">
      <c r="A69" s="54"/>
      <c r="B69" s="9"/>
      <c r="C69" s="9" t="s">
        <v>186</v>
      </c>
      <c r="D69" s="140"/>
      <c r="E69" s="140"/>
      <c r="F69" s="141"/>
      <c r="G69" s="141"/>
      <c r="H69" s="142"/>
      <c r="I69" s="142"/>
      <c r="J69" s="144"/>
      <c r="K69" s="143">
        <v>5418</v>
      </c>
    </row>
    <row r="70" spans="1:12" ht="16.5" customHeight="1" x14ac:dyDescent="0.3">
      <c r="A70" s="54"/>
      <c r="C70" s="16"/>
      <c r="D70" s="16"/>
      <c r="E70" s="16"/>
      <c r="F70" s="17"/>
      <c r="G70" s="17"/>
      <c r="H70" s="18"/>
      <c r="I70" s="18"/>
      <c r="J70" s="107">
        <f>SUM(J68:J69)</f>
        <v>5418</v>
      </c>
      <c r="K70" s="107">
        <f>SUM(K68:K69)</f>
        <v>5418</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5438</v>
      </c>
      <c r="K75" s="144"/>
    </row>
    <row r="76" spans="1:12" ht="16.5" customHeight="1" x14ac:dyDescent="0.3">
      <c r="A76" s="54"/>
      <c r="B76" s="9"/>
      <c r="C76" s="9" t="s">
        <v>194</v>
      </c>
      <c r="D76" s="140"/>
      <c r="E76" s="140"/>
      <c r="F76" s="141"/>
      <c r="G76" s="141"/>
      <c r="H76" s="142"/>
      <c r="I76" s="142"/>
      <c r="J76" s="144"/>
      <c r="K76" s="143">
        <v>5438</v>
      </c>
    </row>
    <row r="77" spans="1:12" ht="16.5" customHeight="1" x14ac:dyDescent="0.25">
      <c r="A77" s="54"/>
      <c r="B77" s="193" t="s">
        <v>1735</v>
      </c>
      <c r="C77" s="193"/>
      <c r="D77" s="193"/>
      <c r="E77" s="193"/>
      <c r="F77" s="193"/>
      <c r="G77" s="193"/>
      <c r="H77" s="193"/>
      <c r="I77" s="193"/>
      <c r="J77" s="107">
        <f>SUM(J75:J76)</f>
        <v>5438</v>
      </c>
      <c r="K77" s="107">
        <f>SUM(K75:K76)</f>
        <v>5438</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33418</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-10660</v>
      </c>
    </row>
    <row r="128" spans="1:12" ht="16.5" customHeight="1" x14ac:dyDescent="0.3">
      <c r="D128" s="140" t="s">
        <v>1657</v>
      </c>
      <c r="H128" s="10"/>
      <c r="K128" s="169">
        <f>-K23-K48+J68+J75+J96-K113</f>
        <v>-17591</v>
      </c>
    </row>
    <row r="129" spans="4:11" ht="16.5" customHeight="1" x14ac:dyDescent="0.3">
      <c r="D129" s="140" t="s">
        <v>1658</v>
      </c>
      <c r="H129" s="10"/>
      <c r="K129" s="169">
        <f>-K76</f>
        <v>-5438</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00000000-0002-0000-04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400-000001000000}">
      <formula1>0</formula1>
    </dataValidation>
    <dataValidation operator="lessThan" allowBlank="1" showInputMessage="1" showErrorMessage="1" sqref="A3:A8" xr:uid="{00000000-0002-0000-04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3000000}">
          <x14:formula1>
            <xm:f>'H:\DESKTOP\FR Documents\23-24\[BLANK GASB_87_Annual_Reporting_Submission_Workbook_V2.xlsx]Drop Down Menus'!#REF!</xm:f>
          </x14:formula1>
          <xm:sqref>F3 F7:F8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pageSetUpPr fitToPage="1"/>
  </sheetPr>
  <dimension ref="A1:S193"/>
  <sheetViews>
    <sheetView zoomScale="70" zoomScaleNormal="70" workbookViewId="0">
      <selection activeCell="I32" sqref="I32"/>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17</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Fund",VLOOKUP(F5,[2]qryIndex02a!$A$2:$K$654,4,FALSE)),"Unidentified")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9284225</v>
      </c>
      <c r="M17" s="143">
        <v>9284225</v>
      </c>
      <c r="P17" s="143">
        <v>8473292</v>
      </c>
      <c r="Q17" s="155"/>
      <c r="S17" s="154">
        <f t="shared" si="0"/>
        <v>-810933</v>
      </c>
    </row>
    <row r="18" spans="1:19" ht="16.5" customHeight="1" x14ac:dyDescent="0.3">
      <c r="A18" s="54"/>
      <c r="B18" s="9" t="s">
        <v>169</v>
      </c>
      <c r="C18" s="9"/>
      <c r="D18" s="9"/>
      <c r="E18" s="140"/>
      <c r="F18" s="141"/>
      <c r="G18" s="141"/>
      <c r="H18" s="142"/>
      <c r="I18" s="142"/>
      <c r="J18" s="178">
        <f>P18</f>
        <v>120213</v>
      </c>
      <c r="M18" s="143">
        <v>118914</v>
      </c>
      <c r="P18" s="152">
        <f>IF(SUM($Q$20:$Q$23)&gt;SUM($P$15:$P$17),SUM($Q$20:$Q$23)-SUM($P$15:$P$17),0)</f>
        <v>120213</v>
      </c>
      <c r="Q18" s="155"/>
      <c r="S18" s="154">
        <f t="shared" si="0"/>
        <v>1299</v>
      </c>
    </row>
    <row r="19" spans="1:19" ht="16.5" customHeight="1" x14ac:dyDescent="0.3">
      <c r="A19" s="54"/>
      <c r="B19" s="9" t="s">
        <v>170</v>
      </c>
      <c r="C19" s="9"/>
      <c r="D19" s="9"/>
      <c r="E19" s="140"/>
      <c r="F19" s="141"/>
      <c r="G19" s="141"/>
      <c r="H19" s="142"/>
      <c r="I19" s="142"/>
      <c r="J19" s="178">
        <f>IF(SUM($K$20:$K$24)&gt;SUM($J$15:$J$18),SUM($K$20:$K$24)-SUM($J$15:$J$18),0)</f>
        <v>17272</v>
      </c>
      <c r="M19" s="143">
        <v>18571</v>
      </c>
      <c r="P19" s="155"/>
      <c r="Q19" s="155"/>
      <c r="S19" s="154">
        <f t="shared" si="0"/>
        <v>-18571</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924469</v>
      </c>
      <c r="N22" s="143">
        <v>924469</v>
      </c>
      <c r="P22" s="155"/>
      <c r="Q22" s="143">
        <v>864131</v>
      </c>
      <c r="S22" s="154">
        <f t="shared" ref="S22:S25" si="1">Q22-N22</f>
        <v>-60338</v>
      </c>
    </row>
    <row r="23" spans="1:19" ht="16.5" customHeight="1" x14ac:dyDescent="0.3">
      <c r="A23" s="165" t="s">
        <v>1646</v>
      </c>
      <c r="B23" s="9"/>
      <c r="C23" s="9" t="s">
        <v>174</v>
      </c>
      <c r="D23" s="9"/>
      <c r="E23" s="140"/>
      <c r="F23" s="141"/>
      <c r="G23" s="141"/>
      <c r="H23" s="142"/>
      <c r="I23" s="142"/>
      <c r="J23" s="150"/>
      <c r="K23" s="178">
        <f>N23</f>
        <v>8497241</v>
      </c>
      <c r="N23" s="143">
        <v>8497241</v>
      </c>
      <c r="P23" s="155"/>
      <c r="Q23" s="143">
        <v>7729374</v>
      </c>
      <c r="S23" s="154">
        <f t="shared" si="1"/>
        <v>-767867</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9421710</v>
      </c>
      <c r="K26" s="107">
        <f>SUM(K15:K25)</f>
        <v>9421710</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924469</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924469</v>
      </c>
    </row>
    <row r="59" spans="1:16" ht="16.5" customHeight="1" x14ac:dyDescent="0.3">
      <c r="A59" s="54"/>
      <c r="C59" s="16"/>
      <c r="D59" s="16"/>
      <c r="E59" s="16"/>
      <c r="F59" s="17"/>
      <c r="G59" s="17"/>
      <c r="H59" s="18"/>
      <c r="I59" s="18"/>
      <c r="J59" s="107">
        <f>SUM(J55:J58)</f>
        <v>924469</v>
      </c>
      <c r="K59" s="107">
        <f>SUM(K55:K58)</f>
        <v>924469</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815845</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119837</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935682</v>
      </c>
    </row>
    <row r="65" spans="1:12" ht="16.5" customHeight="1" x14ac:dyDescent="0.3">
      <c r="A65" s="54"/>
      <c r="C65" s="16"/>
      <c r="D65" s="16"/>
      <c r="E65" s="16"/>
      <c r="F65" s="17"/>
      <c r="G65" s="17"/>
      <c r="H65" s="18"/>
      <c r="I65" s="18"/>
      <c r="J65" s="107">
        <f>SUM(J62:J64)</f>
        <v>935682</v>
      </c>
      <c r="K65" s="107">
        <f>SUM(K62:K64)</f>
        <v>935682</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815845</v>
      </c>
      <c r="K68" s="144"/>
    </row>
    <row r="69" spans="1:12" ht="16.5" customHeight="1" x14ac:dyDescent="0.3">
      <c r="A69" s="54"/>
      <c r="B69" s="9"/>
      <c r="C69" s="9" t="s">
        <v>186</v>
      </c>
      <c r="D69" s="140"/>
      <c r="E69" s="140"/>
      <c r="F69" s="141"/>
      <c r="G69" s="141"/>
      <c r="H69" s="142"/>
      <c r="I69" s="142"/>
      <c r="J69" s="144"/>
      <c r="K69" s="143">
        <v>815845</v>
      </c>
    </row>
    <row r="70" spans="1:12" ht="16.5" customHeight="1" x14ac:dyDescent="0.3">
      <c r="A70" s="54"/>
      <c r="C70" s="16"/>
      <c r="D70" s="16"/>
      <c r="E70" s="16"/>
      <c r="F70" s="17"/>
      <c r="G70" s="17"/>
      <c r="H70" s="18"/>
      <c r="I70" s="18"/>
      <c r="J70" s="107">
        <f>SUM(J68:J69)</f>
        <v>815845</v>
      </c>
      <c r="K70" s="107">
        <f>SUM(K68:K69)</f>
        <v>815845</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843782</v>
      </c>
      <c r="K75" s="144"/>
    </row>
    <row r="76" spans="1:12" ht="16.5" customHeight="1" x14ac:dyDescent="0.3">
      <c r="A76" s="54"/>
      <c r="B76" s="9"/>
      <c r="C76" s="9" t="s">
        <v>194</v>
      </c>
      <c r="D76" s="140"/>
      <c r="E76" s="140"/>
      <c r="F76" s="141"/>
      <c r="G76" s="141"/>
      <c r="H76" s="142"/>
      <c r="I76" s="142"/>
      <c r="J76" s="144"/>
      <c r="K76" s="143">
        <v>843782</v>
      </c>
    </row>
    <row r="77" spans="1:12" ht="16.5" customHeight="1" x14ac:dyDescent="0.25">
      <c r="A77" s="54"/>
      <c r="B77" s="193" t="s">
        <v>1735</v>
      </c>
      <c r="C77" s="193"/>
      <c r="D77" s="193"/>
      <c r="E77" s="193"/>
      <c r="F77" s="193"/>
      <c r="G77" s="193"/>
      <c r="H77" s="193"/>
      <c r="I77" s="193"/>
      <c r="J77" s="107">
        <f>SUM(J75:J76)</f>
        <v>843782</v>
      </c>
      <c r="K77" s="107">
        <f>SUM(K75:K76)</f>
        <v>843782</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9284225</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-1848938</v>
      </c>
    </row>
    <row r="128" spans="1:12" ht="16.5" customHeight="1" x14ac:dyDescent="0.3">
      <c r="D128" s="140" t="s">
        <v>1657</v>
      </c>
      <c r="H128" s="10"/>
      <c r="K128" s="169">
        <f>-K23-K48+J68+J75+J96-K113</f>
        <v>-6837614</v>
      </c>
    </row>
    <row r="129" spans="4:11" ht="16.5" customHeight="1" x14ac:dyDescent="0.3">
      <c r="D129" s="140" t="s">
        <v>1658</v>
      </c>
      <c r="H129" s="10"/>
      <c r="K129" s="169">
        <f>-K76</f>
        <v>-843782</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00000000-0002-0000-05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500-000001000000}">
      <formula1>0</formula1>
    </dataValidation>
    <dataValidation operator="lessThan" allowBlank="1" showInputMessage="1" showErrorMessage="1" sqref="A3:A8" xr:uid="{00000000-0002-0000-05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3000000}">
          <x14:formula1>
            <xm:f>'H:\DESKTOP\FR Documents\23-24\[BLANK GASB_87_Annual_Reporting_Submission_Workbook_V2.xlsx]Drop Down Menus'!#REF!</xm:f>
          </x14:formula1>
          <xm:sqref>F3 F7:F8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193"/>
  <sheetViews>
    <sheetView zoomScale="70" zoomScaleNormal="70" workbookViewId="0">
      <selection activeCell="N4" sqref="N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44</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Fund",VLOOKUP(F5,[2]qryIndex02a!$A$2:$K$654,4,FALSE)),"Unidentified")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4099348</v>
      </c>
      <c r="M17" s="143">
        <v>4099348</v>
      </c>
      <c r="P17" s="143">
        <v>3703963</v>
      </c>
      <c r="Q17" s="155"/>
      <c r="S17" s="154">
        <f t="shared" si="0"/>
        <v>-395385</v>
      </c>
    </row>
    <row r="18" spans="1:19" ht="16.5" customHeight="1" x14ac:dyDescent="0.3">
      <c r="A18" s="54"/>
      <c r="B18" s="9" t="s">
        <v>169</v>
      </c>
      <c r="C18" s="9"/>
      <c r="D18" s="9"/>
      <c r="E18" s="140"/>
      <c r="F18" s="141"/>
      <c r="G18" s="141"/>
      <c r="H18" s="142"/>
      <c r="I18" s="142"/>
      <c r="J18" s="178">
        <f>P18</f>
        <v>52550</v>
      </c>
      <c r="M18" s="143">
        <v>52505</v>
      </c>
      <c r="P18" s="152">
        <f>IF(SUM($Q$20:$Q$23)&gt;SUM($P$15:$P$17),SUM($Q$20:$Q$23)-SUM($P$15:$P$17),0)</f>
        <v>52550</v>
      </c>
      <c r="Q18" s="155"/>
      <c r="S18" s="154">
        <f t="shared" si="0"/>
        <v>45</v>
      </c>
    </row>
    <row r="19" spans="1:19" ht="16.5" customHeight="1" x14ac:dyDescent="0.3">
      <c r="A19" s="54"/>
      <c r="B19" s="9" t="s">
        <v>170</v>
      </c>
      <c r="C19" s="9"/>
      <c r="D19" s="9"/>
      <c r="E19" s="140"/>
      <c r="F19" s="141"/>
      <c r="G19" s="141"/>
      <c r="H19" s="142"/>
      <c r="I19" s="142"/>
      <c r="J19" s="178">
        <f>IF(SUM($K$20:$K$24)&gt;SUM($J$15:$J$18),SUM($K$20:$K$24)-SUM($J$15:$J$18),0)</f>
        <v>8155</v>
      </c>
      <c r="M19" s="143">
        <v>8200</v>
      </c>
      <c r="P19" s="155"/>
      <c r="Q19" s="155"/>
      <c r="S19" s="154">
        <f t="shared" si="0"/>
        <v>-8200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408189</v>
      </c>
      <c r="N22" s="143">
        <v>408189</v>
      </c>
      <c r="P22" s="155"/>
      <c r="Q22" s="143">
        <v>377744</v>
      </c>
      <c r="S22" s="154">
        <f t="shared" ref="S22:S25" si="1">Q22-N22</f>
        <v>-30445</v>
      </c>
    </row>
    <row r="23" spans="1:19" ht="16.5" customHeight="1" x14ac:dyDescent="0.3">
      <c r="A23" s="165" t="s">
        <v>1646</v>
      </c>
      <c r="B23" s="9"/>
      <c r="C23" s="9" t="s">
        <v>174</v>
      </c>
      <c r="D23" s="9"/>
      <c r="E23" s="140"/>
      <c r="F23" s="141"/>
      <c r="G23" s="141"/>
      <c r="H23" s="142"/>
      <c r="I23" s="142"/>
      <c r="J23" s="150"/>
      <c r="K23" s="178">
        <f>N23</f>
        <v>3751864</v>
      </c>
      <c r="N23" s="143">
        <v>3751864</v>
      </c>
      <c r="P23" s="155"/>
      <c r="Q23" s="143">
        <v>3378769</v>
      </c>
      <c r="S23" s="154">
        <f t="shared" si="1"/>
        <v>-373095</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4160053</v>
      </c>
      <c r="K26" s="107">
        <f>SUM(K15:K25)</f>
        <v>4160053</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408189</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408189</v>
      </c>
    </row>
    <row r="59" spans="1:16" ht="16.5" customHeight="1" x14ac:dyDescent="0.3">
      <c r="A59" s="54"/>
      <c r="C59" s="16"/>
      <c r="D59" s="16"/>
      <c r="E59" s="16"/>
      <c r="F59" s="17"/>
      <c r="G59" s="17"/>
      <c r="H59" s="18"/>
      <c r="I59" s="18"/>
      <c r="J59" s="107">
        <f>SUM(J55:J58)</f>
        <v>408189</v>
      </c>
      <c r="K59" s="107">
        <f>SUM(K55:K58)</f>
        <v>408189</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360227</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52913</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413140</v>
      </c>
    </row>
    <row r="65" spans="1:12" ht="16.5" customHeight="1" x14ac:dyDescent="0.3">
      <c r="A65" s="54"/>
      <c r="C65" s="16"/>
      <c r="D65" s="16"/>
      <c r="E65" s="16"/>
      <c r="F65" s="17"/>
      <c r="G65" s="17"/>
      <c r="H65" s="18"/>
      <c r="I65" s="18"/>
      <c r="J65" s="107">
        <f>SUM(J62:J64)</f>
        <v>413140</v>
      </c>
      <c r="K65" s="107">
        <f>SUM(K62:K64)</f>
        <v>413140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360227</v>
      </c>
      <c r="K68" s="144"/>
    </row>
    <row r="69" spans="1:12" ht="16.5" customHeight="1" x14ac:dyDescent="0.3">
      <c r="A69" s="54"/>
      <c r="B69" s="9"/>
      <c r="C69" s="9" t="s">
        <v>186</v>
      </c>
      <c r="D69" s="140"/>
      <c r="E69" s="140"/>
      <c r="F69" s="141"/>
      <c r="G69" s="141"/>
      <c r="H69" s="142"/>
      <c r="I69" s="142"/>
      <c r="J69" s="144"/>
      <c r="K69" s="143">
        <v>360227</v>
      </c>
    </row>
    <row r="70" spans="1:12" ht="16.5" customHeight="1" x14ac:dyDescent="0.3">
      <c r="A70" s="54"/>
      <c r="C70" s="16"/>
      <c r="D70" s="16"/>
      <c r="E70" s="16"/>
      <c r="F70" s="17"/>
      <c r="G70" s="17"/>
      <c r="H70" s="18"/>
      <c r="I70" s="18"/>
      <c r="J70" s="107">
        <f>SUM(J68:J69)</f>
        <v>360227</v>
      </c>
      <c r="K70" s="107">
        <f>SUM(K68:K69)</f>
        <v>360227</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372563</v>
      </c>
      <c r="K75" s="144"/>
    </row>
    <row r="76" spans="1:12" ht="16.5" customHeight="1" x14ac:dyDescent="0.3">
      <c r="A76" s="54"/>
      <c r="B76" s="9"/>
      <c r="C76" s="9" t="s">
        <v>194</v>
      </c>
      <c r="D76" s="140"/>
      <c r="E76" s="140"/>
      <c r="F76" s="141"/>
      <c r="G76" s="141"/>
      <c r="H76" s="142"/>
      <c r="I76" s="142"/>
      <c r="J76" s="144"/>
      <c r="K76" s="143">
        <v>372563</v>
      </c>
    </row>
    <row r="77" spans="1:12" ht="16.5" customHeight="1" x14ac:dyDescent="0.25">
      <c r="A77" s="54"/>
      <c r="B77" s="193" t="s">
        <v>1735</v>
      </c>
      <c r="C77" s="193"/>
      <c r="D77" s="193"/>
      <c r="E77" s="193"/>
      <c r="F77" s="193"/>
      <c r="G77" s="193"/>
      <c r="H77" s="193"/>
      <c r="I77" s="193"/>
      <c r="J77" s="107">
        <f>SUM(J75:J76)</f>
        <v>372563</v>
      </c>
      <c r="K77" s="107">
        <f>SUM(K75:K76)</f>
        <v>372563</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4099348</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-816378</v>
      </c>
    </row>
    <row r="128" spans="1:12" ht="16.5" customHeight="1" x14ac:dyDescent="0.3">
      <c r="D128" s="140" t="s">
        <v>1657</v>
      </c>
      <c r="H128" s="10"/>
      <c r="K128" s="169">
        <f>-K23-K48+J68+J75+J96-K113</f>
        <v>-3019074</v>
      </c>
    </row>
    <row r="129" spans="4:11" ht="16.5" customHeight="1" x14ac:dyDescent="0.3">
      <c r="D129" s="140" t="s">
        <v>1658</v>
      </c>
      <c r="H129" s="10"/>
      <c r="K129" s="169">
        <f>-K76</f>
        <v>-372563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00000000-0002-0000-06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600-000001000000}">
      <formula1>0</formula1>
    </dataValidation>
    <dataValidation operator="lessThan" allowBlank="1" showInputMessage="1" showErrorMessage="1" sqref="A3:A8" xr:uid="{00000000-0002-0000-06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3000000}">
          <x14:formula1>
            <xm:f>'H:\DESKTOP\FR Documents\23-24\[BLANK GASB_87_Annual_Reporting_Submission_Workbook_V2.xlsx]Drop Down Menus'!#REF!</xm:f>
          </x14:formula1>
          <xm:sqref>F3 F7:F8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9" tint="0.59999389629810485"/>
    <pageSetUpPr fitToPage="1"/>
  </sheetPr>
  <dimension ref="A1:S193"/>
  <sheetViews>
    <sheetView topLeftCell="A5" zoomScale="70" zoomScaleNormal="70" workbookViewId="0">
      <selection activeCell="S31" sqref="S3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142</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Fund",VLOOKUP(F5,[2]qryIndex02a!$A$2:$K$654,4,FALSE)),"Unidentified")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409243</v>
      </c>
      <c r="M17" s="143">
        <v>409243</v>
      </c>
      <c r="P17" s="143">
        <v>369712</v>
      </c>
      <c r="Q17" s="155"/>
      <c r="S17" s="154">
        <f t="shared" si="0"/>
        <v>-39531</v>
      </c>
    </row>
    <row r="18" spans="1:19" ht="16.5" customHeight="1" x14ac:dyDescent="0.3">
      <c r="A18" s="54"/>
      <c r="B18" s="9" t="s">
        <v>169</v>
      </c>
      <c r="C18" s="9"/>
      <c r="D18" s="9"/>
      <c r="E18" s="140"/>
      <c r="F18" s="141"/>
      <c r="G18" s="141"/>
      <c r="H18" s="142"/>
      <c r="I18" s="142"/>
      <c r="J18" s="178">
        <f>P18</f>
        <v>5245</v>
      </c>
      <c r="M18" s="143">
        <v>5242</v>
      </c>
      <c r="P18" s="152">
        <f>IF(SUM($Q$20:$Q$23)&gt;SUM($P$15:$P$17),SUM($Q$20:$Q$23)-SUM($P$15:$P$17),0)</f>
        <v>5245</v>
      </c>
      <c r="Q18" s="155"/>
      <c r="S18" s="154">
        <f t="shared" si="0"/>
        <v>3</v>
      </c>
    </row>
    <row r="19" spans="1:19" ht="16.5" customHeight="1" x14ac:dyDescent="0.3">
      <c r="A19" s="54"/>
      <c r="B19" s="9" t="s">
        <v>170</v>
      </c>
      <c r="C19" s="9"/>
      <c r="D19" s="9"/>
      <c r="E19" s="140"/>
      <c r="F19" s="141"/>
      <c r="G19" s="141"/>
      <c r="H19" s="142"/>
      <c r="I19" s="142"/>
      <c r="J19" s="178">
        <f>IF(SUM($K$20:$K$24)&gt;SUM($J$15:$J$18),SUM($K$20:$K$24)-SUM($J$15:$J$18),0)</f>
        <v>815</v>
      </c>
      <c r="M19" s="143">
        <v>819</v>
      </c>
      <c r="P19" s="155"/>
      <c r="Q19" s="155"/>
      <c r="S19" s="154">
        <f t="shared" si="0"/>
        <v>-819</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40750</v>
      </c>
      <c r="N22" s="143">
        <v>40750</v>
      </c>
      <c r="P22" s="155"/>
      <c r="Q22" s="143">
        <v>37700</v>
      </c>
      <c r="S22" s="154">
        <f t="shared" ref="S22:S25" si="1">Q22-N22</f>
        <v>-3050</v>
      </c>
    </row>
    <row r="23" spans="1:19" ht="16.5" customHeight="1" x14ac:dyDescent="0.3">
      <c r="A23" s="165" t="s">
        <v>1646</v>
      </c>
      <c r="B23" s="9"/>
      <c r="C23" s="9" t="s">
        <v>174</v>
      </c>
      <c r="D23" s="9"/>
      <c r="E23" s="140"/>
      <c r="F23" s="141"/>
      <c r="G23" s="141"/>
      <c r="H23" s="142"/>
      <c r="I23" s="142"/>
      <c r="J23" s="150"/>
      <c r="K23" s="178">
        <f>N23</f>
        <v>374553</v>
      </c>
      <c r="N23" s="143">
        <v>374553</v>
      </c>
      <c r="P23" s="155"/>
      <c r="Q23" s="143">
        <v>337257</v>
      </c>
      <c r="S23" s="154">
        <f t="shared" si="1"/>
        <v>-37296</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415303</v>
      </c>
      <c r="K26" s="107">
        <f>SUM(K15:K25)</f>
        <v>415303</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40750</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40750</v>
      </c>
    </row>
    <row r="59" spans="1:16" ht="16.5" customHeight="1" x14ac:dyDescent="0.3">
      <c r="A59" s="54"/>
      <c r="C59" s="16"/>
      <c r="D59" s="16"/>
      <c r="E59" s="16"/>
      <c r="F59" s="17"/>
      <c r="G59" s="17"/>
      <c r="H59" s="18"/>
      <c r="I59" s="18"/>
      <c r="J59" s="107">
        <f>SUM(J55:J58)</f>
        <v>40750</v>
      </c>
      <c r="K59" s="107">
        <f>SUM(K55:K58)</f>
        <v>40750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35962</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5282</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41244</v>
      </c>
    </row>
    <row r="65" spans="1:12" ht="16.5" customHeight="1" x14ac:dyDescent="0.3">
      <c r="A65" s="54"/>
      <c r="C65" s="16"/>
      <c r="D65" s="16"/>
      <c r="E65" s="16"/>
      <c r="F65" s="17"/>
      <c r="G65" s="17"/>
      <c r="H65" s="18"/>
      <c r="I65" s="18"/>
      <c r="J65" s="107">
        <f>SUM(J62:J64)</f>
        <v>41244</v>
      </c>
      <c r="K65" s="107">
        <f>SUM(K62:K64)</f>
        <v>41244</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35962</v>
      </c>
      <c r="K68" s="144"/>
    </row>
    <row r="69" spans="1:12" ht="16.5" customHeight="1" x14ac:dyDescent="0.3">
      <c r="A69" s="54"/>
      <c r="B69" s="9"/>
      <c r="C69" s="9" t="s">
        <v>186</v>
      </c>
      <c r="D69" s="140"/>
      <c r="E69" s="140"/>
      <c r="F69" s="141"/>
      <c r="G69" s="141"/>
      <c r="H69" s="142"/>
      <c r="I69" s="142"/>
      <c r="J69" s="144"/>
      <c r="K69" s="143">
        <v>35962</v>
      </c>
    </row>
    <row r="70" spans="1:12" ht="16.5" customHeight="1" x14ac:dyDescent="0.3">
      <c r="A70" s="54"/>
      <c r="C70" s="16"/>
      <c r="D70" s="16"/>
      <c r="E70" s="16"/>
      <c r="F70" s="17"/>
      <c r="G70" s="17"/>
      <c r="H70" s="18"/>
      <c r="I70" s="18"/>
      <c r="J70" s="107">
        <f>SUM(J68:J69)</f>
        <v>35962</v>
      </c>
      <c r="K70" s="107">
        <f>SUM(K68:K69)</f>
        <v>35962</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37193</v>
      </c>
      <c r="K75" s="144"/>
    </row>
    <row r="76" spans="1:12" ht="16.5" customHeight="1" x14ac:dyDescent="0.3">
      <c r="A76" s="54"/>
      <c r="B76" s="9"/>
      <c r="C76" s="9" t="s">
        <v>194</v>
      </c>
      <c r="D76" s="140"/>
      <c r="E76" s="140"/>
      <c r="F76" s="141"/>
      <c r="G76" s="141"/>
      <c r="H76" s="142"/>
      <c r="I76" s="142"/>
      <c r="J76" s="144"/>
      <c r="K76" s="143">
        <v>37193</v>
      </c>
    </row>
    <row r="77" spans="1:12" ht="16.5" customHeight="1" x14ac:dyDescent="0.25">
      <c r="A77" s="54"/>
      <c r="B77" s="193" t="s">
        <v>1735</v>
      </c>
      <c r="C77" s="193"/>
      <c r="D77" s="193"/>
      <c r="E77" s="193"/>
      <c r="F77" s="193"/>
      <c r="G77" s="193"/>
      <c r="H77" s="193"/>
      <c r="I77" s="193"/>
      <c r="J77" s="107">
        <f>SUM(J75:J76)</f>
        <v>37193</v>
      </c>
      <c r="K77" s="107">
        <f>SUM(K75:K76)</f>
        <v>37193</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409243</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-81500</v>
      </c>
    </row>
    <row r="128" spans="1:12" ht="16.5" customHeight="1" x14ac:dyDescent="0.3">
      <c r="D128" s="140" t="s">
        <v>1657</v>
      </c>
      <c r="H128" s="10"/>
      <c r="K128" s="169">
        <f>-K23-K48+J68+J75+J96-K113</f>
        <v>-301398</v>
      </c>
    </row>
    <row r="129" spans="4:11" ht="16.5" customHeight="1" x14ac:dyDescent="0.3">
      <c r="D129" s="140" t="s">
        <v>1658</v>
      </c>
      <c r="H129" s="10"/>
      <c r="K129" s="169">
        <f>-K76</f>
        <v>-37193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00000000-0002-0000-07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700-000001000000}">
      <formula1>0</formula1>
    </dataValidation>
    <dataValidation operator="lessThan" allowBlank="1" showInputMessage="1" showErrorMessage="1" sqref="A3:A8" xr:uid="{00000000-0002-0000-07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3000000}">
          <x14:formula1>
            <xm:f>'H:\DESKTOP\FR Documents\23-24\[BLANK GASB_87_Annual_Reporting_Submission_Workbook_V2.xlsx]Drop Down Menus'!#REF!</xm:f>
          </x14:formula1>
          <xm:sqref>F3 F7:F8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9" tint="0.59999389629810485"/>
    <pageSetUpPr fitToPage="1"/>
  </sheetPr>
  <dimension ref="A1:S193"/>
  <sheetViews>
    <sheetView zoomScale="70" zoomScaleNormal="70" workbookViewId="0">
      <selection activeCell="K6" sqref="K6"/>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256</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Fund",VLOOKUP(F5,[2]qryIndex02a!$A$2:$K$654,4,FALSE)),"Unidentified")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69364</v>
      </c>
      <c r="M17" s="143">
        <v>69364</v>
      </c>
      <c r="P17" s="143">
        <v>62718</v>
      </c>
      <c r="Q17" s="155"/>
      <c r="S17" s="154">
        <f t="shared" si="0"/>
        <v>-6646</v>
      </c>
    </row>
    <row r="18" spans="1:19" ht="16.5" customHeight="1" x14ac:dyDescent="0.3">
      <c r="A18" s="54"/>
      <c r="B18" s="9" t="s">
        <v>169</v>
      </c>
      <c r="C18" s="9"/>
      <c r="D18" s="9"/>
      <c r="E18" s="140"/>
      <c r="F18" s="141"/>
      <c r="G18" s="141"/>
      <c r="H18" s="142"/>
      <c r="I18" s="142"/>
      <c r="J18" s="178">
        <f>P18</f>
        <v>890</v>
      </c>
      <c r="M18" s="143">
        <v>888</v>
      </c>
      <c r="P18" s="152">
        <f>IF(SUM($Q$20:$Q$23)&gt;SUM($P$15:$P$17),SUM($Q$20:$Q$23)-SUM($P$15:$P$17),0)</f>
        <v>890</v>
      </c>
      <c r="Q18" s="155"/>
      <c r="S18" s="154">
        <f t="shared" si="0"/>
        <v>2</v>
      </c>
    </row>
    <row r="19" spans="1:19" ht="16.5" customHeight="1" x14ac:dyDescent="0.3">
      <c r="A19" s="54"/>
      <c r="B19" s="9" t="s">
        <v>170</v>
      </c>
      <c r="C19" s="9"/>
      <c r="D19" s="9"/>
      <c r="E19" s="140"/>
      <c r="F19" s="141"/>
      <c r="G19" s="141"/>
      <c r="H19" s="142"/>
      <c r="I19" s="142"/>
      <c r="J19" s="178">
        <f>IF(SUM($K$20:$K$24)&gt;SUM($J$15:$J$18),SUM($K$20:$K$24)-SUM($J$15:$J$18),0)</f>
        <v>138</v>
      </c>
      <c r="M19" s="143">
        <v>139</v>
      </c>
      <c r="P19" s="155"/>
      <c r="Q19" s="155"/>
      <c r="S19" s="154">
        <f t="shared" si="0"/>
        <v>-139</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6907</v>
      </c>
      <c r="N22" s="143">
        <v>6907</v>
      </c>
      <c r="P22" s="155"/>
      <c r="Q22" s="143">
        <v>6400</v>
      </c>
      <c r="S22" s="154">
        <f>Q22-N22</f>
        <v>-507</v>
      </c>
    </row>
    <row r="23" spans="1:19" ht="16.5" customHeight="1" x14ac:dyDescent="0.3">
      <c r="A23" s="165" t="s">
        <v>1646</v>
      </c>
      <c r="B23" s="9"/>
      <c r="C23" s="9" t="s">
        <v>174</v>
      </c>
      <c r="D23" s="9"/>
      <c r="E23" s="140"/>
      <c r="F23" s="141"/>
      <c r="G23" s="141"/>
      <c r="H23" s="142"/>
      <c r="I23" s="142"/>
      <c r="J23" s="150"/>
      <c r="K23" s="178">
        <f>N23</f>
        <v>63485</v>
      </c>
      <c r="N23" s="143">
        <v>63485</v>
      </c>
      <c r="P23" s="155"/>
      <c r="Q23" s="143">
        <v>57208</v>
      </c>
      <c r="S23" s="154">
        <f>Q23-N23</f>
        <v>-6277</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Q24-N24</f>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Q25-N25</f>
        <v>0</v>
      </c>
    </row>
    <row r="26" spans="1:19" ht="16.5" customHeight="1" x14ac:dyDescent="0.3">
      <c r="A26" s="54"/>
      <c r="C26" s="20"/>
      <c r="D26" s="20"/>
      <c r="E26" s="20"/>
      <c r="F26" s="127"/>
      <c r="G26" s="127"/>
      <c r="H26" s="22"/>
      <c r="I26" s="22"/>
      <c r="J26" s="107">
        <f>SUM(J15:J25)</f>
        <v>70392</v>
      </c>
      <c r="K26" s="107">
        <f>SUM(K15:K25)</f>
        <v>70392</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6907</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6907</v>
      </c>
    </row>
    <row r="59" spans="1:16" ht="16.5" customHeight="1" x14ac:dyDescent="0.3">
      <c r="A59" s="54"/>
      <c r="C59" s="16"/>
      <c r="D59" s="16"/>
      <c r="E59" s="16"/>
      <c r="F59" s="17"/>
      <c r="G59" s="17"/>
      <c r="H59" s="18"/>
      <c r="I59" s="18"/>
      <c r="J59" s="107">
        <f>SUM(J55:J58)</f>
        <v>6907</v>
      </c>
      <c r="K59" s="107">
        <f>SUM(K55:K58)</f>
        <v>6907</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6095</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895</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6990</v>
      </c>
    </row>
    <row r="65" spans="1:12" ht="16.5" customHeight="1" x14ac:dyDescent="0.3">
      <c r="A65" s="54"/>
      <c r="C65" s="16"/>
      <c r="D65" s="16"/>
      <c r="E65" s="16"/>
      <c r="F65" s="17"/>
      <c r="G65" s="17"/>
      <c r="H65" s="18"/>
      <c r="I65" s="18"/>
      <c r="J65" s="107">
        <f>SUM(J62:J64)</f>
        <v>6990</v>
      </c>
      <c r="K65" s="107">
        <f>SUM(K62:K64)</f>
        <v>6990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6095</v>
      </c>
      <c r="K68" s="144"/>
    </row>
    <row r="69" spans="1:12" ht="16.5" customHeight="1" x14ac:dyDescent="0.3">
      <c r="A69" s="54"/>
      <c r="B69" s="9"/>
      <c r="C69" s="9" t="s">
        <v>186</v>
      </c>
      <c r="D69" s="140"/>
      <c r="E69" s="140"/>
      <c r="F69" s="141"/>
      <c r="G69" s="141"/>
      <c r="H69" s="142"/>
      <c r="I69" s="142"/>
      <c r="J69" s="144"/>
      <c r="K69" s="143">
        <v>6095</v>
      </c>
    </row>
    <row r="70" spans="1:12" ht="16.5" customHeight="1" x14ac:dyDescent="0.3">
      <c r="A70" s="54"/>
      <c r="C70" s="16"/>
      <c r="D70" s="16"/>
      <c r="E70" s="16"/>
      <c r="F70" s="17"/>
      <c r="G70" s="17"/>
      <c r="H70" s="18"/>
      <c r="I70" s="18"/>
      <c r="J70" s="107">
        <f>SUM(J68:J69)</f>
        <v>6095</v>
      </c>
      <c r="K70" s="107">
        <f>SUM(K68:K69)</f>
        <v>6095</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6304</v>
      </c>
      <c r="K75" s="144"/>
    </row>
    <row r="76" spans="1:12" ht="16.5" customHeight="1" x14ac:dyDescent="0.3">
      <c r="A76" s="54"/>
      <c r="B76" s="9"/>
      <c r="C76" s="9" t="s">
        <v>194</v>
      </c>
      <c r="D76" s="140"/>
      <c r="E76" s="140"/>
      <c r="F76" s="141"/>
      <c r="G76" s="141"/>
      <c r="H76" s="142"/>
      <c r="I76" s="142"/>
      <c r="J76" s="144"/>
      <c r="K76" s="143">
        <v>6304</v>
      </c>
    </row>
    <row r="77" spans="1:12" ht="16.5" customHeight="1" x14ac:dyDescent="0.25">
      <c r="A77" s="54"/>
      <c r="B77" s="193" t="s">
        <v>1735</v>
      </c>
      <c r="C77" s="193"/>
      <c r="D77" s="193"/>
      <c r="E77" s="193"/>
      <c r="F77" s="193"/>
      <c r="G77" s="193"/>
      <c r="H77" s="193"/>
      <c r="I77" s="193"/>
      <c r="J77" s="107">
        <f>SUM(J75:J76)</f>
        <v>6304</v>
      </c>
      <c r="K77" s="107">
        <f>SUM(K75:K76)</f>
        <v>6304</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69364</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-13814</v>
      </c>
    </row>
    <row r="128" spans="1:12" ht="16.5" customHeight="1" x14ac:dyDescent="0.3">
      <c r="D128" s="140" t="s">
        <v>1657</v>
      </c>
      <c r="H128" s="10"/>
      <c r="K128" s="169">
        <f>-K23-K48+J68+J75+J96-K113</f>
        <v>-51086</v>
      </c>
    </row>
    <row r="129" spans="4:11" ht="16.5" customHeight="1" x14ac:dyDescent="0.3">
      <c r="D129" s="140" t="s">
        <v>1658</v>
      </c>
      <c r="H129" s="10"/>
      <c r="K129" s="169">
        <f>-K76</f>
        <v>-6304</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P14:Q14"/>
    <mergeCell ref="B77:I79"/>
    <mergeCell ref="F8:I8"/>
    <mergeCell ref="F9:I9"/>
    <mergeCell ref="A6:E6"/>
    <mergeCell ref="A7:E7"/>
    <mergeCell ref="A8:E8"/>
    <mergeCell ref="M14:N14"/>
  </mergeCells>
  <dataValidations count="3">
    <dataValidation type="textLength" operator="equal" allowBlank="1" showInputMessage="1" showErrorMessage="1" errorTitle="4-Digit Org Code" error="Enter the Org Code/BU as 4 digits." sqref="F5" xr:uid="{00000000-0002-0000-08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800-000001000000}">
      <formula1>0</formula1>
    </dataValidation>
    <dataValidation operator="lessThan" allowBlank="1" showInputMessage="1" showErrorMessage="1" sqref="A3:A8" xr:uid="{00000000-0002-0000-08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3000000}">
          <x14:formula1>
            <xm:f>'H:\DESKTOP\FR Documents\23-24\[BLANK GASB_87_Annual_Reporting_Submission_Workbook_V2.xlsx]Drop Down Menus'!#REF!</xm:f>
          </x14:formula1>
          <xm:sqref>F3 F7:F8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9" tint="0.59999389629810485"/>
    <pageSetUpPr fitToPage="1"/>
  </sheetPr>
  <dimension ref="A1:S193"/>
  <sheetViews>
    <sheetView zoomScale="70" zoomScaleNormal="70" workbookViewId="0">
      <selection activeCell="Q58" sqref="Q58"/>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367</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Fund",VLOOKUP(F5,[2]qryIndex02a!$A$2:$K$654,4,FALSE)),"Unidentified")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56597</v>
      </c>
      <c r="M16" s="143">
        <v>56597</v>
      </c>
      <c r="P16" s="143">
        <v>56664</v>
      </c>
      <c r="Q16" s="155"/>
      <c r="S16" s="154">
        <f t="shared" si="0"/>
        <v>67</v>
      </c>
    </row>
    <row r="17" spans="1:19" ht="16.5" customHeight="1" x14ac:dyDescent="0.3">
      <c r="A17" s="159" t="s">
        <v>1638</v>
      </c>
      <c r="B17" s="9" t="s">
        <v>173</v>
      </c>
      <c r="C17" s="9"/>
      <c r="D17" s="9"/>
      <c r="E17" s="140"/>
      <c r="F17" s="141"/>
      <c r="G17" s="141"/>
      <c r="H17" s="142"/>
      <c r="I17" s="142"/>
      <c r="J17" s="178">
        <f>M17</f>
        <v>4890682</v>
      </c>
      <c r="M17" s="143">
        <v>4890682</v>
      </c>
      <c r="P17" s="143">
        <v>5564070</v>
      </c>
      <c r="Q17" s="155"/>
      <c r="S17" s="154">
        <f t="shared" si="0"/>
        <v>673388</v>
      </c>
    </row>
    <row r="18" spans="1:19" ht="16.5" customHeight="1" x14ac:dyDescent="0.3">
      <c r="A18" s="54"/>
      <c r="B18" s="9" t="s">
        <v>169</v>
      </c>
      <c r="C18" s="9"/>
      <c r="D18" s="9"/>
      <c r="E18" s="140"/>
      <c r="F18" s="141"/>
      <c r="G18" s="141"/>
      <c r="H18" s="142"/>
      <c r="I18" s="142"/>
      <c r="J18" s="178">
        <f>P18</f>
        <v>792</v>
      </c>
      <c r="M18" s="143">
        <v>42421</v>
      </c>
      <c r="P18" s="152">
        <f>IF(SUM($Q$20:$Q$23)&gt;SUM($P$15:$P$17),SUM($Q$20:$Q$23)-SUM($P$15:$P$17),0)</f>
        <v>792</v>
      </c>
      <c r="Q18" s="155"/>
      <c r="S18" s="154">
        <f t="shared" si="0"/>
        <v>-41629</v>
      </c>
    </row>
    <row r="19" spans="1:19" ht="16.5" customHeight="1" x14ac:dyDescent="0.3">
      <c r="A19" s="54"/>
      <c r="B19" s="9" t="s">
        <v>170</v>
      </c>
      <c r="C19" s="9"/>
      <c r="D19" s="9"/>
      <c r="E19" s="140"/>
      <c r="F19" s="141"/>
      <c r="G19" s="141"/>
      <c r="H19" s="142"/>
      <c r="I19" s="142"/>
      <c r="J19" s="178">
        <f>IF(SUM($K$20:$K$24)&gt;SUM($J$15:$J$18),SUM($K$20:$K$24)-SUM($J$15:$J$18),0)</f>
        <v>16216</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11320</v>
      </c>
      <c r="N21" s="143">
        <v>11320</v>
      </c>
      <c r="P21" s="155"/>
      <c r="Q21" s="143">
        <v>11333</v>
      </c>
      <c r="S21" s="154">
        <f>Q21-N21</f>
        <v>13</v>
      </c>
    </row>
    <row r="22" spans="1:19" ht="16.5" customHeight="1" x14ac:dyDescent="0.3">
      <c r="A22" s="54"/>
      <c r="B22" s="9"/>
      <c r="C22" s="9" t="s">
        <v>179</v>
      </c>
      <c r="D22" s="9"/>
      <c r="E22" s="140"/>
      <c r="F22" s="141"/>
      <c r="G22" s="141"/>
      <c r="H22" s="142"/>
      <c r="I22" s="142"/>
      <c r="J22" s="150"/>
      <c r="K22" s="178">
        <f>N22</f>
        <v>840591</v>
      </c>
      <c r="N22" s="143">
        <v>840591</v>
      </c>
      <c r="P22" s="155"/>
      <c r="Q22" s="143">
        <v>1018282</v>
      </c>
      <c r="S22" s="154">
        <f t="shared" ref="S22:S25" si="1">Q22-N22</f>
        <v>177691</v>
      </c>
    </row>
    <row r="23" spans="1:19" ht="16.5" customHeight="1" x14ac:dyDescent="0.3">
      <c r="A23" s="165" t="s">
        <v>1646</v>
      </c>
      <c r="B23" s="9"/>
      <c r="C23" s="9" t="s">
        <v>174</v>
      </c>
      <c r="D23" s="9"/>
      <c r="E23" s="140"/>
      <c r="F23" s="141"/>
      <c r="G23" s="141"/>
      <c r="H23" s="142"/>
      <c r="I23" s="142"/>
      <c r="J23" s="150"/>
      <c r="K23" s="178">
        <f>N23</f>
        <v>4112376</v>
      </c>
      <c r="N23" s="143">
        <v>4112376</v>
      </c>
      <c r="P23" s="155"/>
      <c r="Q23" s="143">
        <v>4591911</v>
      </c>
      <c r="S23" s="154">
        <f t="shared" si="1"/>
        <v>479535</v>
      </c>
    </row>
    <row r="24" spans="1:19" ht="16.5" customHeight="1" x14ac:dyDescent="0.3">
      <c r="A24" s="54"/>
      <c r="B24" s="9"/>
      <c r="C24" s="9" t="s">
        <v>176</v>
      </c>
      <c r="D24" s="9"/>
      <c r="E24" s="140"/>
      <c r="F24" s="141"/>
      <c r="G24" s="141"/>
      <c r="H24" s="142"/>
      <c r="I24" s="142"/>
      <c r="J24" s="150"/>
      <c r="K24" s="178">
        <f>Q24</f>
        <v>0</v>
      </c>
      <c r="N24" s="143">
        <v>25414</v>
      </c>
      <c r="P24" s="155"/>
      <c r="Q24" s="152">
        <f>IF(SUM($Q$20:$Q$23)&lt;SUM($P$15:$P$17),-SUM($Q$20:$Q$23)+SUM($P$15:$P$17),0)</f>
        <v>0</v>
      </c>
      <c r="S24" s="154">
        <f t="shared" si="1"/>
        <v>-25414</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4964287</v>
      </c>
      <c r="K26" s="107">
        <f>SUM(K15:K25)</f>
        <v>4964287</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948737</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v>11320</v>
      </c>
    </row>
    <row r="58" spans="1:16" ht="16.5" customHeight="1" x14ac:dyDescent="0.3">
      <c r="A58" s="54"/>
      <c r="B58" s="9"/>
      <c r="C58" s="9" t="s">
        <v>179</v>
      </c>
      <c r="D58" s="140"/>
      <c r="E58" s="140"/>
      <c r="F58" s="141"/>
      <c r="G58" s="141"/>
      <c r="H58" s="142"/>
      <c r="I58" s="142"/>
      <c r="J58" s="144"/>
      <c r="K58" s="143">
        <v>937417</v>
      </c>
    </row>
    <row r="59" spans="1:16" ht="16.5" customHeight="1" x14ac:dyDescent="0.3">
      <c r="A59" s="54"/>
      <c r="C59" s="16"/>
      <c r="D59" s="16"/>
      <c r="E59" s="16"/>
      <c r="F59" s="17"/>
      <c r="G59" s="17"/>
      <c r="H59" s="18"/>
      <c r="I59" s="18"/>
      <c r="J59" s="107">
        <f>SUM(J55:J58)</f>
        <v>948737</v>
      </c>
      <c r="K59" s="107">
        <f>SUM(K55:K58)</f>
        <v>948737</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936588</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15905</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952493</v>
      </c>
    </row>
    <row r="65" spans="1:12" ht="16.5" customHeight="1" x14ac:dyDescent="0.3">
      <c r="A65" s="54"/>
      <c r="C65" s="16"/>
      <c r="D65" s="16"/>
      <c r="E65" s="16"/>
      <c r="F65" s="17"/>
      <c r="G65" s="17"/>
      <c r="H65" s="18"/>
      <c r="I65" s="18"/>
      <c r="J65" s="107">
        <f>SUM(J62:J64)</f>
        <v>952493</v>
      </c>
      <c r="K65" s="107">
        <f>SUM(K62:K64)</f>
        <v>952493</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936588</v>
      </c>
      <c r="K68" s="144"/>
    </row>
    <row r="69" spans="1:12" ht="16.5" customHeight="1" x14ac:dyDescent="0.3">
      <c r="A69" s="54"/>
      <c r="B69" s="9"/>
      <c r="C69" s="9" t="s">
        <v>186</v>
      </c>
      <c r="D69" s="140"/>
      <c r="E69" s="140"/>
      <c r="F69" s="141"/>
      <c r="G69" s="141"/>
      <c r="H69" s="142"/>
      <c r="I69" s="142"/>
      <c r="J69" s="144"/>
      <c r="K69" s="143">
        <v>936588</v>
      </c>
    </row>
    <row r="70" spans="1:12" ht="16.5" customHeight="1" x14ac:dyDescent="0.3">
      <c r="A70" s="54"/>
      <c r="C70" s="16"/>
      <c r="D70" s="16"/>
      <c r="E70" s="16"/>
      <c r="F70" s="17"/>
      <c r="G70" s="17"/>
      <c r="H70" s="18"/>
      <c r="I70" s="18"/>
      <c r="J70" s="107">
        <f>SUM(J68:J69)</f>
        <v>936588</v>
      </c>
      <c r="K70" s="107">
        <f>SUM(K68:K69)</f>
        <v>936588</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918176</v>
      </c>
      <c r="K75" s="144"/>
    </row>
    <row r="76" spans="1:12" ht="16.5" customHeight="1" x14ac:dyDescent="0.3">
      <c r="A76" s="54"/>
      <c r="B76" s="9"/>
      <c r="C76" s="9" t="s">
        <v>194</v>
      </c>
      <c r="D76" s="140"/>
      <c r="E76" s="140"/>
      <c r="F76" s="141"/>
      <c r="G76" s="141"/>
      <c r="H76" s="142"/>
      <c r="I76" s="142"/>
      <c r="J76" s="144"/>
      <c r="K76" s="143">
        <v>918176</v>
      </c>
    </row>
    <row r="77" spans="1:12" ht="16.5" customHeight="1" x14ac:dyDescent="0.25">
      <c r="A77" s="54"/>
      <c r="B77" s="193" t="s">
        <v>1735</v>
      </c>
      <c r="C77" s="193"/>
      <c r="D77" s="193"/>
      <c r="E77" s="193"/>
      <c r="F77" s="193"/>
      <c r="G77" s="193"/>
      <c r="H77" s="193"/>
      <c r="I77" s="193"/>
      <c r="J77" s="107">
        <f>SUM(J75:J76)</f>
        <v>918176</v>
      </c>
      <c r="K77" s="107">
        <f>SUM(K75:K76)</f>
        <v>918176</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56597</v>
      </c>
    </row>
    <row r="124" spans="1:12" ht="16.5" customHeight="1" x14ac:dyDescent="0.3">
      <c r="D124" s="140" t="s">
        <v>1653</v>
      </c>
      <c r="H124" s="10"/>
      <c r="K124" s="169">
        <f>J17+J41-K90-K103+J112</f>
        <v>4890682</v>
      </c>
    </row>
    <row r="125" spans="1:12" ht="16.5" customHeight="1" x14ac:dyDescent="0.3">
      <c r="D125" s="140" t="s">
        <v>1654</v>
      </c>
      <c r="H125" s="10"/>
      <c r="K125" s="169">
        <f>-K20-K56+J85+J97</f>
        <v>0</v>
      </c>
    </row>
    <row r="126" spans="1:12" ht="16.5" customHeight="1" x14ac:dyDescent="0.3">
      <c r="D126" s="140" t="s">
        <v>1655</v>
      </c>
      <c r="H126" s="10"/>
      <c r="K126" s="169">
        <f>-K21-K57+J86+J98</f>
        <v>-22640</v>
      </c>
    </row>
    <row r="127" spans="1:12" ht="16.5" customHeight="1" x14ac:dyDescent="0.3">
      <c r="D127" s="140" t="s">
        <v>1656</v>
      </c>
      <c r="H127" s="10"/>
      <c r="K127" s="169">
        <f>-K22-K58+J87+J99</f>
        <v>-1778008</v>
      </c>
    </row>
    <row r="128" spans="1:12" ht="16.5" customHeight="1" x14ac:dyDescent="0.3">
      <c r="D128" s="140" t="s">
        <v>1657</v>
      </c>
      <c r="H128" s="10"/>
      <c r="K128" s="169">
        <f>-K23-K48+J68+J75+J96-K113</f>
        <v>-2257612</v>
      </c>
    </row>
    <row r="129" spans="4:11" ht="16.5" customHeight="1" x14ac:dyDescent="0.3">
      <c r="D129" s="140" t="s">
        <v>1658</v>
      </c>
      <c r="H129" s="10"/>
      <c r="K129" s="169">
        <f>-K76</f>
        <v>-918176</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00000000-0002-0000-09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900-000001000000}">
      <formula1>0</formula1>
    </dataValidation>
    <dataValidation operator="lessThan" allowBlank="1" showInputMessage="1" showErrorMessage="1" sqref="A3:A8" xr:uid="{00000000-0002-0000-09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3000000}">
          <x14:formula1>
            <xm:f>'H:\DESKTOP\FR Documents\23-24\[BLANK GASB_87_Annual_Reporting_Submission_Workbook_V2.xlsx]Drop Down Menus'!#REF!</xm:f>
          </x14:formula1>
          <xm:sqref>F3 F7:F8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9" tint="0.59999389629810485"/>
    <pageSetUpPr fitToPage="1"/>
  </sheetPr>
  <dimension ref="A1:S193"/>
  <sheetViews>
    <sheetView zoomScale="70" zoomScaleNormal="70" workbookViewId="0">
      <selection activeCell="N5" sqref="N5"/>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378</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Fund",VLOOKUP(F5,[2]qryIndex02a!$A$2:$K$654,4,FALSE)),"Unidentified")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2654036</v>
      </c>
      <c r="M17" s="143">
        <v>2654036</v>
      </c>
      <c r="P17" s="143">
        <v>3938800</v>
      </c>
      <c r="Q17" s="155"/>
      <c r="S17" s="154">
        <f t="shared" si="0"/>
        <v>1284764</v>
      </c>
    </row>
    <row r="18" spans="1:19" ht="16.5" customHeight="1" x14ac:dyDescent="0.3">
      <c r="A18" s="54"/>
      <c r="B18" s="9" t="s">
        <v>169</v>
      </c>
      <c r="C18" s="9"/>
      <c r="D18" s="9"/>
      <c r="E18" s="140"/>
      <c r="F18" s="141"/>
      <c r="G18" s="141"/>
      <c r="H18" s="142"/>
      <c r="I18" s="142"/>
      <c r="J18" s="178">
        <f>P18</f>
        <v>676</v>
      </c>
      <c r="M18" s="143">
        <v>20680</v>
      </c>
      <c r="P18" s="152">
        <f>IF(SUM($Q$20:$Q$23)&gt;SUM($P$15:$P$17),SUM($Q$20:$Q$23)-SUM($P$15:$P$17),0)</f>
        <v>676</v>
      </c>
      <c r="Q18" s="155"/>
      <c r="S18" s="154">
        <f t="shared" si="0"/>
        <v>-20004</v>
      </c>
    </row>
    <row r="19" spans="1:19" ht="16.5" customHeight="1" x14ac:dyDescent="0.3">
      <c r="A19" s="54"/>
      <c r="B19" s="9" t="s">
        <v>170</v>
      </c>
      <c r="C19" s="9"/>
      <c r="D19" s="9"/>
      <c r="E19" s="140"/>
      <c r="F19" s="141"/>
      <c r="G19" s="141"/>
      <c r="H19" s="142"/>
      <c r="I19" s="142"/>
      <c r="J19" s="178">
        <f>IF(SUM($K$20:$K$24)&gt;SUM($J$15:$J$18),SUM($K$20:$K$24)-SUM($J$15:$J$18),0)</f>
        <v>6644</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506641</v>
      </c>
      <c r="N22" s="143">
        <v>506641</v>
      </c>
      <c r="P22" s="155"/>
      <c r="Q22" s="143">
        <v>686065</v>
      </c>
      <c r="S22" s="154">
        <f t="shared" ref="S22:S25" si="1">Q22-N22</f>
        <v>179424</v>
      </c>
    </row>
    <row r="23" spans="1:19" ht="16.5" customHeight="1" x14ac:dyDescent="0.3">
      <c r="A23" s="165" t="s">
        <v>1646</v>
      </c>
      <c r="B23" s="9"/>
      <c r="C23" s="9" t="s">
        <v>174</v>
      </c>
      <c r="D23" s="9"/>
      <c r="E23" s="140"/>
      <c r="F23" s="141"/>
      <c r="G23" s="141"/>
      <c r="H23" s="142"/>
      <c r="I23" s="142"/>
      <c r="J23" s="150"/>
      <c r="K23" s="178">
        <f>N23</f>
        <v>2154715</v>
      </c>
      <c r="N23" s="143">
        <v>2154715</v>
      </c>
      <c r="P23" s="155"/>
      <c r="Q23" s="143">
        <v>3253411</v>
      </c>
      <c r="S23" s="154">
        <f t="shared" si="1"/>
        <v>1098696</v>
      </c>
    </row>
    <row r="24" spans="1:19" ht="16.5" customHeight="1" x14ac:dyDescent="0.3">
      <c r="A24" s="54"/>
      <c r="B24" s="9"/>
      <c r="C24" s="9" t="s">
        <v>176</v>
      </c>
      <c r="D24" s="9"/>
      <c r="E24" s="140"/>
      <c r="F24" s="141"/>
      <c r="G24" s="141"/>
      <c r="H24" s="142"/>
      <c r="I24" s="142"/>
      <c r="J24" s="150"/>
      <c r="K24" s="178">
        <f>Q24</f>
        <v>0</v>
      </c>
      <c r="N24" s="143">
        <v>13361</v>
      </c>
      <c r="P24" s="155"/>
      <c r="Q24" s="152">
        <f>IF(SUM($Q$20:$Q$23)&lt;SUM($P$15:$P$17),-SUM($Q$20:$Q$23)+SUM($P$15:$P$17),0)</f>
        <v>0</v>
      </c>
      <c r="S24" s="154">
        <f t="shared" si="1"/>
        <v>-13361</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2661356</v>
      </c>
      <c r="K26" s="107">
        <f>SUM(K15:K25)</f>
        <v>2661356</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506641</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506641</v>
      </c>
    </row>
    <row r="59" spans="1:16" ht="16.5" customHeight="1" x14ac:dyDescent="0.3">
      <c r="A59" s="54"/>
      <c r="C59" s="16"/>
      <c r="D59" s="16"/>
      <c r="E59" s="16"/>
      <c r="F59" s="17"/>
      <c r="G59" s="17"/>
      <c r="H59" s="18"/>
      <c r="I59" s="18"/>
      <c r="J59" s="107">
        <f>SUM(J55:J58)</f>
        <v>506641</v>
      </c>
      <c r="K59" s="107">
        <f>SUM(K55:K58)</f>
        <v>506641</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513400</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14019</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527419</v>
      </c>
    </row>
    <row r="65" spans="1:12" ht="16.5" customHeight="1" x14ac:dyDescent="0.3">
      <c r="A65" s="54"/>
      <c r="C65" s="16"/>
      <c r="D65" s="16"/>
      <c r="E65" s="16"/>
      <c r="F65" s="17"/>
      <c r="G65" s="17"/>
      <c r="H65" s="18"/>
      <c r="I65" s="18"/>
      <c r="J65" s="107">
        <f>SUM(J62:J64)</f>
        <v>527419</v>
      </c>
      <c r="K65" s="107">
        <f>SUM(K62:K64)</f>
        <v>527419</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513400</v>
      </c>
      <c r="K68" s="144"/>
    </row>
    <row r="69" spans="1:12" ht="16.5" customHeight="1" x14ac:dyDescent="0.3">
      <c r="A69" s="54"/>
      <c r="B69" s="9"/>
      <c r="C69" s="9" t="s">
        <v>186</v>
      </c>
      <c r="D69" s="140"/>
      <c r="E69" s="140"/>
      <c r="F69" s="141"/>
      <c r="G69" s="141"/>
      <c r="H69" s="142"/>
      <c r="I69" s="142"/>
      <c r="J69" s="144"/>
      <c r="K69" s="143">
        <v>513400</v>
      </c>
    </row>
    <row r="70" spans="1:12" ht="16.5" customHeight="1" x14ac:dyDescent="0.3">
      <c r="A70" s="54"/>
      <c r="C70" s="16"/>
      <c r="D70" s="16"/>
      <c r="E70" s="16"/>
      <c r="F70" s="17"/>
      <c r="G70" s="17"/>
      <c r="H70" s="18"/>
      <c r="I70" s="18"/>
      <c r="J70" s="107">
        <f>SUM(J68:J69)</f>
        <v>513400</v>
      </c>
      <c r="K70" s="107">
        <f>SUM(K68:K69)</f>
        <v>513400</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489824</v>
      </c>
      <c r="K75" s="144"/>
    </row>
    <row r="76" spans="1:12" ht="16.5" customHeight="1" x14ac:dyDescent="0.3">
      <c r="A76" s="54"/>
      <c r="B76" s="9"/>
      <c r="C76" s="9" t="s">
        <v>194</v>
      </c>
      <c r="D76" s="140"/>
      <c r="E76" s="140"/>
      <c r="F76" s="141"/>
      <c r="G76" s="141"/>
      <c r="H76" s="142"/>
      <c r="I76" s="142"/>
      <c r="J76" s="144"/>
      <c r="K76" s="143">
        <v>489824</v>
      </c>
    </row>
    <row r="77" spans="1:12" ht="16.5" customHeight="1" x14ac:dyDescent="0.25">
      <c r="A77" s="54"/>
      <c r="B77" s="193" t="s">
        <v>1735</v>
      </c>
      <c r="C77" s="193"/>
      <c r="D77" s="193"/>
      <c r="E77" s="193"/>
      <c r="F77" s="193"/>
      <c r="G77" s="193"/>
      <c r="H77" s="193"/>
      <c r="I77" s="193"/>
      <c r="J77" s="107">
        <f>SUM(J75:J76)</f>
        <v>489824</v>
      </c>
      <c r="K77" s="107">
        <f>SUM(K75:K76)</f>
        <v>489824</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2654036</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-1013282</v>
      </c>
    </row>
    <row r="128" spans="1:12" ht="16.5" customHeight="1" x14ac:dyDescent="0.3">
      <c r="D128" s="140" t="s">
        <v>1657</v>
      </c>
      <c r="H128" s="10"/>
      <c r="K128" s="169">
        <f>-K23-K48+J68+J75+J96-K113</f>
        <v>-1151491</v>
      </c>
    </row>
    <row r="129" spans="4:11" ht="16.5" customHeight="1" x14ac:dyDescent="0.3">
      <c r="D129" s="140" t="s">
        <v>1658</v>
      </c>
      <c r="H129" s="10"/>
      <c r="K129" s="169">
        <f>-K76</f>
        <v>-489824</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00000000-0002-0000-0A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A00-000001000000}">
      <formula1>0</formula1>
    </dataValidation>
    <dataValidation operator="lessThan" allowBlank="1" showInputMessage="1" showErrorMessage="1" sqref="A3:A8" xr:uid="{00000000-0002-0000-0A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3000000}">
          <x14:formula1>
            <xm:f>'H:\DESKTOP\FR Documents\23-24\[BLANK GASB_87_Annual_Reporting_Submission_Workbook_V2.xlsx]Drop Down Menus'!#REF!</xm:f>
          </x14:formula1>
          <xm:sqref>F3 F7:F8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9" tint="0.59999389629810485"/>
    <pageSetUpPr fitToPage="1"/>
  </sheetPr>
  <dimension ref="A1:S193"/>
  <sheetViews>
    <sheetView zoomScale="70" zoomScaleNormal="70" workbookViewId="0">
      <selection activeCell="N3" sqref="N3"/>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460</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Fund",VLOOKUP(F5,[2]qryIndex02a!$A$2:$K$654,4,FALSE)),"Unidentified")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93098</v>
      </c>
      <c r="M16" s="143">
        <v>93098</v>
      </c>
      <c r="P16" s="143">
        <v>93090</v>
      </c>
      <c r="Q16" s="155"/>
      <c r="S16" s="154">
        <f t="shared" si="0"/>
        <v>-8</v>
      </c>
    </row>
    <row r="17" spans="1:19" ht="16.5" customHeight="1" x14ac:dyDescent="0.3">
      <c r="A17" s="159" t="s">
        <v>1638</v>
      </c>
      <c r="B17" s="9" t="s">
        <v>173</v>
      </c>
      <c r="C17" s="9"/>
      <c r="D17" s="9"/>
      <c r="E17" s="140"/>
      <c r="F17" s="141"/>
      <c r="G17" s="141"/>
      <c r="H17" s="142"/>
      <c r="I17" s="142"/>
      <c r="J17" s="178">
        <f>M17</f>
        <v>687570</v>
      </c>
      <c r="M17" s="143">
        <v>687570</v>
      </c>
      <c r="P17" s="143">
        <v>650331</v>
      </c>
      <c r="Q17" s="155"/>
      <c r="S17" s="154">
        <f t="shared" si="0"/>
        <v>-37239</v>
      </c>
    </row>
    <row r="18" spans="1:19" ht="16.5" customHeight="1" x14ac:dyDescent="0.3">
      <c r="A18" s="54"/>
      <c r="B18" s="9" t="s">
        <v>169</v>
      </c>
      <c r="C18" s="9"/>
      <c r="D18" s="9"/>
      <c r="E18" s="140"/>
      <c r="F18" s="141"/>
      <c r="G18" s="141"/>
      <c r="H18" s="142"/>
      <c r="I18" s="142"/>
      <c r="J18" s="178">
        <f>P18</f>
        <v>86</v>
      </c>
      <c r="M18" s="143">
        <v>17787.88875752794</v>
      </c>
      <c r="P18" s="152">
        <f>IF(SUM($Q$20:$Q$23)&gt;SUM($P$15:$P$17),SUM($Q$20:$Q$23)-SUM($P$15:$P$17),0)</f>
        <v>86</v>
      </c>
      <c r="Q18" s="155"/>
      <c r="S18" s="154">
        <f t="shared" si="0"/>
        <v>-17701.88875752794</v>
      </c>
    </row>
    <row r="19" spans="1:19" ht="16.5" customHeight="1" x14ac:dyDescent="0.3">
      <c r="A19" s="54"/>
      <c r="B19" s="9" t="s">
        <v>170</v>
      </c>
      <c r="C19" s="9"/>
      <c r="D19" s="9"/>
      <c r="E19" s="140"/>
      <c r="F19" s="141"/>
      <c r="G19" s="141"/>
      <c r="H19" s="142"/>
      <c r="I19" s="142"/>
      <c r="J19" s="178">
        <f>IF(SUM($K$20:$K$24)&gt;SUM($J$15:$J$18),SUM($K$20:$K$24)-SUM($J$15:$J$18),0)</f>
        <v>0</v>
      </c>
      <c r="M19" s="143">
        <v>125</v>
      </c>
      <c r="P19" s="155"/>
      <c r="Q19" s="155"/>
      <c r="S19" s="154">
        <f t="shared" si="0"/>
        <v>-125</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18620</v>
      </c>
      <c r="N21" s="143">
        <v>18620</v>
      </c>
      <c r="P21" s="155"/>
      <c r="Q21" s="143">
        <v>18618</v>
      </c>
      <c r="S21" s="154">
        <f>Q21-N21</f>
        <v>-2</v>
      </c>
    </row>
    <row r="22" spans="1:19" ht="16.5" customHeight="1" x14ac:dyDescent="0.3">
      <c r="A22" s="54"/>
      <c r="B22" s="9"/>
      <c r="C22" s="9" t="s">
        <v>179</v>
      </c>
      <c r="D22" s="9"/>
      <c r="E22" s="140"/>
      <c r="F22" s="141"/>
      <c r="G22" s="141"/>
      <c r="H22" s="142"/>
      <c r="I22" s="142"/>
      <c r="J22" s="150"/>
      <c r="K22" s="178">
        <f>N22</f>
        <v>104407</v>
      </c>
      <c r="N22" s="143">
        <v>104407</v>
      </c>
      <c r="P22" s="155"/>
      <c r="Q22" s="143">
        <v>104848</v>
      </c>
      <c r="S22" s="154">
        <f t="shared" ref="S22:S25" si="1">Q22-N22</f>
        <v>441</v>
      </c>
    </row>
    <row r="23" spans="1:19" ht="16.5" customHeight="1" x14ac:dyDescent="0.3">
      <c r="A23" s="165" t="s">
        <v>1646</v>
      </c>
      <c r="B23" s="9"/>
      <c r="C23" s="9" t="s">
        <v>174</v>
      </c>
      <c r="D23" s="9"/>
      <c r="E23" s="140"/>
      <c r="F23" s="141"/>
      <c r="G23" s="141"/>
      <c r="H23" s="142"/>
      <c r="I23" s="142"/>
      <c r="J23" s="150"/>
      <c r="K23" s="178">
        <f>N23</f>
        <v>656998</v>
      </c>
      <c r="N23" s="143">
        <v>656998</v>
      </c>
      <c r="P23" s="155"/>
      <c r="Q23" s="143">
        <v>620041</v>
      </c>
      <c r="S23" s="154">
        <f t="shared" si="1"/>
        <v>-36957</v>
      </c>
    </row>
    <row r="24" spans="1:19" ht="16.5" customHeight="1" x14ac:dyDescent="0.3">
      <c r="A24" s="54"/>
      <c r="B24" s="9"/>
      <c r="C24" s="9" t="s">
        <v>176</v>
      </c>
      <c r="D24" s="9"/>
      <c r="E24" s="140"/>
      <c r="F24" s="141"/>
      <c r="G24" s="141"/>
      <c r="H24" s="142"/>
      <c r="I24" s="142"/>
      <c r="J24" s="150"/>
      <c r="K24" s="178">
        <f>Q24</f>
        <v>0</v>
      </c>
      <c r="N24" s="143">
        <v>18557</v>
      </c>
      <c r="P24" s="155"/>
      <c r="Q24" s="152">
        <f>IF(SUM($Q$20:$Q$23)&lt;SUM($P$15:$P$17),-SUM($Q$20:$Q$23)+SUM($P$15:$P$17),0)</f>
        <v>0</v>
      </c>
      <c r="S24" s="154">
        <f t="shared" si="1"/>
        <v>-18557</v>
      </c>
    </row>
    <row r="25" spans="1:19" ht="16.5" customHeight="1" x14ac:dyDescent="0.3">
      <c r="A25" s="54"/>
      <c r="B25" s="9"/>
      <c r="C25" s="9" t="s">
        <v>177</v>
      </c>
      <c r="D25" s="9"/>
      <c r="E25" s="140"/>
      <c r="F25" s="141"/>
      <c r="G25" s="141"/>
      <c r="H25" s="142"/>
      <c r="I25" s="142"/>
      <c r="J25" s="150"/>
      <c r="K25" s="178">
        <f>IF(SUM($K$20:$K$24)&lt;SUM($J$15:$J$18),-SUM($K$20:$K$24)+SUM($J$15:$J$18),0)</f>
        <v>729</v>
      </c>
      <c r="N25" s="143"/>
      <c r="P25" s="155"/>
      <c r="Q25" s="155"/>
      <c r="S25" s="154">
        <f t="shared" si="1"/>
        <v>0</v>
      </c>
    </row>
    <row r="26" spans="1:19" ht="16.5" customHeight="1" x14ac:dyDescent="0.3">
      <c r="A26" s="54"/>
      <c r="C26" s="20"/>
      <c r="D26" s="20"/>
      <c r="E26" s="20"/>
      <c r="F26" s="127"/>
      <c r="G26" s="127"/>
      <c r="H26" s="22"/>
      <c r="I26" s="22"/>
      <c r="J26" s="107">
        <f>SUM(J15:J25)</f>
        <v>780754</v>
      </c>
      <c r="K26" s="107">
        <f>SUM(K15:K25)</f>
        <v>780754</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123027</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v>18620</v>
      </c>
    </row>
    <row r="58" spans="1:16" ht="16.5" customHeight="1" x14ac:dyDescent="0.3">
      <c r="A58" s="54"/>
      <c r="B58" s="9"/>
      <c r="C58" s="9" t="s">
        <v>179</v>
      </c>
      <c r="D58" s="140"/>
      <c r="E58" s="140"/>
      <c r="F58" s="141"/>
      <c r="G58" s="141"/>
      <c r="H58" s="142"/>
      <c r="I58" s="142"/>
      <c r="J58" s="144"/>
      <c r="K58" s="143">
        <v>104407</v>
      </c>
    </row>
    <row r="59" spans="1:16" ht="16.5" customHeight="1" x14ac:dyDescent="0.3">
      <c r="A59" s="54"/>
      <c r="C59" s="16"/>
      <c r="D59" s="16"/>
      <c r="E59" s="16"/>
      <c r="F59" s="17"/>
      <c r="G59" s="17"/>
      <c r="H59" s="18"/>
      <c r="I59" s="18"/>
      <c r="J59" s="107">
        <f>SUM(J55:J58)</f>
        <v>123027</v>
      </c>
      <c r="K59" s="107">
        <f>SUM(K55:K58)</f>
        <v>123027</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124705</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5738</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130443</v>
      </c>
    </row>
    <row r="65" spans="1:12" ht="16.5" customHeight="1" x14ac:dyDescent="0.3">
      <c r="A65" s="54"/>
      <c r="C65" s="16"/>
      <c r="D65" s="16"/>
      <c r="E65" s="16"/>
      <c r="F65" s="17"/>
      <c r="G65" s="17"/>
      <c r="H65" s="18"/>
      <c r="I65" s="18"/>
      <c r="J65" s="107">
        <f>SUM(J62:J64)</f>
        <v>130443</v>
      </c>
      <c r="K65" s="107">
        <f>SUM(K62:K64)</f>
        <v>130443</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124705</v>
      </c>
      <c r="K68" s="144"/>
    </row>
    <row r="69" spans="1:12" ht="16.5" customHeight="1" x14ac:dyDescent="0.3">
      <c r="A69" s="54"/>
      <c r="B69" s="9"/>
      <c r="C69" s="9" t="s">
        <v>186</v>
      </c>
      <c r="D69" s="140"/>
      <c r="E69" s="140"/>
      <c r="F69" s="141"/>
      <c r="G69" s="141"/>
      <c r="H69" s="142"/>
      <c r="I69" s="142"/>
      <c r="J69" s="144"/>
      <c r="K69" s="143">
        <v>124705</v>
      </c>
    </row>
    <row r="70" spans="1:12" ht="16.5" customHeight="1" x14ac:dyDescent="0.3">
      <c r="A70" s="54"/>
      <c r="C70" s="16"/>
      <c r="D70" s="16"/>
      <c r="E70" s="16"/>
      <c r="F70" s="17"/>
      <c r="G70" s="17"/>
      <c r="H70" s="18"/>
      <c r="I70" s="18"/>
      <c r="J70" s="107">
        <f>SUM(J68:J69)</f>
        <v>124705</v>
      </c>
      <c r="K70" s="107">
        <f>SUM(K68:K69)</f>
        <v>124705</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120714</v>
      </c>
      <c r="K75" s="144"/>
    </row>
    <row r="76" spans="1:12" ht="16.5" customHeight="1" x14ac:dyDescent="0.3">
      <c r="A76" s="54"/>
      <c r="B76" s="9"/>
      <c r="C76" s="9" t="s">
        <v>194</v>
      </c>
      <c r="D76" s="140"/>
      <c r="E76" s="140"/>
      <c r="F76" s="141"/>
      <c r="G76" s="141"/>
      <c r="H76" s="142"/>
      <c r="I76" s="142"/>
      <c r="J76" s="144"/>
      <c r="K76" s="143">
        <v>120714</v>
      </c>
    </row>
    <row r="77" spans="1:12" ht="16.5" customHeight="1" x14ac:dyDescent="0.25">
      <c r="A77" s="54"/>
      <c r="B77" s="193" t="s">
        <v>1735</v>
      </c>
      <c r="C77" s="193"/>
      <c r="D77" s="193"/>
      <c r="E77" s="193"/>
      <c r="F77" s="193"/>
      <c r="G77" s="193"/>
      <c r="H77" s="193"/>
      <c r="I77" s="193"/>
      <c r="J77" s="107">
        <f>SUM(J75:J76)</f>
        <v>120714</v>
      </c>
      <c r="K77" s="107">
        <f>SUM(K75:K76)</f>
        <v>120714</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93098</v>
      </c>
    </row>
    <row r="124" spans="1:12" ht="16.5" customHeight="1" x14ac:dyDescent="0.3">
      <c r="D124" s="140" t="s">
        <v>1653</v>
      </c>
      <c r="H124" s="10"/>
      <c r="K124" s="169">
        <f>J17+J41-K90-K103+J112</f>
        <v>687570</v>
      </c>
    </row>
    <row r="125" spans="1:12" ht="16.5" customHeight="1" x14ac:dyDescent="0.3">
      <c r="D125" s="140" t="s">
        <v>1654</v>
      </c>
      <c r="H125" s="10"/>
      <c r="K125" s="169">
        <f>-K20-K56+J85+J97</f>
        <v>0</v>
      </c>
    </row>
    <row r="126" spans="1:12" ht="16.5" customHeight="1" x14ac:dyDescent="0.3">
      <c r="D126" s="140" t="s">
        <v>1655</v>
      </c>
      <c r="H126" s="10"/>
      <c r="K126" s="169">
        <f>-K21-K57+J86+J98</f>
        <v>-37240</v>
      </c>
    </row>
    <row r="127" spans="1:12" ht="16.5" customHeight="1" x14ac:dyDescent="0.3">
      <c r="D127" s="140" t="s">
        <v>1656</v>
      </c>
      <c r="H127" s="10"/>
      <c r="K127" s="169">
        <f>-K22-K58+J87+J99</f>
        <v>-208814</v>
      </c>
    </row>
    <row r="128" spans="1:12" ht="16.5" customHeight="1" x14ac:dyDescent="0.3">
      <c r="D128" s="140" t="s">
        <v>1657</v>
      </c>
      <c r="H128" s="10"/>
      <c r="K128" s="169">
        <f>-K23-K48+J68+J75+J96-K113</f>
        <v>-411579</v>
      </c>
    </row>
    <row r="129" spans="4:11" ht="16.5" customHeight="1" x14ac:dyDescent="0.3">
      <c r="D129" s="140" t="s">
        <v>1658</v>
      </c>
      <c r="H129" s="10"/>
      <c r="K129" s="169">
        <f>-K76</f>
        <v>-120714</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00000000-0002-0000-0B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B00-000001000000}">
      <formula1>0</formula1>
    </dataValidation>
    <dataValidation operator="lessThan" allowBlank="1" showInputMessage="1" showErrorMessage="1" sqref="A3:A8" xr:uid="{00000000-0002-0000-0B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3000000}">
          <x14:formula1>
            <xm:f>'H:\DESKTOP\FR Documents\23-24\[BLANK GASB_87_Annual_Reporting_Submission_Workbook_V2.xlsx]Drop Down Menus'!#REF!</xm:f>
          </x14:formula1>
          <xm:sqref>F3 F7:F8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tabColor theme="9" tint="0.59999389629810485"/>
    <pageSetUpPr fitToPage="1"/>
  </sheetPr>
  <dimension ref="A1:S193"/>
  <sheetViews>
    <sheetView zoomScale="70" zoomScaleNormal="70" workbookViewId="0">
      <selection activeCell="K31" sqref="K3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566</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Fund",VLOOKUP(F5,[2]qryIndex02a!$A$2:$K$654,4,FALSE)),"Unidentified")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27746</v>
      </c>
      <c r="M17" s="143">
        <v>27746</v>
      </c>
      <c r="P17" s="143">
        <v>25064</v>
      </c>
      <c r="Q17" s="155"/>
      <c r="S17" s="154">
        <f t="shared" si="0"/>
        <v>-2682</v>
      </c>
    </row>
    <row r="18" spans="1:19" ht="16.5" customHeight="1" x14ac:dyDescent="0.3">
      <c r="A18" s="54"/>
      <c r="B18" s="9" t="s">
        <v>169</v>
      </c>
      <c r="C18" s="9"/>
      <c r="D18" s="9"/>
      <c r="E18" s="140"/>
      <c r="F18" s="141"/>
      <c r="G18" s="141"/>
      <c r="H18" s="142"/>
      <c r="I18" s="142"/>
      <c r="J18" s="178">
        <f>P18</f>
        <v>356</v>
      </c>
      <c r="M18" s="143">
        <v>355</v>
      </c>
      <c r="P18" s="152">
        <f>IF(SUM($Q$20:$Q$23)&gt;SUM($P$15:$P$17),SUM($Q$20:$Q$23)-SUM($P$15:$P$17),0)</f>
        <v>356</v>
      </c>
      <c r="Q18" s="155"/>
      <c r="S18" s="154">
        <f t="shared" si="0"/>
        <v>1</v>
      </c>
    </row>
    <row r="19" spans="1:19" ht="16.5" customHeight="1" x14ac:dyDescent="0.3">
      <c r="A19" s="54"/>
      <c r="B19" s="9" t="s">
        <v>170</v>
      </c>
      <c r="C19" s="9"/>
      <c r="D19" s="9"/>
      <c r="E19" s="140"/>
      <c r="F19" s="141"/>
      <c r="G19" s="141"/>
      <c r="H19" s="142"/>
      <c r="I19" s="142"/>
      <c r="J19" s="178">
        <f>IF(SUM($K$20:$K$24)&gt;SUM($J$15:$J$18),SUM($K$20:$K$24)-SUM($J$15:$J$18),0)</f>
        <v>55</v>
      </c>
      <c r="M19" s="143">
        <v>55</v>
      </c>
      <c r="P19" s="155"/>
      <c r="Q19" s="155"/>
      <c r="S19" s="154">
        <f t="shared" si="0"/>
        <v>-55</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2763</v>
      </c>
      <c r="N22" s="143">
        <v>2763</v>
      </c>
      <c r="P22" s="155"/>
      <c r="Q22" s="143">
        <v>2556</v>
      </c>
      <c r="S22" s="154">
        <f t="shared" ref="S22:S25" si="1">Q22-N22</f>
        <v>-207</v>
      </c>
    </row>
    <row r="23" spans="1:19" ht="16.5" customHeight="1" x14ac:dyDescent="0.3">
      <c r="A23" s="165" t="s">
        <v>1646</v>
      </c>
      <c r="B23" s="9"/>
      <c r="C23" s="9" t="s">
        <v>174</v>
      </c>
      <c r="D23" s="9"/>
      <c r="E23" s="140"/>
      <c r="F23" s="141"/>
      <c r="G23" s="141"/>
      <c r="H23" s="142"/>
      <c r="I23" s="142"/>
      <c r="J23" s="150"/>
      <c r="K23" s="178">
        <f>N23</f>
        <v>25394</v>
      </c>
      <c r="N23" s="143">
        <v>25394</v>
      </c>
      <c r="P23" s="155"/>
      <c r="Q23" s="143">
        <v>22864</v>
      </c>
      <c r="S23" s="154">
        <f t="shared" si="1"/>
        <v>-2530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28157</v>
      </c>
      <c r="K26" s="107">
        <f>SUM(K15:K25)</f>
        <v>28157</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2763</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2763</v>
      </c>
    </row>
    <row r="59" spans="1:16" ht="16.5" customHeight="1" x14ac:dyDescent="0.3">
      <c r="A59" s="54"/>
      <c r="C59" s="16"/>
      <c r="D59" s="16"/>
      <c r="E59" s="16"/>
      <c r="F59" s="17"/>
      <c r="G59" s="17"/>
      <c r="H59" s="18"/>
      <c r="I59" s="18"/>
      <c r="J59" s="107">
        <f>SUM(J55:J58)</f>
        <v>2763</v>
      </c>
      <c r="K59" s="107">
        <f>SUM(K55:K58)</f>
        <v>2763</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2438</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358</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2796</v>
      </c>
    </row>
    <row r="65" spans="1:12" ht="16.5" customHeight="1" x14ac:dyDescent="0.3">
      <c r="A65" s="54"/>
      <c r="C65" s="16"/>
      <c r="D65" s="16"/>
      <c r="E65" s="16"/>
      <c r="F65" s="17"/>
      <c r="G65" s="17"/>
      <c r="H65" s="18"/>
      <c r="I65" s="18"/>
      <c r="J65" s="107">
        <f>SUM(J62:J64)</f>
        <v>2796</v>
      </c>
      <c r="K65" s="107">
        <f>SUM(K62:K64)</f>
        <v>2796</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2438</v>
      </c>
      <c r="K68" s="144"/>
    </row>
    <row r="69" spans="1:12" ht="16.5" customHeight="1" x14ac:dyDescent="0.3">
      <c r="A69" s="54"/>
      <c r="B69" s="9"/>
      <c r="C69" s="9" t="s">
        <v>186</v>
      </c>
      <c r="D69" s="140"/>
      <c r="E69" s="140"/>
      <c r="F69" s="141"/>
      <c r="G69" s="141"/>
      <c r="H69" s="142"/>
      <c r="I69" s="142"/>
      <c r="J69" s="144"/>
      <c r="K69" s="143">
        <v>2438</v>
      </c>
    </row>
    <row r="70" spans="1:12" ht="16.5" customHeight="1" x14ac:dyDescent="0.3">
      <c r="A70" s="54"/>
      <c r="C70" s="16"/>
      <c r="D70" s="16"/>
      <c r="E70" s="16"/>
      <c r="F70" s="17"/>
      <c r="G70" s="17"/>
      <c r="H70" s="18"/>
      <c r="I70" s="18"/>
      <c r="J70" s="107">
        <f>SUM(J68:J69)</f>
        <v>2438</v>
      </c>
      <c r="K70" s="107">
        <f>SUM(K68:K69)</f>
        <v>2438</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2522</v>
      </c>
      <c r="K75" s="144"/>
    </row>
    <row r="76" spans="1:12" ht="16.5" customHeight="1" x14ac:dyDescent="0.3">
      <c r="A76" s="54"/>
      <c r="B76" s="9"/>
      <c r="C76" s="9" t="s">
        <v>194</v>
      </c>
      <c r="D76" s="140"/>
      <c r="E76" s="140"/>
      <c r="F76" s="141"/>
      <c r="G76" s="141"/>
      <c r="H76" s="142"/>
      <c r="I76" s="142"/>
      <c r="J76" s="144"/>
      <c r="K76" s="143">
        <v>2522</v>
      </c>
    </row>
    <row r="77" spans="1:12" ht="16.5" customHeight="1" x14ac:dyDescent="0.25">
      <c r="A77" s="54"/>
      <c r="B77" s="193" t="s">
        <v>1735</v>
      </c>
      <c r="C77" s="193"/>
      <c r="D77" s="193"/>
      <c r="E77" s="193"/>
      <c r="F77" s="193"/>
      <c r="G77" s="193"/>
      <c r="H77" s="193"/>
      <c r="I77" s="193"/>
      <c r="J77" s="107">
        <f>SUM(J75:J76)</f>
        <v>2522</v>
      </c>
      <c r="K77" s="107">
        <f>SUM(K75:K76)</f>
        <v>2522</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27746</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-5526</v>
      </c>
    </row>
    <row r="128" spans="1:12" ht="16.5" customHeight="1" x14ac:dyDescent="0.3">
      <c r="D128" s="140" t="s">
        <v>1657</v>
      </c>
      <c r="H128" s="10"/>
      <c r="K128" s="169">
        <f>-K23-K48+J68+J75+J96-K113</f>
        <v>-20434</v>
      </c>
    </row>
    <row r="129" spans="4:11" ht="16.5" customHeight="1" x14ac:dyDescent="0.3">
      <c r="D129" s="140" t="s">
        <v>1658</v>
      </c>
      <c r="H129" s="10"/>
      <c r="K129" s="169">
        <f>-K76</f>
        <v>-2522</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00000000-0002-0000-0C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C00-000001000000}">
      <formula1>0</formula1>
    </dataValidation>
    <dataValidation operator="lessThan" allowBlank="1" showInputMessage="1" showErrorMessage="1" sqref="A3:A8" xr:uid="{00000000-0002-0000-0C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3000000}">
          <x14:formula1>
            <xm:f>'H:\DESKTOP\FR Documents\23-24\[BLANK GASB_87_Annual_Reporting_Submission_Workbook_V2.xlsx]Drop Down Menus'!#REF!</xm:f>
          </x14:formula1>
          <xm:sqref>F3 F7:F8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59999389629810485"/>
    <pageSetUpPr fitToPage="1"/>
  </sheetPr>
  <dimension ref="A1:S193"/>
  <sheetViews>
    <sheetView zoomScale="70" zoomScaleNormal="70" workbookViewId="0">
      <selection activeCell="N4" sqref="N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567</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Fund",VLOOKUP(F5,[2]qryIndex02a!$A$2:$K$654,4,FALSE)),"Unidentified")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65210</v>
      </c>
      <c r="M16" s="143">
        <v>65210</v>
      </c>
      <c r="P16" s="143">
        <v>65188</v>
      </c>
      <c r="Q16" s="155"/>
      <c r="S16" s="154">
        <f t="shared" si="0"/>
        <v>-22</v>
      </c>
    </row>
    <row r="17" spans="1:19" ht="16.5" customHeight="1" x14ac:dyDescent="0.3">
      <c r="A17" s="159" t="s">
        <v>1638</v>
      </c>
      <c r="B17" s="9" t="s">
        <v>173</v>
      </c>
      <c r="C17" s="9"/>
      <c r="D17" s="9"/>
      <c r="E17" s="140"/>
      <c r="F17" s="141"/>
      <c r="G17" s="141"/>
      <c r="H17" s="142"/>
      <c r="I17" s="142"/>
      <c r="J17" s="178">
        <f>M17</f>
        <v>4584022</v>
      </c>
      <c r="M17" s="143">
        <v>4584022</v>
      </c>
      <c r="P17" s="143">
        <v>4572090</v>
      </c>
      <c r="Q17" s="155"/>
      <c r="S17" s="154">
        <f t="shared" si="0"/>
        <v>-11932</v>
      </c>
    </row>
    <row r="18" spans="1:19" ht="16.5" customHeight="1" x14ac:dyDescent="0.3">
      <c r="A18" s="54"/>
      <c r="B18" s="9" t="s">
        <v>169</v>
      </c>
      <c r="C18" s="9"/>
      <c r="D18" s="9"/>
      <c r="E18" s="140"/>
      <c r="F18" s="141"/>
      <c r="G18" s="141"/>
      <c r="H18" s="142"/>
      <c r="I18" s="142"/>
      <c r="J18" s="178">
        <f>P18</f>
        <v>912</v>
      </c>
      <c r="M18" s="143">
        <v>38683</v>
      </c>
      <c r="P18" s="152">
        <f>IF(SUM($Q$20:$Q$23)&gt;SUM($P$15:$P$17),SUM($Q$20:$Q$23)-SUM($P$15:$P$17),0)</f>
        <v>912</v>
      </c>
      <c r="Q18" s="155"/>
      <c r="S18" s="154">
        <f t="shared" si="0"/>
        <v>-37771</v>
      </c>
    </row>
    <row r="19" spans="1:19" ht="16.5" customHeight="1" x14ac:dyDescent="0.3">
      <c r="A19" s="54"/>
      <c r="B19" s="9" t="s">
        <v>170</v>
      </c>
      <c r="C19" s="9"/>
      <c r="D19" s="9"/>
      <c r="E19" s="140"/>
      <c r="F19" s="141"/>
      <c r="G19" s="141"/>
      <c r="H19" s="142"/>
      <c r="I19" s="142"/>
      <c r="J19" s="178">
        <f>IF(SUM($K$20:$K$24)&gt;SUM($J$15:$J$18),SUM($K$20:$K$24)-SUM($J$15:$J$18),0)</f>
        <v>10656</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13042</v>
      </c>
      <c r="N21" s="143">
        <v>13042</v>
      </c>
      <c r="P21" s="155"/>
      <c r="Q21" s="143">
        <v>13037</v>
      </c>
      <c r="S21" s="154">
        <f>Q21-N21</f>
        <v>-5</v>
      </c>
    </row>
    <row r="22" spans="1:19" ht="16.5" customHeight="1" x14ac:dyDescent="0.3">
      <c r="A22" s="54"/>
      <c r="B22" s="9"/>
      <c r="C22" s="9" t="s">
        <v>179</v>
      </c>
      <c r="D22" s="9"/>
      <c r="E22" s="140"/>
      <c r="F22" s="141"/>
      <c r="G22" s="141"/>
      <c r="H22" s="142"/>
      <c r="I22" s="142"/>
      <c r="J22" s="150"/>
      <c r="K22" s="178">
        <f>N22</f>
        <v>764760</v>
      </c>
      <c r="N22" s="143">
        <v>764760</v>
      </c>
      <c r="P22" s="155"/>
      <c r="Q22" s="143">
        <v>781827</v>
      </c>
      <c r="S22" s="154">
        <f t="shared" ref="S22:S25" si="1">Q22-N22</f>
        <v>17067</v>
      </c>
    </row>
    <row r="23" spans="1:19" ht="16.5" customHeight="1" x14ac:dyDescent="0.3">
      <c r="A23" s="165" t="s">
        <v>1646</v>
      </c>
      <c r="B23" s="9"/>
      <c r="C23" s="9" t="s">
        <v>174</v>
      </c>
      <c r="D23" s="9"/>
      <c r="E23" s="140"/>
      <c r="F23" s="141"/>
      <c r="G23" s="141"/>
      <c r="H23" s="142"/>
      <c r="I23" s="142"/>
      <c r="J23" s="150"/>
      <c r="K23" s="178">
        <f>N23</f>
        <v>3882998</v>
      </c>
      <c r="N23" s="143">
        <v>3882998</v>
      </c>
      <c r="P23" s="155"/>
      <c r="Q23" s="143">
        <v>3843326</v>
      </c>
      <c r="S23" s="154">
        <f t="shared" si="1"/>
        <v>-39672</v>
      </c>
    </row>
    <row r="24" spans="1:19" ht="16.5" customHeight="1" x14ac:dyDescent="0.3">
      <c r="A24" s="54"/>
      <c r="B24" s="9"/>
      <c r="C24" s="9" t="s">
        <v>176</v>
      </c>
      <c r="D24" s="9"/>
      <c r="E24" s="140"/>
      <c r="F24" s="141"/>
      <c r="G24" s="141"/>
      <c r="H24" s="142"/>
      <c r="I24" s="142"/>
      <c r="J24" s="150"/>
      <c r="K24" s="178">
        <f>Q24</f>
        <v>0</v>
      </c>
      <c r="N24" s="143">
        <v>27113</v>
      </c>
      <c r="P24" s="155"/>
      <c r="Q24" s="152">
        <f>IF(SUM($Q$20:$Q$23)&lt;SUM($P$15:$P$17),-SUM($Q$20:$Q$23)+SUM($P$15:$P$17),0)</f>
        <v>0</v>
      </c>
      <c r="S24" s="154">
        <f t="shared" si="1"/>
        <v>-27113</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4660800</v>
      </c>
      <c r="K26" s="107">
        <f>SUM(K15:K25)</f>
        <v>4660800</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881067</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v>13042</v>
      </c>
    </row>
    <row r="58" spans="1:16" ht="16.5" customHeight="1" x14ac:dyDescent="0.3">
      <c r="A58" s="54"/>
      <c r="B58" s="9"/>
      <c r="C58" s="9" t="s">
        <v>179</v>
      </c>
      <c r="D58" s="140"/>
      <c r="E58" s="140"/>
      <c r="F58" s="141"/>
      <c r="G58" s="141"/>
      <c r="H58" s="142"/>
      <c r="I58" s="142"/>
      <c r="J58" s="144"/>
      <c r="K58" s="143">
        <v>868025</v>
      </c>
    </row>
    <row r="59" spans="1:16" ht="16.5" customHeight="1" x14ac:dyDescent="0.3">
      <c r="A59" s="54"/>
      <c r="C59" s="16"/>
      <c r="D59" s="16"/>
      <c r="E59" s="16"/>
      <c r="F59" s="17"/>
      <c r="G59" s="17"/>
      <c r="H59" s="18"/>
      <c r="I59" s="18"/>
      <c r="J59" s="107">
        <f>SUM(J55:J58)</f>
        <v>881067</v>
      </c>
      <c r="K59" s="107">
        <f>SUM(K55:K58)</f>
        <v>881067</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870951</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13417</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884368</v>
      </c>
    </row>
    <row r="65" spans="1:12" ht="16.5" customHeight="1" x14ac:dyDescent="0.3">
      <c r="A65" s="54"/>
      <c r="C65" s="16"/>
      <c r="D65" s="16"/>
      <c r="E65" s="16"/>
      <c r="F65" s="17"/>
      <c r="G65" s="17"/>
      <c r="H65" s="18"/>
      <c r="I65" s="18"/>
      <c r="J65" s="107">
        <f>SUM(J62:J64)</f>
        <v>884368</v>
      </c>
      <c r="K65" s="107">
        <f>SUM(K62:K64)</f>
        <v>884368</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870951</v>
      </c>
      <c r="K68" s="144"/>
    </row>
    <row r="69" spans="1:12" ht="16.5" customHeight="1" x14ac:dyDescent="0.3">
      <c r="A69" s="54"/>
      <c r="B69" s="9"/>
      <c r="C69" s="9" t="s">
        <v>186</v>
      </c>
      <c r="D69" s="140"/>
      <c r="E69" s="140"/>
      <c r="F69" s="141"/>
      <c r="G69" s="141"/>
      <c r="H69" s="142"/>
      <c r="I69" s="142"/>
      <c r="J69" s="144"/>
      <c r="K69" s="143">
        <v>870951</v>
      </c>
    </row>
    <row r="70" spans="1:12" ht="16.5" customHeight="1" x14ac:dyDescent="0.3">
      <c r="A70" s="54"/>
      <c r="C70" s="16"/>
      <c r="D70" s="16"/>
      <c r="E70" s="16"/>
      <c r="F70" s="17"/>
      <c r="G70" s="17"/>
      <c r="H70" s="18"/>
      <c r="I70" s="18"/>
      <c r="J70" s="107">
        <f>SUM(J68:J69)</f>
        <v>870951</v>
      </c>
      <c r="K70" s="107">
        <f>SUM(K68:K69)</f>
        <v>870951</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871882</v>
      </c>
      <c r="K75" s="144"/>
    </row>
    <row r="76" spans="1:12" ht="16.5" customHeight="1" x14ac:dyDescent="0.3">
      <c r="A76" s="54"/>
      <c r="B76" s="9"/>
      <c r="C76" s="9" t="s">
        <v>194</v>
      </c>
      <c r="D76" s="140"/>
      <c r="E76" s="140"/>
      <c r="F76" s="141"/>
      <c r="G76" s="141"/>
      <c r="H76" s="142"/>
      <c r="I76" s="142"/>
      <c r="J76" s="144"/>
      <c r="K76" s="143">
        <v>871882</v>
      </c>
    </row>
    <row r="77" spans="1:12" ht="16.5" customHeight="1" x14ac:dyDescent="0.25">
      <c r="A77" s="54"/>
      <c r="B77" s="193" t="s">
        <v>1735</v>
      </c>
      <c r="C77" s="193"/>
      <c r="D77" s="193"/>
      <c r="E77" s="193"/>
      <c r="F77" s="193"/>
      <c r="G77" s="193"/>
      <c r="H77" s="193"/>
      <c r="I77" s="193"/>
      <c r="J77" s="107">
        <f>SUM(J75:J76)</f>
        <v>871882</v>
      </c>
      <c r="K77" s="107">
        <f>SUM(K75:K76)</f>
        <v>871882</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65210</v>
      </c>
    </row>
    <row r="124" spans="1:12" ht="16.5" customHeight="1" x14ac:dyDescent="0.3">
      <c r="D124" s="140" t="s">
        <v>1653</v>
      </c>
      <c r="H124" s="10"/>
      <c r="K124" s="169">
        <f>J17+J41-K90-K103+J112</f>
        <v>4584022</v>
      </c>
    </row>
    <row r="125" spans="1:12" ht="16.5" customHeight="1" x14ac:dyDescent="0.3">
      <c r="D125" s="140" t="s">
        <v>1654</v>
      </c>
      <c r="H125" s="10"/>
      <c r="K125" s="169">
        <f>-K20-K56+J85+J97</f>
        <v>0</v>
      </c>
    </row>
    <row r="126" spans="1:12" ht="16.5" customHeight="1" x14ac:dyDescent="0.3">
      <c r="D126" s="140" t="s">
        <v>1655</v>
      </c>
      <c r="H126" s="10"/>
      <c r="K126" s="169">
        <f>-K21-K57+J86+J98</f>
        <v>-26084</v>
      </c>
    </row>
    <row r="127" spans="1:12" ht="16.5" customHeight="1" x14ac:dyDescent="0.3">
      <c r="D127" s="140" t="s">
        <v>1656</v>
      </c>
      <c r="H127" s="10"/>
      <c r="K127" s="169">
        <f>-K22-K58+J87+J99</f>
        <v>-1632785</v>
      </c>
    </row>
    <row r="128" spans="1:12" ht="16.5" customHeight="1" x14ac:dyDescent="0.3">
      <c r="D128" s="140" t="s">
        <v>1657</v>
      </c>
      <c r="H128" s="10"/>
      <c r="K128" s="169">
        <f>-K23-K48+J68+J75+J96-K113</f>
        <v>-2140165</v>
      </c>
    </row>
    <row r="129" spans="4:11" ht="16.5" customHeight="1" x14ac:dyDescent="0.3">
      <c r="D129" s="140" t="s">
        <v>1658</v>
      </c>
      <c r="H129" s="10"/>
      <c r="K129" s="169">
        <f>-K76</f>
        <v>-871882</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00000000-0002-0000-0D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D00-000001000000}">
      <formula1>0</formula1>
    </dataValidation>
    <dataValidation operator="lessThan" allowBlank="1" showInputMessage="1" showErrorMessage="1" sqref="A3:A8" xr:uid="{00000000-0002-0000-0D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3000000}">
          <x14:formula1>
            <xm:f>'H:\DESKTOP\FR Documents\23-24\[BLANK GASB_87_Annual_Reporting_Submission_Workbook_V2.xlsx]Drop Down Menus'!#REF!</xm:f>
          </x14:formula1>
          <xm:sqref>F3 F7:F8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59999389629810485"/>
    <pageSetUpPr fitToPage="1"/>
  </sheetPr>
  <dimension ref="A1:S193"/>
  <sheetViews>
    <sheetView zoomScale="70" zoomScaleNormal="70" workbookViewId="0">
      <selection activeCell="N7" sqref="N7"/>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569</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Fund",VLOOKUP(F5,[2]qryIndex02a!$A$2:$K$654,4,FALSE)),"Unidentified")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223874</v>
      </c>
      <c r="M17" s="143">
        <v>223874</v>
      </c>
      <c r="P17" s="143">
        <v>72868</v>
      </c>
      <c r="Q17" s="155"/>
      <c r="S17" s="154">
        <f t="shared" si="0"/>
        <v>-151006</v>
      </c>
    </row>
    <row r="18" spans="1:19" ht="16.5" customHeight="1" x14ac:dyDescent="0.3">
      <c r="A18" s="54"/>
      <c r="B18" s="9" t="s">
        <v>169</v>
      </c>
      <c r="C18" s="9"/>
      <c r="D18" s="9"/>
      <c r="E18" s="140"/>
      <c r="F18" s="141"/>
      <c r="G18" s="141"/>
      <c r="H18" s="142"/>
      <c r="I18" s="142"/>
      <c r="J18" s="178">
        <f>P18</f>
        <v>0</v>
      </c>
      <c r="M18" s="143">
        <v>1308</v>
      </c>
      <c r="P18" s="152">
        <f>IF(SUM($Q$20:$Q$23)&gt;SUM($P$15:$P$17),SUM($Q$20:$Q$23)-SUM($P$15:$P$17),0)</f>
        <v>0</v>
      </c>
      <c r="Q18" s="155"/>
      <c r="S18" s="154">
        <f t="shared" si="0"/>
        <v>-1308</v>
      </c>
    </row>
    <row r="19" spans="1:19" ht="16.5" customHeight="1" x14ac:dyDescent="0.3">
      <c r="A19" s="54"/>
      <c r="B19" s="9" t="s">
        <v>170</v>
      </c>
      <c r="C19" s="9"/>
      <c r="D19" s="9"/>
      <c r="E19" s="140"/>
      <c r="F19" s="141"/>
      <c r="G19" s="141"/>
      <c r="H19" s="142"/>
      <c r="I19" s="142"/>
      <c r="J19" s="178">
        <f>IF(SUM($K$20:$K$24)&gt;SUM($J$15:$J$18),SUM($K$20:$K$24)-SUM($J$15:$J$18),0)</f>
        <v>1050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73145</v>
      </c>
      <c r="N22" s="143">
        <v>73145</v>
      </c>
      <c r="P22" s="155"/>
      <c r="Q22" s="143">
        <v>12995</v>
      </c>
      <c r="S22" s="154">
        <f t="shared" ref="S22:S25" si="1">Q22-N22</f>
        <v>-60150</v>
      </c>
    </row>
    <row r="23" spans="1:19" ht="16.5" customHeight="1" x14ac:dyDescent="0.3">
      <c r="A23" s="165" t="s">
        <v>1646</v>
      </c>
      <c r="B23" s="9"/>
      <c r="C23" s="9" t="s">
        <v>174</v>
      </c>
      <c r="D23" s="9"/>
      <c r="E23" s="140"/>
      <c r="F23" s="141"/>
      <c r="G23" s="141"/>
      <c r="H23" s="142"/>
      <c r="I23" s="142"/>
      <c r="J23" s="150"/>
      <c r="K23" s="178">
        <f>N23</f>
        <v>151615</v>
      </c>
      <c r="N23" s="143">
        <v>151615</v>
      </c>
      <c r="P23" s="155"/>
      <c r="Q23" s="143">
        <v>59709</v>
      </c>
      <c r="S23" s="154">
        <f t="shared" si="1"/>
        <v>-91906</v>
      </c>
    </row>
    <row r="24" spans="1:19" ht="16.5" customHeight="1" x14ac:dyDescent="0.3">
      <c r="A24" s="54"/>
      <c r="B24" s="9"/>
      <c r="C24" s="9" t="s">
        <v>176</v>
      </c>
      <c r="D24" s="9"/>
      <c r="E24" s="140"/>
      <c r="F24" s="141"/>
      <c r="G24" s="141"/>
      <c r="H24" s="142"/>
      <c r="I24" s="142"/>
      <c r="J24" s="150"/>
      <c r="K24" s="178">
        <f>Q24</f>
        <v>164</v>
      </c>
      <c r="N24" s="143">
        <v>423</v>
      </c>
      <c r="P24" s="155"/>
      <c r="Q24" s="152">
        <f>IF(SUM($Q$20:$Q$23)&lt;SUM($P$15:$P$17),-SUM($Q$20:$Q$23)+SUM($P$15:$P$17),0)</f>
        <v>164</v>
      </c>
      <c r="S24" s="154">
        <f t="shared" si="1"/>
        <v>-259</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224924</v>
      </c>
      <c r="K26" s="107">
        <f>SUM(K15:K25)</f>
        <v>224924</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74758</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74758</v>
      </c>
    </row>
    <row r="59" spans="1:16" ht="16.5" customHeight="1" x14ac:dyDescent="0.3">
      <c r="A59" s="54"/>
      <c r="C59" s="16"/>
      <c r="D59" s="16"/>
      <c r="E59" s="16"/>
      <c r="F59" s="17"/>
      <c r="G59" s="17"/>
      <c r="H59" s="18"/>
      <c r="I59" s="18"/>
      <c r="J59" s="107">
        <f>SUM(J55:J58)</f>
        <v>74758</v>
      </c>
      <c r="K59" s="107">
        <f>SUM(K55:K58)</f>
        <v>74758</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75122</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318</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75440</v>
      </c>
    </row>
    <row r="65" spans="1:12" ht="16.5" customHeight="1" x14ac:dyDescent="0.3">
      <c r="A65" s="54"/>
      <c r="C65" s="16"/>
      <c r="D65" s="16"/>
      <c r="E65" s="16"/>
      <c r="F65" s="17"/>
      <c r="G65" s="17"/>
      <c r="H65" s="18"/>
      <c r="I65" s="18"/>
      <c r="J65" s="107">
        <f>SUM(J62:J64)</f>
        <v>75440</v>
      </c>
      <c r="K65" s="107">
        <f>SUM(K62:K64)</f>
        <v>75440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75122</v>
      </c>
      <c r="K68" s="144"/>
    </row>
    <row r="69" spans="1:12" ht="16.5" customHeight="1" x14ac:dyDescent="0.3">
      <c r="A69" s="54"/>
      <c r="B69" s="9"/>
      <c r="C69" s="9" t="s">
        <v>186</v>
      </c>
      <c r="D69" s="140"/>
      <c r="E69" s="140"/>
      <c r="F69" s="141"/>
      <c r="G69" s="141"/>
      <c r="H69" s="142"/>
      <c r="I69" s="142"/>
      <c r="J69" s="144"/>
      <c r="K69" s="143">
        <v>75122</v>
      </c>
    </row>
    <row r="70" spans="1:12" ht="16.5" customHeight="1" x14ac:dyDescent="0.3">
      <c r="A70" s="54"/>
      <c r="C70" s="16"/>
      <c r="D70" s="16"/>
      <c r="E70" s="16"/>
      <c r="F70" s="17"/>
      <c r="G70" s="17"/>
      <c r="H70" s="18"/>
      <c r="I70" s="18"/>
      <c r="J70" s="107">
        <f>SUM(J68:J69)</f>
        <v>75122</v>
      </c>
      <c r="K70" s="107">
        <f>SUM(K68:K69)</f>
        <v>75122</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44563</v>
      </c>
      <c r="K75" s="144"/>
    </row>
    <row r="76" spans="1:12" ht="16.5" customHeight="1" x14ac:dyDescent="0.3">
      <c r="A76" s="54"/>
      <c r="B76" s="9"/>
      <c r="C76" s="9" t="s">
        <v>194</v>
      </c>
      <c r="D76" s="140"/>
      <c r="E76" s="140"/>
      <c r="F76" s="141"/>
      <c r="G76" s="141"/>
      <c r="H76" s="142"/>
      <c r="I76" s="142"/>
      <c r="J76" s="144"/>
      <c r="K76" s="143">
        <v>44563</v>
      </c>
    </row>
    <row r="77" spans="1:12" ht="16.5" customHeight="1" x14ac:dyDescent="0.25">
      <c r="A77" s="54"/>
      <c r="B77" s="193" t="s">
        <v>1735</v>
      </c>
      <c r="C77" s="193"/>
      <c r="D77" s="193"/>
      <c r="E77" s="193"/>
      <c r="F77" s="193"/>
      <c r="G77" s="193"/>
      <c r="H77" s="193"/>
      <c r="I77" s="193"/>
      <c r="J77" s="107">
        <f>SUM(J75:J76)</f>
        <v>44563</v>
      </c>
      <c r="K77" s="107">
        <f>SUM(K75:K76)</f>
        <v>44563</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223874</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-147903</v>
      </c>
    </row>
    <row r="128" spans="1:12" ht="16.5" customHeight="1" x14ac:dyDescent="0.3">
      <c r="D128" s="140" t="s">
        <v>1657</v>
      </c>
      <c r="H128" s="10"/>
      <c r="K128" s="169">
        <f>-K23-K48+J68+J75+J96-K113</f>
        <v>-31930</v>
      </c>
    </row>
    <row r="129" spans="4:11" ht="16.5" customHeight="1" x14ac:dyDescent="0.3">
      <c r="D129" s="140" t="s">
        <v>1658</v>
      </c>
      <c r="H129" s="10"/>
      <c r="K129" s="169">
        <f>-K76</f>
        <v>-44563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00000000-0002-0000-0E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E00-000001000000}">
      <formula1>0</formula1>
    </dataValidation>
    <dataValidation operator="lessThan" allowBlank="1" showInputMessage="1" showErrorMessage="1" sqref="A3:A8" xr:uid="{00000000-0002-0000-0E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3000000}">
          <x14:formula1>
            <xm:f>'H:\DESKTOP\FR Documents\23-24\[BLANK GASB_87_Annual_Reporting_Submission_Workbook_V2.xlsx]Drop Down Menus'!#REF!</xm:f>
          </x14:formula1>
          <xm:sqref>F3 F7:F8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59999389629810485"/>
    <pageSetUpPr fitToPage="1"/>
  </sheetPr>
  <dimension ref="A1:S193"/>
  <sheetViews>
    <sheetView zoomScale="70" zoomScaleNormal="70" workbookViewId="0">
      <selection activeCell="J24" sqref="J2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890</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Fund",VLOOKUP(F5,[2]qryIndex02a!$A$2:$K$654,4,FALSE)),"Unidentified")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12075331</v>
      </c>
      <c r="M17" s="143">
        <v>12075331</v>
      </c>
      <c r="P17" s="143">
        <v>12496539</v>
      </c>
      <c r="Q17" s="155"/>
      <c r="S17" s="154">
        <f t="shared" si="0"/>
        <v>421208</v>
      </c>
    </row>
    <row r="18" spans="1:19" ht="16.5" customHeight="1" x14ac:dyDescent="0.3">
      <c r="A18" s="54"/>
      <c r="B18" s="9" t="s">
        <v>169</v>
      </c>
      <c r="C18" s="9"/>
      <c r="D18" s="9"/>
      <c r="E18" s="140"/>
      <c r="F18" s="141"/>
      <c r="G18" s="141"/>
      <c r="H18" s="142"/>
      <c r="I18" s="142"/>
      <c r="J18" s="178">
        <f>P18</f>
        <v>36196</v>
      </c>
      <c r="M18" s="143">
        <v>91658</v>
      </c>
      <c r="P18" s="152">
        <f>IF(SUM($Q$20:$Q$23)&gt;SUM($P$15:$P$17),SUM($Q$20:$Q$23)-SUM($P$15:$P$17),0)</f>
        <v>36196</v>
      </c>
      <c r="Q18" s="155"/>
      <c r="S18" s="154">
        <f t="shared" si="0"/>
        <v>-55462</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2238233</v>
      </c>
      <c r="N22" s="143">
        <v>2238233</v>
      </c>
      <c r="P22" s="155"/>
      <c r="Q22" s="143">
        <v>2333438</v>
      </c>
      <c r="S22" s="154">
        <f t="shared" ref="S22:S25" si="1">Q22-N22</f>
        <v>95205</v>
      </c>
    </row>
    <row r="23" spans="1:19" ht="16.5" customHeight="1" x14ac:dyDescent="0.3">
      <c r="A23" s="165" t="s">
        <v>1646</v>
      </c>
      <c r="B23" s="9"/>
      <c r="C23" s="9" t="s">
        <v>174</v>
      </c>
      <c r="D23" s="9"/>
      <c r="E23" s="140"/>
      <c r="F23" s="141"/>
      <c r="G23" s="141"/>
      <c r="H23" s="142"/>
      <c r="I23" s="142"/>
      <c r="J23" s="150"/>
      <c r="K23" s="178">
        <f>N23</f>
        <v>9869812</v>
      </c>
      <c r="N23" s="143">
        <v>9869812</v>
      </c>
      <c r="P23" s="155"/>
      <c r="Q23" s="143">
        <v>10199297</v>
      </c>
      <c r="S23" s="154">
        <f t="shared" si="1"/>
        <v>329485</v>
      </c>
    </row>
    <row r="24" spans="1:19" ht="16.5" customHeight="1" x14ac:dyDescent="0.3">
      <c r="A24" s="54"/>
      <c r="B24" s="9"/>
      <c r="C24" s="9" t="s">
        <v>176</v>
      </c>
      <c r="D24" s="9"/>
      <c r="E24" s="140"/>
      <c r="F24" s="141"/>
      <c r="G24" s="141"/>
      <c r="H24" s="142"/>
      <c r="I24" s="142"/>
      <c r="J24" s="150"/>
      <c r="K24" s="178">
        <f>Q24</f>
        <v>0</v>
      </c>
      <c r="N24" s="143">
        <v>58943</v>
      </c>
      <c r="P24" s="155"/>
      <c r="Q24" s="152">
        <f>IF(SUM($Q$20:$Q$23)&lt;SUM($P$15:$P$17),-SUM($Q$20:$Q$23)+SUM($P$15:$P$17),0)</f>
        <v>0</v>
      </c>
      <c r="S24" s="154">
        <f t="shared" si="1"/>
        <v>-58943</v>
      </c>
    </row>
    <row r="25" spans="1:19" ht="16.5" customHeight="1" x14ac:dyDescent="0.3">
      <c r="A25" s="54"/>
      <c r="B25" s="9"/>
      <c r="C25" s="9" t="s">
        <v>177</v>
      </c>
      <c r="D25" s="9"/>
      <c r="E25" s="140"/>
      <c r="F25" s="141"/>
      <c r="G25" s="141"/>
      <c r="H25" s="142"/>
      <c r="I25" s="142"/>
      <c r="J25" s="150"/>
      <c r="K25" s="178">
        <f>IF(SUM($K$20:$K$24)&lt;SUM($J$15:$J$18),-SUM($K$20:$K$24)+SUM($J$15:$J$18),0)</f>
        <v>3482</v>
      </c>
      <c r="N25" s="143"/>
      <c r="P25" s="155"/>
      <c r="Q25" s="155"/>
      <c r="S25" s="154">
        <f t="shared" si="1"/>
        <v>0</v>
      </c>
    </row>
    <row r="26" spans="1:19" ht="16.5" customHeight="1" x14ac:dyDescent="0.3">
      <c r="A26" s="54"/>
      <c r="C26" s="20"/>
      <c r="D26" s="20"/>
      <c r="E26" s="20"/>
      <c r="F26" s="127"/>
      <c r="G26" s="127"/>
      <c r="H26" s="22"/>
      <c r="I26" s="22"/>
      <c r="J26" s="107">
        <f>SUM(J15:J25)</f>
        <v>12111527</v>
      </c>
      <c r="K26" s="107">
        <f>SUM(K15:K25)</f>
        <v>12111527</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2271815</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2271815</v>
      </c>
    </row>
    <row r="59" spans="1:16" ht="16.5" customHeight="1" x14ac:dyDescent="0.3">
      <c r="A59" s="54"/>
      <c r="C59" s="16"/>
      <c r="D59" s="16"/>
      <c r="E59" s="16"/>
      <c r="F59" s="17"/>
      <c r="G59" s="17"/>
      <c r="H59" s="18"/>
      <c r="I59" s="18"/>
      <c r="J59" s="107">
        <f>SUM(J55:J58)</f>
        <v>2271815</v>
      </c>
      <c r="K59" s="107">
        <f>SUM(K55:K58)</f>
        <v>2271815</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2296677</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62545</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2359222</v>
      </c>
    </row>
    <row r="65" spans="1:12" ht="16.5" customHeight="1" x14ac:dyDescent="0.3">
      <c r="A65" s="54"/>
      <c r="C65" s="16"/>
      <c r="D65" s="16"/>
      <c r="E65" s="16"/>
      <c r="F65" s="17"/>
      <c r="G65" s="17"/>
      <c r="H65" s="18"/>
      <c r="I65" s="18"/>
      <c r="J65" s="107">
        <f>SUM(J62:J64)</f>
        <v>2359222</v>
      </c>
      <c r="K65" s="107">
        <f>SUM(K62:K64)</f>
        <v>2359222</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2296677</v>
      </c>
      <c r="K68" s="144"/>
    </row>
    <row r="69" spans="1:12" ht="16.5" customHeight="1" x14ac:dyDescent="0.3">
      <c r="A69" s="54"/>
      <c r="B69" s="9"/>
      <c r="C69" s="9" t="s">
        <v>186</v>
      </c>
      <c r="D69" s="140"/>
      <c r="E69" s="140"/>
      <c r="F69" s="141"/>
      <c r="G69" s="141"/>
      <c r="H69" s="142"/>
      <c r="I69" s="142"/>
      <c r="J69" s="144"/>
      <c r="K69" s="143">
        <v>2296677</v>
      </c>
    </row>
    <row r="70" spans="1:12" ht="16.5" customHeight="1" x14ac:dyDescent="0.3">
      <c r="A70" s="54"/>
      <c r="C70" s="16"/>
      <c r="D70" s="16"/>
      <c r="E70" s="16"/>
      <c r="F70" s="17"/>
      <c r="G70" s="17"/>
      <c r="H70" s="18"/>
      <c r="I70" s="18"/>
      <c r="J70" s="107">
        <f>SUM(J68:J69)</f>
        <v>2296677</v>
      </c>
      <c r="K70" s="107">
        <f>SUM(K68:K69)</f>
        <v>2296677</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2193701</v>
      </c>
      <c r="K75" s="144"/>
    </row>
    <row r="76" spans="1:12" ht="16.5" customHeight="1" x14ac:dyDescent="0.3">
      <c r="A76" s="54"/>
      <c r="B76" s="9"/>
      <c r="C76" s="9" t="s">
        <v>194</v>
      </c>
      <c r="D76" s="140"/>
      <c r="E76" s="140"/>
      <c r="F76" s="141"/>
      <c r="G76" s="141"/>
      <c r="H76" s="142"/>
      <c r="I76" s="142"/>
      <c r="J76" s="144"/>
      <c r="K76" s="143">
        <v>2193701</v>
      </c>
    </row>
    <row r="77" spans="1:12" ht="16.5" customHeight="1" x14ac:dyDescent="0.25">
      <c r="A77" s="54"/>
      <c r="B77" s="193" t="s">
        <v>1735</v>
      </c>
      <c r="C77" s="193"/>
      <c r="D77" s="193"/>
      <c r="E77" s="193"/>
      <c r="F77" s="193"/>
      <c r="G77" s="193"/>
      <c r="H77" s="193"/>
      <c r="I77" s="193"/>
      <c r="J77" s="107">
        <f>SUM(J75:J76)</f>
        <v>2193701</v>
      </c>
      <c r="K77" s="107">
        <f>SUM(K75:K76)</f>
        <v>2193701</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12075331</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-4510048</v>
      </c>
    </row>
    <row r="128" spans="1:12" ht="16.5" customHeight="1" x14ac:dyDescent="0.3">
      <c r="D128" s="140" t="s">
        <v>1657</v>
      </c>
      <c r="H128" s="10"/>
      <c r="K128" s="169">
        <f>-K23-K48+J68+J75+J96-K113</f>
        <v>-5379434</v>
      </c>
    </row>
    <row r="129" spans="4:11" ht="16.5" customHeight="1" x14ac:dyDescent="0.3">
      <c r="D129" s="140" t="s">
        <v>1658</v>
      </c>
      <c r="H129" s="10"/>
      <c r="K129" s="169">
        <f>-K76</f>
        <v>-2193701</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00000000-0002-0000-0F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F00-000001000000}">
      <formula1>0</formula1>
    </dataValidation>
    <dataValidation operator="lessThan" allowBlank="1" showInputMessage="1" showErrorMessage="1" sqref="A3:A8" xr:uid="{00000000-0002-0000-0F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3000000}">
          <x14:formula1>
            <xm:f>'H:\DESKTOP\FR Documents\23-24\[BLANK GASB_87_Annual_Reporting_Submission_Workbook_V2.xlsx]Drop Down Menus'!#REF!</xm:f>
          </x14:formula1>
          <xm:sqref>F3 F7:F8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59999389629810485"/>
    <pageSetUpPr fitToPage="1"/>
  </sheetPr>
  <dimension ref="A1:S193"/>
  <sheetViews>
    <sheetView zoomScale="70" zoomScaleNormal="70" workbookViewId="0">
      <selection activeCell="S72" sqref="S72"/>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1008</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Fund",VLOOKUP(F5,[2]qryIndex02a!$A$2:$K$654,4,FALSE)),"Unidentified")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1451723</v>
      </c>
      <c r="M17" s="143">
        <v>1451723</v>
      </c>
      <c r="P17" s="143">
        <v>880696</v>
      </c>
      <c r="Q17" s="155"/>
      <c r="S17" s="154">
        <f t="shared" si="0"/>
        <v>-571027</v>
      </c>
    </row>
    <row r="18" spans="1:19" ht="16.5" customHeight="1" x14ac:dyDescent="0.3">
      <c r="A18" s="54"/>
      <c r="B18" s="9" t="s">
        <v>169</v>
      </c>
      <c r="C18" s="9"/>
      <c r="D18" s="9"/>
      <c r="E18" s="140"/>
      <c r="F18" s="141"/>
      <c r="G18" s="141"/>
      <c r="H18" s="142"/>
      <c r="I18" s="142"/>
      <c r="J18" s="178">
        <f>P18</f>
        <v>0</v>
      </c>
      <c r="M18" s="143">
        <v>1514</v>
      </c>
      <c r="P18" s="152">
        <f>IF(SUM($Q$20:$Q$23)&gt;SUM($P$15:$P$17),SUM($Q$20:$Q$23)-SUM($P$15:$P$17),0)</f>
        <v>0</v>
      </c>
      <c r="Q18" s="155"/>
      <c r="S18" s="154">
        <f t="shared" si="0"/>
        <v>-1514</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162401</v>
      </c>
      <c r="N22" s="143">
        <v>162401</v>
      </c>
      <c r="P22" s="155"/>
      <c r="Q22" s="143">
        <v>85481</v>
      </c>
      <c r="S22" s="154">
        <f t="shared" ref="S22:S25" si="1">Q22-N22</f>
        <v>-76920</v>
      </c>
    </row>
    <row r="23" spans="1:19" ht="16.5" customHeight="1" x14ac:dyDescent="0.3">
      <c r="A23" s="165" t="s">
        <v>1646</v>
      </c>
      <c r="B23" s="9"/>
      <c r="C23" s="9" t="s">
        <v>174</v>
      </c>
      <c r="D23" s="9"/>
      <c r="E23" s="140"/>
      <c r="F23" s="141"/>
      <c r="G23" s="141"/>
      <c r="H23" s="142"/>
      <c r="I23" s="142"/>
      <c r="J23" s="150"/>
      <c r="K23" s="178">
        <f>N23</f>
        <v>1245827</v>
      </c>
      <c r="N23" s="143">
        <v>1245827</v>
      </c>
      <c r="P23" s="155"/>
      <c r="Q23" s="143">
        <v>782017</v>
      </c>
      <c r="S23" s="154">
        <f t="shared" si="1"/>
        <v>-463810</v>
      </c>
    </row>
    <row r="24" spans="1:19" ht="16.5" customHeight="1" x14ac:dyDescent="0.3">
      <c r="A24" s="54"/>
      <c r="B24" s="9"/>
      <c r="C24" s="9" t="s">
        <v>176</v>
      </c>
      <c r="D24" s="9"/>
      <c r="E24" s="140"/>
      <c r="F24" s="141"/>
      <c r="G24" s="141"/>
      <c r="H24" s="142"/>
      <c r="I24" s="142"/>
      <c r="J24" s="150"/>
      <c r="K24" s="178">
        <f>Q24</f>
        <v>13198</v>
      </c>
      <c r="N24" s="143">
        <v>45009</v>
      </c>
      <c r="P24" s="155"/>
      <c r="Q24" s="152">
        <f>IF(SUM($Q$20:$Q$23)&lt;SUM($P$15:$P$17),-SUM($Q$20:$Q$23)+SUM($P$15:$P$17),0)</f>
        <v>13198</v>
      </c>
      <c r="S24" s="154">
        <f t="shared" si="1"/>
        <v>-31811</v>
      </c>
    </row>
    <row r="25" spans="1:19" ht="16.5" customHeight="1" x14ac:dyDescent="0.3">
      <c r="A25" s="54"/>
      <c r="B25" s="9"/>
      <c r="C25" s="9" t="s">
        <v>177</v>
      </c>
      <c r="D25" s="9"/>
      <c r="E25" s="140"/>
      <c r="F25" s="141"/>
      <c r="G25" s="141"/>
      <c r="H25" s="142"/>
      <c r="I25" s="142"/>
      <c r="J25" s="150"/>
      <c r="K25" s="178">
        <f>IF(SUM($K$20:$K$24)&lt;SUM($J$15:$J$18),-SUM($K$20:$K$24)+SUM($J$15:$J$18),0)</f>
        <v>30297</v>
      </c>
      <c r="N25" s="143"/>
      <c r="P25" s="155"/>
      <c r="Q25" s="155"/>
      <c r="S25" s="154">
        <f t="shared" si="1"/>
        <v>0</v>
      </c>
    </row>
    <row r="26" spans="1:19" ht="16.5" customHeight="1" x14ac:dyDescent="0.3">
      <c r="A26" s="54"/>
      <c r="C26" s="20"/>
      <c r="D26" s="20"/>
      <c r="E26" s="20"/>
      <c r="F26" s="127"/>
      <c r="G26" s="127"/>
      <c r="H26" s="22"/>
      <c r="I26" s="22"/>
      <c r="J26" s="107">
        <f>SUM(J15:J25)</f>
        <v>1451723</v>
      </c>
      <c r="K26" s="107">
        <f>SUM(K15:K25)</f>
        <v>1451723</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ADJ)",VLOOKUP($F$9,'[2]Drop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199373</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199373</v>
      </c>
    </row>
    <row r="59" spans="1:16" ht="16.5" customHeight="1" x14ac:dyDescent="0.3">
      <c r="A59" s="54"/>
      <c r="C59" s="16"/>
      <c r="D59" s="16"/>
      <c r="E59" s="16"/>
      <c r="F59" s="17"/>
      <c r="G59" s="17"/>
      <c r="H59" s="18"/>
      <c r="I59" s="18"/>
      <c r="J59" s="107">
        <f>SUM(J55:J58)</f>
        <v>199373</v>
      </c>
      <c r="K59" s="107">
        <f>SUM(K55:K58)</f>
        <v>199373</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237045</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6896</v>
      </c>
      <c r="K63" s="147"/>
    </row>
    <row r="64" spans="1:16" ht="16.5" customHeight="1" x14ac:dyDescent="0.3">
      <c r="A64" s="54"/>
      <c r="B64" s="9"/>
      <c r="C64" s="9" t="str">
        <f>IF($F$7="Proprietary","Cr: Acct 0870 - SERVICES &amp; CHARGES (MG ADJ)",VLOOKUP($F$9,'[2]Drop Down Menus'!$F$2:$G$10,2,FALSE))</f>
        <v>Cr: Acct 0808 - GENERAL GOV. (GAAP ADJ)</v>
      </c>
      <c r="D64" s="140"/>
      <c r="E64" s="140"/>
      <c r="F64" s="141"/>
      <c r="G64" s="141"/>
      <c r="H64" s="142"/>
      <c r="I64" s="142"/>
      <c r="J64" s="147"/>
      <c r="K64" s="143">
        <v>243941</v>
      </c>
    </row>
    <row r="65" spans="1:12" ht="16.5" customHeight="1" x14ac:dyDescent="0.3">
      <c r="A65" s="54"/>
      <c r="C65" s="16"/>
      <c r="D65" s="16"/>
      <c r="E65" s="16"/>
      <c r="F65" s="17"/>
      <c r="G65" s="17"/>
      <c r="H65" s="18"/>
      <c r="I65" s="18"/>
      <c r="J65" s="107">
        <f>SUM(J62:J64)</f>
        <v>243941</v>
      </c>
      <c r="K65" s="107">
        <f>SUM(K62:K64)</f>
        <v>243941</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237045</v>
      </c>
      <c r="K68" s="144"/>
    </row>
    <row r="69" spans="1:12" ht="16.5" customHeight="1" x14ac:dyDescent="0.3">
      <c r="A69" s="54"/>
      <c r="B69" s="9"/>
      <c r="C69" s="9" t="s">
        <v>186</v>
      </c>
      <c r="D69" s="140"/>
      <c r="E69" s="140"/>
      <c r="F69" s="141"/>
      <c r="G69" s="141"/>
      <c r="H69" s="142"/>
      <c r="I69" s="142"/>
      <c r="J69" s="144"/>
      <c r="K69" s="143">
        <v>237045</v>
      </c>
    </row>
    <row r="70" spans="1:12" ht="16.5" customHeight="1" x14ac:dyDescent="0.3">
      <c r="A70" s="54"/>
      <c r="C70" s="16"/>
      <c r="D70" s="16"/>
      <c r="E70" s="16"/>
      <c r="F70" s="17"/>
      <c r="G70" s="17"/>
      <c r="H70" s="18"/>
      <c r="I70" s="18"/>
      <c r="J70" s="107">
        <f>SUM(J68:J69)</f>
        <v>237045</v>
      </c>
      <c r="K70" s="107">
        <f>SUM(K68:K69)</f>
        <v>237045</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233704</v>
      </c>
      <c r="K75" s="144"/>
    </row>
    <row r="76" spans="1:12" ht="16.5" customHeight="1" x14ac:dyDescent="0.3">
      <c r="A76" s="54"/>
      <c r="B76" s="9"/>
      <c r="C76" s="9" t="s">
        <v>194</v>
      </c>
      <c r="D76" s="140"/>
      <c r="E76" s="140"/>
      <c r="F76" s="141"/>
      <c r="G76" s="141"/>
      <c r="H76" s="142"/>
      <c r="I76" s="142"/>
      <c r="J76" s="144"/>
      <c r="K76" s="143">
        <v>233704</v>
      </c>
    </row>
    <row r="77" spans="1:12" ht="16.5" customHeight="1" x14ac:dyDescent="0.25">
      <c r="A77" s="54"/>
      <c r="B77" s="193" t="s">
        <v>1735</v>
      </c>
      <c r="C77" s="193"/>
      <c r="D77" s="193"/>
      <c r="E77" s="193"/>
      <c r="F77" s="193"/>
      <c r="G77" s="193"/>
      <c r="H77" s="193"/>
      <c r="I77" s="193"/>
      <c r="J77" s="107">
        <f>SUM(J75:J76)</f>
        <v>233704</v>
      </c>
      <c r="K77" s="107">
        <f>SUM(K75:K76)</f>
        <v>233704</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ADJ)",VLOOKUP($F$9,'[2]Drop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ADJ)",VLOOKUP($F$9,'[2]Drop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1451723</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-361774</v>
      </c>
    </row>
    <row r="128" spans="1:12" ht="16.5" customHeight="1" x14ac:dyDescent="0.3">
      <c r="D128" s="140" t="s">
        <v>1657</v>
      </c>
      <c r="H128" s="10"/>
      <c r="K128" s="169">
        <f>-K23-K48+J68+J75+J96-K113</f>
        <v>-775078</v>
      </c>
    </row>
    <row r="129" spans="4:11" ht="16.5" customHeight="1" x14ac:dyDescent="0.3">
      <c r="D129" s="140" t="s">
        <v>1658</v>
      </c>
      <c r="H129" s="10"/>
      <c r="K129" s="169">
        <f>-K76</f>
        <v>-233704</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00000000-0002-0000-10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1000-000001000000}">
      <formula1>0</formula1>
    </dataValidation>
    <dataValidation operator="lessThan" allowBlank="1" showInputMessage="1" showErrorMessage="1" sqref="A3:A8" xr:uid="{00000000-0002-0000-10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3000000}">
          <x14:formula1>
            <xm:f>'H:\DESKTOP\FR Documents\23-24\[BLANK GASB_87_Annual_Reporting_Submission_Workbook_V2.xlsx]Drop Down Menus'!#REF!</xm:f>
          </x14:formula1>
          <xm:sqref>F3 F7:F8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tint="0.59999389629810485"/>
    <pageSetUpPr fitToPage="1"/>
  </sheetPr>
  <dimension ref="A1:S193"/>
  <sheetViews>
    <sheetView zoomScale="70" zoomScaleNormal="70" workbookViewId="0">
      <selection activeCell="S89" sqref="S89"/>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3016</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Fund",VLOOKUP(F5,[3]qryIndex02a!$A$2:$K$654,4,FALSE)),"Unidentified")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1010026</v>
      </c>
      <c r="M17" s="143">
        <v>1010026</v>
      </c>
      <c r="P17" s="143"/>
      <c r="Q17" s="155"/>
      <c r="S17" s="154">
        <f t="shared" si="0"/>
        <v>-1010026</v>
      </c>
    </row>
    <row r="18" spans="1:19" ht="16.5" customHeight="1" x14ac:dyDescent="0.3">
      <c r="A18" s="54"/>
      <c r="B18" s="9" t="s">
        <v>169</v>
      </c>
      <c r="C18" s="9"/>
      <c r="D18" s="9"/>
      <c r="E18" s="140"/>
      <c r="F18" s="141"/>
      <c r="G18" s="141"/>
      <c r="H18" s="142"/>
      <c r="I18" s="142"/>
      <c r="J18" s="178">
        <f>P18</f>
        <v>0</v>
      </c>
      <c r="M18" s="143">
        <v>6657</v>
      </c>
      <c r="P18" s="152">
        <f>IF(SUM($Q$20:$Q$23)&gt;SUM($P$15:$P$17),SUM($Q$20:$Q$23)-SUM($P$15:$P$17),0)</f>
        <v>0</v>
      </c>
      <c r="Q18" s="155"/>
      <c r="S18" s="154">
        <f t="shared" si="0"/>
        <v>-6657</v>
      </c>
    </row>
    <row r="19" spans="1:19" ht="16.5" customHeight="1" x14ac:dyDescent="0.3">
      <c r="A19" s="54"/>
      <c r="B19" s="9" t="s">
        <v>170</v>
      </c>
      <c r="C19" s="9"/>
      <c r="D19" s="9"/>
      <c r="E19" s="140"/>
      <c r="F19" s="141"/>
      <c r="G19" s="141"/>
      <c r="H19" s="142"/>
      <c r="I19" s="142"/>
      <c r="J19" s="178">
        <f>IF(SUM($K$20:$K$24)&gt;SUM($J$15:$J$18),SUM($K$20:$K$24)-SUM($J$15:$J$18),0)</f>
        <v>6656.2918999998365</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367281.98099999997</v>
      </c>
      <c r="N22" s="143">
        <v>367281.98099999997</v>
      </c>
      <c r="P22" s="155"/>
      <c r="Q22" s="143"/>
      <c r="S22" s="154">
        <f t="shared" ref="S22:S25" si="1">Q22-N22</f>
        <v>-367281.98099999997</v>
      </c>
    </row>
    <row r="23" spans="1:19" ht="16.5" customHeight="1" x14ac:dyDescent="0.3">
      <c r="A23" s="165" t="s">
        <v>1646</v>
      </c>
      <c r="B23" s="9"/>
      <c r="C23" s="9" t="s">
        <v>174</v>
      </c>
      <c r="D23" s="9"/>
      <c r="E23" s="140"/>
      <c r="F23" s="141"/>
      <c r="G23" s="141"/>
      <c r="H23" s="142"/>
      <c r="I23" s="142"/>
      <c r="J23" s="150"/>
      <c r="K23" s="178">
        <f>N23</f>
        <v>649400.31089999992</v>
      </c>
      <c r="N23" s="143">
        <v>649400.31089999992</v>
      </c>
      <c r="P23" s="155"/>
      <c r="Q23" s="143"/>
      <c r="S23" s="154">
        <f t="shared" si="1"/>
        <v>-649400.31089999992</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1016682.2918999998</v>
      </c>
      <c r="K26" s="107">
        <f>SUM(K15:K25)</f>
        <v>1016682.2918999998</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ADJ)",VLOOKUP($F$9,'[3]Drop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367281.98099999997</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367281.98099999997</v>
      </c>
    </row>
    <row r="59" spans="1:16" ht="16.5" customHeight="1" x14ac:dyDescent="0.3">
      <c r="A59" s="54"/>
      <c r="C59" s="16"/>
      <c r="D59" s="16"/>
      <c r="E59" s="16"/>
      <c r="F59" s="17"/>
      <c r="G59" s="17"/>
      <c r="H59" s="18"/>
      <c r="I59" s="18"/>
      <c r="J59" s="107">
        <f>SUM(J55:J58)</f>
        <v>367281.98099999997</v>
      </c>
      <c r="K59" s="107">
        <f>SUM(K55:K58)</f>
        <v>367281.98099999997</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368468.94809999998</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962.50439999999992</v>
      </c>
      <c r="K63" s="147"/>
    </row>
    <row r="64" spans="1:16" ht="16.5" customHeight="1" x14ac:dyDescent="0.3">
      <c r="A64" s="54"/>
      <c r="B64" s="9"/>
      <c r="C64" s="9" t="str">
        <f>IF($F$7="Proprietary","Cr: Acct 0870 - SERVICES &amp; CHARGES (MG ADJ)",VLOOKUP($F$9,'[3]Drop Down Menus'!$F$2:$G$10,2,FALSE))</f>
        <v>Cr: Acct 0808 - GENERAL GOV. (GAAP ADJ)</v>
      </c>
      <c r="D64" s="140"/>
      <c r="E64" s="140"/>
      <c r="F64" s="141"/>
      <c r="G64" s="141"/>
      <c r="H64" s="142"/>
      <c r="I64" s="142"/>
      <c r="J64" s="147"/>
      <c r="K64" s="143">
        <v>369431.45249999996</v>
      </c>
    </row>
    <row r="65" spans="1:12" ht="16.5" customHeight="1" x14ac:dyDescent="0.3">
      <c r="A65" s="54"/>
      <c r="C65" s="16"/>
      <c r="D65" s="16"/>
      <c r="E65" s="16"/>
      <c r="F65" s="17"/>
      <c r="G65" s="17"/>
      <c r="H65" s="18"/>
      <c r="I65" s="18"/>
      <c r="J65" s="107">
        <f>SUM(J62:J64)</f>
        <v>369431.45249999996</v>
      </c>
      <c r="K65" s="107">
        <f>SUM(K62:K64)</f>
        <v>369431.45249999996</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368468.94809999998</v>
      </c>
      <c r="K68" s="144"/>
    </row>
    <row r="69" spans="1:12" ht="16.5" customHeight="1" x14ac:dyDescent="0.3">
      <c r="A69" s="54"/>
      <c r="B69" s="9"/>
      <c r="C69" s="9" t="s">
        <v>186</v>
      </c>
      <c r="D69" s="140"/>
      <c r="E69" s="140"/>
      <c r="F69" s="141"/>
      <c r="G69" s="141"/>
      <c r="H69" s="142"/>
      <c r="I69" s="142"/>
      <c r="J69" s="144"/>
      <c r="K69" s="143">
        <v>368468.94809999998</v>
      </c>
    </row>
    <row r="70" spans="1:12" ht="16.5" customHeight="1" x14ac:dyDescent="0.3">
      <c r="A70" s="54"/>
      <c r="C70" s="16"/>
      <c r="D70" s="16"/>
      <c r="E70" s="16"/>
      <c r="F70" s="17"/>
      <c r="G70" s="17"/>
      <c r="H70" s="18"/>
      <c r="I70" s="18"/>
      <c r="J70" s="107">
        <f>SUM(J68:J69)</f>
        <v>368468.94809999998</v>
      </c>
      <c r="K70" s="107">
        <f>SUM(K68:K69)</f>
        <v>368468.94809999998</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280931.3628</v>
      </c>
      <c r="K75" s="144"/>
    </row>
    <row r="76" spans="1:12" ht="16.5" customHeight="1" x14ac:dyDescent="0.3">
      <c r="A76" s="54"/>
      <c r="B76" s="9"/>
      <c r="C76" s="9" t="s">
        <v>194</v>
      </c>
      <c r="D76" s="140"/>
      <c r="E76" s="140"/>
      <c r="F76" s="141"/>
      <c r="G76" s="141"/>
      <c r="H76" s="142"/>
      <c r="I76" s="142"/>
      <c r="J76" s="144"/>
      <c r="K76" s="143">
        <v>280931.3628</v>
      </c>
    </row>
    <row r="77" spans="1:12" ht="16.5" customHeight="1" x14ac:dyDescent="0.25">
      <c r="A77" s="54"/>
      <c r="B77" s="193" t="s">
        <v>1735</v>
      </c>
      <c r="C77" s="193"/>
      <c r="D77" s="193"/>
      <c r="E77" s="193"/>
      <c r="F77" s="193"/>
      <c r="G77" s="193"/>
      <c r="H77" s="193"/>
      <c r="I77" s="193"/>
      <c r="J77" s="107">
        <f>SUM(J75:J76)</f>
        <v>280931.3628</v>
      </c>
      <c r="K77" s="107">
        <f>SUM(K75:K76)</f>
        <v>280931.3628</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ADJ)",VLOOKUP($F$9,'[3]Drop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ADJ)",VLOOKUP($F$9,'[3]Drop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1010026</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-734563.96199999994</v>
      </c>
    </row>
    <row r="128" spans="1:12" ht="16.5" customHeight="1" x14ac:dyDescent="0.3">
      <c r="D128" s="140" t="s">
        <v>1657</v>
      </c>
      <c r="H128" s="10"/>
      <c r="K128" s="169">
        <f>-K23-K48+J68+J75+J96-K113</f>
        <v>5.8207660913467407E-11</v>
      </c>
    </row>
    <row r="129" spans="4:11" ht="16.5" customHeight="1" x14ac:dyDescent="0.3">
      <c r="D129" s="140" t="s">
        <v>1658</v>
      </c>
      <c r="H129" s="10"/>
      <c r="K129" s="169">
        <f>-K76</f>
        <v>-280931.3628</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00000000-0002-0000-11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1100-000001000000}">
      <formula1>0</formula1>
    </dataValidation>
    <dataValidation operator="lessThan" allowBlank="1" showInputMessage="1" showErrorMessage="1" sqref="A3:A8" xr:uid="{00000000-0002-0000-11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59999389629810485"/>
    <pageSetUpPr fitToPage="1"/>
  </sheetPr>
  <dimension ref="A1:S193"/>
  <sheetViews>
    <sheetView topLeftCell="A6" zoomScale="70" zoomScaleNormal="70" workbookViewId="0">
      <selection activeCell="W60" sqref="W60"/>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3053</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Fund",VLOOKUP(F5,[4]qryIndex02a!$A$2:$K$654,4,FALSE)),"Unidentified")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325481.46448074142</v>
      </c>
      <c r="M17" s="143">
        <v>325481.46448074142</v>
      </c>
      <c r="P17" s="143">
        <v>389253</v>
      </c>
      <c r="Q17" s="155"/>
      <c r="S17" s="154">
        <f t="shared" si="0"/>
        <v>63771.535519258585</v>
      </c>
    </row>
    <row r="18" spans="1:19" ht="16.5" customHeight="1" x14ac:dyDescent="0.3">
      <c r="A18" s="54"/>
      <c r="B18" s="9" t="s">
        <v>169</v>
      </c>
      <c r="C18" s="9"/>
      <c r="D18" s="9"/>
      <c r="E18" s="140"/>
      <c r="F18" s="141"/>
      <c r="G18" s="141"/>
      <c r="H18" s="142"/>
      <c r="I18" s="142"/>
      <c r="J18" s="178">
        <f>P18</f>
        <v>4626</v>
      </c>
      <c r="M18" s="143">
        <v>3868.5600044396115</v>
      </c>
      <c r="P18" s="152">
        <f>IF(SUM($Q$20:$Q$23)&gt;SUM($P$15:$P$17),SUM($Q$20:$Q$23)-SUM($P$15:$P$17),0)</f>
        <v>4626</v>
      </c>
      <c r="Q18" s="155"/>
      <c r="S18" s="154">
        <f t="shared" si="0"/>
        <v>757.43999556038852</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55796.826424678402</v>
      </c>
      <c r="N22" s="143">
        <v>55796.826424678402</v>
      </c>
      <c r="P22" s="155"/>
      <c r="Q22" s="143">
        <v>66729</v>
      </c>
      <c r="S22" s="154">
        <f t="shared" ref="S22:S25" si="1">Q22-N22</f>
        <v>10932.173575321598</v>
      </c>
    </row>
    <row r="23" spans="1:19" ht="16.5" customHeight="1" x14ac:dyDescent="0.3">
      <c r="A23" s="165" t="s">
        <v>1646</v>
      </c>
      <c r="B23" s="9"/>
      <c r="C23" s="9" t="s">
        <v>174</v>
      </c>
      <c r="D23" s="9"/>
      <c r="E23" s="140"/>
      <c r="F23" s="141"/>
      <c r="G23" s="141"/>
      <c r="H23" s="142"/>
      <c r="I23" s="142"/>
      <c r="J23" s="150"/>
      <c r="K23" s="178">
        <f>N23</f>
        <v>273553.19806050265</v>
      </c>
      <c r="N23" s="143">
        <v>273553.19806050265</v>
      </c>
      <c r="P23" s="155"/>
      <c r="Q23" s="143">
        <v>327150</v>
      </c>
      <c r="S23" s="154">
        <f t="shared" si="1"/>
        <v>53596.801939497353</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757.43999556038762</v>
      </c>
      <c r="N25" s="143"/>
      <c r="P25" s="155"/>
      <c r="Q25" s="155"/>
      <c r="S25" s="154">
        <f t="shared" si="1"/>
        <v>0</v>
      </c>
    </row>
    <row r="26" spans="1:19" ht="16.5" customHeight="1" x14ac:dyDescent="0.3">
      <c r="A26" s="54"/>
      <c r="C26" s="20"/>
      <c r="D26" s="20"/>
      <c r="E26" s="20"/>
      <c r="F26" s="127"/>
      <c r="G26" s="127"/>
      <c r="H26" s="22"/>
      <c r="I26" s="22"/>
      <c r="J26" s="107">
        <f>SUM(J15:J25)</f>
        <v>330107.46448074142</v>
      </c>
      <c r="K26" s="107">
        <f>SUM(K15:K25)</f>
        <v>330107.46448074142</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ADJ)",VLOOKUP($F$9,'[4]Drop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55796.826424678402</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55796.826424678402</v>
      </c>
    </row>
    <row r="59" spans="1:16" ht="16.5" customHeight="1" x14ac:dyDescent="0.3">
      <c r="A59" s="54"/>
      <c r="C59" s="16"/>
      <c r="D59" s="16"/>
      <c r="E59" s="16"/>
      <c r="F59" s="17"/>
      <c r="G59" s="17"/>
      <c r="H59" s="18"/>
      <c r="I59" s="18"/>
      <c r="J59" s="107">
        <f>SUM(J55:J58)</f>
        <v>55796.826424678402</v>
      </c>
      <c r="K59" s="107">
        <f>SUM(K55:K58)</f>
        <v>55796.826424678402</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53627</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2241</v>
      </c>
      <c r="K63" s="147"/>
    </row>
    <row r="64" spans="1:16" ht="16.5" customHeight="1" x14ac:dyDescent="0.3">
      <c r="A64" s="54"/>
      <c r="B64" s="9"/>
      <c r="C64" s="9" t="str">
        <f>IF($F$7="Proprietary","Cr: Acct 0870 - SERVICES &amp; CHARGES (MG ADJ)",VLOOKUP($F$9,'[4]Drop Down Menus'!$F$2:$G$10,2,FALSE))</f>
        <v>Cr: Acct 0808 - GENERAL GOV. (GAAP ADJ)</v>
      </c>
      <c r="D64" s="140"/>
      <c r="E64" s="140"/>
      <c r="F64" s="141"/>
      <c r="G64" s="141"/>
      <c r="H64" s="142"/>
      <c r="I64" s="142"/>
      <c r="J64" s="147"/>
      <c r="K64" s="143">
        <v>55868</v>
      </c>
    </row>
    <row r="65" spans="1:12" ht="16.5" customHeight="1" x14ac:dyDescent="0.3">
      <c r="A65" s="54"/>
      <c r="C65" s="16"/>
      <c r="D65" s="16"/>
      <c r="E65" s="16"/>
      <c r="F65" s="17"/>
      <c r="G65" s="17"/>
      <c r="H65" s="18"/>
      <c r="I65" s="18"/>
      <c r="J65" s="107">
        <f>SUM(J62:J64)</f>
        <v>55868</v>
      </c>
      <c r="K65" s="107">
        <f>SUM(K62:K64)</f>
        <v>55868</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53627.331967490005</v>
      </c>
      <c r="K68" s="144"/>
    </row>
    <row r="69" spans="1:12" ht="16.5" customHeight="1" x14ac:dyDescent="0.3">
      <c r="A69" s="54"/>
      <c r="B69" s="9"/>
      <c r="C69" s="9" t="s">
        <v>186</v>
      </c>
      <c r="D69" s="140"/>
      <c r="E69" s="140"/>
      <c r="F69" s="141"/>
      <c r="G69" s="141"/>
      <c r="H69" s="142"/>
      <c r="I69" s="142"/>
      <c r="J69" s="144"/>
      <c r="K69" s="143">
        <v>53627.331967490005</v>
      </c>
    </row>
    <row r="70" spans="1:12" ht="16.5" customHeight="1" x14ac:dyDescent="0.3">
      <c r="A70" s="54"/>
      <c r="C70" s="16"/>
      <c r="D70" s="16"/>
      <c r="E70" s="16"/>
      <c r="F70" s="17"/>
      <c r="G70" s="17"/>
      <c r="H70" s="18"/>
      <c r="I70" s="18"/>
      <c r="J70" s="107">
        <f>SUM(J68:J69)</f>
        <v>53627.331967490005</v>
      </c>
      <c r="K70" s="107">
        <f>SUM(K68:K69)</f>
        <v>53627.331967490005</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54319.447612293588</v>
      </c>
      <c r="K75" s="144"/>
    </row>
    <row r="76" spans="1:12" ht="16.5" customHeight="1" x14ac:dyDescent="0.3">
      <c r="A76" s="54"/>
      <c r="B76" s="9"/>
      <c r="C76" s="9" t="s">
        <v>194</v>
      </c>
      <c r="D76" s="140"/>
      <c r="E76" s="140"/>
      <c r="F76" s="141"/>
      <c r="G76" s="141"/>
      <c r="H76" s="142"/>
      <c r="I76" s="142"/>
      <c r="J76" s="144"/>
      <c r="K76" s="143">
        <v>54319.447612293588</v>
      </c>
    </row>
    <row r="77" spans="1:12" ht="16.5" customHeight="1" x14ac:dyDescent="0.25">
      <c r="A77" s="54"/>
      <c r="B77" s="193" t="s">
        <v>1735</v>
      </c>
      <c r="C77" s="193"/>
      <c r="D77" s="193"/>
      <c r="E77" s="193"/>
      <c r="F77" s="193"/>
      <c r="G77" s="193"/>
      <c r="H77" s="193"/>
      <c r="I77" s="193"/>
      <c r="J77" s="107">
        <f>SUM(J75:J76)</f>
        <v>54319.447612293588</v>
      </c>
      <c r="K77" s="107">
        <f>SUM(K75:K76)</f>
        <v>54319.447612293588</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ADJ)",VLOOKUP($F$9,'[4]Drop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ADJ)",VLOOKUP($F$9,'[4]Drop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325481.46448074142</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-111593.6528493568</v>
      </c>
    </row>
    <row r="128" spans="1:12" ht="16.5" customHeight="1" x14ac:dyDescent="0.3">
      <c r="D128" s="140" t="s">
        <v>1657</v>
      </c>
      <c r="H128" s="10"/>
      <c r="K128" s="169">
        <f>-K23-K48+J68+J75+J96-K113</f>
        <v>-165606.41848071906</v>
      </c>
    </row>
    <row r="129" spans="4:11" ht="16.5" customHeight="1" x14ac:dyDescent="0.3">
      <c r="D129" s="140" t="s">
        <v>1658</v>
      </c>
      <c r="H129" s="10"/>
      <c r="K129" s="169">
        <f>-K76</f>
        <v>-54319.447612293588</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00000000-0002-0000-12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1200-000001000000}">
      <formula1>0</formula1>
    </dataValidation>
    <dataValidation type="textLength" operator="equal" allowBlank="1" showInputMessage="1" showErrorMessage="1" errorTitle="4-Digit Org Code" error="Enter the Org Code/BU as 4 digits." sqref="F5" xr:uid="{00000000-0002-0000-12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59999389629810485"/>
    <pageSetUpPr fitToPage="1"/>
  </sheetPr>
  <dimension ref="A1:S193"/>
  <sheetViews>
    <sheetView zoomScale="70" zoomScaleNormal="70" workbookViewId="0">
      <selection activeCell="N5" sqref="N5"/>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3086</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Fund",VLOOKUP(F5,[5]qryIndex02a!$A$2:$K$654,4,FALSE)),"Unidentified")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302775.046524</v>
      </c>
      <c r="M16" s="143">
        <v>302775.046524</v>
      </c>
      <c r="P16" s="143">
        <v>302879</v>
      </c>
      <c r="Q16" s="155"/>
      <c r="S16" s="154">
        <f t="shared" si="0"/>
        <v>103.95347599999513</v>
      </c>
    </row>
    <row r="17" spans="1:19" ht="16.5" customHeight="1" x14ac:dyDescent="0.3">
      <c r="A17" s="159" t="s">
        <v>1638</v>
      </c>
      <c r="B17" s="9" t="s">
        <v>173</v>
      </c>
      <c r="C17" s="9"/>
      <c r="D17" s="9"/>
      <c r="E17" s="140"/>
      <c r="F17" s="141"/>
      <c r="G17" s="141"/>
      <c r="H17" s="142"/>
      <c r="I17" s="142"/>
      <c r="J17" s="178">
        <f>M17</f>
        <v>17026830.123006407</v>
      </c>
      <c r="M17" s="143">
        <v>17026830.123006407</v>
      </c>
      <c r="P17" s="143">
        <v>16605011</v>
      </c>
      <c r="Q17" s="155"/>
      <c r="S17" s="154">
        <f t="shared" si="0"/>
        <v>-421819.12300640717</v>
      </c>
    </row>
    <row r="18" spans="1:19" ht="16.5" customHeight="1" x14ac:dyDescent="0.3">
      <c r="A18" s="54"/>
      <c r="B18" s="9" t="s">
        <v>169</v>
      </c>
      <c r="C18" s="9"/>
      <c r="D18" s="9"/>
      <c r="E18" s="140"/>
      <c r="F18" s="141"/>
      <c r="G18" s="141"/>
      <c r="H18" s="142"/>
      <c r="I18" s="142"/>
      <c r="J18" s="178">
        <f>P18</f>
        <v>164051</v>
      </c>
      <c r="M18" s="143">
        <v>167551.93133283852</v>
      </c>
      <c r="P18" s="152">
        <f>IF(SUM($Q$20:$Q$23)&gt;SUM($P$15:$P$17),SUM($Q$20:$Q$23)-SUM($P$15:$P$17),0)</f>
        <v>164051</v>
      </c>
      <c r="Q18" s="155"/>
      <c r="S18" s="154">
        <f t="shared" si="0"/>
        <v>-3500.9313328385178</v>
      </c>
    </row>
    <row r="19" spans="1:19" ht="16.5" customHeight="1" x14ac:dyDescent="0.3">
      <c r="A19" s="54"/>
      <c r="B19" s="9" t="s">
        <v>170</v>
      </c>
      <c r="C19" s="9"/>
      <c r="D19" s="9"/>
      <c r="E19" s="140"/>
      <c r="F19" s="141"/>
      <c r="G19" s="141"/>
      <c r="H19" s="142"/>
      <c r="I19" s="142"/>
      <c r="J19" s="178">
        <f>IF(SUM($K$20:$K$24)&gt;SUM($J$15:$J$18),SUM($K$20:$K$24)-SUM($J$15:$J$18),0)</f>
        <v>3584.5369072705507</v>
      </c>
      <c r="M19" s="143">
        <v>83.246337199999999</v>
      </c>
      <c r="P19" s="155"/>
      <c r="Q19" s="155"/>
      <c r="S19" s="154">
        <f t="shared" si="0"/>
        <v>-83.246337199999999</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60555.503034900001</v>
      </c>
      <c r="N21" s="143">
        <v>60555.503034900001</v>
      </c>
      <c r="P21" s="155"/>
      <c r="Q21" s="143">
        <v>60576</v>
      </c>
      <c r="S21" s="154">
        <f>Q21-N21</f>
        <v>20.496965099999215</v>
      </c>
    </row>
    <row r="22" spans="1:19" ht="16.5" customHeight="1" x14ac:dyDescent="0.3">
      <c r="A22" s="54"/>
      <c r="B22" s="9"/>
      <c r="C22" s="9" t="s">
        <v>179</v>
      </c>
      <c r="D22" s="9"/>
      <c r="E22" s="140"/>
      <c r="F22" s="141"/>
      <c r="G22" s="141"/>
      <c r="H22" s="142"/>
      <c r="I22" s="142"/>
      <c r="J22" s="150"/>
      <c r="K22" s="178">
        <f>N22</f>
        <v>6180584.3248730982</v>
      </c>
      <c r="N22" s="143">
        <v>6180584.3248730982</v>
      </c>
      <c r="P22" s="155"/>
      <c r="Q22" s="143">
        <v>6028337</v>
      </c>
      <c r="S22" s="154">
        <f t="shared" ref="S22:S25" si="1">Q22-N22</f>
        <v>-152247.32487309817</v>
      </c>
    </row>
    <row r="23" spans="1:19" ht="16.5" customHeight="1" x14ac:dyDescent="0.3">
      <c r="A23" s="165" t="s">
        <v>1646</v>
      </c>
      <c r="B23" s="9"/>
      <c r="C23" s="9" t="s">
        <v>174</v>
      </c>
      <c r="D23" s="9"/>
      <c r="E23" s="140"/>
      <c r="F23" s="141"/>
      <c r="G23" s="141"/>
      <c r="H23" s="142"/>
      <c r="I23" s="142"/>
      <c r="J23" s="150"/>
      <c r="K23" s="178">
        <f>N23</f>
        <v>11256100.878529681</v>
      </c>
      <c r="N23" s="143">
        <v>11256100.878529681</v>
      </c>
      <c r="P23" s="155"/>
      <c r="Q23" s="143">
        <v>10983028</v>
      </c>
      <c r="S23" s="154">
        <f t="shared" si="1"/>
        <v>-273072.87852968089</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17497240.706437677</v>
      </c>
      <c r="K26" s="107">
        <f>SUM(K15:K25)</f>
        <v>17497240.706437677</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464875.021894234</v>
      </c>
      <c r="K33" s="144"/>
    </row>
    <row r="34" spans="1:12" ht="16.5" customHeight="1" x14ac:dyDescent="0.3">
      <c r="A34" s="54"/>
      <c r="B34" s="9"/>
      <c r="C34" s="9" t="s">
        <v>1748</v>
      </c>
      <c r="D34" s="140"/>
      <c r="E34" s="140"/>
      <c r="F34" s="141"/>
      <c r="G34" s="141"/>
      <c r="H34" s="142"/>
      <c r="I34" s="142"/>
      <c r="J34" s="144"/>
      <c r="K34" s="143">
        <v>464875.021894234</v>
      </c>
    </row>
    <row r="35" spans="1:12" ht="16.5" customHeight="1" x14ac:dyDescent="0.3">
      <c r="A35" s="54"/>
      <c r="B35" s="9"/>
      <c r="C35" s="9" t="str">
        <f>IF($F$7="Proprietary","Cr: Acct 0870 - SERVICES &amp; CHARGES (MG ADJ)",VLOOKUP($F$9,'[5]Drop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464875.021894234</v>
      </c>
      <c r="K36" s="107">
        <f>SUM(K33:K35)</f>
        <v>464875.021894234</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464875.021894234</v>
      </c>
      <c r="K41" s="144"/>
    </row>
    <row r="42" spans="1:12" ht="16.5" customHeight="1" x14ac:dyDescent="0.3">
      <c r="A42" s="54"/>
      <c r="B42" s="9"/>
      <c r="C42" s="9" t="s">
        <v>181</v>
      </c>
      <c r="D42" s="140"/>
      <c r="E42" s="140"/>
      <c r="F42" s="141"/>
      <c r="G42" s="141"/>
      <c r="H42" s="142"/>
      <c r="I42" s="142"/>
      <c r="J42" s="144"/>
      <c r="K42" s="143">
        <v>464875.021894234</v>
      </c>
    </row>
    <row r="43" spans="1:12" ht="16.5" customHeight="1" x14ac:dyDescent="0.3">
      <c r="A43" s="54"/>
      <c r="B43" s="130" t="s">
        <v>1640</v>
      </c>
      <c r="C43" s="16"/>
      <c r="D43" s="16"/>
      <c r="E43" s="16"/>
      <c r="F43" s="17"/>
      <c r="G43" s="17"/>
      <c r="H43" s="18"/>
      <c r="I43" s="18"/>
      <c r="J43" s="107">
        <f>SUM(J39:J42)</f>
        <v>464875.021894234</v>
      </c>
      <c r="K43" s="107">
        <f>SUM(K39:K42)</f>
        <v>464875.021894234</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464875.021894234</v>
      </c>
      <c r="K47" s="144"/>
    </row>
    <row r="48" spans="1:12" ht="16.5" customHeight="1" x14ac:dyDescent="0.3">
      <c r="A48" s="165" t="s">
        <v>1646</v>
      </c>
      <c r="B48" s="9"/>
      <c r="C48" s="9" t="s">
        <v>174</v>
      </c>
      <c r="D48" s="140"/>
      <c r="E48" s="140"/>
      <c r="F48" s="141"/>
      <c r="G48" s="141"/>
      <c r="H48" s="142"/>
      <c r="I48" s="142"/>
      <c r="J48" s="144"/>
      <c r="K48" s="143">
        <v>464875.021894234</v>
      </c>
    </row>
    <row r="49" spans="1:16" ht="16.5" customHeight="1" x14ac:dyDescent="0.3">
      <c r="A49" s="54"/>
      <c r="C49" s="16"/>
      <c r="D49" s="16"/>
      <c r="E49" s="16"/>
      <c r="F49" s="17"/>
      <c r="G49" s="17"/>
      <c r="H49" s="18"/>
      <c r="I49" s="18"/>
      <c r="J49" s="107">
        <f>SUM(J47:J48)</f>
        <v>464875.021894234</v>
      </c>
      <c r="K49" s="107">
        <f>SUM(K47:K48)</f>
        <v>464875.021894234</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6265352.1604065979</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v>60555.503034900001</v>
      </c>
    </row>
    <row r="58" spans="1:16" ht="16.5" customHeight="1" x14ac:dyDescent="0.3">
      <c r="A58" s="54"/>
      <c r="B58" s="9"/>
      <c r="C58" s="9" t="s">
        <v>179</v>
      </c>
      <c r="D58" s="140"/>
      <c r="E58" s="140"/>
      <c r="F58" s="141"/>
      <c r="G58" s="141"/>
      <c r="H58" s="142"/>
      <c r="I58" s="142"/>
      <c r="J58" s="144"/>
      <c r="K58" s="143">
        <v>6204796.6573716979</v>
      </c>
    </row>
    <row r="59" spans="1:16" ht="16.5" customHeight="1" x14ac:dyDescent="0.3">
      <c r="A59" s="54"/>
      <c r="C59" s="16"/>
      <c r="D59" s="16"/>
      <c r="E59" s="16"/>
      <c r="F59" s="17"/>
      <c r="G59" s="17"/>
      <c r="H59" s="18"/>
      <c r="I59" s="18"/>
      <c r="J59" s="107">
        <f>SUM(J55:J58)</f>
        <v>6265352.1604065979</v>
      </c>
      <c r="K59" s="107">
        <f>SUM(K55:K58)</f>
        <v>6265352.1604065979</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6236645</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26063</v>
      </c>
      <c r="K63" s="147"/>
    </row>
    <row r="64" spans="1:16" ht="16.5" customHeight="1" x14ac:dyDescent="0.3">
      <c r="A64" s="54"/>
      <c r="B64" s="9"/>
      <c r="C64" s="9" t="str">
        <f>IF($F$7="Proprietary","Cr: Acct 0870 - SERVICES &amp; CHARGES (MG ADJ)",VLOOKUP($F$9,'[5]Drop Down Menus'!$F$2:$G$10,2,FALSE))</f>
        <v>Cr: Acct 0808 - GENERAL GOV. (GAAP ADJ)</v>
      </c>
      <c r="D64" s="140"/>
      <c r="E64" s="140"/>
      <c r="F64" s="141"/>
      <c r="G64" s="141"/>
      <c r="H64" s="142"/>
      <c r="I64" s="142"/>
      <c r="J64" s="147"/>
      <c r="K64" s="143">
        <v>6262708</v>
      </c>
    </row>
    <row r="65" spans="1:12" ht="16.5" customHeight="1" x14ac:dyDescent="0.3">
      <c r="A65" s="54"/>
      <c r="C65" s="16"/>
      <c r="D65" s="16"/>
      <c r="E65" s="16"/>
      <c r="F65" s="17"/>
      <c r="G65" s="17"/>
      <c r="H65" s="18"/>
      <c r="I65" s="18"/>
      <c r="J65" s="107">
        <f>SUM(J62:J64)</f>
        <v>6262708</v>
      </c>
      <c r="K65" s="107">
        <f>SUM(K62:K64)</f>
        <v>6262708</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6236644.5349139385</v>
      </c>
      <c r="K68" s="144"/>
    </row>
    <row r="69" spans="1:12" ht="16.5" customHeight="1" x14ac:dyDescent="0.3">
      <c r="A69" s="54"/>
      <c r="B69" s="9"/>
      <c r="C69" s="9" t="s">
        <v>186</v>
      </c>
      <c r="D69" s="140"/>
      <c r="E69" s="140"/>
      <c r="F69" s="141"/>
      <c r="G69" s="141"/>
      <c r="H69" s="142"/>
      <c r="I69" s="142"/>
      <c r="J69" s="144"/>
      <c r="K69" s="143">
        <v>6236644.5349139385</v>
      </c>
    </row>
    <row r="70" spans="1:12" ht="16.5" customHeight="1" x14ac:dyDescent="0.3">
      <c r="A70" s="54"/>
      <c r="C70" s="16"/>
      <c r="D70" s="16"/>
      <c r="E70" s="16"/>
      <c r="F70" s="17"/>
      <c r="G70" s="17"/>
      <c r="H70" s="18"/>
      <c r="I70" s="18"/>
      <c r="J70" s="107">
        <f>SUM(J68:J69)</f>
        <v>6236644.5349139385</v>
      </c>
      <c r="K70" s="107">
        <f>SUM(K68:K69)</f>
        <v>6236644.5349139385</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4799742.5119962711</v>
      </c>
      <c r="K75" s="144"/>
    </row>
    <row r="76" spans="1:12" ht="16.5" customHeight="1" x14ac:dyDescent="0.3">
      <c r="A76" s="54"/>
      <c r="B76" s="9"/>
      <c r="C76" s="9" t="s">
        <v>194</v>
      </c>
      <c r="D76" s="140"/>
      <c r="E76" s="140"/>
      <c r="F76" s="141"/>
      <c r="G76" s="141"/>
      <c r="H76" s="142"/>
      <c r="I76" s="142"/>
      <c r="J76" s="144"/>
      <c r="K76" s="143">
        <v>4799742.5119962711</v>
      </c>
    </row>
    <row r="77" spans="1:12" ht="16.5" customHeight="1" x14ac:dyDescent="0.25">
      <c r="A77" s="54"/>
      <c r="B77" s="193" t="s">
        <v>1735</v>
      </c>
      <c r="C77" s="193"/>
      <c r="D77" s="193"/>
      <c r="E77" s="193"/>
      <c r="F77" s="193"/>
      <c r="G77" s="193"/>
      <c r="H77" s="193"/>
      <c r="I77" s="193"/>
      <c r="J77" s="107">
        <f>SUM(J75:J76)</f>
        <v>4799742.5119962711</v>
      </c>
      <c r="K77" s="107">
        <f>SUM(K75:K76)</f>
        <v>4799742.5119962711</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ADJ)",VLOOKUP($F$9,'[5]Drop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ADJ)",VLOOKUP($F$9,'[5]Drop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302775.046524</v>
      </c>
    </row>
    <row r="124" spans="1:12" ht="16.5" customHeight="1" x14ac:dyDescent="0.3">
      <c r="D124" s="140" t="s">
        <v>1653</v>
      </c>
      <c r="H124" s="10"/>
      <c r="K124" s="169">
        <f>J17+J41-K90-K103+J112</f>
        <v>17491705.144900642</v>
      </c>
    </row>
    <row r="125" spans="1:12" ht="16.5" customHeight="1" x14ac:dyDescent="0.3">
      <c r="D125" s="140" t="s">
        <v>1654</v>
      </c>
      <c r="H125" s="10"/>
      <c r="K125" s="169">
        <f>-K20-K56+J85+J97</f>
        <v>0</v>
      </c>
    </row>
    <row r="126" spans="1:12" ht="16.5" customHeight="1" x14ac:dyDescent="0.3">
      <c r="D126" s="140" t="s">
        <v>1655</v>
      </c>
      <c r="H126" s="10"/>
      <c r="K126" s="169">
        <f>-K21-K57+J86+J98</f>
        <v>-121111.0060698</v>
      </c>
    </row>
    <row r="127" spans="1:12" ht="16.5" customHeight="1" x14ac:dyDescent="0.3">
      <c r="D127" s="140" t="s">
        <v>1656</v>
      </c>
      <c r="H127" s="10"/>
      <c r="K127" s="169">
        <f>-K22-K58+J87+J99</f>
        <v>-12385380.982244797</v>
      </c>
    </row>
    <row r="128" spans="1:12" ht="16.5" customHeight="1" x14ac:dyDescent="0.3">
      <c r="D128" s="140" t="s">
        <v>1657</v>
      </c>
      <c r="H128" s="10"/>
      <c r="K128" s="169">
        <f>-K23-K48+J68+J75+J96-K113</f>
        <v>-684588.85351370461</v>
      </c>
    </row>
    <row r="129" spans="4:11" ht="16.5" customHeight="1" x14ac:dyDescent="0.3">
      <c r="D129" s="140" t="s">
        <v>1658</v>
      </c>
      <c r="H129" s="10"/>
      <c r="K129" s="169">
        <f>-K76</f>
        <v>-4799742.5119962711</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00000000-0002-0000-1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1300-000001000000}">
      <formula1>0</formula1>
    </dataValidation>
    <dataValidation type="textLength" operator="equal" allowBlank="1" showInputMessage="1" showErrorMessage="1" errorTitle="4-Digit Org Code" error="Enter the Org Code/BU as 4 digits." sqref="F5" xr:uid="{00000000-0002-0000-1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tint="0.59999389629810485"/>
    <pageSetUpPr fitToPage="1"/>
  </sheetPr>
  <dimension ref="A1:S193"/>
  <sheetViews>
    <sheetView zoomScale="70" zoomScaleNormal="70" workbookViewId="0">
      <selection activeCell="O5" sqref="O5"/>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3087</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Fund",VLOOKUP(F5,[6]qryIndex02a!$A$2:$K$654,4,FALSE)),"Unidentified")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969960.08029338368</v>
      </c>
      <c r="M17" s="143">
        <v>969960.08029338368</v>
      </c>
      <c r="P17" s="143">
        <v>1117758</v>
      </c>
      <c r="Q17" s="155"/>
      <c r="S17" s="154">
        <f t="shared" si="0"/>
        <v>147797.91970661632</v>
      </c>
    </row>
    <row r="18" spans="1:19" ht="16.5" customHeight="1" x14ac:dyDescent="0.3">
      <c r="A18" s="54"/>
      <c r="B18" s="9" t="s">
        <v>169</v>
      </c>
      <c r="C18" s="9"/>
      <c r="D18" s="9"/>
      <c r="E18" s="140"/>
      <c r="F18" s="141"/>
      <c r="G18" s="141"/>
      <c r="H18" s="142"/>
      <c r="I18" s="142"/>
      <c r="J18" s="178">
        <f>P18</f>
        <v>13286</v>
      </c>
      <c r="M18" s="143">
        <v>11528.609712114783</v>
      </c>
      <c r="P18" s="152">
        <f>IF(SUM($Q$20:$Q$23)&gt;SUM($P$15:$P$17),SUM($Q$20:$Q$23)-SUM($P$15:$P$17),0)</f>
        <v>13286</v>
      </c>
      <c r="Q18" s="155"/>
      <c r="S18" s="154">
        <f t="shared" si="0"/>
        <v>1757.3902878852168</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166278.88265569528</v>
      </c>
      <c r="N22" s="143">
        <v>166278.88265569528</v>
      </c>
      <c r="P22" s="155"/>
      <c r="Q22" s="143">
        <v>191616</v>
      </c>
      <c r="S22" s="154">
        <f t="shared" ref="S22:S25" si="1">Q22-N22</f>
        <v>25337.117344304716</v>
      </c>
    </row>
    <row r="23" spans="1:19" ht="16.5" customHeight="1" x14ac:dyDescent="0.3">
      <c r="A23" s="165" t="s">
        <v>1646</v>
      </c>
      <c r="B23" s="9"/>
      <c r="C23" s="9" t="s">
        <v>174</v>
      </c>
      <c r="D23" s="9"/>
      <c r="E23" s="140"/>
      <c r="F23" s="141"/>
      <c r="G23" s="141"/>
      <c r="H23" s="142"/>
      <c r="I23" s="142"/>
      <c r="J23" s="150"/>
      <c r="K23" s="178">
        <f>N23</f>
        <v>815209.80734980316</v>
      </c>
      <c r="N23" s="143">
        <v>815209.80734980316</v>
      </c>
      <c r="P23" s="155"/>
      <c r="Q23" s="143">
        <v>939428</v>
      </c>
      <c r="S23" s="154">
        <f t="shared" si="1"/>
        <v>124218.19265019684</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1757.3902878852095</v>
      </c>
      <c r="N25" s="143"/>
      <c r="P25" s="155"/>
      <c r="Q25" s="155"/>
      <c r="S25" s="154">
        <f t="shared" si="1"/>
        <v>0</v>
      </c>
    </row>
    <row r="26" spans="1:19" ht="16.5" customHeight="1" x14ac:dyDescent="0.3">
      <c r="A26" s="54"/>
      <c r="C26" s="20"/>
      <c r="D26" s="20"/>
      <c r="E26" s="20"/>
      <c r="F26" s="127"/>
      <c r="G26" s="127"/>
      <c r="H26" s="22"/>
      <c r="I26" s="22"/>
      <c r="J26" s="107">
        <f>SUM(J15:J25)</f>
        <v>983246.08029338368</v>
      </c>
      <c r="K26" s="107">
        <f>SUM(K15:K25)</f>
        <v>983246.08029338368</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ADJ)",VLOOKUP($F$9,'[6]Drop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166278.88265569528</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166278.88265569528</v>
      </c>
    </row>
    <row r="59" spans="1:16" ht="16.5" customHeight="1" x14ac:dyDescent="0.3">
      <c r="A59" s="54"/>
      <c r="C59" s="16"/>
      <c r="D59" s="16"/>
      <c r="E59" s="16"/>
      <c r="F59" s="17"/>
      <c r="G59" s="17"/>
      <c r="H59" s="18"/>
      <c r="I59" s="18"/>
      <c r="J59" s="107">
        <f>SUM(J55:J58)</f>
        <v>166278.88265569528</v>
      </c>
      <c r="K59" s="107">
        <f>SUM(K55:K58)</f>
        <v>166278.88265569528</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159814</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6679</v>
      </c>
      <c r="K63" s="147"/>
    </row>
    <row r="64" spans="1:16" ht="16.5" customHeight="1" x14ac:dyDescent="0.3">
      <c r="A64" s="54"/>
      <c r="B64" s="9"/>
      <c r="C64" s="9" t="str">
        <f>IF($F$7="Proprietary","Cr: Acct 0870 - SERVICES &amp; CHARGES (MG ADJ)",VLOOKUP($F$9,'[6]Drop Down Menus'!$F$2:$G$10,2,FALSE))</f>
        <v>Cr: Acct 0808 - GENERAL GOV. (GAAP ADJ)</v>
      </c>
      <c r="D64" s="140"/>
      <c r="E64" s="140"/>
      <c r="F64" s="141"/>
      <c r="G64" s="141"/>
      <c r="H64" s="142"/>
      <c r="I64" s="142"/>
      <c r="J64" s="147"/>
      <c r="K64" s="143">
        <v>166493</v>
      </c>
    </row>
    <row r="65" spans="1:12" ht="16.5" customHeight="1" x14ac:dyDescent="0.3">
      <c r="A65" s="54"/>
      <c r="C65" s="16"/>
      <c r="D65" s="16"/>
      <c r="E65" s="16"/>
      <c r="F65" s="17"/>
      <c r="G65" s="17"/>
      <c r="H65" s="18"/>
      <c r="I65" s="18"/>
      <c r="J65" s="107">
        <f>SUM(J62:J64)</f>
        <v>166493</v>
      </c>
      <c r="K65" s="107">
        <f>SUM(K62:K64)</f>
        <v>166493</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159813.62042871208</v>
      </c>
      <c r="K68" s="144"/>
    </row>
    <row r="69" spans="1:12" ht="16.5" customHeight="1" x14ac:dyDescent="0.3">
      <c r="A69" s="54"/>
      <c r="B69" s="9"/>
      <c r="C69" s="9" t="s">
        <v>186</v>
      </c>
      <c r="D69" s="140"/>
      <c r="E69" s="140"/>
      <c r="F69" s="141"/>
      <c r="G69" s="141"/>
      <c r="H69" s="142"/>
      <c r="I69" s="142"/>
      <c r="J69" s="144"/>
      <c r="K69" s="143">
        <v>159813.62042871208</v>
      </c>
    </row>
    <row r="70" spans="1:12" ht="16.5" customHeight="1" x14ac:dyDescent="0.3">
      <c r="A70" s="54"/>
      <c r="C70" s="16"/>
      <c r="D70" s="16"/>
      <c r="E70" s="16"/>
      <c r="F70" s="17"/>
      <c r="G70" s="17"/>
      <c r="H70" s="18"/>
      <c r="I70" s="18"/>
      <c r="J70" s="107">
        <f>SUM(J68:J69)</f>
        <v>159813.62042871208</v>
      </c>
      <c r="K70" s="107">
        <f>SUM(K68:K69)</f>
        <v>159813.62042871208</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161876.17888339091</v>
      </c>
      <c r="K75" s="144"/>
    </row>
    <row r="76" spans="1:12" ht="16.5" customHeight="1" x14ac:dyDescent="0.3">
      <c r="A76" s="54"/>
      <c r="B76" s="9"/>
      <c r="C76" s="9" t="s">
        <v>194</v>
      </c>
      <c r="D76" s="140"/>
      <c r="E76" s="140"/>
      <c r="F76" s="141"/>
      <c r="G76" s="141"/>
      <c r="H76" s="142"/>
      <c r="I76" s="142"/>
      <c r="J76" s="144"/>
      <c r="K76" s="143">
        <v>161876.17888339091</v>
      </c>
    </row>
    <row r="77" spans="1:12" ht="16.5" customHeight="1" x14ac:dyDescent="0.25">
      <c r="A77" s="54"/>
      <c r="B77" s="193" t="s">
        <v>1735</v>
      </c>
      <c r="C77" s="193"/>
      <c r="D77" s="193"/>
      <c r="E77" s="193"/>
      <c r="F77" s="193"/>
      <c r="G77" s="193"/>
      <c r="H77" s="193"/>
      <c r="I77" s="193"/>
      <c r="J77" s="107">
        <f>SUM(J75:J76)</f>
        <v>161876.17888339091</v>
      </c>
      <c r="K77" s="107">
        <f>SUM(K75:K76)</f>
        <v>161876.17888339091</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ADJ)",VLOOKUP($F$9,'[6]Drop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ADJ)",VLOOKUP($F$9,'[6]Drop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969960.08029338368</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-332557.76531139057</v>
      </c>
    </row>
    <row r="128" spans="1:12" ht="16.5" customHeight="1" x14ac:dyDescent="0.3">
      <c r="D128" s="140" t="s">
        <v>1657</v>
      </c>
      <c r="H128" s="10"/>
      <c r="K128" s="169">
        <f>-K23-K48+J68+J75+J96-K113</f>
        <v>-493520.00803770014</v>
      </c>
    </row>
    <row r="129" spans="4:11" ht="16.5" customHeight="1" x14ac:dyDescent="0.3">
      <c r="D129" s="140" t="s">
        <v>1658</v>
      </c>
      <c r="H129" s="10"/>
      <c r="K129" s="169">
        <f>-K76</f>
        <v>-161876.17888339091</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00000000-0002-0000-14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1400-000001000000}">
      <formula1>0</formula1>
    </dataValidation>
    <dataValidation type="textLength" operator="equal" allowBlank="1" showInputMessage="1" showErrorMessage="1" errorTitle="4-Digit Org Code" error="Enter the Org Code/BU as 4 digits." sqref="F5" xr:uid="{00000000-0002-0000-14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tint="0.59999389629810485"/>
    <pageSetUpPr fitToPage="1"/>
  </sheetPr>
  <dimension ref="A1:S193"/>
  <sheetViews>
    <sheetView zoomScale="70" zoomScaleNormal="70" workbookViewId="0">
      <selection activeCell="T44" sqref="T4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3320</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Fund",VLOOKUP(F5,[7]qryIndex02a!$A$2:$K$654,4,FALSE)),"Unidentified")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50835</v>
      </c>
      <c r="M17" s="143">
        <v>50835</v>
      </c>
      <c r="P17" s="143">
        <v>50835</v>
      </c>
      <c r="Q17" s="155"/>
      <c r="S17" s="154">
        <f t="shared" si="0"/>
        <v>0</v>
      </c>
    </row>
    <row r="18" spans="1:19" ht="16.5" customHeight="1" x14ac:dyDescent="0.3">
      <c r="A18" s="54"/>
      <c r="B18" s="9" t="s">
        <v>169</v>
      </c>
      <c r="C18" s="9"/>
      <c r="D18" s="9"/>
      <c r="E18" s="140"/>
      <c r="F18" s="141"/>
      <c r="G18" s="141"/>
      <c r="H18" s="142"/>
      <c r="I18" s="142"/>
      <c r="J18" s="178">
        <f>P18</f>
        <v>482</v>
      </c>
      <c r="M18" s="143">
        <v>482</v>
      </c>
      <c r="P18" s="152">
        <f>IF(SUM($Q$20:$Q$23)&gt;SUM($P$15:$P$17),SUM($Q$20:$Q$23)-SUM($P$15:$P$17),0)</f>
        <v>482</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18486</v>
      </c>
      <c r="N22" s="143">
        <v>18486</v>
      </c>
      <c r="P22" s="155"/>
      <c r="Q22" s="143">
        <v>18486</v>
      </c>
      <c r="S22" s="154">
        <f t="shared" ref="S22:S25" si="1">Q22-N22</f>
        <v>0</v>
      </c>
    </row>
    <row r="23" spans="1:19" ht="16.5" customHeight="1" x14ac:dyDescent="0.3">
      <c r="A23" s="165" t="s">
        <v>1646</v>
      </c>
      <c r="B23" s="9"/>
      <c r="C23" s="9" t="s">
        <v>174</v>
      </c>
      <c r="D23" s="9"/>
      <c r="E23" s="140"/>
      <c r="F23" s="141"/>
      <c r="G23" s="141"/>
      <c r="H23" s="142"/>
      <c r="I23" s="142"/>
      <c r="J23" s="150"/>
      <c r="K23" s="178">
        <f>N23</f>
        <v>32831</v>
      </c>
      <c r="N23" s="143">
        <v>32831</v>
      </c>
      <c r="P23" s="155"/>
      <c r="Q23" s="143">
        <v>32831</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51317</v>
      </c>
      <c r="K26" s="107">
        <f>SUM(K15:K25)</f>
        <v>51317</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ADJ)",VLOOKUP($F$9,'[7]Drop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18486</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18486</v>
      </c>
    </row>
    <row r="59" spans="1:16" ht="16.5" customHeight="1" x14ac:dyDescent="0.3">
      <c r="A59" s="54"/>
      <c r="C59" s="16"/>
      <c r="D59" s="16"/>
      <c r="E59" s="16"/>
      <c r="F59" s="17"/>
      <c r="G59" s="17"/>
      <c r="H59" s="18"/>
      <c r="I59" s="18"/>
      <c r="J59" s="107">
        <f>SUM(J55:J58)</f>
        <v>18486</v>
      </c>
      <c r="K59" s="107">
        <f>SUM(K55:K58)</f>
        <v>18486</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18568</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49</v>
      </c>
      <c r="K63" s="147"/>
    </row>
    <row r="64" spans="1:16" ht="16.5" customHeight="1" x14ac:dyDescent="0.3">
      <c r="A64" s="54"/>
      <c r="B64" s="9"/>
      <c r="C64" s="9" t="str">
        <f>IF($F$7="Proprietary","Cr: Acct 0870 - SERVICES &amp; CHARGES (MG ADJ)",VLOOKUP($F$9,'[7]Drop Down Menus'!$F$2:$G$10,2,FALSE))</f>
        <v>Cr: Acct 0808 - GENERAL GOV. (GAAP ADJ)</v>
      </c>
      <c r="D64" s="140"/>
      <c r="E64" s="140"/>
      <c r="F64" s="141"/>
      <c r="G64" s="141"/>
      <c r="H64" s="142"/>
      <c r="I64" s="142"/>
      <c r="J64" s="147"/>
      <c r="K64" s="143">
        <v>18617</v>
      </c>
    </row>
    <row r="65" spans="1:12" ht="16.5" customHeight="1" x14ac:dyDescent="0.3">
      <c r="A65" s="54"/>
      <c r="C65" s="16"/>
      <c r="D65" s="16"/>
      <c r="E65" s="16"/>
      <c r="F65" s="17"/>
      <c r="G65" s="17"/>
      <c r="H65" s="18"/>
      <c r="I65" s="18"/>
      <c r="J65" s="107">
        <f>SUM(J62:J64)</f>
        <v>18617</v>
      </c>
      <c r="K65" s="107">
        <f>SUM(K62:K64)</f>
        <v>18617</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18568</v>
      </c>
      <c r="K68" s="144"/>
    </row>
    <row r="69" spans="1:12" ht="16.5" customHeight="1" x14ac:dyDescent="0.3">
      <c r="A69" s="54"/>
      <c r="B69" s="9"/>
      <c r="C69" s="9" t="s">
        <v>186</v>
      </c>
      <c r="D69" s="140"/>
      <c r="E69" s="140"/>
      <c r="F69" s="141"/>
      <c r="G69" s="141"/>
      <c r="H69" s="142"/>
      <c r="I69" s="142"/>
      <c r="J69" s="144"/>
      <c r="K69" s="143">
        <v>18568</v>
      </c>
    </row>
    <row r="70" spans="1:12" ht="16.5" customHeight="1" x14ac:dyDescent="0.3">
      <c r="A70" s="54"/>
      <c r="C70" s="16"/>
      <c r="D70" s="16"/>
      <c r="E70" s="16"/>
      <c r="F70" s="17"/>
      <c r="G70" s="17"/>
      <c r="H70" s="18"/>
      <c r="I70" s="18"/>
      <c r="J70" s="107">
        <f>SUM(J68:J69)</f>
        <v>18568</v>
      </c>
      <c r="K70" s="107">
        <f>SUM(K68:K69)</f>
        <v>18568</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14263</v>
      </c>
      <c r="K75" s="144"/>
    </row>
    <row r="76" spans="1:12" ht="16.5" customHeight="1" x14ac:dyDescent="0.3">
      <c r="A76" s="54"/>
      <c r="B76" s="9"/>
      <c r="C76" s="9" t="s">
        <v>194</v>
      </c>
      <c r="D76" s="140"/>
      <c r="E76" s="140"/>
      <c r="F76" s="141"/>
      <c r="G76" s="141"/>
      <c r="H76" s="142"/>
      <c r="I76" s="142"/>
      <c r="J76" s="144"/>
      <c r="K76" s="143">
        <v>14263</v>
      </c>
    </row>
    <row r="77" spans="1:12" ht="16.5" customHeight="1" x14ac:dyDescent="0.25">
      <c r="A77" s="54"/>
      <c r="B77" s="193" t="s">
        <v>1735</v>
      </c>
      <c r="C77" s="193"/>
      <c r="D77" s="193"/>
      <c r="E77" s="193"/>
      <c r="F77" s="193"/>
      <c r="G77" s="193"/>
      <c r="H77" s="193"/>
      <c r="I77" s="193"/>
      <c r="J77" s="107">
        <f>SUM(J75:J76)</f>
        <v>14263</v>
      </c>
      <c r="K77" s="107">
        <f>SUM(K75:K76)</f>
        <v>14263</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ADJ)",VLOOKUP($F$9,'[7]Drop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ADJ)",VLOOKUP($F$9,'[7]Drop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50835</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-36972</v>
      </c>
    </row>
    <row r="128" spans="1:12" ht="16.5" customHeight="1" x14ac:dyDescent="0.3">
      <c r="D128" s="140" t="s">
        <v>1657</v>
      </c>
      <c r="H128" s="10"/>
      <c r="K128" s="169">
        <f>-K23-K48+J68+J75+J96-K113</f>
        <v>0</v>
      </c>
    </row>
    <row r="129" spans="4:11" ht="16.5" customHeight="1" x14ac:dyDescent="0.3">
      <c r="D129" s="140" t="s">
        <v>1658</v>
      </c>
      <c r="H129" s="10"/>
      <c r="K129" s="169">
        <f>-K76</f>
        <v>-14263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00000000-0002-0000-15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1500-000001000000}">
      <formula1>0</formula1>
    </dataValidation>
    <dataValidation operator="lessThan" allowBlank="1" showInputMessage="1" showErrorMessage="1" sqref="A3:A8" xr:uid="{00000000-0002-0000-15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tint="0.59999389629810485"/>
    <pageSetUpPr fitToPage="1"/>
  </sheetPr>
  <dimension ref="A1:S193"/>
  <sheetViews>
    <sheetView zoomScale="70" zoomScaleNormal="70" workbookViewId="0">
      <selection activeCell="Q5" sqref="Q5"/>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9731</v>
      </c>
      <c r="G6" s="189"/>
      <c r="H6" s="189"/>
      <c r="I6" s="189"/>
      <c r="L6" s="13"/>
      <c r="M6" s="13"/>
      <c r="N6" s="13"/>
      <c r="O6" s="13"/>
      <c r="P6" s="12"/>
      <c r="Q6" s="12"/>
    </row>
    <row r="7" spans="1:19" ht="16.5" customHeight="1" x14ac:dyDescent="0.3">
      <c r="A7" s="186" t="s">
        <v>1</v>
      </c>
      <c r="B7" s="186"/>
      <c r="C7" s="186"/>
      <c r="D7" s="186"/>
      <c r="E7" s="186"/>
      <c r="F7" s="189" t="s">
        <v>122</v>
      </c>
      <c r="G7" s="189"/>
      <c r="H7" s="189"/>
      <c r="I7" s="189"/>
      <c r="K7" s="53"/>
      <c r="L7" s="13"/>
      <c r="M7" s="13"/>
      <c r="N7" s="13"/>
      <c r="O7" s="13"/>
      <c r="P7" s="12"/>
      <c r="Q7" s="12"/>
    </row>
    <row r="8" spans="1:19" ht="16.5" customHeight="1" x14ac:dyDescent="0.3">
      <c r="A8" s="186" t="s">
        <v>1617</v>
      </c>
      <c r="B8" s="186"/>
      <c r="C8" s="186"/>
      <c r="D8" s="186"/>
      <c r="E8" s="186"/>
      <c r="F8" s="189" t="s">
        <v>132</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Fund",VLOOKUP(F5,[7]qryIndex02a!$A$2:$K$654,4,FALSE)),"Unidentified")</f>
        <v>Proprietary Fund</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41218</v>
      </c>
      <c r="M16" s="143">
        <v>41218</v>
      </c>
      <c r="P16" s="143">
        <v>41332</v>
      </c>
      <c r="Q16" s="155"/>
      <c r="S16" s="154">
        <f t="shared" si="0"/>
        <v>114</v>
      </c>
    </row>
    <row r="17" spans="1:19" ht="16.5" customHeight="1" x14ac:dyDescent="0.3">
      <c r="A17" s="159" t="s">
        <v>1638</v>
      </c>
      <c r="B17" s="9" t="s">
        <v>173</v>
      </c>
      <c r="C17" s="9"/>
      <c r="D17" s="9"/>
      <c r="E17" s="140"/>
      <c r="F17" s="141"/>
      <c r="G17" s="141"/>
      <c r="H17" s="142"/>
      <c r="I17" s="142"/>
      <c r="J17" s="178">
        <f>M17</f>
        <v>14361404</v>
      </c>
      <c r="M17" s="143">
        <v>14361404</v>
      </c>
      <c r="P17" s="143">
        <v>15971255</v>
      </c>
      <c r="Q17" s="155"/>
      <c r="S17" s="154">
        <f t="shared" si="0"/>
        <v>1609851</v>
      </c>
    </row>
    <row r="18" spans="1:19" ht="16.5" customHeight="1" x14ac:dyDescent="0.3">
      <c r="A18" s="54"/>
      <c r="B18" s="9" t="s">
        <v>169</v>
      </c>
      <c r="C18" s="9"/>
      <c r="D18" s="9"/>
      <c r="E18" s="140"/>
      <c r="F18" s="141"/>
      <c r="G18" s="141"/>
      <c r="H18" s="142"/>
      <c r="I18" s="142"/>
      <c r="J18" s="178">
        <f>P18</f>
        <v>53687</v>
      </c>
      <c r="M18" s="143">
        <v>156233</v>
      </c>
      <c r="P18" s="152">
        <f>IF(SUM($Q$20:$Q$23)&gt;SUM($P$15:$P$17),SUM($Q$20:$Q$23)-SUM($P$15:$P$17),0)</f>
        <v>53687</v>
      </c>
      <c r="Q18" s="155"/>
      <c r="S18" s="154">
        <f t="shared" si="0"/>
        <v>-102546</v>
      </c>
    </row>
    <row r="19" spans="1:19" ht="16.5" customHeight="1" x14ac:dyDescent="0.3">
      <c r="A19" s="54"/>
      <c r="B19" s="9" t="s">
        <v>170</v>
      </c>
      <c r="C19" s="9"/>
      <c r="D19" s="9"/>
      <c r="E19" s="140"/>
      <c r="F19" s="141"/>
      <c r="G19" s="141"/>
      <c r="H19" s="142"/>
      <c r="I19" s="142"/>
      <c r="J19" s="178">
        <f>IF(SUM($K$20:$K$24)&gt;SUM($J$15:$J$18),SUM($K$20:$K$24)-SUM($J$15:$J$18),0)</f>
        <v>74043</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8244</v>
      </c>
      <c r="N21" s="143">
        <v>8244</v>
      </c>
      <c r="P21" s="155"/>
      <c r="Q21" s="143">
        <v>8266</v>
      </c>
      <c r="S21" s="154">
        <f>Q21-N21</f>
        <v>22</v>
      </c>
    </row>
    <row r="22" spans="1:19" ht="16.5" customHeight="1" x14ac:dyDescent="0.3">
      <c r="A22" s="54"/>
      <c r="B22" s="9"/>
      <c r="C22" s="9" t="s">
        <v>179</v>
      </c>
      <c r="D22" s="9"/>
      <c r="E22" s="140"/>
      <c r="F22" s="141"/>
      <c r="G22" s="141"/>
      <c r="H22" s="142"/>
      <c r="I22" s="142"/>
      <c r="J22" s="150"/>
      <c r="K22" s="178">
        <f>N22</f>
        <v>2334228</v>
      </c>
      <c r="N22" s="143">
        <v>2334228</v>
      </c>
      <c r="P22" s="155"/>
      <c r="Q22" s="143">
        <v>2423235</v>
      </c>
      <c r="S22" s="154">
        <f t="shared" ref="S22:S25" si="1">Q22-N22</f>
        <v>89007</v>
      </c>
    </row>
    <row r="23" spans="1:19" ht="16.5" customHeight="1" x14ac:dyDescent="0.3">
      <c r="A23" s="165" t="s">
        <v>1646</v>
      </c>
      <c r="B23" s="9"/>
      <c r="C23" s="9" t="s">
        <v>174</v>
      </c>
      <c r="D23" s="9"/>
      <c r="E23" s="140"/>
      <c r="F23" s="141"/>
      <c r="G23" s="141"/>
      <c r="H23" s="142"/>
      <c r="I23" s="142"/>
      <c r="J23" s="150"/>
      <c r="K23" s="178">
        <f>N23</f>
        <v>12187880</v>
      </c>
      <c r="N23" s="143">
        <v>12187880</v>
      </c>
      <c r="P23" s="155"/>
      <c r="Q23" s="143">
        <v>13634773</v>
      </c>
      <c r="S23" s="154">
        <f t="shared" si="1"/>
        <v>1446893</v>
      </c>
    </row>
    <row r="24" spans="1:19" ht="16.5" customHeight="1" x14ac:dyDescent="0.3">
      <c r="A24" s="54"/>
      <c r="B24" s="9"/>
      <c r="C24" s="9" t="s">
        <v>176</v>
      </c>
      <c r="D24" s="9"/>
      <c r="E24" s="140"/>
      <c r="F24" s="141"/>
      <c r="G24" s="141"/>
      <c r="H24" s="142"/>
      <c r="I24" s="142"/>
      <c r="J24" s="150"/>
      <c r="K24" s="178">
        <f>Q24</f>
        <v>0</v>
      </c>
      <c r="N24" s="143">
        <v>28503</v>
      </c>
      <c r="P24" s="155"/>
      <c r="Q24" s="152">
        <f>IF(SUM($Q$20:$Q$23)&lt;SUM($P$15:$P$17),-SUM($Q$20:$Q$23)+SUM($P$15:$P$17),0)</f>
        <v>0</v>
      </c>
      <c r="S24" s="154">
        <f t="shared" si="1"/>
        <v>-28503</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14530352</v>
      </c>
      <c r="K26" s="107">
        <f>SUM(K15:K25)</f>
        <v>14530352</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ADJ)",VLOOKUP($F$9,'[7]Drop Down Menus'!$F$2:$G$10,2,FALSE))</f>
        <v>Cr: Acct 0870 - SERVICES &amp; CHARGES (MG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2423929</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v>8244</v>
      </c>
    </row>
    <row r="58" spans="1:16" ht="16.5" customHeight="1" x14ac:dyDescent="0.3">
      <c r="A58" s="54"/>
      <c r="B58" s="9"/>
      <c r="C58" s="9" t="s">
        <v>179</v>
      </c>
      <c r="D58" s="140"/>
      <c r="E58" s="140"/>
      <c r="F58" s="141"/>
      <c r="G58" s="141"/>
      <c r="H58" s="142"/>
      <c r="I58" s="142"/>
      <c r="J58" s="144"/>
      <c r="K58" s="143">
        <v>2415685</v>
      </c>
    </row>
    <row r="59" spans="1:16" ht="16.5" customHeight="1" x14ac:dyDescent="0.3">
      <c r="A59" s="54"/>
      <c r="C59" s="16"/>
      <c r="D59" s="16"/>
      <c r="E59" s="16"/>
      <c r="F59" s="17"/>
      <c r="G59" s="17"/>
      <c r="H59" s="18"/>
      <c r="I59" s="18"/>
      <c r="J59" s="107">
        <f>SUM(J55:J58)</f>
        <v>2423929</v>
      </c>
      <c r="K59" s="107">
        <f>SUM(K55:K58)</f>
        <v>2423929</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2349706</v>
      </c>
      <c r="K62" s="147"/>
    </row>
    <row r="63" spans="1:16" ht="16.5" customHeight="1" x14ac:dyDescent="0.3">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v>91845</v>
      </c>
      <c r="K63" s="147"/>
    </row>
    <row r="64" spans="1:16" ht="16.5" customHeight="1" x14ac:dyDescent="0.3">
      <c r="A64" s="54"/>
      <c r="B64" s="9"/>
      <c r="C64" s="9" t="str">
        <f>IF($F$7="Proprietary","Cr: Acct 0870 - SERVICES &amp; CHARGES (MG ADJ)",VLOOKUP($F$9,'[7]Drop Down Menus'!$F$2:$G$10,2,FALSE))</f>
        <v>Cr: Acct 0870 - SERVICES &amp; CHARGES (MG ADJ)</v>
      </c>
      <c r="D64" s="140"/>
      <c r="E64" s="140"/>
      <c r="F64" s="141"/>
      <c r="G64" s="141"/>
      <c r="H64" s="142"/>
      <c r="I64" s="142"/>
      <c r="J64" s="147"/>
      <c r="K64" s="143">
        <v>2441551</v>
      </c>
    </row>
    <row r="65" spans="1:12" ht="16.5" customHeight="1" x14ac:dyDescent="0.3">
      <c r="A65" s="54"/>
      <c r="C65" s="16"/>
      <c r="D65" s="16"/>
      <c r="E65" s="16"/>
      <c r="F65" s="17"/>
      <c r="G65" s="17"/>
      <c r="H65" s="18"/>
      <c r="I65" s="18"/>
      <c r="J65" s="107">
        <f>SUM(J62:J64)</f>
        <v>2441551</v>
      </c>
      <c r="K65" s="107">
        <f>SUM(K62:K64)</f>
        <v>2441551</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2349706</v>
      </c>
      <c r="K68" s="144"/>
    </row>
    <row r="69" spans="1:12" ht="16.5" customHeight="1" x14ac:dyDescent="0.3">
      <c r="A69" s="54"/>
      <c r="B69" s="9"/>
      <c r="C69" s="9" t="s">
        <v>186</v>
      </c>
      <c r="D69" s="140"/>
      <c r="E69" s="140"/>
      <c r="F69" s="141"/>
      <c r="G69" s="141"/>
      <c r="H69" s="142"/>
      <c r="I69" s="142"/>
      <c r="J69" s="144"/>
      <c r="K69" s="143">
        <v>2349706</v>
      </c>
    </row>
    <row r="70" spans="1:12" ht="16.5" customHeight="1" x14ac:dyDescent="0.3">
      <c r="A70" s="54"/>
      <c r="C70" s="16"/>
      <c r="D70" s="16"/>
      <c r="E70" s="16"/>
      <c r="F70" s="17"/>
      <c r="G70" s="17"/>
      <c r="H70" s="18"/>
      <c r="I70" s="18"/>
      <c r="J70" s="107">
        <f>SUM(J68:J69)</f>
        <v>2349706</v>
      </c>
      <c r="K70" s="107">
        <f>SUM(K68:K69)</f>
        <v>2349706</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2368783</v>
      </c>
      <c r="K75" s="144"/>
    </row>
    <row r="76" spans="1:12" ht="16.5" customHeight="1" x14ac:dyDescent="0.3">
      <c r="A76" s="54"/>
      <c r="B76" s="9"/>
      <c r="C76" s="9" t="s">
        <v>194</v>
      </c>
      <c r="D76" s="140"/>
      <c r="E76" s="140"/>
      <c r="F76" s="141"/>
      <c r="G76" s="141"/>
      <c r="H76" s="142"/>
      <c r="I76" s="142"/>
      <c r="J76" s="144"/>
      <c r="K76" s="143">
        <v>2368783</v>
      </c>
    </row>
    <row r="77" spans="1:12" ht="16.5" customHeight="1" x14ac:dyDescent="0.25">
      <c r="A77" s="54"/>
      <c r="B77" s="193" t="s">
        <v>1735</v>
      </c>
      <c r="C77" s="193"/>
      <c r="D77" s="193"/>
      <c r="E77" s="193"/>
      <c r="F77" s="193"/>
      <c r="G77" s="193"/>
      <c r="H77" s="193"/>
      <c r="I77" s="193"/>
      <c r="J77" s="107">
        <f>SUM(J75:J76)</f>
        <v>2368783</v>
      </c>
      <c r="K77" s="107">
        <f>SUM(K75:K76)</f>
        <v>2368783</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ADJ)",VLOOKUP($F$9,'[7]Drop Down Menus'!$F$2:$H$10,3,FALSE))</f>
        <v>Dr: Acct 0870 - SERVICES &amp; CHARGES (MG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ADJ)",VLOOKUP($F$9,'[7]Drop Down Menus'!$F$2:$G$10,2,FALSE))</f>
        <v>Dr: Acct 0870 - SERVICES &amp; CHARGES (MG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41218</v>
      </c>
    </row>
    <row r="124" spans="1:12" ht="16.5" customHeight="1" x14ac:dyDescent="0.3">
      <c r="D124" s="140" t="s">
        <v>1653</v>
      </c>
      <c r="H124" s="10"/>
      <c r="K124" s="169">
        <f>J17+J41-K90-K103+J112</f>
        <v>14361404</v>
      </c>
    </row>
    <row r="125" spans="1:12" ht="16.5" customHeight="1" x14ac:dyDescent="0.3">
      <c r="D125" s="140" t="s">
        <v>1654</v>
      </c>
      <c r="H125" s="10"/>
      <c r="K125" s="169">
        <f>-K20-K56+J85+J97</f>
        <v>0</v>
      </c>
    </row>
    <row r="126" spans="1:12" ht="16.5" customHeight="1" x14ac:dyDescent="0.3">
      <c r="D126" s="140" t="s">
        <v>1655</v>
      </c>
      <c r="H126" s="10"/>
      <c r="K126" s="169">
        <f>-K21-K57+J86+J98</f>
        <v>-16488</v>
      </c>
    </row>
    <row r="127" spans="1:12" ht="16.5" customHeight="1" x14ac:dyDescent="0.3">
      <c r="D127" s="140" t="s">
        <v>1656</v>
      </c>
      <c r="H127" s="10"/>
      <c r="K127" s="169">
        <f>-K22-K58+J87+J99</f>
        <v>-4749913</v>
      </c>
    </row>
    <row r="128" spans="1:12" ht="16.5" customHeight="1" x14ac:dyDescent="0.3">
      <c r="D128" s="140" t="s">
        <v>1657</v>
      </c>
      <c r="H128" s="10"/>
      <c r="K128" s="169">
        <f>-K23-K48+J68+J75+J96-K113</f>
        <v>-7469391</v>
      </c>
    </row>
    <row r="129" spans="4:11" ht="16.5" customHeight="1" x14ac:dyDescent="0.3">
      <c r="D129" s="140" t="s">
        <v>1658</v>
      </c>
      <c r="H129" s="10"/>
      <c r="K129" s="169">
        <f>-K76</f>
        <v>-2368783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00000000-0002-0000-16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1600-000001000000}">
      <formula1>0</formula1>
    </dataValidation>
    <dataValidation type="textLength" operator="equal" allowBlank="1" showInputMessage="1" showErrorMessage="1" errorTitle="4-Digit Org Code" error="Enter the Org Code/BU as 4 digits." sqref="F5" xr:uid="{00000000-0002-0000-16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9" tint="0.59999389629810485"/>
    <pageSetUpPr fitToPage="1"/>
  </sheetPr>
  <dimension ref="A1:S193"/>
  <sheetViews>
    <sheetView tabSelected="1" zoomScale="70" zoomScaleNormal="70" workbookViewId="0">
      <selection sqref="A1:K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317</v>
      </c>
      <c r="G5" s="188"/>
      <c r="H5" s="188"/>
      <c r="I5" s="188"/>
      <c r="L5" s="12"/>
      <c r="M5" s="12"/>
      <c r="N5" s="12"/>
      <c r="O5" s="12"/>
      <c r="P5" s="12"/>
      <c r="Q5" s="12"/>
    </row>
    <row r="6" spans="1:19" ht="16.5" customHeight="1" x14ac:dyDescent="0.3">
      <c r="A6" s="186" t="s">
        <v>1635</v>
      </c>
      <c r="B6" s="186"/>
      <c r="C6" s="186"/>
      <c r="D6" s="186"/>
      <c r="E6" s="186"/>
      <c r="F6" s="189">
        <v>9740</v>
      </c>
      <c r="G6" s="189"/>
      <c r="H6" s="189"/>
      <c r="I6" s="189"/>
      <c r="L6" s="13"/>
      <c r="M6" s="13"/>
      <c r="N6" s="13"/>
      <c r="O6" s="13"/>
      <c r="P6" s="12"/>
      <c r="Q6" s="12"/>
    </row>
    <row r="7" spans="1:19" ht="16.5" customHeight="1" x14ac:dyDescent="0.3">
      <c r="A7" s="186" t="s">
        <v>1</v>
      </c>
      <c r="B7" s="186"/>
      <c r="C7" s="186"/>
      <c r="D7" s="186"/>
      <c r="E7" s="186"/>
      <c r="F7" s="189" t="s">
        <v>122</v>
      </c>
      <c r="G7" s="189"/>
      <c r="H7" s="189"/>
      <c r="I7" s="189"/>
      <c r="K7" s="53"/>
      <c r="L7" s="13"/>
      <c r="M7" s="13"/>
      <c r="N7" s="13"/>
      <c r="O7" s="13"/>
      <c r="P7" s="12"/>
      <c r="Q7" s="12"/>
    </row>
    <row r="8" spans="1:19" ht="16.5" customHeight="1" x14ac:dyDescent="0.3">
      <c r="A8" s="186" t="s">
        <v>1617</v>
      </c>
      <c r="B8" s="186"/>
      <c r="C8" s="186"/>
      <c r="D8" s="186"/>
      <c r="E8" s="186"/>
      <c r="F8" s="189" t="s">
        <v>132</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Fund",VLOOKUP(F5,[7]qryIndex02a!$A$2:$K$654,4,FALSE)),"Unidentified")</f>
        <v>Proprietary Fund</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50095</v>
      </c>
      <c r="M17" s="143">
        <v>50095</v>
      </c>
      <c r="P17" s="143">
        <v>739990</v>
      </c>
      <c r="Q17" s="155"/>
      <c r="S17" s="154">
        <f t="shared" si="0"/>
        <v>689895</v>
      </c>
    </row>
    <row r="18" spans="1:19" ht="16.5" customHeight="1" x14ac:dyDescent="0.3">
      <c r="A18" s="54"/>
      <c r="B18" s="9" t="s">
        <v>169</v>
      </c>
      <c r="C18" s="9"/>
      <c r="D18" s="9"/>
      <c r="E18" s="140"/>
      <c r="F18" s="141"/>
      <c r="G18" s="141"/>
      <c r="H18" s="142"/>
      <c r="I18" s="142"/>
      <c r="J18" s="178">
        <f>P18</f>
        <v>8796</v>
      </c>
      <c r="M18" s="143">
        <v>595</v>
      </c>
      <c r="P18" s="152">
        <f>IF(SUM($Q$20:$Q$23)&gt;SUM($P$15:$P$17),SUM($Q$20:$Q$23)-SUM($P$15:$P$17),0)</f>
        <v>8796</v>
      </c>
      <c r="Q18" s="155"/>
      <c r="S18" s="154">
        <f t="shared" si="0"/>
        <v>8201</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8588</v>
      </c>
      <c r="N22" s="143">
        <v>8588</v>
      </c>
      <c r="P22" s="155"/>
      <c r="Q22" s="143">
        <v>126856</v>
      </c>
      <c r="S22" s="154">
        <f t="shared" ref="S22:S25" si="1">Q22-N22</f>
        <v>118268</v>
      </c>
    </row>
    <row r="23" spans="1:19" ht="16.5" customHeight="1" x14ac:dyDescent="0.3">
      <c r="A23" s="165" t="s">
        <v>1646</v>
      </c>
      <c r="B23" s="9"/>
      <c r="C23" s="9" t="s">
        <v>174</v>
      </c>
      <c r="D23" s="9"/>
      <c r="E23" s="140"/>
      <c r="F23" s="141"/>
      <c r="G23" s="141"/>
      <c r="H23" s="142"/>
      <c r="I23" s="142"/>
      <c r="J23" s="150"/>
      <c r="K23" s="178">
        <f>N23</f>
        <v>42103</v>
      </c>
      <c r="N23" s="143">
        <v>42103</v>
      </c>
      <c r="P23" s="155"/>
      <c r="Q23" s="143">
        <v>621930</v>
      </c>
      <c r="S23" s="154">
        <f t="shared" si="1"/>
        <v>579827</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8200</v>
      </c>
      <c r="N25" s="143"/>
      <c r="P25" s="155"/>
      <c r="Q25" s="155"/>
      <c r="S25" s="154">
        <f t="shared" si="1"/>
        <v>0</v>
      </c>
    </row>
    <row r="26" spans="1:19" ht="16.5" customHeight="1" x14ac:dyDescent="0.3">
      <c r="A26" s="54"/>
      <c r="C26" s="20"/>
      <c r="D26" s="20"/>
      <c r="E26" s="20"/>
      <c r="F26" s="127"/>
      <c r="G26" s="127"/>
      <c r="H26" s="22"/>
      <c r="I26" s="22"/>
      <c r="J26" s="107">
        <f>SUM(J15:J25)</f>
        <v>58891</v>
      </c>
      <c r="K26" s="107">
        <f>SUM(K15:K25)</f>
        <v>58891</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ADJ)",VLOOKUP($F$9,'[7]Drop Down Menus'!$F$2:$G$10,2,FALSE))</f>
        <v>Cr: Acct 0870 - SERVICES &amp; CHARGES (MG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8588</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8588</v>
      </c>
    </row>
    <row r="59" spans="1:16" ht="16.5" customHeight="1" x14ac:dyDescent="0.3">
      <c r="A59" s="54"/>
      <c r="C59" s="16"/>
      <c r="D59" s="16"/>
      <c r="E59" s="16"/>
      <c r="F59" s="17"/>
      <c r="G59" s="17"/>
      <c r="H59" s="18"/>
      <c r="I59" s="18"/>
      <c r="J59" s="107">
        <f>SUM(J55:J58)</f>
        <v>8588</v>
      </c>
      <c r="K59" s="107">
        <f>SUM(K55:K58)</f>
        <v>8588</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8254</v>
      </c>
      <c r="K62" s="147"/>
    </row>
    <row r="63" spans="1:16" ht="16.5" customHeight="1" x14ac:dyDescent="0.3">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v>345</v>
      </c>
      <c r="K63" s="147"/>
    </row>
    <row r="64" spans="1:16" ht="16.5" customHeight="1" x14ac:dyDescent="0.3">
      <c r="A64" s="54"/>
      <c r="B64" s="9"/>
      <c r="C64" s="9" t="str">
        <f>IF($F$7="Proprietary","Cr: Acct 0870 - SERVICES &amp; CHARGES (MG ADJ)",VLOOKUP($F$9,'[7]Drop Down Menus'!$F$2:$G$10,2,FALSE))</f>
        <v>Cr: Acct 0870 - SERVICES &amp; CHARGES (MG ADJ)</v>
      </c>
      <c r="D64" s="140"/>
      <c r="E64" s="140"/>
      <c r="F64" s="141"/>
      <c r="G64" s="141"/>
      <c r="H64" s="142"/>
      <c r="I64" s="142"/>
      <c r="J64" s="147"/>
      <c r="K64" s="143">
        <v>8599</v>
      </c>
    </row>
    <row r="65" spans="1:12" ht="16.5" customHeight="1" x14ac:dyDescent="0.3">
      <c r="A65" s="54"/>
      <c r="C65" s="16"/>
      <c r="D65" s="16"/>
      <c r="E65" s="16"/>
      <c r="F65" s="17"/>
      <c r="G65" s="17"/>
      <c r="H65" s="18"/>
      <c r="I65" s="18"/>
      <c r="J65" s="107">
        <f>SUM(J62:J64)</f>
        <v>8599</v>
      </c>
      <c r="K65" s="107">
        <f>SUM(K62:K64)</f>
        <v>8599</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8254</v>
      </c>
      <c r="K68" s="144"/>
    </row>
    <row r="69" spans="1:12" ht="16.5" customHeight="1" x14ac:dyDescent="0.3">
      <c r="A69" s="54"/>
      <c r="B69" s="9"/>
      <c r="C69" s="9" t="s">
        <v>186</v>
      </c>
      <c r="D69" s="140"/>
      <c r="E69" s="140"/>
      <c r="F69" s="141"/>
      <c r="G69" s="141"/>
      <c r="H69" s="142"/>
      <c r="I69" s="142"/>
      <c r="J69" s="144"/>
      <c r="K69" s="143">
        <v>8254</v>
      </c>
    </row>
    <row r="70" spans="1:12" ht="16.5" customHeight="1" x14ac:dyDescent="0.3">
      <c r="A70" s="54"/>
      <c r="C70" s="16"/>
      <c r="D70" s="16"/>
      <c r="E70" s="16"/>
      <c r="F70" s="17"/>
      <c r="G70" s="17"/>
      <c r="H70" s="18"/>
      <c r="I70" s="18"/>
      <c r="J70" s="107">
        <f>SUM(J68:J69)</f>
        <v>8254</v>
      </c>
      <c r="K70" s="107">
        <f>SUM(K68:K69)</f>
        <v>8254</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8360</v>
      </c>
      <c r="K75" s="144"/>
    </row>
    <row r="76" spans="1:12" ht="16.5" customHeight="1" x14ac:dyDescent="0.3">
      <c r="A76" s="54"/>
      <c r="B76" s="9"/>
      <c r="C76" s="9" t="s">
        <v>194</v>
      </c>
      <c r="D76" s="140"/>
      <c r="E76" s="140"/>
      <c r="F76" s="141"/>
      <c r="G76" s="141"/>
      <c r="H76" s="142"/>
      <c r="I76" s="142"/>
      <c r="J76" s="144"/>
      <c r="K76" s="143">
        <v>8360</v>
      </c>
    </row>
    <row r="77" spans="1:12" ht="16.5" customHeight="1" x14ac:dyDescent="0.25">
      <c r="A77" s="54"/>
      <c r="B77" s="193" t="s">
        <v>1735</v>
      </c>
      <c r="C77" s="193"/>
      <c r="D77" s="193"/>
      <c r="E77" s="193"/>
      <c r="F77" s="193"/>
      <c r="G77" s="193"/>
      <c r="H77" s="193"/>
      <c r="I77" s="193"/>
      <c r="J77" s="107">
        <f>SUM(J75:J76)</f>
        <v>8360</v>
      </c>
      <c r="K77" s="107">
        <f>SUM(K75:K76)</f>
        <v>8360</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ADJ)",VLOOKUP($F$9,'[7]Drop Down Menus'!$F$2:$H$10,3,FALSE))</f>
        <v>Dr: Acct 0870 - SERVICES &amp; CHARGES (MG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ADJ)",VLOOKUP($F$9,'[7]Drop Down Menus'!$F$2:$G$10,2,FALSE))</f>
        <v>Dr: Acct 0870 - SERVICES &amp; CHARGES (MG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50095</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-17176</v>
      </c>
    </row>
    <row r="128" spans="1:12" ht="16.5" customHeight="1" x14ac:dyDescent="0.3">
      <c r="D128" s="140" t="s">
        <v>1657</v>
      </c>
      <c r="H128" s="10"/>
      <c r="K128" s="169">
        <f>-K23-K48+J68+J75+J96-K113</f>
        <v>-25489</v>
      </c>
    </row>
    <row r="129" spans="4:11" ht="16.5" customHeight="1" x14ac:dyDescent="0.3">
      <c r="D129" s="140" t="s">
        <v>1658</v>
      </c>
      <c r="H129" s="10"/>
      <c r="K129" s="169">
        <f>-K76</f>
        <v>-8360</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00000000-0002-0000-1700-00000000000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1700-000001000000}">
      <formula1>0</formula1>
    </dataValidation>
    <dataValidation operator="lessThan" allowBlank="1" showInputMessage="1" showErrorMessage="1" sqref="A3:A8" xr:uid="{00000000-0002-0000-1700-0000020000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3">
    <tabColor theme="9" tint="0.59999389629810485"/>
  </sheetPr>
  <dimension ref="A1:M98"/>
  <sheetViews>
    <sheetView topLeftCell="A30" zoomScale="80" zoomScaleNormal="80" workbookViewId="0">
      <selection activeCell="B53" sqref="B53"/>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9" t="s">
        <v>195</v>
      </c>
      <c r="B3" s="209"/>
      <c r="C3" s="209"/>
      <c r="D3" s="24"/>
      <c r="E3" s="3"/>
      <c r="F3" s="3"/>
      <c r="G3" s="3"/>
      <c r="H3" s="3"/>
      <c r="I3" s="3"/>
      <c r="J3" s="3"/>
      <c r="K3" s="3"/>
      <c r="L3" s="3"/>
      <c r="M3" s="3"/>
    </row>
    <row r="4" spans="1:13" ht="31.2" customHeight="1" x14ac:dyDescent="0.3">
      <c r="A4" s="210" t="s">
        <v>5</v>
      </c>
      <c r="B4" s="210"/>
      <c r="C4" s="210"/>
      <c r="D4" s="24"/>
      <c r="E4" s="3"/>
      <c r="F4" s="3"/>
      <c r="G4" s="3"/>
      <c r="H4" s="3"/>
      <c r="I4" s="3"/>
      <c r="J4" s="3"/>
      <c r="K4" s="3"/>
      <c r="L4" s="3"/>
      <c r="M4" s="3"/>
    </row>
    <row r="5" spans="1:13" ht="31.2" customHeight="1" x14ac:dyDescent="0.3">
      <c r="A5" s="210" t="s">
        <v>7</v>
      </c>
      <c r="B5" s="210"/>
      <c r="C5" s="210"/>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t="s">
        <v>317</v>
      </c>
      <c r="C9" s="207"/>
      <c r="D9" s="3"/>
      <c r="E9" s="3"/>
      <c r="F9" s="3"/>
    </row>
    <row r="10" spans="1:13" ht="15.6" x14ac:dyDescent="0.3">
      <c r="A10" s="5" t="s">
        <v>192</v>
      </c>
      <c r="B10" s="208" t="s">
        <v>1760</v>
      </c>
      <c r="C10" s="208"/>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19763662</v>
      </c>
      <c r="C13" s="55">
        <v>651051</v>
      </c>
      <c r="D13" s="197" t="s">
        <v>4</v>
      </c>
      <c r="E13" s="198"/>
      <c r="F13" s="198"/>
      <c r="G13" s="29"/>
      <c r="H13" s="29"/>
      <c r="I13" s="29"/>
      <c r="J13" s="29"/>
      <c r="K13" s="29"/>
      <c r="L13" s="29"/>
      <c r="M13" s="29"/>
    </row>
    <row r="14" spans="1:13" x14ac:dyDescent="0.25">
      <c r="A14" s="51" t="str">
        <f>LEFT(A13,4)+1&amp;"–"&amp;RIGHT(A13,4)+1</f>
        <v>2024–2025</v>
      </c>
      <c r="B14" s="55">
        <v>12361717</v>
      </c>
      <c r="C14" s="55">
        <v>534499</v>
      </c>
      <c r="D14" s="197"/>
      <c r="E14" s="198"/>
      <c r="F14" s="198"/>
    </row>
    <row r="15" spans="1:13" ht="15.6" x14ac:dyDescent="0.25">
      <c r="A15" s="51" t="str">
        <f>LEFT(A14,4)+1&amp;"–"&amp;RIGHT(A14,4)+1</f>
        <v>2025–2026</v>
      </c>
      <c r="B15" s="55">
        <v>10330357</v>
      </c>
      <c r="C15" s="55">
        <v>429366</v>
      </c>
      <c r="D15" s="194" t="s">
        <v>125</v>
      </c>
      <c r="E15" s="194"/>
      <c r="F15" s="194"/>
      <c r="G15" s="30"/>
      <c r="H15" s="30"/>
      <c r="I15" s="30"/>
      <c r="J15" s="30"/>
      <c r="K15" s="30"/>
      <c r="L15" s="30"/>
      <c r="M15" s="30"/>
    </row>
    <row r="16" spans="1:13" x14ac:dyDescent="0.25">
      <c r="A16" s="51" t="str">
        <f>LEFT(A15,4)+1&amp;"–"&amp;RIGHT(A15,4)+1</f>
        <v>2026–2027</v>
      </c>
      <c r="B16" s="55">
        <v>9311585</v>
      </c>
      <c r="C16" s="55">
        <v>328423</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6499458</v>
      </c>
      <c r="C17" s="55">
        <v>242803</v>
      </c>
      <c r="D17" s="194" t="s">
        <v>1673</v>
      </c>
      <c r="E17" s="194"/>
      <c r="F17" s="194"/>
      <c r="G17" s="31"/>
      <c r="H17" s="31"/>
      <c r="I17" s="31"/>
      <c r="J17" s="31"/>
      <c r="K17" s="31"/>
    </row>
    <row r="18" spans="1:13" ht="15" customHeight="1" x14ac:dyDescent="0.3">
      <c r="A18" s="51" t="str">
        <f>LEFT(A17,4)+1&amp;"–"&amp;RIGHT(A17,4)+5</f>
        <v>2028–2033</v>
      </c>
      <c r="B18" s="55">
        <v>16997904</v>
      </c>
      <c r="C18" s="55">
        <v>370207</v>
      </c>
      <c r="D18" s="197" t="s">
        <v>6</v>
      </c>
      <c r="E18" s="198"/>
      <c r="F18" s="198"/>
      <c r="G18" s="29"/>
      <c r="H18" s="29"/>
      <c r="I18" s="29"/>
      <c r="J18" s="29"/>
      <c r="K18" s="29"/>
      <c r="L18" s="29"/>
      <c r="M18" s="29"/>
    </row>
    <row r="19" spans="1:13" x14ac:dyDescent="0.25">
      <c r="A19" s="51" t="str">
        <f t="shared" ref="A19:A32" si="0">LEFT(A18,4)+5&amp;"–"&amp;RIGHT(A18,4)+5</f>
        <v>2033–2038</v>
      </c>
      <c r="B19" s="55">
        <v>364517</v>
      </c>
      <c r="C19" s="55">
        <v>13334</v>
      </c>
      <c r="D19" s="197"/>
      <c r="E19" s="198"/>
      <c r="F19" s="198"/>
    </row>
    <row r="20" spans="1:13" ht="15.6" x14ac:dyDescent="0.25">
      <c r="A20" s="51" t="str">
        <f t="shared" si="0"/>
        <v>2038–2043</v>
      </c>
      <c r="B20" s="55">
        <v>62616</v>
      </c>
      <c r="C20" s="55">
        <v>6168</v>
      </c>
      <c r="D20" s="194" t="s">
        <v>125</v>
      </c>
      <c r="E20" s="194"/>
      <c r="F20" s="194"/>
      <c r="G20" s="30"/>
      <c r="H20" s="30"/>
      <c r="I20" s="30"/>
      <c r="J20" s="30"/>
      <c r="K20" s="30"/>
      <c r="L20" s="30"/>
      <c r="M20" s="30"/>
    </row>
    <row r="21" spans="1:13" ht="15" customHeight="1" x14ac:dyDescent="0.25">
      <c r="A21" s="51" t="str">
        <f t="shared" si="0"/>
        <v>2043–2048</v>
      </c>
      <c r="B21" s="55">
        <f>49169-1</f>
        <v>49168</v>
      </c>
      <c r="C21" s="55">
        <v>1258</v>
      </c>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t="s">
        <v>1673</v>
      </c>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t="s">
        <v>1673</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t="s">
        <v>1673</v>
      </c>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t="str">
        <f>B9</f>
        <v>0820</v>
      </c>
      <c r="C40" s="202"/>
      <c r="E40" s="32"/>
    </row>
    <row r="41" spans="1:13" ht="15.6" x14ac:dyDescent="0.3">
      <c r="A41" s="5" t="s">
        <v>192</v>
      </c>
      <c r="B41" s="200" t="str">
        <f>B10</f>
        <v>Department of Justice</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v>2377143</v>
      </c>
      <c r="C44" s="55">
        <v>72315</v>
      </c>
      <c r="D44" s="197" t="s">
        <v>4</v>
      </c>
      <c r="E44" s="198"/>
      <c r="F44" s="198"/>
    </row>
    <row r="45" spans="1:13" ht="15" customHeight="1" x14ac:dyDescent="0.25">
      <c r="A45" s="51" t="str">
        <f>LEFT(A44,4)+1&amp;"–"&amp;RIGHT(A44,4)+1</f>
        <v>2024–2025</v>
      </c>
      <c r="B45" s="55">
        <v>2400722</v>
      </c>
      <c r="C45" s="55">
        <v>52065</v>
      </c>
      <c r="D45" s="197"/>
      <c r="E45" s="198"/>
      <c r="F45" s="198"/>
    </row>
    <row r="46" spans="1:13" x14ac:dyDescent="0.25">
      <c r="A46" s="51" t="str">
        <f>LEFT(A45,4)+1&amp;"–"&amp;RIGHT(A45,4)+1</f>
        <v>2025–2026</v>
      </c>
      <c r="B46" s="55">
        <v>2455812</v>
      </c>
      <c r="C46" s="55">
        <v>31407</v>
      </c>
      <c r="D46" s="194" t="s">
        <v>125</v>
      </c>
      <c r="E46" s="194"/>
      <c r="F46" s="194"/>
    </row>
    <row r="47" spans="1:13" ht="15" customHeight="1" x14ac:dyDescent="0.25">
      <c r="A47" s="51" t="str">
        <f>LEFT(A46,4)+1&amp;"–"&amp;RIGHT(A46,4)+1</f>
        <v>2026–2027</v>
      </c>
      <c r="B47" s="55">
        <v>2070637</v>
      </c>
      <c r="C47" s="55">
        <v>10282</v>
      </c>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v>143531</v>
      </c>
      <c r="C48" s="55">
        <v>1645</v>
      </c>
      <c r="D48" s="194" t="s">
        <v>1673</v>
      </c>
      <c r="E48" s="194"/>
      <c r="F48" s="194"/>
    </row>
    <row r="49" spans="1:6" ht="15" customHeight="1" x14ac:dyDescent="0.25">
      <c r="A49" s="51" t="str">
        <f>LEFT(A48,4)+1&amp;"–"&amp;RIGHT(A48,4)+5</f>
        <v>2028–2033</v>
      </c>
      <c r="B49" s="55">
        <v>409740</v>
      </c>
      <c r="C49" s="55">
        <v>3039</v>
      </c>
      <c r="D49" s="197" t="s">
        <v>6</v>
      </c>
      <c r="E49" s="198"/>
      <c r="F49" s="198"/>
    </row>
    <row r="50" spans="1:6" x14ac:dyDescent="0.25">
      <c r="A50" s="51" t="str">
        <f t="shared" ref="A50:A63" si="1">LEFT(A49,4)+5&amp;"–"&amp;RIGHT(A49,4)+5</f>
        <v>2033–2038</v>
      </c>
      <c r="B50" s="55">
        <v>6382</v>
      </c>
      <c r="C50" s="55">
        <v>811</v>
      </c>
      <c r="D50" s="197"/>
      <c r="E50" s="198"/>
      <c r="F50" s="198"/>
    </row>
    <row r="51" spans="1:6" ht="15" customHeight="1" x14ac:dyDescent="0.25">
      <c r="A51" s="51" t="str">
        <f t="shared" si="1"/>
        <v>2038–2043</v>
      </c>
      <c r="B51" s="55">
        <v>4512</v>
      </c>
      <c r="C51" s="55">
        <v>444</v>
      </c>
      <c r="D51" s="194" t="s">
        <v>125</v>
      </c>
      <c r="E51" s="194"/>
      <c r="F51" s="194"/>
    </row>
    <row r="52" spans="1:6" ht="15" customHeight="1" x14ac:dyDescent="0.25">
      <c r="A52" s="51" t="str">
        <f t="shared" si="1"/>
        <v>2043–2048</v>
      </c>
      <c r="B52" s="55">
        <f>3543+1</f>
        <v>3544</v>
      </c>
      <c r="C52" s="55">
        <v>91</v>
      </c>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t="s">
        <v>1673</v>
      </c>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t="s">
        <v>1673</v>
      </c>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t="s">
        <v>125</v>
      </c>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t="s">
        <v>125</v>
      </c>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t="s">
        <v>1673</v>
      </c>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t="str">
        <f>B9</f>
        <v>0820</v>
      </c>
      <c r="C71" s="202"/>
    </row>
    <row r="72" spans="1:13" ht="15.6" x14ac:dyDescent="0.3">
      <c r="A72" s="5" t="s">
        <v>192</v>
      </c>
      <c r="B72" s="200" t="str">
        <f>B10</f>
        <v>Department of Justice</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t="s">
        <v>125</v>
      </c>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t="s">
        <v>1673</v>
      </c>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t="s">
        <v>125</v>
      </c>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t="s">
        <v>1673</v>
      </c>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t="s">
        <v>1673</v>
      </c>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t="s">
        <v>125</v>
      </c>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t="s">
        <v>1673</v>
      </c>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18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800-000001000000}">
          <x14:formula1>
            <xm:f>'Drop Down Menus'!$A$1:$A$101</xm:f>
          </x14:formula1>
          <xm:sqref>B8:C8</xm:sqref>
        </x14:dataValidation>
        <x14:dataValidation type="list" allowBlank="1" showInputMessage="1" showErrorMessage="1" xr:uid="{00000000-0002-0000-1800-000002000000}">
          <x14:formula1>
            <xm:f>'Drop Down Menus'!$D$1:$D$2</xm:f>
          </x14:formula1>
          <xm:sqref>D15:F15 D20:F20 D31 D46:F46 D29 D51:F51 D62 D60 D77:F77 D82:F82 D93 D91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4">
    <tabColor theme="9" tint="0.59999389629810485"/>
  </sheetPr>
  <dimension ref="B1:Q20"/>
  <sheetViews>
    <sheetView zoomScale="90" zoomScaleNormal="90" workbookViewId="0">
      <selection activeCell="F11" sqref="F11"/>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",'0001 LS Journal'!F3)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0820 - Department of Justice</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95085607</v>
      </c>
      <c r="G10" s="58"/>
      <c r="H10" s="61">
        <f>543473+1941296</f>
        <v>2484769</v>
      </c>
      <c r="I10" s="58"/>
      <c r="J10" s="61">
        <v>21829392</v>
      </c>
      <c r="K10" s="58"/>
      <c r="L10" s="63">
        <f>SUM(F10+H10-J10)</f>
        <v>75740984</v>
      </c>
      <c r="M10" s="58"/>
      <c r="N10" s="61">
        <v>19763662</v>
      </c>
      <c r="O10" s="58"/>
      <c r="P10" s="63">
        <f>L10-N10</f>
        <v>55977322</v>
      </c>
      <c r="Q10" s="43"/>
    </row>
    <row r="11" spans="2:17" ht="19.2" thickTop="1" thickBot="1" x14ac:dyDescent="0.4">
      <c r="B11" s="41"/>
      <c r="C11" s="45" t="s">
        <v>19</v>
      </c>
      <c r="F11" s="62">
        <f>SUM(F10:F10)</f>
        <v>95085607</v>
      </c>
      <c r="G11" s="58"/>
      <c r="H11" s="62">
        <f>SUM(H10:H10)</f>
        <v>2484769</v>
      </c>
      <c r="I11" s="58"/>
      <c r="J11" s="62">
        <f>SUM(J10:J10)</f>
        <v>21829392</v>
      </c>
      <c r="K11" s="58"/>
      <c r="L11" s="62">
        <f>SUM(L10:L10)</f>
        <v>75740984</v>
      </c>
      <c r="M11" s="58"/>
      <c r="N11" s="62">
        <f>SUM(N10:N10)</f>
        <v>19763662</v>
      </c>
      <c r="O11" s="58"/>
      <c r="P11" s="62">
        <f>SUM(P10:P10)</f>
        <v>55977322</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v>12229983</v>
      </c>
      <c r="G14" s="58"/>
      <c r="H14" s="61">
        <v>0</v>
      </c>
      <c r="I14" s="58"/>
      <c r="J14" s="61">
        <v>2357960</v>
      </c>
      <c r="K14" s="58"/>
      <c r="L14" s="63">
        <f>SUM(F14+H14-J14)</f>
        <v>9872023</v>
      </c>
      <c r="M14" s="58"/>
      <c r="N14" s="61">
        <v>2377143</v>
      </c>
      <c r="O14" s="58"/>
      <c r="P14" s="63">
        <f>L14-N14</f>
        <v>7494880</v>
      </c>
      <c r="Q14" s="43"/>
    </row>
    <row r="15" spans="2:17" ht="19.2" thickTop="1" thickBot="1" x14ac:dyDescent="0.4">
      <c r="B15" s="41"/>
      <c r="C15" s="45" t="s">
        <v>135</v>
      </c>
      <c r="F15" s="62">
        <f>SUM(F14:F14)</f>
        <v>12229983</v>
      </c>
      <c r="G15" s="58"/>
      <c r="H15" s="62">
        <f>SUM(H14:H14)</f>
        <v>0</v>
      </c>
      <c r="I15" s="58"/>
      <c r="J15" s="62">
        <f>SUM(J14:J14)</f>
        <v>2357960</v>
      </c>
      <c r="K15" s="58"/>
      <c r="L15" s="62">
        <f>SUM(L14:L14)</f>
        <v>9872023</v>
      </c>
      <c r="M15" s="58"/>
      <c r="N15" s="62">
        <f>SUM(N14:N14)</f>
        <v>2377143</v>
      </c>
      <c r="O15" s="58"/>
      <c r="P15" s="62">
        <f>SUM(P14:P14)</f>
        <v>7494880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1900-000000000000}">
      <formula1>0</formula1>
    </dataValidation>
  </dataValidations>
  <pageMargins left="0.7" right="0.7" top="0.75" bottom="0.75" header="0.3" footer="0.3"/>
  <pageSetup scale="57"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tabColor theme="9" tint="0.59999389629810485"/>
    <pageSetUpPr fitToPage="1"/>
  </sheetPr>
  <dimension ref="A1:S577"/>
  <sheetViews>
    <sheetView showGridLines="0" zoomScaleNormal="100" workbookViewId="0">
      <selection activeCell="P11" sqref="P11"/>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1" t="s">
        <v>154</v>
      </c>
      <c r="B5" s="211"/>
      <c r="C5" s="211"/>
      <c r="D5" s="211"/>
      <c r="E5" s="211"/>
      <c r="F5" s="211"/>
      <c r="G5" s="211"/>
      <c r="H5" s="211"/>
      <c r="I5" s="211"/>
      <c r="J5" s="211"/>
      <c r="K5" s="211"/>
      <c r="L5" s="211"/>
      <c r="M5" s="211"/>
      <c r="N5" s="211"/>
      <c r="O5" s="211"/>
      <c r="P5" s="211"/>
      <c r="Q5" s="211"/>
    </row>
    <row r="6" spans="1:17" ht="15" customHeight="1" x14ac:dyDescent="0.3">
      <c r="A6" s="211"/>
      <c r="B6" s="211"/>
      <c r="C6" s="211"/>
      <c r="D6" s="211"/>
      <c r="E6" s="211"/>
      <c r="F6" s="211"/>
      <c r="G6" s="211"/>
      <c r="H6" s="211"/>
      <c r="I6" s="211"/>
      <c r="J6" s="211"/>
      <c r="K6" s="211"/>
      <c r="L6" s="211"/>
      <c r="M6" s="211"/>
      <c r="N6" s="211"/>
      <c r="O6" s="211"/>
      <c r="P6" s="211"/>
      <c r="Q6" s="211"/>
    </row>
    <row r="7" spans="1:17" x14ac:dyDescent="0.3">
      <c r="A7" s="211"/>
      <c r="B7" s="211"/>
      <c r="C7" s="211"/>
      <c r="D7" s="211"/>
      <c r="E7" s="211"/>
      <c r="F7" s="211"/>
      <c r="G7" s="211"/>
      <c r="H7" s="211"/>
      <c r="I7" s="211"/>
      <c r="J7" s="211"/>
      <c r="K7" s="211"/>
      <c r="L7" s="211"/>
      <c r="M7" s="211"/>
      <c r="N7" s="211"/>
      <c r="O7" s="211"/>
      <c r="P7" s="211"/>
      <c r="Q7" s="211"/>
    </row>
    <row r="8" spans="1:17" ht="15" customHeight="1" x14ac:dyDescent="0.3">
      <c r="A8" s="212" t="s">
        <v>1629</v>
      </c>
      <c r="B8" s="212"/>
      <c r="C8" s="212"/>
      <c r="D8" s="212"/>
      <c r="E8" s="212"/>
      <c r="F8" s="212"/>
      <c r="G8" s="212"/>
      <c r="H8" s="212"/>
      <c r="I8" s="212"/>
      <c r="J8" s="212"/>
      <c r="K8" s="212"/>
      <c r="L8" s="212"/>
      <c r="M8" s="212"/>
      <c r="N8" s="212"/>
      <c r="O8" s="212"/>
      <c r="P8" s="212"/>
      <c r="Q8" s="212"/>
    </row>
    <row r="9" spans="1:17" x14ac:dyDescent="0.3">
      <c r="A9" s="212"/>
      <c r="B9" s="212"/>
      <c r="C9" s="212"/>
      <c r="D9" s="212"/>
      <c r="E9" s="212"/>
      <c r="F9" s="212"/>
      <c r="G9" s="212"/>
      <c r="H9" s="212"/>
      <c r="I9" s="212"/>
      <c r="J9" s="212"/>
      <c r="K9" s="212"/>
      <c r="L9" s="212"/>
      <c r="M9" s="212"/>
      <c r="N9" s="212"/>
      <c r="O9" s="212"/>
      <c r="P9" s="212"/>
      <c r="Q9" s="212"/>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3" t="s">
        <v>143</v>
      </c>
      <c r="C13" s="213"/>
      <c r="D13" s="213"/>
      <c r="E13" s="213"/>
      <c r="F13" s="213"/>
      <c r="G13" s="213"/>
      <c r="H13" s="213"/>
      <c r="I13" s="213"/>
      <c r="J13" s="213"/>
      <c r="K13" s="213"/>
      <c r="L13" s="213"/>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v>95085607</v>
      </c>
      <c r="C16" s="116" t="s">
        <v>146</v>
      </c>
      <c r="D16" s="84">
        <v>543473</v>
      </c>
      <c r="E16" s="118" t="s">
        <v>147</v>
      </c>
      <c r="F16" s="84">
        <v>21829392</v>
      </c>
      <c r="G16" s="117" t="s">
        <v>147</v>
      </c>
      <c r="H16" s="84">
        <f>IF('0001 LS Journal'!$F$8="Governmental Fund",'0001 LS Journal'!$J$96,0)</f>
        <v>0</v>
      </c>
      <c r="I16" s="117" t="s">
        <v>146</v>
      </c>
      <c r="J16" s="84">
        <f>IF('0001 LS Journal'!$F$8="Governmental Fund",'0001 LS Journal'!$K$113,0)</f>
        <v>1941296</v>
      </c>
      <c r="K16" s="118" t="s">
        <v>150</v>
      </c>
      <c r="L16" s="87">
        <f>+B16+D16-F16-H16+J16</f>
        <v>75740984</v>
      </c>
      <c r="M16" s="86"/>
      <c r="N16" s="88">
        <f>SUM('LS-Department Note Disclosure'!B13:B36)</f>
        <v>75740984</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3" t="s">
        <v>143</v>
      </c>
      <c r="C21" s="213"/>
      <c r="D21" s="213"/>
      <c r="E21" s="213"/>
      <c r="F21" s="213"/>
      <c r="G21" s="213"/>
      <c r="H21" s="213"/>
      <c r="I21" s="213"/>
      <c r="J21" s="213"/>
      <c r="K21" s="213"/>
      <c r="L21" s="213"/>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v>12229983</v>
      </c>
      <c r="C24" s="116" t="s">
        <v>146</v>
      </c>
      <c r="D24" s="84">
        <f>IF('0001 LS Journal'!$F$8="Proprietary - Internal Service Fund",'0001 LS Journal'!$K$48,0)</f>
        <v>0</v>
      </c>
      <c r="E24" s="118" t="s">
        <v>147</v>
      </c>
      <c r="F24" s="84">
        <v>2357960</v>
      </c>
      <c r="G24" s="117" t="s">
        <v>147</v>
      </c>
      <c r="H24" s="84">
        <f>IF('0001 LS Journal'!$F$8="Proprietary - Internal Service Fund",'0001 LS Journal'!$J$96,0)</f>
        <v>0</v>
      </c>
      <c r="I24" s="117" t="s">
        <v>146</v>
      </c>
      <c r="J24" s="84">
        <f>IF('0001 LS Journal'!$F$8="Proprietary - Internal Service Fund",'0001 LS Journal'!$K$113,0)</f>
        <v>0</v>
      </c>
      <c r="K24" s="118" t="s">
        <v>150</v>
      </c>
      <c r="L24" s="87">
        <f>+B24+D24-F24-H24+J24</f>
        <v>9872023</v>
      </c>
      <c r="M24" s="86"/>
      <c r="N24" s="88">
        <f>SUM('LS-Department Note Disclosure'!B44:B67)</f>
        <v>9872023</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3" t="s">
        <v>143</v>
      </c>
      <c r="C30" s="213"/>
      <c r="D30" s="213"/>
      <c r="E30" s="213"/>
      <c r="F30" s="213"/>
      <c r="G30" s="213"/>
      <c r="H30" s="213"/>
      <c r="I30" s="213"/>
      <c r="J30" s="213"/>
      <c r="K30" s="213"/>
      <c r="L30" s="213"/>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IF('0001 LS Journal'!$F$8="Proprietary - Enterprise Fund",'0001 LS Journal'!$K$23,0)</f>
        <v>0</v>
      </c>
      <c r="C33" s="116" t="s">
        <v>146</v>
      </c>
      <c r="D33" s="84">
        <f>IF('0001 LS Journal'!$F$8="Proprietary - Enterprise Fund",'0001 LS Journal'!$K$48,0)</f>
        <v>0</v>
      </c>
      <c r="E33" s="118" t="s">
        <v>147</v>
      </c>
      <c r="F33" s="84">
        <f>IF('0001 LS Journal'!$F$8="Proprietary - Enterprise Fund",'0001 LS Journal'!$J$68,0)</f>
        <v>0</v>
      </c>
      <c r="G33" s="117" t="s">
        <v>147</v>
      </c>
      <c r="H33" s="84">
        <f>IF('0001 LS Journal'!$F$8="Proprietary - Enterprise Fund",'0001 LS Journal'!$J$96,0)</f>
        <v>0</v>
      </c>
      <c r="I33" s="117" t="s">
        <v>146</v>
      </c>
      <c r="J33" s="84">
        <f>IF('0001 LS Journal'!$F$8="Proprietary - Enterprise Fund",'0001 LS Journal'!$K$113,0)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3" t="s">
        <v>143</v>
      </c>
      <c r="C40" s="213"/>
      <c r="D40" s="213"/>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v>19763662</v>
      </c>
      <c r="C42" s="92"/>
      <c r="E42" s="92"/>
      <c r="G42" s="115"/>
      <c r="H42" s="115"/>
      <c r="I42" s="115"/>
      <c r="J42" s="115"/>
      <c r="K42" s="92"/>
      <c r="L42" s="92"/>
      <c r="M42" s="93"/>
      <c r="N42" s="88">
        <f>'LS-Department Note Disclosure'!B13</f>
        <v>19763662</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3" t="s">
        <v>143</v>
      </c>
      <c r="C47" s="213"/>
      <c r="D47" s="213"/>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v>2377143</v>
      </c>
      <c r="C49" s="92"/>
      <c r="E49" s="92"/>
      <c r="G49" s="115"/>
      <c r="H49" s="115"/>
      <c r="I49" s="115"/>
      <c r="J49" s="115"/>
      <c r="K49" s="92"/>
      <c r="L49" s="92"/>
      <c r="M49" s="93"/>
      <c r="N49" s="88">
        <f>'LS-Department Note Disclosure'!B44</f>
        <v>2377143</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3" t="s">
        <v>143</v>
      </c>
      <c r="C55" s="213"/>
      <c r="D55" s="213"/>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IF('0001 LS Journal'!$F$8="Proprietary - Enterprise Fund",'0001 LS Journal'!$K$76,0)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4" t="s">
        <v>143</v>
      </c>
      <c r="C64" s="214"/>
      <c r="D64" s="214"/>
      <c r="E64" s="214"/>
      <c r="F64" s="214"/>
      <c r="G64" s="214"/>
      <c r="H64" s="214"/>
      <c r="I64" s="95"/>
      <c r="J64" s="77" t="s">
        <v>1628</v>
      </c>
      <c r="K64" s="95"/>
      <c r="L64" s="214" t="s">
        <v>12</v>
      </c>
      <c r="M64" s="214"/>
      <c r="N64" s="214"/>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95085607</v>
      </c>
      <c r="J66" s="97">
        <f>SUM(D66)</f>
        <v>95085607</v>
      </c>
      <c r="L66" s="98" t="str">
        <f>CONCATENATE("Balance July 1, ",LEFT('LS-Department Note Disclosure'!$B$8,4))</f>
        <v>Balance July 1, 2022</v>
      </c>
      <c r="N66" s="97">
        <f>'LS-Lease Liabilities'!F10</f>
        <v>95085607</v>
      </c>
      <c r="P66" s="89">
        <f>J66-N66</f>
        <v>0</v>
      </c>
    </row>
    <row r="67" spans="1:17" x14ac:dyDescent="0.3">
      <c r="B67" s="79" t="s">
        <v>157</v>
      </c>
      <c r="D67" s="97">
        <f>$D$16</f>
        <v>543473</v>
      </c>
      <c r="E67" s="119" t="s">
        <v>146</v>
      </c>
      <c r="F67" s="79" t="s">
        <v>1756</v>
      </c>
      <c r="H67" s="97">
        <f>$J$16</f>
        <v>1941296</v>
      </c>
      <c r="J67" s="97">
        <f>SUM(D67,H67)</f>
        <v>2484769</v>
      </c>
      <c r="L67" s="98" t="s">
        <v>13</v>
      </c>
      <c r="N67" s="97">
        <f>'LS-Lease Liabilities'!H10</f>
        <v>2484769</v>
      </c>
      <c r="P67" s="89">
        <f t="shared" ref="P67:P69" si="0">J67-N67</f>
        <v>0</v>
      </c>
    </row>
    <row r="68" spans="1:17" x14ac:dyDescent="0.3">
      <c r="B68" s="79" t="s">
        <v>152</v>
      </c>
      <c r="D68" s="97">
        <f>$F$16</f>
        <v>21829392</v>
      </c>
      <c r="E68" s="119" t="s">
        <v>146</v>
      </c>
      <c r="F68" s="79" t="s">
        <v>1753</v>
      </c>
      <c r="H68" s="97">
        <f>$H$16</f>
        <v>0</v>
      </c>
      <c r="J68" s="97">
        <f>SUM(D68,H68)</f>
        <v>21829392</v>
      </c>
      <c r="L68" s="98" t="s">
        <v>14</v>
      </c>
      <c r="N68" s="97">
        <f>'LS-Lease Liabilities'!J10</f>
        <v>21829392</v>
      </c>
      <c r="P68" s="89">
        <f t="shared" si="0"/>
        <v>0</v>
      </c>
    </row>
    <row r="69" spans="1:17" x14ac:dyDescent="0.3">
      <c r="B69" s="79" t="s">
        <v>156</v>
      </c>
      <c r="D69" s="97">
        <f>$B$42</f>
        <v>19763662</v>
      </c>
      <c r="J69" s="97">
        <f>SUM(D69)</f>
        <v>19763662</v>
      </c>
      <c r="L69" s="98" t="s">
        <v>15</v>
      </c>
      <c r="N69" s="97">
        <f>'LS-Lease Liabilities'!N10</f>
        <v>19763662</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4" t="s">
        <v>143</v>
      </c>
      <c r="C75" s="214"/>
      <c r="D75" s="214"/>
      <c r="E75" s="214"/>
      <c r="F75" s="214"/>
      <c r="G75" s="214"/>
      <c r="H75" s="214"/>
      <c r="I75" s="95"/>
      <c r="J75" s="77" t="s">
        <v>1628</v>
      </c>
      <c r="K75" s="95"/>
      <c r="L75" s="214" t="s">
        <v>12</v>
      </c>
      <c r="M75" s="214"/>
      <c r="N75" s="214"/>
    </row>
    <row r="76" spans="1:17" x14ac:dyDescent="0.3">
      <c r="L76" s="75"/>
      <c r="M76" s="75"/>
      <c r="N76" s="75"/>
      <c r="O76" s="75"/>
      <c r="P76" s="82" t="s">
        <v>149</v>
      </c>
    </row>
    <row r="77" spans="1:17" x14ac:dyDescent="0.3">
      <c r="B77" s="79" t="s">
        <v>145</v>
      </c>
      <c r="D77" s="97">
        <f>B24</f>
        <v>12229983</v>
      </c>
      <c r="J77" s="97">
        <f>SUM(D77)</f>
        <v>12229983</v>
      </c>
      <c r="L77" s="98" t="str">
        <f>CONCATENATE("Balance July 1, ",LEFT('LS-Department Note Disclosure'!$B$8,4))</f>
        <v>Balance July 1, 2022</v>
      </c>
      <c r="N77" s="97">
        <f>'LS-Lease Liabilities'!F14</f>
        <v>12229983</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2357960</v>
      </c>
      <c r="E79" s="119" t="s">
        <v>146</v>
      </c>
      <c r="F79" s="79" t="s">
        <v>1753</v>
      </c>
      <c r="H79" s="97">
        <f>$H$24</f>
        <v>0</v>
      </c>
      <c r="J79" s="97">
        <f>SUM(D79,H79)</f>
        <v>2357960</v>
      </c>
      <c r="L79" s="98" t="s">
        <v>14</v>
      </c>
      <c r="N79" s="97">
        <f>'LS-Lease Liabilities'!J14</f>
        <v>2357960</v>
      </c>
      <c r="P79" s="89">
        <f t="shared" si="1"/>
        <v>0</v>
      </c>
    </row>
    <row r="80" spans="1:17" x14ac:dyDescent="0.3">
      <c r="B80" s="79" t="s">
        <v>156</v>
      </c>
      <c r="D80" s="97">
        <f>B49</f>
        <v>2377143</v>
      </c>
      <c r="J80" s="97">
        <f>SUM(D80)</f>
        <v>2377143</v>
      </c>
      <c r="L80" s="98" t="s">
        <v>15</v>
      </c>
      <c r="N80" s="97">
        <f>'LS-Lease Liabilities'!N14</f>
        <v>2377143</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4" t="s">
        <v>143</v>
      </c>
      <c r="C86" s="214"/>
      <c r="D86" s="214"/>
      <c r="E86" s="214"/>
      <c r="F86" s="214"/>
      <c r="G86" s="214"/>
      <c r="H86" s="214"/>
      <c r="I86" s="95"/>
      <c r="J86" s="77" t="s">
        <v>1628</v>
      </c>
      <c r="K86" s="95"/>
      <c r="L86" s="214" t="s">
        <v>12</v>
      </c>
      <c r="M86" s="214"/>
      <c r="N86" s="214"/>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ediaLengthInSeconds xmlns="93acb6f5-a267-438f-a085-1cd1a6c988ea" xsi:nil="true"/>
    <SharedWithUsers xmlns="34c91bc0-47e8-459a-859a-0a8b02681609">
      <UserInfo>
        <DisplayName/>
        <AccountId xsi:nil="true"/>
        <AccountType/>
      </UserInfo>
    </SharedWithUsers>
    <TaxCatchAll xmlns="34c91bc0-47e8-459a-859a-0a8b02681609" xsi:nil="true"/>
    <lcf76f155ced4ddcb4097134ff3c332f xmlns="93acb6f5-a267-438f-a085-1cd1a6c988e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7C40EF-7BB6-474D-9E44-AFBCCA0674BC}"/>
</file>

<file path=customXml/itemProps2.xml><?xml version="1.0" encoding="utf-8"?>
<ds:datastoreItem xmlns:ds="http://schemas.openxmlformats.org/officeDocument/2006/customXml" ds:itemID="{0E4AA755-2CD9-4DC3-9E9F-22F3BC2A78AD}"/>
</file>

<file path=customXml/itemProps3.xml><?xml version="1.0" encoding="utf-8"?>
<ds:datastoreItem xmlns:ds="http://schemas.openxmlformats.org/officeDocument/2006/customXml" ds:itemID="{A39B6441-2EFC-4D8C-B223-5065F2A4365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23</vt:i4>
      </vt:variant>
    </vt:vector>
  </HeadingPairs>
  <TitlesOfParts>
    <vt:vector size="50" baseType="lpstr">
      <vt:lpstr>Drop Down Menus</vt:lpstr>
      <vt:lpstr>qryIndex02a</vt:lpstr>
      <vt:lpstr>LS-Version Changes</vt:lpstr>
      <vt:lpstr>0001 LS Journal</vt:lpstr>
      <vt:lpstr>0012 LS Journal</vt:lpstr>
      <vt:lpstr>0017 LS Journal</vt:lpstr>
      <vt:lpstr>0044 LS Journal</vt:lpstr>
      <vt:lpstr>0142 LS Journal</vt:lpstr>
      <vt:lpstr>0256 LS Journal</vt:lpstr>
      <vt:lpstr>0367 LS Journal</vt:lpstr>
      <vt:lpstr>0378 LS Journal</vt:lpstr>
      <vt:lpstr>0460 LS Journal</vt:lpstr>
      <vt:lpstr>0566 LS Journal</vt:lpstr>
      <vt:lpstr>0567 LS Journal</vt:lpstr>
      <vt:lpstr>0569 LS Journal</vt:lpstr>
      <vt:lpstr>0890 LS Journal</vt:lpstr>
      <vt:lpstr>1008 LS Journal</vt:lpstr>
      <vt:lpstr>3016 LS Journal</vt:lpstr>
      <vt:lpstr>3053 LS Journal</vt:lpstr>
      <vt:lpstr>3086 LS Journal</vt:lpstr>
      <vt:lpstr>3087 LS Journal</vt:lpstr>
      <vt:lpstr>3320 LS Journal</vt:lpstr>
      <vt:lpstr>9731 LS Journal</vt:lpstr>
      <vt:lpstr>9740 LS Journal</vt:lpstr>
      <vt:lpstr>LS-Department Note Disclosure</vt:lpstr>
      <vt:lpstr>LS-Lease Liabilities</vt:lpstr>
      <vt:lpstr>LS-Check Figures  </vt:lpstr>
      <vt:lpstr>'0001 LS Journal'!Print_Area</vt:lpstr>
      <vt:lpstr>'0012 LS Journal'!Print_Area</vt:lpstr>
      <vt:lpstr>'0017 LS Journal'!Print_Area</vt:lpstr>
      <vt:lpstr>'0044 LS Journal'!Print_Area</vt:lpstr>
      <vt:lpstr>'0142 LS Journal'!Print_Area</vt:lpstr>
      <vt:lpstr>'0256 LS Journal'!Print_Area</vt:lpstr>
      <vt:lpstr>'0367 LS Journal'!Print_Area</vt:lpstr>
      <vt:lpstr>'0378 LS Journal'!Print_Area</vt:lpstr>
      <vt:lpstr>'0460 LS Journal'!Print_Area</vt:lpstr>
      <vt:lpstr>'0566 LS Journal'!Print_Area</vt:lpstr>
      <vt:lpstr>'0567 LS Journal'!Print_Area</vt:lpstr>
      <vt:lpstr>'0569 LS Journal'!Print_Area</vt:lpstr>
      <vt:lpstr>'0890 LS Journal'!Print_Area</vt:lpstr>
      <vt:lpstr>'1008 LS Journal'!Print_Area</vt:lpstr>
      <vt:lpstr>'3016 LS Journal'!Print_Area</vt:lpstr>
      <vt:lpstr>'3053 LS Journal'!Print_Area</vt:lpstr>
      <vt:lpstr>'3086 LS Journal'!Print_Area</vt:lpstr>
      <vt:lpstr>'3087 LS Journal'!Print_Area</vt:lpstr>
      <vt:lpstr>'3320 LS Journal'!Print_Area</vt:lpstr>
      <vt:lpstr>'9731 LS Journal'!Print_Area</vt:lpstr>
      <vt:lpstr>'9740 LS Journal'!Print_Area</vt:lpstr>
      <vt:lpstr>'LS-Department Note Disclosure'!Print_Area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Philip Schick</cp:lastModifiedBy>
  <dcterms:created xsi:type="dcterms:W3CDTF">2023-03-08T17:19:33Z</dcterms:created>
  <dcterms:modified xsi:type="dcterms:W3CDTF">2024-06-27T21:17:44Z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MediaServiceImageTags">
    <vt:lpwstr/>
  </property>
</Properties>
</file>