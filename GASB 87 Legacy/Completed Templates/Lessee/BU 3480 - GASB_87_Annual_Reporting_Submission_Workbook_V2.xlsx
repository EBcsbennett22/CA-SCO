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docProps/app.xml" ContentType="application/vnd.openxmlformats-officedocument.extended-propertie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DD699225-01AC-4CB6-BFAF-ABF80B73F148}" xr6:coauthVersionLast="47" xr6:coauthVersionMax="47" xr10:uidLastSave="{00000000-0000-0000-0000-000000000000}"/>
  <bookViews>
    <workbookView xWindow="22932" yWindow="-108" windowWidth="23256" windowHeight="12576" tabRatio="921" firstSheet="2" activeTab="6" xr2:uid="{00000000-000D-0000-FFFF-FFFF00000000}"/>
  </bookViews>
  <sheets>
    <sheet name="Drop Down Menus" sheetId="1" state="hidden" r:id="rId1"/>
    <sheet name="qryIndex02a" sheetId="11" state="hidden" r:id="rId2"/>
    <sheet name="LS-Version Changes" sheetId="13" r:id="rId3"/>
    <sheet name="LS-Fund 0001 Journal Entries" sheetId="2" r:id="rId4"/>
    <sheet name="LS-Fund 0336 Journal Entries" sheetId="16" r:id="rId5"/>
    <sheet name="LS-Fund 0338 Journal Entries" sheetId="17" r:id="rId6"/>
    <sheet name="LS-Fund 3046 Journal Entries" sheetId="18" r:id="rId7"/>
    <sheet name="LS-Department Note Disclosure" sheetId="3" r:id="rId8"/>
    <sheet name="LS-Lease Liabilities" sheetId="4" r:id="rId9"/>
    <sheet name="LS-Check Figures  " sheetId="7" r:id="rId10"/>
  </sheets>
  <externalReferences>
    <externalReference r:id="rId11"/>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7">'LS-Department Note Disclosure'!$A$1:$C$85</definedName>
    <definedName name="_xlnm.Print_Area" localSheetId="3">'LS-Fund 0001 Journal Entries'!$A$1:$J$9</definedName>
    <definedName name="_xlnm.Print_Area" localSheetId="4">'LS-Fund 0336 Journal Entries'!$A$1:$J$9</definedName>
    <definedName name="_xlnm.Print_Area" localSheetId="5">'LS-Fund 0338 Journal Entries'!$A$1:$J$9</definedName>
    <definedName name="_xlnm.Print_Area" localSheetId="6">'LS-Fund 3046 Journal Entries'!$A$1:$J$9</definedName>
    <definedName name="_xlnm.Print_Area" localSheetId="8">'LS-Lease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2" i="7" l="1"/>
  <c r="J16" i="7"/>
  <c r="H16" i="7"/>
  <c r="F16" i="7"/>
  <c r="D16" i="7"/>
  <c r="B16" i="7"/>
  <c r="F10" i="4"/>
  <c r="N10" i="4"/>
  <c r="J10" i="4"/>
  <c r="C13" i="3"/>
  <c r="B13" i="3"/>
  <c r="B14" i="3"/>
  <c r="C14" i="3"/>
  <c r="K129" i="18" l="1"/>
  <c r="K114" i="18"/>
  <c r="J114" i="18"/>
  <c r="L114" i="18" s="1"/>
  <c r="L105" i="18"/>
  <c r="K105" i="18"/>
  <c r="J105" i="18"/>
  <c r="K91" i="18"/>
  <c r="J91" i="18"/>
  <c r="L91" i="18" s="1"/>
  <c r="K77" i="18"/>
  <c r="J77" i="18"/>
  <c r="L77" i="18" s="1"/>
  <c r="K70" i="18"/>
  <c r="L70" i="18" s="1"/>
  <c r="J70" i="18"/>
  <c r="K65" i="18"/>
  <c r="J65" i="18"/>
  <c r="L65" i="18" s="1"/>
  <c r="B63" i="18"/>
  <c r="K59" i="18"/>
  <c r="J59" i="18"/>
  <c r="L59" i="18" s="1"/>
  <c r="K49" i="18"/>
  <c r="J49" i="18"/>
  <c r="L49" i="18" s="1"/>
  <c r="K43" i="18"/>
  <c r="J43" i="18"/>
  <c r="L43" i="18" s="1"/>
  <c r="K36" i="18"/>
  <c r="J36" i="18"/>
  <c r="L36" i="18" s="1"/>
  <c r="S25" i="18"/>
  <c r="Q24" i="18"/>
  <c r="S24" i="18" s="1"/>
  <c r="S23" i="18"/>
  <c r="K23" i="18"/>
  <c r="K128" i="18" s="1"/>
  <c r="S22" i="18"/>
  <c r="K22" i="18"/>
  <c r="K127" i="18" s="1"/>
  <c r="S21" i="18"/>
  <c r="K21" i="18"/>
  <c r="K126" i="18" s="1"/>
  <c r="S20" i="18"/>
  <c r="K20" i="18"/>
  <c r="S19" i="18"/>
  <c r="P18" i="18"/>
  <c r="S18" i="18" s="1"/>
  <c r="S17" i="18"/>
  <c r="J17" i="18"/>
  <c r="K124" i="18" s="1"/>
  <c r="S16" i="18"/>
  <c r="J16" i="18"/>
  <c r="K123" i="18" s="1"/>
  <c r="S15" i="18"/>
  <c r="J15" i="18"/>
  <c r="F9" i="18"/>
  <c r="C104" i="18" s="1"/>
  <c r="K129" i="17"/>
  <c r="K125" i="17"/>
  <c r="K114" i="17"/>
  <c r="J114" i="17"/>
  <c r="L114" i="17" s="1"/>
  <c r="L105" i="17"/>
  <c r="K105" i="17"/>
  <c r="J105" i="17"/>
  <c r="K91" i="17"/>
  <c r="J91" i="17"/>
  <c r="L91" i="17" s="1"/>
  <c r="K77" i="17"/>
  <c r="L77" i="17" s="1"/>
  <c r="J77" i="17"/>
  <c r="K70" i="17"/>
  <c r="J70" i="17"/>
  <c r="K65" i="17"/>
  <c r="J65" i="17"/>
  <c r="L65" i="17" s="1"/>
  <c r="B63" i="17"/>
  <c r="K59" i="17"/>
  <c r="J59" i="17"/>
  <c r="K49" i="17"/>
  <c r="J49" i="17"/>
  <c r="L49" i="17" s="1"/>
  <c r="K43" i="17"/>
  <c r="J43" i="17"/>
  <c r="L43" i="17" s="1"/>
  <c r="K36" i="17"/>
  <c r="J36" i="17"/>
  <c r="L36" i="17" s="1"/>
  <c r="S25" i="17"/>
  <c r="Q24" i="17"/>
  <c r="S24" i="17" s="1"/>
  <c r="S23" i="17"/>
  <c r="K23" i="17"/>
  <c r="K128" i="17" s="1"/>
  <c r="S22" i="17"/>
  <c r="K22" i="17"/>
  <c r="K127" i="17" s="1"/>
  <c r="S21" i="17"/>
  <c r="K21" i="17"/>
  <c r="K126" i="17" s="1"/>
  <c r="S20" i="17"/>
  <c r="K20" i="17"/>
  <c r="S19" i="17"/>
  <c r="P18" i="17"/>
  <c r="S18" i="17" s="1"/>
  <c r="S17" i="17"/>
  <c r="J17" i="17"/>
  <c r="K124" i="17" s="1"/>
  <c r="S16" i="17"/>
  <c r="J16" i="17"/>
  <c r="K123" i="17" s="1"/>
  <c r="S15" i="17"/>
  <c r="J15" i="17"/>
  <c r="K122" i="17" s="1"/>
  <c r="F9" i="17"/>
  <c r="B100" i="17" s="1"/>
  <c r="K129" i="16"/>
  <c r="K126" i="16"/>
  <c r="K114" i="16"/>
  <c r="J114" i="16"/>
  <c r="L114" i="16" s="1"/>
  <c r="L105" i="16"/>
  <c r="K105" i="16"/>
  <c r="J105" i="16"/>
  <c r="K91" i="16"/>
  <c r="J91" i="16"/>
  <c r="L91" i="16" s="1"/>
  <c r="K77" i="16"/>
  <c r="J77" i="16"/>
  <c r="L77" i="16" s="1"/>
  <c r="K70" i="16"/>
  <c r="J70" i="16"/>
  <c r="K65" i="16"/>
  <c r="J65" i="16"/>
  <c r="L65" i="16" s="1"/>
  <c r="B63" i="16"/>
  <c r="K59" i="16"/>
  <c r="J59" i="16"/>
  <c r="K49" i="16"/>
  <c r="J49" i="16"/>
  <c r="L49" i="16" s="1"/>
  <c r="K43" i="16"/>
  <c r="J43" i="16"/>
  <c r="L43" i="16" s="1"/>
  <c r="K36" i="16"/>
  <c r="J36" i="16"/>
  <c r="L36" i="16" s="1"/>
  <c r="S25" i="16"/>
  <c r="Q24" i="16"/>
  <c r="S24" i="16" s="1"/>
  <c r="S23" i="16"/>
  <c r="K23" i="16"/>
  <c r="K128" i="16" s="1"/>
  <c r="S22" i="16"/>
  <c r="K22" i="16"/>
  <c r="K127" i="16" s="1"/>
  <c r="S21" i="16"/>
  <c r="K21" i="16"/>
  <c r="S20" i="16"/>
  <c r="K20" i="16"/>
  <c r="S19" i="16"/>
  <c r="P18" i="16"/>
  <c r="S18" i="16" s="1"/>
  <c r="S17" i="16"/>
  <c r="J17" i="16"/>
  <c r="K124" i="16" s="1"/>
  <c r="S16" i="16"/>
  <c r="J16" i="16"/>
  <c r="K123" i="16" s="1"/>
  <c r="S15" i="16"/>
  <c r="J15" i="16"/>
  <c r="K122" i="16" s="1"/>
  <c r="F9" i="16"/>
  <c r="C104" i="16" s="1"/>
  <c r="K24" i="18" l="1"/>
  <c r="J18" i="18"/>
  <c r="J18" i="16"/>
  <c r="K24" i="16"/>
  <c r="J18" i="17"/>
  <c r="K24" i="17"/>
  <c r="K25" i="18"/>
  <c r="K26" i="18" s="1"/>
  <c r="J19" i="18"/>
  <c r="J26" i="18" s="1"/>
  <c r="C64" i="18"/>
  <c r="K125" i="18"/>
  <c r="C35" i="18"/>
  <c r="B100" i="18"/>
  <c r="K122" i="18"/>
  <c r="L70" i="17"/>
  <c r="L59" i="17"/>
  <c r="J19" i="17"/>
  <c r="J26" i="17" s="1"/>
  <c r="C104" i="17"/>
  <c r="C35" i="17"/>
  <c r="C64" i="17"/>
  <c r="L70" i="16"/>
  <c r="L59" i="16"/>
  <c r="J19" i="16"/>
  <c r="J26" i="16" s="1"/>
  <c r="K25" i="16"/>
  <c r="K26" i="16" s="1"/>
  <c r="C35" i="16"/>
  <c r="C64" i="16"/>
  <c r="K125" i="16"/>
  <c r="B100" i="16"/>
  <c r="K25" i="17" l="1"/>
  <c r="K26" i="17" s="1"/>
  <c r="L26" i="17" s="1"/>
  <c r="L26" i="18"/>
  <c r="L26" i="16"/>
  <c r="Q24" i="2" l="1"/>
  <c r="P18" i="2"/>
  <c r="K129" i="2" l="1"/>
  <c r="S20" i="2"/>
  <c r="K20" i="2"/>
  <c r="K125" i="2" s="1"/>
  <c r="J18" i="2" l="1"/>
  <c r="S25" i="2"/>
  <c r="S24" i="2"/>
  <c r="S23" i="2"/>
  <c r="K23" i="2"/>
  <c r="K128" i="2" s="1"/>
  <c r="S22" i="2"/>
  <c r="K22" i="2"/>
  <c r="K127" i="2" s="1"/>
  <c r="S21" i="2"/>
  <c r="K21" i="2"/>
  <c r="K126" i="2" s="1"/>
  <c r="S19" i="2"/>
  <c r="S17" i="2"/>
  <c r="J17" i="2"/>
  <c r="S16" i="2"/>
  <c r="J16" i="2"/>
  <c r="K123" i="2" s="1"/>
  <c r="S15" i="2"/>
  <c r="J15" i="2"/>
  <c r="K122" i="2" s="1"/>
  <c r="K124" i="2" l="1"/>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H67" i="7"/>
  <c r="H68" i="7"/>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B57" i="7"/>
  <c r="D91" i="7" s="1"/>
  <c r="J91" i="7" s="1"/>
  <c r="P91" i="7" s="1"/>
  <c r="B49" i="7"/>
  <c r="D80" i="7" s="1"/>
  <c r="J80" i="7" s="1"/>
  <c r="P80" i="7" s="1"/>
  <c r="F33" i="7"/>
  <c r="D90" i="7" s="1"/>
  <c r="J90" i="7" s="1"/>
  <c r="P90" i="7" s="1"/>
  <c r="F24" i="7"/>
  <c r="D79" i="7" s="1"/>
  <c r="J79" i="7" s="1"/>
  <c r="P79" i="7" s="1"/>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<sst xmlns="http://schemas.openxmlformats.org/spreadsheetml/2006/main" count="8151" uniqueCount="1761">
  <si>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</si>
  <si>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</si>
  <si>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</si>
  <si>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</si>
  <si>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</si>
  <si>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</si>
  <si>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</si>
  <si>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</si>
  <si>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</si>
  <si>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</si>
  <si>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</si>
  <si>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</si>
  <si>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</si>
  <si>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</si>
  <si>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</si>
  <si>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</si>
  <si>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</si>
  <si>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</si>
  <si>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</si>
  <si>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</si>
  <si>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</si>
  <si>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</si>
  <si>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</si>
  <si>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</si>
  <si>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</si>
  <si>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</si>
  <si>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</si>
  <si>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</si>
  <si>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</si>
  <si>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</si>
  <si>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</si>
  <si>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</si>
  <si>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</si>
  <si>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</si>
  <si>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</si>
  <si>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</si>
  <si>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</si>
  <si>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</si>
  <si>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</si>
  <si>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</si>
  <si>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</si>
  <si>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</si>
  <si>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</si>
  <si>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</si>
  <si>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</si>
  <si>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</si>
  <si>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</si>
  <si>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</si>
  <si>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</si>
  <si>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</si>
  <si>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</si>
  <si>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</si>
  <si>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</si>
  <si>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</si>
  <si>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</si>
  <si>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</si>
  <si>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</si>
  <si>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</si>
  <si>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</si>
  <si>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</si>
  <si>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</si>
  <si>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</si>
  <si>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</si>
  <si>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</si>
  <si>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</si>
  <si>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</si>
  <si>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</si>
  <si>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</si>
  <si>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</si>
  <si>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</si>
  <si>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</si>
  <si>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</si>
  <si>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</si>
  <si>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</si>
  <si>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</si>
  <si>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</si>
  <si>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</si>
  <si>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</si>
  <si>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</si>
  <si>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</si>
  <si>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</si>
  <si>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</si>
  <si>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</si>
  <si>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</si>
  <si>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</si>
  <si>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</si>
  <si>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</si>
  <si>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</si>
  <si>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</si>
  <si>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</si>
  <si>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</si>
  <si>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</si>
  <si>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</si>
  <si>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</si>
  <si>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</si>
  <si>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</si>
  <si>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</si>
  <si>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</si>
  <si>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</si>
  <si>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</si>
  <si>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</si>
  <si>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</si>
  <si>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</si>
  <si>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</si>
  <si>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</si>
  <si>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</si>
  <si>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</si>
  <si>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</si>
  <si>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</si>
  <si>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</si>
  <si>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</si>
  <si>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</si>
  <si>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</si>
  <si>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</si>
  <si>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</si>
  <si>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</si>
  <si>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</si>
  <si>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</si>
  <si>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</si>
  <si>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</si>
  <si>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</si>
  <si>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</si>
  <si>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</si>
  <si>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</si>
  <si>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</si>
  <si>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</si>
  <si>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</si>
  <si>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</si>
  <si>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</si>
  <si>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</si>
  <si>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</si>
  <si>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</si>
  <si>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</si>
  <si>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</si>
  <si>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</si>
  <si>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</si>
  <si>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</si>
  <si>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</si>
  <si>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</si>
  <si>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</si>
  <si>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</si>
  <si>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</si>
  <si>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</si>
  <si>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</si>
  <si>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</si>
  <si>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</si>
  <si>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</si>
  <si>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</si>
  <si>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</si>
  <si>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</si>
  <si>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</si>
  <si>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</si>
  <si>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</si>
  <si>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</si>
  <si>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</si>
  <si>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</si>
  <si>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</si>
  <si>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</si>
  <si>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</si>
  <si>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</si>
  <si>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</si>
  <si>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</si>
  <si>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</si>
  <si>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</si>
  <si>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</si>
  <si>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</si>
  <si>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</si>
  <si>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</si>
  <si>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</si>
  <si>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</si>
  <si>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</si>
  <si>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</si>
  <si>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</si>
  <si>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</si>
  <si>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</si>
  <si>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</si>
  <si>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</si>
  <si>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</si>
  <si>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</si>
  <si>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</si>
  <si>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</si>
  <si>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</si>
  <si>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</si>
  <si>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</si>
  <si>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</si>
  <si>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</si>
  <si>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</si>
  <si>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</si>
  <si>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</si>
  <si>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</si>
  <si>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</si>
  <si>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</si>
  <si>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</si>
  <si>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</si>
  <si>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</si>
  <si>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</si>
  <si>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</si>
  <si>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</si>
  <si>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</si>
  <si>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</si>
  <si>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</si>
  <si>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</si>
  <si>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</si>
  <si>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</si>
  <si>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</si>
  <si>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</si>
  <si>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</si>
  <si>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</si>
  <si>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</si>
  <si>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</si>
  <si>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</si>
  <si>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</si>
  <si>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</si>
  <si>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</si>
  <si>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</si>
  <si>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</si>
  <si>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</si>
  <si>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</si>
  <si>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</si>
  <si>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</si>
  <si>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</si>
  <si>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</si>
  <si>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</si>
  <si>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</si>
  <si>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</si>
  <si>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</si>
  <si>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</si>
  <si>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</si>
  <si>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</si>
  <si>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</si>
  <si>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</si>
  <si>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</si>
  <si>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</si>
  <si>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</si>
  <si>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</si>
  <si>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</si>
  <si>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</si>
  <si>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</si>
  <si>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</si>
  <si>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</si>
  <si>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</si>
  <si>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</si>
  <si>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</si>
  <si>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</si>
  <si>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</si>
  <si>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</si>
  <si>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</si>
  <si>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</si>
  <si>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</si>
  <si>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</si>
  <si>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</si>
  <si>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</si>
  <si>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</si>
  <si>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</si>
  <si>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</si>
  <si>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</si>
  <si>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</si>
  <si>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</si>
  <si>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</si>
  <si>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</si>
  <si>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</si>
  <si>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</si>
  <si>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</si>
  <si>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</si>
  <si>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</si>
  <si>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</si>
  <si>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</si>
  <si>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</si>
  <si>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</si>
  <si>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</si>
  <si>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</si>
  <si>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</si>
  <si>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</si>
  <si>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</si>
  <si>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</si>
  <si>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</si>
  <si>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</si>
  <si>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</si>
  <si>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</si>
  <si>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</si>
  <si>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</si>
  <si>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</si>
  <si>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</si>
  <si>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</si>
  <si>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</si>
  <si>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</si>
  <si>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</si>
  <si>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</si>
  <si>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</si>
  <si>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</si>
  <si>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</si>
  <si>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</si>
  <si>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</si>
  <si>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</si>
  <si>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</si>
  <si>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</si>
  <si>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</si>
  <si>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</si>
  <si>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</si>
  <si>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</si>
  <si>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</si>
  <si>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</si>
  <si>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</si>
  <si>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</si>
  <si>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</si>
  <si>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</si>
  <si>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</si>
  <si>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</si>
  <si>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</si>
  <si>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</si>
  <si>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</si>
  <si>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</si>
  <si>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</si>
  <si>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</si>
  <si>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</si>
  <si>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</si>
  <si>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</si>
  <si>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</si>
  <si>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</si>
  <si>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</si>
  <si>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</si>
  <si>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</si>
  <si>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</si>
  <si>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</si>
  <si>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</si>
  <si>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</si>
  <si>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</si>
  <si>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</si>
  <si>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</si>
  <si>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</si>
  <si>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</si>
  <si>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</si>
  <si>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</si>
  <si>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</si>
  <si>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</si>
  <si>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</si>
  <si>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</si>
  <si>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</si>
  <si>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</si>
  <si>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</si>
  <si>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</si>
  <si>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</si>
  <si>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</si>
  <si>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</si>
  <si>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</si>
  <si>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</si>
  <si>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</si>
  <si>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</si>
  <si>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</si>
  <si>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</si>
  <si>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</si>
  <si>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</si>
  <si>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</si>
  <si>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</si>
  <si>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</si>
  <si>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</si>
  <si>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</si>
  <si>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</si>
  <si>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</si>
  <si>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</si>
  <si>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</si>
  <si>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</si>
  <si>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</si>
  <si>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</si>
  <si>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</si>
  <si>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</si>
  <si>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</si>
  <si>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</si>
  <si>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</si>
  <si>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</si>
  <si>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</si>
  <si>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</si>
  <si>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</si>
  <si>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</si>
  <si>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</si>
  <si>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</si>
  <si>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</si>
  <si>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</si>
  <si>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</si>
  <si>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</si>
  <si>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</si>
  <si>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</si>
  <si>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</si>
  <si>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</si>
  <si>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</si>
  <si>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</si>
  <si>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</si>
  <si>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</si>
  <si>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</si>
  <si>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</si>
  <si>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</si>
  <si>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</si>
  <si>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</si>
  <si>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</si>
  <si>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</si>
  <si>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</si>
  <si>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</si>
  <si>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</si>
  <si>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</si>
  <si>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</si>
  <si>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</si>
  <si>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</si>
  <si>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</si>
  <si>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</si>
  <si>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</si>
  <si>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</si>
  <si>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</si>
  <si>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</si>
  <si>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</si>
  <si>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</si>
  <si>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</si>
  <si>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</si>
  <si>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</si>
  <si>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</si>
  <si>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</si>
  <si>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</si>
  <si>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</si>
  <si>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</si>
  <si>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</si>
  <si>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</si>
  <si>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</si>
  <si>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</si>
  <si>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</si>
  <si>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</si>
  <si>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</si>
  <si>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</si>
  <si>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</si>
  <si>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</si>
  <si>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</si>
  <si>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</si>
  <si>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</si>
  <si>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</si>
  <si>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</si>
  <si>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</si>
  <si>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</si>
  <si>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</si>
  <si>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</si>
  <si>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</si>
  <si>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</si>
  <si>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</si>
  <si>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</si>
  <si>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</si>
  <si>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</si>
  <si>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</si>
  <si>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</si>
  <si>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</si>
  <si>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</si>
  <si>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</si>
  <si>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</si>
  <si>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</si>
  <si>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</si>
  <si>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</si>
  <si>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</si>
  <si>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</si>
  <si>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</si>
  <si>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</si>
  <si>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</si>
  <si>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</si>
  <si>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</si>
  <si>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</si>
  <si>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</si>
  <si>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</si>
  <si>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</si>
  <si>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</si>
  <si>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</si>
  <si>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</si>
  <si>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</si>
  <si>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</si>
  <si>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</si>
  <si>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</si>
  <si>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</si>
  <si>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</si>
  <si>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</si>
  <si>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</si>
  <si>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</si>
  <si>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</si>
  <si>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</si>
  <si>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</si>
  <si>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</si>
  <si>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</si>
  <si>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</si>
  <si>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</si>
  <si>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</si>
  <si>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</si>
  <si>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</si>
  <si>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</si>
  <si>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</si>
  <si>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</si>
  <si>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</si>
  <si>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</si>
  <si>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</si>
  <si>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</si>
  <si>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</si>
  <si>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</si>
  <si>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</si>
  <si>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</si>
  <si>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</si>
  <si>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</si>
  <si>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</si>
  <si>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</si>
  <si>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</si>
  <si>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</si>
  <si>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</si>
  <si>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</si>
  <si>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</si>
  <si>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</si>
  <si>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</si>
  <si>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</si>
  <si>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</si>
  <si>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</si>
  <si>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</si>
  <si>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</si>
  <si>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</si>
  <si>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</si>
  <si>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</si>
  <si>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</si>
  <si>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</si>
  <si>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</si>
  <si>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</si>
  <si>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</si>
  <si>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</si>
  <si>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</si>
  <si>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</si>
  <si>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</si>
  <si>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</si>
  <si>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</si>
  <si>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</si>
  <si>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</si>
  <si>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</si>
  <si>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</si>
  <si>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</si>
  <si>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</si>
  <si>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</si>
  <si>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</si>
  <si>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</si>
  <si>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</si>
  <si>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</si>
  <si>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</si>
  <si>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</si>
  <si>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</si>
  <si>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</si>
  <si>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</si>
  <si>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</si>
  <si>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</si>
  <si>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</si>
  <si>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</si>
  <si>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</si>
  <si>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</si>
  <si>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</si>
  <si>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</si>
  <si>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</si>
  <si>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</si>
  <si>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</si>
  <si>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</si>
  <si>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</si>
  <si>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</si>
  <si>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</si>
  <si>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</si>
  <si>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</si>
  <si>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</si>
  <si>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</si>
  <si>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</si>
  <si>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</si>
  <si>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</si>
  <si>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</si>
  <si>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</si>
  <si>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</si>
  <si>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</si>
  <si>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</si>
  <si>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</si>
  <si>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</si>
  <si>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</si>
  <si>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</si>
  <si>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</si>
  <si>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</si>
  <si>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</si>
  <si>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</si>
  <si>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</si>
  <si>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</si>
  <si>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</si>
  <si>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</si>
  <si>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</si>
  <si>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</si>
  <si>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</si>
  <si>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</si>
  <si>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</si>
  <si>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</si>
  <si>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</si>
  <si>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</si>
  <si>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</si>
  <si>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</si>
  <si>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</si>
  <si>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</si>
  <si>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</si>
  <si>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</si>
  <si>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</si>
  <si>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</si>
  <si>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</si>
  <si>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</si>
  <si>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</si>
  <si>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</si>
  <si>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</si>
  <si>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</si>
  <si>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</si>
  <si>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</si>
  <si>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</si>
  <si>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</si>
  <si>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</si>
  <si>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</si>
  <si>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</si>
  <si>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</si>
  <si>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</si>
  <si>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</si>
  <si>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</si>
  <si>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</si>
  <si>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</si>
  <si>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</si>
  <si>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</si>
  <si>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</si>
  <si>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</si>
  <si>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</si>
  <si>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</si>
  <si>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</si>
  <si>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</si>
  <si>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</si>
  <si>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</si>
  <si>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</si>
  <si>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</si>
  <si>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</si>
  <si>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</si>
  <si>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</si>
  <si>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</si>
  <si>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</si>
  <si>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</si>
  <si>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</si>
  <si>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</si>
  <si>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</si>
  <si>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</si>
  <si>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</si>
  <si>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</si>
  <si>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</si>
  <si>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</si>
  <si>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</si>
  <si>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</si>
  <si>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</si>
  <si>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</si>
  <si>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</si>
  <si>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</si>
  <si>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</si>
  <si>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</si>
  <si>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</si>
  <si>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</si>
  <si>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</si>
  <si>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</si>
  <si>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</si>
  <si>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</si>
  <si>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</si>
  <si>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</si>
  <si>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</si>
  <si>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</si>
  <si>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</si>
  <si>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</si>
  <si>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</si>
  <si>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</si>
  <si>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</si>
  <si>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</si>
  <si>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</si>
  <si>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</si>
  <si>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</si>
  <si>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</si>
  <si>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</si>
  <si>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</si>
  <si>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</si>
  <si>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</si>
  <si>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</si>
  <si>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</si>
  <si>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</si>
  <si>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</si>
  <si>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</si>
  <si>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</si>
  <si>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</si>
  <si>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</si>
  <si>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</si>
  <si>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</si>
  <si>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</si>
  <si>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</si>
  <si>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</si>
  <si>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</si>
  <si>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</si>
  <si>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</si>
  <si>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</si>
  <si>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</si>
  <si>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</si>
  <si>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</si>
  <si>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</si>
  <si>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</si>
  <si>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</si>
  <si>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</si>
  <si>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</si>
  <si>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</si>
  <si>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</si>
  <si>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</si>
  <si>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</si>
  <si>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</si>
  <si>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</si>
  <si>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</si>
  <si>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</si>
  <si>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</si>
  <si>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</si>
  <si>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</si>
  <si>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</si>
  <si>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</si>
  <si>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</si>
  <si>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</si>
  <si>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</si>
  <si>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</si>
  <si>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</si>
  <si>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</si>
  <si>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</si>
  <si>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</si>
  <si>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</si>
  <si>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</si>
  <si>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</si>
  <si>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</si>
  <si>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</si>
  <si>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</si>
  <si>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</si>
  <si>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</si>
  <si>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</si>
  <si>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</si>
  <si>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</si>
  <si>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</si>
  <si>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</si>
  <si>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</si>
  <si>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</si>
  <si>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</si>
  <si>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</si>
  <si>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</si>
  <si>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</si>
  <si>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</si>
  <si>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</si>
  <si>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</si>
  <si>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</si>
  <si>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</si>
  <si>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</si>
  <si>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</si>
  <si>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</si>
  <si>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</si>
  <si>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</si>
  <si>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</si>
  <si>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</si>
  <si>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</si>
  <si>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</si>
  <si>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</si>
  <si>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</si>
  <si>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</si>
  <si>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</si>
  <si>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</si>
  <si>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</si>
  <si>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</si>
  <si>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</si>
  <si>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</si>
  <si>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</si>
  <si>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</si>
  <si>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</si>
  <si>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</si>
  <si>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</si>
  <si>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</si>
  <si>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</si>
  <si>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</si>
  <si>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</si>
  <si>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</si>
  <si>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</si>
  <si>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</si>
  <si>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</si>
  <si>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</si>
  <si>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</si>
  <si>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</si>
  <si>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</si>
  <si>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</si>
  <si>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</si>
  <si>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</si>
  <si>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</si>
  <si>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</si>
  <si>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</si>
  <si>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</si>
  <si>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</si>
  <si>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</si>
  <si>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</si>
  <si>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</si>
  <si>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</si>
  <si>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</si>
  <si>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</si>
  <si>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</si>
  <si>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</si>
  <si>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</si>
  <si>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</si>
  <si>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</si>
  <si>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</si>
  <si>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</si>
  <si>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</si>
  <si>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</si>
  <si>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</si>
  <si>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</si>
  <si>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</si>
  <si>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</si>
  <si>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</si>
  <si>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</si>
  <si>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</si>
  <si>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</si>
  <si>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</si>
  <si>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</si>
  <si>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</si>
  <si>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</si>
  <si>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</si>
  <si>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</si>
  <si>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</si>
  <si>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</si>
  <si>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</si>
  <si>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</si>
  <si>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</si>
  <si>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</si>
  <si>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</si>
  <si>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</si>
  <si>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</si>
  <si>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</si>
  <si>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</si>
  <si>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</si>
  <si>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</si>
  <si>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</si>
  <si>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</si>
  <si>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</si>
  <si>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</si>
  <si>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</si>
  <si>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</si>
  <si>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</si>
  <si>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</si>
  <si>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</si>
  <si>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</si>
  <si>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</si>
  <si>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</si>
  <si>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</si>
  <si>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</si>
  <si>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</si>
  <si>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</si>
  <si>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</si>
  <si>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</si>
  <si>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</si>
  <si>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</si>
  <si>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</si>
  <si>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</si>
  <si>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</si>
  <si>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</si>
  <si>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</si>
  <si>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</si>
  <si>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</si>
  <si>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</si>
  <si>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</si>
  <si>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</si>
  <si>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</si>
  <si>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</si>
  <si>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</si>
  <si>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</si>
  <si>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</si>
  <si>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</si>
  <si>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</si>
  <si>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</si>
  <si>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</si>
  <si>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</si>
  <si>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</si>
  <si>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</si>
  <si>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</si>
  <si>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</si>
  <si>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</si>
  <si>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</si>
  <si>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</si>
  <si>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</si>
  <si>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</si>
  <si>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</si>
  <si>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</si>
  <si>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</si>
  <si>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</si>
  <si>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</si>
  <si>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</si>
  <si>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</si>
  <si>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</si>
  <si>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</si>
  <si>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</si>
  <si>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</si>
  <si>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</si>
  <si>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</si>
  <si>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</si>
  <si>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</si>
  <si>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</si>
  <si>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</si>
  <si>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</si>
  <si>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</si>
  <si>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</si>
  <si>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</si>
  <si>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</si>
  <si>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</si>
  <si>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</si>
  <si>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</si>
  <si>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</si>
  <si>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</si>
  <si>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</si>
  <si>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</si>
  <si>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</si>
  <si>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</si>
  <si>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</si>
  <si>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</si>
  <si>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</si>
  <si>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</si>
  <si>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</si>
  <si>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</si>
  <si>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</si>
  <si>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</si>
  <si>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</si>
  <si>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</si>
  <si>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</si>
  <si>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</si>
  <si>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</si>
  <si>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</si>
  <si>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</si>
  <si>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</si>
  <si>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</si>
  <si>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</si>
  <si>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</si>
  <si>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</si>
  <si>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</si>
  <si>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</si>
  <si>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</si>
  <si>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</si>
  <si>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</si>
  <si>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</si>
  <si>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</si>
  <si>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</si>
  <si>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</si>
  <si>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</si>
  <si>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</si>
  <si>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</si>
  <si>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</si>
  <si>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</si>
  <si>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</si>
  <si>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</si>
  <si>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</si>
  <si>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</si>
  <si>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</si>
  <si>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</si>
  <si>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</si>
  <si>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</si>
  <si>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</si>
  <si>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</si>
  <si>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</si>
  <si>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</si>
  <si>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</si>
  <si>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</si>
  <si>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</si>
  <si>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</si>
  <si>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</si>
  <si>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</si>
  <si>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</si>
  <si>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</si>
  <si>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</si>
  <si>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</si>
  <si>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</si>
  <si>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</si>
  <si>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</si>
  <si>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</si>
  <si>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</si>
  <si>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</si>
  <si>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</si>
  <si>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</si>
  <si>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</si>
  <si>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</si>
  <si>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</si>
  <si>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</si>
  <si>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</si>
  <si>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</si>
  <si>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</si>
  <si>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</si>
  <si>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</si>
  <si>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</si>
  <si>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</si>
  <si>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</si>
  <si>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</si>
  <si>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</si>
  <si>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</si>
  <si>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</si>
  <si>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</si>
  <si>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</si>
  <si>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</si>
  <si>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</si>
  <si>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</si>
  <si>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</si>
  <si>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</si>
  <si>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</si>
  <si>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</si>
  <si>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</si>
  <si>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</si>
  <si>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</si>
  <si>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</si>
  <si>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</si>
  <si>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</si>
  <si>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</si>
  <si>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</si>
  <si>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</si>
  <si>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</si>
  <si>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</si>
  <si>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</si>
  <si>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</si>
  <si>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</si>
  <si>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</si>
  <si>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</si>
  <si>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</si>
  <si>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</si>
  <si>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</si>
  <si>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</si>
  <si>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</si>
  <si>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</si>
  <si>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</si>
  <si>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</si>
  <si>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</si>
  <si>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</si>
  <si>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</si>
  <si>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</si>
  <si>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</si>
  <si>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</si>
  <si>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</si>
  <si>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</si>
  <si>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</si>
  <si>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</si>
  <si>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</si>
  <si>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</si>
  <si>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</si>
  <si>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</si>
  <si>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</si>
  <si>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</si>
  <si>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</si>
  <si>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</si>
  <si>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</si>
  <si>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</si>
  <si>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</si>
  <si>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</si>
  <si>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</si>
  <si>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</si>
  <si>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</si>
  <si>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</si>
  <si>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</si>
  <si>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</si>
  <si>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</si>
  <si>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</si>
  <si>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</si>
  <si>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</si>
  <si>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</si>
  <si>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</si>
  <si>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</si>
  <si>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</si>
  <si>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</si>
  <si>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</si>
  <si>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</si>
  <si>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</si>
  <si>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</si>
  <si>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</si>
  <si>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</si>
  <si>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</si>
  <si>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</si>
  <si>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</si>
  <si>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</si>
  <si>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</si>
  <si>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</si>
  <si>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</si>
  <si>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</si>
  <si>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</si>
  <si>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</si>
  <si>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</si>
  <si>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</si>
  <si>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</si>
  <si>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</si>
  <si>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</si>
  <si>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</si>
  <si>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</si>
  <si>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</si>
  <si>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</si>
  <si>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</si>
  <si>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</si>
  <si>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</si>
  <si>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</si>
  <si>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</si>
  <si>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</si>
  <si>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</si>
  <si>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</si>
  <si>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</si>
  <si>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</si>
  <si>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</si>
  <si>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</si>
  <si>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</si>
  <si>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</si>
  <si>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</si>
  <si>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</si>
  <si>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</si>
  <si>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</si>
  <si>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</si>
  <si>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</si>
  <si>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</si>
  <si>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</si>
  <si>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</si>
  <si>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</si>
  <si>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</si>
  <si>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</si>
  <si>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</si>
  <si>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</si>
  <si>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</si>
  <si>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</si>
  <si>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</si>
  <si>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</si>
  <si>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</si>
  <si>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</si>
  <si>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</si>
  <si>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</si>
  <si>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</si>
  <si>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</si>
  <si>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</si>
  <si>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</si>
  <si>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</si>
  <si>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</si>
  <si>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</si>
  <si>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</si>
  <si>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</si>
  <si>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</si>
  <si>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</si>
  <si>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</si>
  <si>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</si>
  <si>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</si>
  <si>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</si>
  <si>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</si>
  <si>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</si>
  <si>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</si>
  <si>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</si>
  <si>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</si>
  <si>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</si>
  <si>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</si>
  <si>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</si>
  <si>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</si>
  <si>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</si>
  <si>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</si>
  <si>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</si>
  <si>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</si>
  <si>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</si>
  <si>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</si>
  <si>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</si>
  <si>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</si>
  <si>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</si>
  <si>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</si>
  <si>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</si>
  <si>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</si>
  <si>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</si>
  <si>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</si>
  <si>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</si>
  <si>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</si>
  <si>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</si>
  <si>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</si>
  <si>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</si>
  <si>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</si>
  <si>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</si>
  <si>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</si>
  <si>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</si>
  <si>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</si>
  <si>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</si>
  <si>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</si>
  <si>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</si>
  <si>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</si>
  <si>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</si>
  <si>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</si>
  <si>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</si>
  <si>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</si>
  <si>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</si>
  <si>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</si>
  <si>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</si>
  <si>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</si>
  <si>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</si>
  <si>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</si>
  <si>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</si>
  <si>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</si>
  <si>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</si>
  <si>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</si>
  <si>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</si>
  <si>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</si>
  <si>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</si>
  <si>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</si>
  <si>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</si>
  <si>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</si>
  <si>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</si>
  <si>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</si>
  <si>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</si>
  <si>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</si>
  <si>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</si>
  <si>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</si>
  <si>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</si>
  <si>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</si>
  <si>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</si>
  <si>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</si>
  <si>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</si>
  <si>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</si>
  <si>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</si>
  <si>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</si>
  <si>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</si>
  <si>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</si>
  <si>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</si>
  <si>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</si>
  <si>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</si>
  <si>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</si>
  <si>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</si>
  <si>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</si>
  <si>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</si>
  <si>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</si>
  <si>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</si>
  <si>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</si>
  <si>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</si>
  <si>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</si>
  <si>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</si>
  <si>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</si>
  <si>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</si>
  <si>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</si>
  <si>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</si>
  <si>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</si>
  <si>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</si>
  <si>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</si>
  <si>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</si>
  <si>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</si>
  <si>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</si>
  <si>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</si>
  <si>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</si>
  <si>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</si>
  <si>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</si>
  <si>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</si>
  <si>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</si>
  <si>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</si>
  <si>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</si>
  <si>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</si>
  <si>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</si>
  <si>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</si>
  <si>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</si>
  <si>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</si>
  <si>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</si>
  <si>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</si>
  <si>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</si>
  <si>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</si>
  <si>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</si>
  <si>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</si>
  <si>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</si>
  <si>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</si>
  <si>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</si>
  <si>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</si>
  <si>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</si>
  <si>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</si>
  <si>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</si>
  <si>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</si>
  <si>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</si>
  <si>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</si>
  <si>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</si>
  <si>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</si>
  <si>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</si>
  <si>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</si>
  <si>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</si>
  <si>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</si>
  <si>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</si>
  <si>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</si>
  <si>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</si>
  <si>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</si>
  <si>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</si>
  <si>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</si>
  <si>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</si>
  <si>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</si>
  <si>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</si>
  <si>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</si>
  <si>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</si>
  <si>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</si>
  <si>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</si>
  <si>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</si>
  <si>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</si>
  <si>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</si>
  <si>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</si>
  <si>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</si>
  <si>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</si>
  <si>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</si>
  <si>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</si>
  <si>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</si>
  <si>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</si>
  <si>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</si>
  <si>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</si>
  <si>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</si>
  <si>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</si>
  <si>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</si>
  <si>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</si>
  <si>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</si>
  <si>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</si>
  <si>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</si>
  <si>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</si>
  <si>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</si>
  <si>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</si>
  <si>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</si>
  <si>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</si>
  <si>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</si>
  <si>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</si>
  <si>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</si>
  <si>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</si>
  <si>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</si>
  <si>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</si>
  <si>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</si>
  <si>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</si>
  <si>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</si>
  <si>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</si>
  <si>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</si>
  <si>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</si>
  <si>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</si>
  <si>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</si>
  <si>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</si>
  <si>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</si>
  <si>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</si>
  <si>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</si>
  <si>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</si>
  <si>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</si>
  <si>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</si>
  <si>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</si>
  <si>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</si>
  <si>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</si>
  <si>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</si>
  <si>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</si>
  <si>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</si>
  <si>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</si>
  <si>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</si>
  <si>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</si>
  <si>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</si>
  <si>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</si>
  <si>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</si>
  <si>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</si>
  <si>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</si>
  <si>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</si>
  <si>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</si>
  <si>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</si>
  <si>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</si>
  <si>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</si>
  <si>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</si>
  <si>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</si>
  <si>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</si>
  <si>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</si>
  <si>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</si>
  <si>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</si>
  <si>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</si>
  <si>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</si>
  <si>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</si>
  <si>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</si>
  <si>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</si>
  <si>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</si>
  <si>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</si>
  <si>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</si>
  <si>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</si>
  <si>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</si>
  <si>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</si>
  <si>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</si>
  <si>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</si>
  <si>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</si>
  <si>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</si>
  <si>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</si>
  <si>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</si>
  <si>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</si>
  <si>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</si>
  <si>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</si>
  <si>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</si>
  <si>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</si>
  <si>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</si>
  <si>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</si>
  <si>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</si>
  <si>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</si>
  <si>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</si>
  <si>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</si>
  <si>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</si>
  <si>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</si>
  <si>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</si>
  <si>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</si>
  <si>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</si>
  <si>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</si>
  <si>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</si>
  <si>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</si>
  <si>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</si>
  <si>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</si>
  <si>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</si>
  <si>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</si>
  <si>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</si>
  <si>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</si>
  <si>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</si>
  <si>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</si>
  <si>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</si>
  <si>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</si>
  <si>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</si>
  <si>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</si>
  <si>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</si>
  <si>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</si>
  <si>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</si>
  <si>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</si>
  <si>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</si>
  <si>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</si>
  <si>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</si>
  <si>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</si>
  <si>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</si>
  <si>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</si>
  <si>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</si>
  <si>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</si>
  <si>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</si>
  <si>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</si>
  <si>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</si>
  <si>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</si>
  <si>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</si>
  <si>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</si>
  <si>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</si>
  <si>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</si>
  <si>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</si>
  <si>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</si>
  <si>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</si>
  <si>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</si>
  <si>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</si>
  <si>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</si>
  <si>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</si>
  <si>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</si>
  <si>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</si>
  <si>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</si>
  <si>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</si>
  <si>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</si>
  <si>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</si>
  <si>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</si>
  <si>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</si>
  <si>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</si>
  <si>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</si>
  <si>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</si>
  <si>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</si>
  <si>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</si>
  <si>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</si>
  <si>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</si>
  <si>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</si>
  <si>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</si>
  <si>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</si>
  <si>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</si>
  <si>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</si>
  <si>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</si>
  <si>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</si>
  <si>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</si>
  <si>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</si>
  <si>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</si>
  <si>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</si>
  <si>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</si>
  <si>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</si>
  <si>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</si>
  <si>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</si>
  <si>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</si>
  <si>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</si>
  <si>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</si>
  <si>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</si>
  <si>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</si>
  <si>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</si>
  <si>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</si>
  <si>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</si>
  <si>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</si>
  <si>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</si>
  <si>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</si>
  <si>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</si>
  <si>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</si>
  <si>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</si>
  <si>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</si>
  <si>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</si>
  <si>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</si>
  <si>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</si>
  <si>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</si>
  <si>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</si>
  <si>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</si>
  <si>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</si>
  <si>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</si>
  <si>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</si>
  <si>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</si>
  <si>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</si>
  <si>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</si>
  <si>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</si>
  <si>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</si>
  <si>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</si>
  <si>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</si>
  <si>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</si>
  <si>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</si>
  <si>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</si>
  <si>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</si>
  <si>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</si>
  <si>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</si>
  <si>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</si>
  <si>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</si>
  <si>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</si>
  <si>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</si>
  <si>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</si>
  <si>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</si>
  <si>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</si>
  <si>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</si>
  <si>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</si>
  <si>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</si>
  <si>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</si>
  <si>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</si>
  <si>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</si>
  <si>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</si>
  <si>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</si>
  <si>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</si>
  <si>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</si>
  <si>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</si>
  <si>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</si>
  <si>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</si>
  <si>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</si>
  <si>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</si>
  <si>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</si>
  <si>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</si>
  <si>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</si>
  <si>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</si>
  <si>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</si>
  <si>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</si>
  <si>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</si>
  <si>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</si>
  <si>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</si>
  <si>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</si>
  <si>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</si>
  <si>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</si>
  <si>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</si>
  <si>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</si>
  <si>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</si>
  <si>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</si>
  <si>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</si>
  <si>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</si>
  <si>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</si>
  <si>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</si>
  <si>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</si>
  <si>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</si>
  <si>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</si>
  <si>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</si>
  <si>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</si>
  <si>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</si>
  <si>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</si>
  <si>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</si>
  <si>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</si>
  <si>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</si>
  <si>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</si>
  <si>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</si>
  <si>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</si>
  <si>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</si>
  <si>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</si>
  <si>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</si>
  <si>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</si>
  <si>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</si>
  <si>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</si>
  <si>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</si>
  <si>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</si>
  <si>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</si>
  <si>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</si>
  <si>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</si>
  <si>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</si>
  <si>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</si>
  <si>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</si>
  <si>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</si>
  <si>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</si>
  <si>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</si>
  <si>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</si>
  <si>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</si>
  <si>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</si>
  <si>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</si>
  <si>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</si>
  <si>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</si>
  <si>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</si>
  <si>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</si>
  <si>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</si>
  <si>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</si>
  <si>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</si>
  <si>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</si>
  <si>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</si>
  <si>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</si>
  <si>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</si>
  <si>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</si>
  <si>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</si>
  <si>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</si>
  <si>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</si>
  <si>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</si>
  <si>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</si>
  <si>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</si>
  <si>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</si>
  <si>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</si>
  <si>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</si>
  <si>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</si>
  <si>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</si>
  <si>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</si>
  <si>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</si>
  <si>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</si>
  <si>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</si>
  <si>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</si>
  <si>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</si>
  <si>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</si>
  <si>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</si>
  <si>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</si>
  <si>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</si>
  <si>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</si>
  <si>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</si>
  <si>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</si>
  <si>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</si>
  <si>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</si>
  <si>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</si>
  <si>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</si>
  <si>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</si>
  <si>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</si>
  <si>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</si>
  <si>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</si>
  <si>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</si>
  <si>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</si>
  <si>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</si>
  <si>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</si>
  <si>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</si>
  <si>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</si>
  <si>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</si>
  <si>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</si>
  <si>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</si>
  <si>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</si>
  <si>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</si>
  <si>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</si>
  <si>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</si>
  <si>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</si>
  <si>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</si>
  <si>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</si>
  <si>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</si>
  <si>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</si>
  <si>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</si>
  <si>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</si>
  <si>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</si>
  <si>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</si>
  <si>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</si>
  <si>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</si>
  <si>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</si>
  <si>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</si>
  <si>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</si>
  <si>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</si>
  <si>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</si>
  <si>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</si>
  <si>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</si>
  <si>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</si>
  <si>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</si>
  <si>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</si>
  <si>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</si>
  <si>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</si>
  <si>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</si>
  <si>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</si>
  <si>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</si>
  <si>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</si>
  <si>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</si>
  <si>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</si>
  <si>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</si>
  <si>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</si>
  <si>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</si>
  <si>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</si>
  <si>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</si>
  <si>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</si>
  <si>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</si>
  <si>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</si>
  <si>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</si>
  <si>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</si>
  <si>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</si>
  <si>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</si>
  <si>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</si>
  <si>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</si>
  <si>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</si>
  <si>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</si>
  <si>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</si>
  <si>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</si>
  <si>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</si>
  <si>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</si>
  <si>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</si>
  <si>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</si>
  <si>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</si>
  <si>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</si>
  <si>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</si>
  <si>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</si>
  <si>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</si>
  <si>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</si>
  <si>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</si>
  <si>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</si>
  <si>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</si>
  <si>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</si>
  <si>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</si>
  <si>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</si>
  <si>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</si>
  <si>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</si>
  <si>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</si>
  <si>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</si>
  <si>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</si>
  <si>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</si>
  <si>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</si>
  <si>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</si>
  <si>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</si>
  <si>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</si>
  <si>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</si>
  <si>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</si>
  <si>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</si>
  <si>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</si>
  <si>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</si>
  <si>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</si>
  <si>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</si>
  <si>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</si>
  <si>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</si>
  <si>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</si>
  <si>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</si>
  <si>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</si>
  <si>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</si>
  <si>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</si>
  <si>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</si>
  <si>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</si>
  <si>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</si>
  <si>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</si>
  <si>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</si>
  <si>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</si>
  <si>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</si>
  <si>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</si>
  <si>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</si>
  <si>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</si>
  <si>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</si>
  <si>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</si>
  <si>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</si>
  <si>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</si>
  <si>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</si>
  <si>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</si>
  <si>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</si>
  <si>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</si>
  <si>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</si>
  <si>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</si>
  <si>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</si>
  <si>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</si>
  <si>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</si>
  <si>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</si>
  <si>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</si>
  <si>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</si>
  <si>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</si>
  <si>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</si>
  <si>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</si>
  <si>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</si>
  <si>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</si>
  <si>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</si>
  <si>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</si>
  <si>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</si>
  <si>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</si>
  <si>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</si>
  <si>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</si>
  <si>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</si>
  <si>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</si>
  <si>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</si>
  <si>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</si>
  <si>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</si>
  <si>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</si>
  <si>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</si>
  <si>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</si>
  <si>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</si>
  <si>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</si>
  <si>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</si>
  <si>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</si>
  <si>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Department of Conservation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</si>
</sst>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8" fontId="20" fillId="2" borderId="2" xfId="1" applyNumberFormat="1" applyFont="1" applyFill="1" applyBorder="1" applyAlignment="1" applyProtection="1">
      <alignment vertical="top"/>
      <protection locked="0"/>
    </xf>
    <xf numFmtId="168" fontId="20" fillId="0" borderId="0" xfId="1" applyNumberFormat="1" applyFont="1" applyAlignment="1" applyProtection="1">
      <alignment vertical="top"/>
    </xf>
    <xf numFmtId="168" fontId="20" fillId="0" borderId="0" xfId="1" quotePrefix="1" applyNumberFormat="1" applyFont="1" applyAlignment="1" applyProtection="1">
      <alignment vertical="top"/>
    </xf>
    <xf numFmtId="168" fontId="20" fillId="0" borderId="2" xfId="1" applyNumberFormat="1" applyFont="1" applyBorder="1" applyAlignment="1" applyProtection="1">
      <alignment vertical="top"/>
    </xf>
    <xf numFmtId="168" fontId="20" fillId="0" borderId="2" xfId="1" applyNumberFormat="1" applyFont="1" applyFill="1" applyBorder="1" applyAlignment="1" applyProtection="1">
      <alignment vertical="top"/>
    </xf>
    <xf numFmtId="168"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8" fontId="20" fillId="0" borderId="0" xfId="1" applyNumberFormat="1" applyFont="1" applyFill="1" applyBorder="1" applyAlignment="1" applyProtection="1">
      <alignment vertical="top"/>
      <protection locked="0"/>
    </xf>
    <xf numFmtId="168" fontId="20" fillId="0" borderId="0" xfId="1" applyNumberFormat="1" applyFont="1" applyAlignment="1" applyProtection="1">
      <alignment horizontal="center" vertical="top"/>
    </xf>
    <xf numFmtId="168" fontId="20" fillId="0" borderId="0" xfId="1" quotePrefix="1" applyNumberFormat="1" applyFont="1" applyFill="1" applyBorder="1" applyAlignment="1" applyProtection="1">
      <alignment horizontal="center" vertical="top"/>
      <protection locked="0"/>
    </xf>
    <xf numFmtId="168"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8" fontId="4" fillId="4" borderId="0" xfId="1" applyNumberFormat="1" applyFont="1" applyFill="1" applyAlignment="1">
      <alignment vertical="top"/>
    </xf>
    <xf numFmtId="0" fontId="33"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8"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40"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xf>
    <xf numFmtId="164" fontId="3" fillId="0" borderId="0" xfId="0" applyNumberFormat="1" applyFont="1" applyAlignment="1">
      <alignment horizontal="left"/>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21875" defaultRowHeight="15" x14ac:dyDescent="0.25"/>
  <cols>
    <col min="1" max="1" width="12.77734375" style="1" bestFit="1" customWidth="1"/>
    <col min="2" max="2" width="15.21875" style="1" bestFit="1" customWidth="1"/>
    <col min="3" max="3" width="12.5546875" style="1" bestFit="1" customWidth="1"/>
    <col min="4" max="4" width="9.21875" style="1"/>
    <col min="5" max="5" width="35.21875" style="1" bestFit="1" customWidth="1"/>
    <col min="6" max="6" width="31.77734375" style="1" bestFit="1" customWidth="1"/>
    <col min="7" max="8" width="44.5546875" style="1" bestFit="1" customWidth="1"/>
    <col min="9" max="16384" width="9.218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77734375" defaultRowHeight="14.4" x14ac:dyDescent="0.3"/>
  <cols>
    <col min="1" max="1" width="7.21875" bestFit="1" customWidth="1"/>
    <col min="2" max="2" width="34.77734375" bestFit="1" customWidth="1"/>
    <col min="3" max="3" width="5.21875" bestFit="1" customWidth="1"/>
    <col min="4" max="4" width="33.44140625" bestFit="1" customWidth="1"/>
    <col min="5" max="5" width="8.77734375" customWidth="1"/>
    <col min="6" max="9" width="5.21875" bestFit="1" customWidth="1"/>
    <col min="10" max="10" width="12.2187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sqref="A1:F2"/>
    </sheetView>
  </sheetViews>
  <sheetFormatPr defaultColWidth="8.77734375" defaultRowHeight="13.8" x14ac:dyDescent="0.3"/>
  <cols>
    <col min="1" max="1" width="18.77734375" style="171" customWidth="1"/>
    <col min="2" max="2" width="21.5546875" style="171" customWidth="1"/>
    <col min="3" max="4" width="14.21875" style="171" customWidth="1"/>
    <col min="5" max="5" width="65.77734375" style="171" customWidth="1"/>
    <col min="6" max="6" width="26.21875" style="171" customWidth="1"/>
    <col min="7" max="16384" width="8.777343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opLeftCell="A103" zoomScale="80" zoomScaleNormal="80" workbookViewId="0">
      <selection sqref="A1:K1"/>
    </sheetView>
  </sheetViews>
  <sheetFormatPr defaultColWidth="9.21875" defaultRowHeight="15" x14ac:dyDescent="0.3"/>
  <cols>
    <col min="1" max="1" width="13.21875" style="10" customWidth="1"/>
    <col min="2" max="5" width="10.77734375" style="10" customWidth="1"/>
    <col min="6" max="7" width="15.21875" style="10" customWidth="1"/>
    <col min="8" max="8" width="15.21875" style="26" customWidth="1"/>
    <col min="9" max="9" width="15.21875" style="10" customWidth="1"/>
    <col min="10" max="10" width="21.21875" style="10" customWidth="1"/>
    <col min="11" max="11" width="19.21875" style="10" customWidth="1"/>
    <col min="12" max="12" width="4" style="10" customWidth="1"/>
    <col min="13" max="14" width="17.21875" style="10" customWidth="1"/>
    <col min="15" max="15" width="4" style="10" customWidth="1"/>
    <col min="16" max="17" width="15.77734375" style="10" customWidth="1"/>
    <col min="18" max="18" width="4" style="10" customWidth="1"/>
    <col min="19" max="19" width="15.77734375" style="10" customWidth="1"/>
    <col min="20" max="16384" width="9.218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738</v>
      </c>
      <c r="G5" s="188"/>
      <c r="H5" s="188"/>
      <c r="I5" s="188"/>
      <c r="L5" s="12"/>
      <c r="M5" s="12"/>
      <c r="N5" s="12"/>
      <c r="O5" s="12"/>
      <c r="P5" s="12"/>
      <c r="Q5" s="12"/>
    </row>
    <row r="6" spans="1:19" ht="16.5" customHeight="1" x14ac:dyDescent="0.3">
      <c r="A6" s="186" t="s">
        <v>1635</v>
      </c>
      <c r="B6" s="186"/>
      <c r="C6" s="186"/>
      <c r="D6" s="186"/>
      <c r="E6" s="186"/>
      <c r="F6" s="189">
        <v>1</v>
      </c>
      <c r="G6" s="189"/>
      <c r="H6" s="189"/>
      <c r="I6" s="189"/>
      <c r="L6" s="13"/>
      <c r="M6" s="13"/>
      <c r="N6" s="13"/>
      <c r="O6" s="13"/>
      <c r="P6" s="12"/>
      <c r="Q6" s="12"/>
    </row>
    <row r="7" spans="1:19" ht="16.5" customHeight="1" x14ac:dyDescent="0.3">
      <c r="A7" s="186" t="s">
        <v>1</v>
      </c>
      <c r="B7" s="186"/>
      <c r="C7" s="186"/>
      <c r="D7" s="186"/>
      <c r="E7" s="186"/>
      <c r="F7" s="189" t="s">
        <v>121</v>
      </c>
      <c r="G7" s="189"/>
      <c r="H7" s="189"/>
      <c r="I7" s="189"/>
      <c r="K7" s="53"/>
      <c r="L7" s="13"/>
      <c r="M7" s="13"/>
      <c r="N7" s="13"/>
      <c r="O7" s="13"/>
      <c r="P7" s="12"/>
      <c r="Q7" s="12"/>
    </row>
    <row r="8" spans="1:19" ht="16.5" customHeight="1" x14ac:dyDescent="0.3">
      <c r="A8" s="186" t="s">
        <v>1617</v>
      </c>
      <c r="B8" s="186"/>
      <c r="C8" s="186"/>
      <c r="D8" s="186"/>
      <c r="E8" s="186"/>
      <c r="F8" s="189" t="s">
        <v>155</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Fund",VLOOKUP(F5,qryIndex02a!$A$2:$K$654,4,FALSE)),"Unidentified")</f>
        <v>RESOURCES</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380616</v>
      </c>
      <c r="M17" s="143">
        <v>380616</v>
      </c>
      <c r="P17" s="143">
        <v>380616</v>
      </c>
      <c r="Q17" s="155"/>
      <c r="S17" s="154">
        <f t="shared" si="0"/>
        <v>0</v>
      </c>
    </row>
    <row r="18" spans="1:19" ht="16.5" customHeight="1" x14ac:dyDescent="0.3">
      <c r="A18" s="54"/>
      <c r="B18" s="9" t="s">
        <v>169</v>
      </c>
      <c r="C18" s="9"/>
      <c r="D18" s="9"/>
      <c r="E18" s="140"/>
      <c r="F18" s="141"/>
      <c r="G18" s="141"/>
      <c r="H18" s="142"/>
      <c r="I18" s="142"/>
      <c r="J18" s="178">
        <f>P18</f>
        <v>179</v>
      </c>
      <c r="M18" s="143">
        <v>179</v>
      </c>
      <c r="P18" s="152">
        <f>IF(SUM($Q$20:$Q$23)&gt;SUM($P$15:$P$17),SUM($Q$20:$Q$23)-SUM($P$15:$P$17),0)</f>
        <v>179</v>
      </c>
      <c r="Q18" s="155"/>
      <c r="S18" s="154">
        <f t="shared" si="0"/>
        <v>0</v>
      </c>
    </row>
    <row r="19" spans="1:19" ht="16.5" customHeight="1" x14ac:dyDescent="0.3">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74009</v>
      </c>
      <c r="N22" s="143">
        <v>74009</v>
      </c>
      <c r="P22" s="155"/>
      <c r="Q22" s="143">
        <v>74009</v>
      </c>
      <c r="S22" s="154">
        <f t="shared" ref="S22:S25" si="1">Q22-N22</f>
        <v>0</v>
      </c>
    </row>
    <row r="23" spans="1:19" ht="16.5" customHeight="1" x14ac:dyDescent="0.3">
      <c r="A23" s="165" t="s">
        <v>1646</v>
      </c>
      <c r="B23" s="9"/>
      <c r="C23" s="9" t="s">
        <v>174</v>
      </c>
      <c r="D23" s="9"/>
      <c r="E23" s="140"/>
      <c r="F23" s="141"/>
      <c r="G23" s="141"/>
      <c r="H23" s="142"/>
      <c r="I23" s="142"/>
      <c r="J23" s="150"/>
      <c r="K23" s="178">
        <f>N23</f>
        <v>306786</v>
      </c>
      <c r="N23" s="143">
        <v>306786</v>
      </c>
      <c r="P23" s="155"/>
      <c r="Q23" s="143">
        <v>306786</v>
      </c>
      <c r="S23" s="154">
        <f t="shared" si="1"/>
        <v>0</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3">
      <c r="A26" s="54"/>
      <c r="C26" s="20"/>
      <c r="D26" s="20"/>
      <c r="E26" s="20"/>
      <c r="F26" s="127"/>
      <c r="G26" s="127"/>
      <c r="H26" s="22"/>
      <c r="I26" s="22"/>
      <c r="J26" s="107">
        <f>SUM(J15:J25)</f>
        <v>380795</v>
      </c>
      <c r="K26" s="107">
        <f>SUM(K15:K25)</f>
        <v>380795</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c r="K33" s="144"/>
    </row>
    <row r="34" spans="1:12" ht="16.5" customHeight="1" x14ac:dyDescent="0.3">
      <c r="A34" s="54"/>
      <c r="B34" s="9"/>
      <c r="C34" s="9" t="s">
        <v>1748</v>
      </c>
      <c r="D34" s="140"/>
      <c r="E34" s="140"/>
      <c r="F34" s="141"/>
      <c r="G34" s="141"/>
      <c r="H34" s="142"/>
      <c r="I34" s="142"/>
      <c r="J34" s="144"/>
      <c r="K34" s="143"/>
    </row>
    <row r="35" spans="1:12" ht="16.5" customHeight="1" x14ac:dyDescent="0.3">
      <c r="A35" s="54"/>
      <c r="B35" s="9"/>
      <c r="C35" s="9" t="str">
        <f>IF($F$7="Proprietary","Cr: Acct 0870 - SERVICES &amp; CHARGES (MG ADJ)",VLOOKUP($F$9,'Drop Down Menus'!$F$2:$G$10,2,FALSE))</f>
        <v>Cr: Acct 0820 - NAT RES &amp; ENVIRON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c r="K41" s="144"/>
    </row>
    <row r="42" spans="1:12" ht="16.5" customHeight="1" x14ac:dyDescent="0.3">
      <c r="A42" s="54"/>
      <c r="B42" s="9"/>
      <c r="C42" s="9" t="s">
        <v>181</v>
      </c>
      <c r="D42" s="140"/>
      <c r="E42" s="140"/>
      <c r="F42" s="141"/>
      <c r="G42" s="141"/>
      <c r="H42" s="142"/>
      <c r="I42" s="142"/>
      <c r="J42" s="144"/>
      <c r="K42" s="143"/>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c r="K47" s="144"/>
    </row>
    <row r="48" spans="1:12" ht="16.5" customHeight="1" x14ac:dyDescent="0.3">
      <c r="A48" s="165" t="s">
        <v>1646</v>
      </c>
      <c r="B48" s="9"/>
      <c r="C48" s="9" t="s">
        <v>174</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126872</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126872</v>
      </c>
    </row>
    <row r="59" spans="1:16" ht="16.5" customHeight="1" x14ac:dyDescent="0.3">
      <c r="A59" s="54"/>
      <c r="C59" s="16"/>
      <c r="D59" s="16"/>
      <c r="E59" s="16"/>
      <c r="F59" s="17"/>
      <c r="G59" s="17"/>
      <c r="H59" s="18"/>
      <c r="I59" s="18"/>
      <c r="J59" s="107">
        <f>SUM(J55:J58)</f>
        <v>126872</v>
      </c>
      <c r="K59" s="107">
        <f>SUM(K55:K58)</f>
        <v>126872</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126766</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497</v>
      </c>
      <c r="K63" s="147"/>
    </row>
    <row r="64" spans="1:16" ht="16.5" customHeight="1" x14ac:dyDescent="0.3">
      <c r="A64" s="54"/>
      <c r="B64" s="9"/>
      <c r="C64" s="9" t="str">
        <f>IF($F$7="Proprietary","Cr: Acct 0870 - SERVICES &amp; CHARGES (MG ADJ)",VLOOKUP($F$9,'Drop Down Menus'!$F$2:$G$10,2,FALSE))</f>
        <v>Cr: Acct 0820 - NAT RES &amp; ENVIRON (GAAP ADJ)</v>
      </c>
      <c r="D64" s="140"/>
      <c r="E64" s="140"/>
      <c r="F64" s="141"/>
      <c r="G64" s="141"/>
      <c r="H64" s="142"/>
      <c r="I64" s="142"/>
      <c r="J64" s="147"/>
      <c r="K64" s="143">
        <v>127263</v>
      </c>
    </row>
    <row r="65" spans="1:12" ht="16.5" customHeight="1" x14ac:dyDescent="0.3">
      <c r="A65" s="54"/>
      <c r="C65" s="16"/>
      <c r="D65" s="16"/>
      <c r="E65" s="16"/>
      <c r="F65" s="17"/>
      <c r="G65" s="17"/>
      <c r="H65" s="18"/>
      <c r="I65" s="18"/>
      <c r="J65" s="107">
        <f>SUM(J62:J64)</f>
        <v>127263</v>
      </c>
      <c r="K65" s="107">
        <f>SUM(K62:K64)</f>
        <v>127263</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126766</v>
      </c>
      <c r="K68" s="144"/>
    </row>
    <row r="69" spans="1:12" ht="16.5" customHeight="1" x14ac:dyDescent="0.3">
      <c r="A69" s="54"/>
      <c r="B69" s="9"/>
      <c r="C69" s="9" t="s">
        <v>186</v>
      </c>
      <c r="D69" s="140"/>
      <c r="E69" s="140"/>
      <c r="F69" s="141"/>
      <c r="G69" s="141"/>
      <c r="H69" s="142"/>
      <c r="I69" s="142"/>
      <c r="J69" s="144"/>
      <c r="K69" s="143">
        <v>126766</v>
      </c>
    </row>
    <row r="70" spans="1:12" ht="16.5" customHeight="1" x14ac:dyDescent="0.3">
      <c r="A70" s="54"/>
      <c r="C70" s="16"/>
      <c r="D70" s="16"/>
      <c r="E70" s="16"/>
      <c r="F70" s="17"/>
      <c r="G70" s="17"/>
      <c r="H70" s="18"/>
      <c r="I70" s="18"/>
      <c r="J70" s="107">
        <f>SUM(J68:J69)</f>
        <v>126766</v>
      </c>
      <c r="K70" s="107">
        <f>SUM(K68:K69)</f>
        <v>126766</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127020</v>
      </c>
      <c r="K75" s="144"/>
    </row>
    <row r="76" spans="1:12" ht="16.5" customHeight="1" x14ac:dyDescent="0.3">
      <c r="A76" s="54"/>
      <c r="B76" s="9"/>
      <c r="C76" s="9" t="s">
        <v>194</v>
      </c>
      <c r="D76" s="140"/>
      <c r="E76" s="140"/>
      <c r="F76" s="141"/>
      <c r="G76" s="141"/>
      <c r="H76" s="142"/>
      <c r="I76" s="142"/>
      <c r="J76" s="144"/>
      <c r="K76" s="143">
        <v>127020</v>
      </c>
    </row>
    <row r="77" spans="1:12" ht="16.5" customHeight="1" x14ac:dyDescent="0.25">
      <c r="A77" s="54"/>
      <c r="B77" s="193" t="s">
        <v>1735</v>
      </c>
      <c r="C77" s="193"/>
      <c r="D77" s="193"/>
      <c r="E77" s="193"/>
      <c r="F77" s="193"/>
      <c r="G77" s="193"/>
      <c r="H77" s="193"/>
      <c r="I77" s="193"/>
      <c r="J77" s="107">
        <f>SUM(J75:J76)</f>
        <v>127020</v>
      </c>
      <c r="K77" s="107">
        <f>SUM(K75:K76)</f>
        <v>127020</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0820 - NAT RES &amp; ENVIRON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0820 - NAT RES &amp; ENVIRON (GAAP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380616</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-200881</v>
      </c>
    </row>
    <row r="128" spans="1:12" ht="16.5" customHeight="1" x14ac:dyDescent="0.3">
      <c r="D128" s="140" t="s">
        <v>1657</v>
      </c>
      <c r="H128" s="10"/>
      <c r="K128" s="169">
        <f>-K23-K48+J68+J75+J96-K113</f>
        <v>-53000</v>
      </c>
    </row>
    <row r="129" spans="4:11" ht="16.5" customHeight="1" x14ac:dyDescent="0.3">
      <c r="D129" s="140" t="s">
        <v>1658</v>
      </c>
      <c r="H129" s="10"/>
      <c r="K129" s="169">
        <f>-K76</f>
        <v>-127020</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1FF55-C75E-46D1-8BE5-D15723976297}">
  <sheetPr>
    <tabColor theme="9" tint="0.59999389629810485"/>
    <pageSetUpPr fitToPage="1"/>
  </sheetPr>
  <dimension ref="A1:S193"/>
  <sheetViews>
    <sheetView topLeftCell="A89" zoomScale="70" zoomScaleNormal="70" workbookViewId="0">
      <selection activeCell="M19" sqref="M19"/>
    </sheetView>
  </sheetViews>
  <sheetFormatPr defaultColWidth="9.21875" defaultRowHeight="15" x14ac:dyDescent="0.3"/>
  <cols>
    <col min="1" max="1" width="13.21875" style="10" customWidth="1"/>
    <col min="2" max="5" width="10.77734375" style="10" customWidth="1"/>
    <col min="6" max="7" width="15.21875" style="10" customWidth="1"/>
    <col min="8" max="8" width="15.21875" style="26" customWidth="1"/>
    <col min="9" max="9" width="15.21875" style="10" customWidth="1"/>
    <col min="10" max="10" width="21.21875" style="10" customWidth="1"/>
    <col min="11" max="11" width="19.21875" style="10" customWidth="1"/>
    <col min="12" max="12" width="4" style="10" customWidth="1"/>
    <col min="13" max="14" width="17.21875" style="10" customWidth="1"/>
    <col min="15" max="15" width="4" style="10" customWidth="1"/>
    <col min="16" max="17" width="15.77734375" style="10" customWidth="1"/>
    <col min="18" max="18" width="4" style="10" customWidth="1"/>
    <col min="19" max="19" width="15.77734375" style="10" customWidth="1"/>
    <col min="20" max="16384" width="9.218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738</v>
      </c>
      <c r="G5" s="188"/>
      <c r="H5" s="188"/>
      <c r="I5" s="188"/>
      <c r="L5" s="12"/>
      <c r="M5" s="12"/>
      <c r="N5" s="12"/>
      <c r="O5" s="12"/>
      <c r="P5" s="12"/>
      <c r="Q5" s="12"/>
    </row>
    <row r="6" spans="1:19" ht="16.5" customHeight="1" x14ac:dyDescent="0.3">
      <c r="A6" s="186" t="s">
        <v>1635</v>
      </c>
      <c r="B6" s="186"/>
      <c r="C6" s="186"/>
      <c r="D6" s="186"/>
      <c r="E6" s="186"/>
      <c r="F6" s="189">
        <v>336</v>
      </c>
      <c r="G6" s="189"/>
      <c r="H6" s="189"/>
      <c r="I6" s="189"/>
      <c r="L6" s="13"/>
      <c r="M6" s="13"/>
      <c r="N6" s="13"/>
      <c r="O6" s="13"/>
      <c r="P6" s="12"/>
      <c r="Q6" s="12"/>
    </row>
    <row r="7" spans="1:19" ht="16.5" customHeight="1" x14ac:dyDescent="0.3">
      <c r="A7" s="186" t="s">
        <v>1</v>
      </c>
      <c r="B7" s="186"/>
      <c r="C7" s="186"/>
      <c r="D7" s="186"/>
      <c r="E7" s="186"/>
      <c r="F7" s="189" t="s">
        <v>121</v>
      </c>
      <c r="G7" s="189"/>
      <c r="H7" s="189"/>
      <c r="I7" s="189"/>
      <c r="K7" s="53"/>
      <c r="L7" s="13"/>
      <c r="M7" s="13"/>
      <c r="N7" s="13"/>
      <c r="O7" s="13"/>
      <c r="P7" s="12"/>
      <c r="Q7" s="12"/>
    </row>
    <row r="8" spans="1:19" ht="16.5" customHeight="1" x14ac:dyDescent="0.3">
      <c r="A8" s="186" t="s">
        <v>1617</v>
      </c>
      <c r="B8" s="186"/>
      <c r="C8" s="186"/>
      <c r="D8" s="186"/>
      <c r="E8" s="186"/>
      <c r="F8" s="189" t="s">
        <v>155</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Fund",VLOOKUP(F5,qryIndex02a!$A$2:$K$654,4,FALSE)),"Unidentified")</f>
        <v>RESOURCES</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204947</v>
      </c>
      <c r="M17" s="143">
        <v>204947</v>
      </c>
      <c r="P17" s="143">
        <v>204947</v>
      </c>
      <c r="Q17" s="155"/>
      <c r="S17" s="154">
        <f t="shared" si="0"/>
        <v>0</v>
      </c>
    </row>
    <row r="18" spans="1:19" ht="16.5" customHeight="1" x14ac:dyDescent="0.3">
      <c r="A18" s="54"/>
      <c r="B18" s="9" t="s">
        <v>169</v>
      </c>
      <c r="C18" s="9"/>
      <c r="D18" s="9"/>
      <c r="E18" s="140"/>
      <c r="F18" s="141"/>
      <c r="G18" s="141"/>
      <c r="H18" s="142"/>
      <c r="I18" s="142"/>
      <c r="J18" s="178">
        <f>P18</f>
        <v>96</v>
      </c>
      <c r="M18" s="143">
        <v>96</v>
      </c>
      <c r="P18" s="152">
        <f>IF(SUM($Q$20:$Q$23)&gt;SUM($P$15:$P$17),SUM($Q$20:$Q$23)-SUM($P$15:$P$17),0)</f>
        <v>96</v>
      </c>
      <c r="Q18" s="155"/>
      <c r="S18" s="154">
        <f t="shared" si="0"/>
        <v>0</v>
      </c>
    </row>
    <row r="19" spans="1:19" ht="16.5" customHeight="1" x14ac:dyDescent="0.3">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39851</v>
      </c>
      <c r="N22" s="143">
        <v>39851</v>
      </c>
      <c r="P22" s="155"/>
      <c r="Q22" s="143">
        <v>39851</v>
      </c>
      <c r="S22" s="154">
        <f t="shared" ref="S22:S25" si="1">Q22-N22</f>
        <v>0</v>
      </c>
    </row>
    <row r="23" spans="1:19" ht="16.5" customHeight="1" x14ac:dyDescent="0.3">
      <c r="A23" s="165" t="s">
        <v>1646</v>
      </c>
      <c r="B23" s="9"/>
      <c r="C23" s="9" t="s">
        <v>174</v>
      </c>
      <c r="D23" s="9"/>
      <c r="E23" s="140"/>
      <c r="F23" s="141"/>
      <c r="G23" s="141"/>
      <c r="H23" s="142"/>
      <c r="I23" s="142"/>
      <c r="J23" s="150"/>
      <c r="K23" s="178">
        <f>N23</f>
        <v>165192</v>
      </c>
      <c r="N23" s="143">
        <v>165192</v>
      </c>
      <c r="P23" s="155"/>
      <c r="Q23" s="143">
        <v>165192</v>
      </c>
      <c r="S23" s="154">
        <f t="shared" si="1"/>
        <v>0</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3">
      <c r="A26" s="54"/>
      <c r="C26" s="20"/>
      <c r="D26" s="20"/>
      <c r="E26" s="20"/>
      <c r="F26" s="127"/>
      <c r="G26" s="127"/>
      <c r="H26" s="22"/>
      <c r="I26" s="22"/>
      <c r="J26" s="107">
        <f>SUM(J15:J25)</f>
        <v>205043</v>
      </c>
      <c r="K26" s="107">
        <f>SUM(K15:K25)</f>
        <v>205043</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c r="K33" s="144"/>
    </row>
    <row r="34" spans="1:12" ht="16.5" customHeight="1" x14ac:dyDescent="0.3">
      <c r="A34" s="54"/>
      <c r="B34" s="9"/>
      <c r="C34" s="9" t="s">
        <v>1748</v>
      </c>
      <c r="D34" s="140"/>
      <c r="E34" s="140"/>
      <c r="F34" s="141"/>
      <c r="G34" s="141"/>
      <c r="H34" s="142"/>
      <c r="I34" s="142"/>
      <c r="J34" s="144"/>
      <c r="K34" s="143"/>
    </row>
    <row r="35" spans="1:12" ht="16.5" customHeight="1" x14ac:dyDescent="0.3">
      <c r="A35" s="54"/>
      <c r="B35" s="9"/>
      <c r="C35" s="9" t="str">
        <f>IF($F$7="Proprietary","Cr: Acct 0870 - SERVICES &amp; CHARGES (MG ADJ)",VLOOKUP($F$9,'Drop Down Menus'!$F$2:$G$10,2,FALSE))</f>
        <v>Cr: Acct 0820 - NAT RES &amp; ENVIRON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c r="K41" s="144"/>
    </row>
    <row r="42" spans="1:12" ht="16.5" customHeight="1" x14ac:dyDescent="0.3">
      <c r="A42" s="54"/>
      <c r="B42" s="9"/>
      <c r="C42" s="9" t="s">
        <v>181</v>
      </c>
      <c r="D42" s="140"/>
      <c r="E42" s="140"/>
      <c r="F42" s="141"/>
      <c r="G42" s="141"/>
      <c r="H42" s="142"/>
      <c r="I42" s="142"/>
      <c r="J42" s="144"/>
      <c r="K42" s="143"/>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c r="K47" s="144"/>
    </row>
    <row r="48" spans="1:12" ht="16.5" customHeight="1" x14ac:dyDescent="0.3">
      <c r="A48" s="165" t="s">
        <v>1646</v>
      </c>
      <c r="B48" s="9"/>
      <c r="C48" s="9" t="s">
        <v>174</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68316</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68316</v>
      </c>
    </row>
    <row r="59" spans="1:16" ht="16.5" customHeight="1" x14ac:dyDescent="0.3">
      <c r="A59" s="54"/>
      <c r="C59" s="16"/>
      <c r="D59" s="16"/>
      <c r="E59" s="16"/>
      <c r="F59" s="17"/>
      <c r="G59" s="17"/>
      <c r="H59" s="18"/>
      <c r="I59" s="18"/>
      <c r="J59" s="107">
        <f>SUM(J55:J58)</f>
        <v>68316</v>
      </c>
      <c r="K59" s="107">
        <f>SUM(K55:K58)</f>
        <v>68316</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68259</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268</v>
      </c>
      <c r="K63" s="147"/>
    </row>
    <row r="64" spans="1:16" ht="16.5" customHeight="1" x14ac:dyDescent="0.3">
      <c r="A64" s="54"/>
      <c r="B64" s="9"/>
      <c r="C64" s="9" t="str">
        <f>IF($F$7="Proprietary","Cr: Acct 0870 - SERVICES &amp; CHARGES (MG ADJ)",VLOOKUP($F$9,'Drop Down Menus'!$F$2:$G$10,2,FALSE))</f>
        <v>Cr: Acct 0820 - NAT RES &amp; ENVIRON (GAAP ADJ)</v>
      </c>
      <c r="D64" s="140"/>
      <c r="E64" s="140"/>
      <c r="F64" s="141"/>
      <c r="G64" s="141"/>
      <c r="H64" s="142"/>
      <c r="I64" s="142"/>
      <c r="J64" s="147"/>
      <c r="K64" s="143">
        <v>68527</v>
      </c>
    </row>
    <row r="65" spans="1:12" ht="16.5" customHeight="1" x14ac:dyDescent="0.3">
      <c r="A65" s="54"/>
      <c r="C65" s="16"/>
      <c r="D65" s="16"/>
      <c r="E65" s="16"/>
      <c r="F65" s="17"/>
      <c r="G65" s="17"/>
      <c r="H65" s="18"/>
      <c r="I65" s="18"/>
      <c r="J65" s="107">
        <f>SUM(J62:J64)</f>
        <v>68527</v>
      </c>
      <c r="K65" s="107">
        <f>SUM(K62:K64)</f>
        <v>68527</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68259</v>
      </c>
      <c r="K68" s="144"/>
    </row>
    <row r="69" spans="1:12" ht="16.5" customHeight="1" x14ac:dyDescent="0.3">
      <c r="A69" s="54"/>
      <c r="B69" s="9"/>
      <c r="C69" s="9" t="s">
        <v>186</v>
      </c>
      <c r="D69" s="140"/>
      <c r="E69" s="140"/>
      <c r="F69" s="141"/>
      <c r="G69" s="141"/>
      <c r="H69" s="142"/>
      <c r="I69" s="142"/>
      <c r="J69" s="144"/>
      <c r="K69" s="143">
        <v>68259</v>
      </c>
    </row>
    <row r="70" spans="1:12" ht="16.5" customHeight="1" x14ac:dyDescent="0.3">
      <c r="A70" s="54"/>
      <c r="C70" s="16"/>
      <c r="D70" s="16"/>
      <c r="E70" s="16"/>
      <c r="F70" s="17"/>
      <c r="G70" s="17"/>
      <c r="H70" s="18"/>
      <c r="I70" s="18"/>
      <c r="J70" s="107">
        <f>SUM(J68:J69)</f>
        <v>68259</v>
      </c>
      <c r="K70" s="107">
        <f>SUM(K68:K69)</f>
        <v>68259</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68395</v>
      </c>
      <c r="K75" s="144"/>
    </row>
    <row r="76" spans="1:12" ht="16.5" customHeight="1" x14ac:dyDescent="0.3">
      <c r="A76" s="54"/>
      <c r="B76" s="9"/>
      <c r="C76" s="9" t="s">
        <v>194</v>
      </c>
      <c r="D76" s="140"/>
      <c r="E76" s="140"/>
      <c r="F76" s="141"/>
      <c r="G76" s="141"/>
      <c r="H76" s="142"/>
      <c r="I76" s="142"/>
      <c r="J76" s="144"/>
      <c r="K76" s="143">
        <v>68395</v>
      </c>
    </row>
    <row r="77" spans="1:12" ht="16.5" customHeight="1" x14ac:dyDescent="0.25">
      <c r="A77" s="54"/>
      <c r="B77" s="193" t="s">
        <v>1735</v>
      </c>
      <c r="C77" s="193"/>
      <c r="D77" s="193"/>
      <c r="E77" s="193"/>
      <c r="F77" s="193"/>
      <c r="G77" s="193"/>
      <c r="H77" s="193"/>
      <c r="I77" s="193"/>
      <c r="J77" s="107">
        <f>SUM(J75:J76)</f>
        <v>68395</v>
      </c>
      <c r="K77" s="107">
        <f>SUM(K75:K76)</f>
        <v>68395</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0820 - NAT RES &amp; ENVIRON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0820 - NAT RES &amp; ENVIRON (GAAP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204947</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-108167</v>
      </c>
    </row>
    <row r="128" spans="1:12" ht="16.5" customHeight="1" x14ac:dyDescent="0.3">
      <c r="D128" s="140" t="s">
        <v>1657</v>
      </c>
      <c r="H128" s="10"/>
      <c r="K128" s="169">
        <f>-K23-K48+J68+J75+J96-K113</f>
        <v>-28538</v>
      </c>
    </row>
    <row r="129" spans="4:11" ht="16.5" customHeight="1" x14ac:dyDescent="0.3">
      <c r="D129" s="140" t="s">
        <v>1658</v>
      </c>
      <c r="H129" s="10"/>
      <c r="K129" s="169">
        <f>-K76</f>
        <v>-68395</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EE530857-AFAA-49CB-A769-8F45446655B9}">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2E090911-01CE-43F6-BD03-B855A6397D44}">
      <formula1>0</formula1>
    </dataValidation>
    <dataValidation operator="lessThan" allowBlank="1" showInputMessage="1" showErrorMessage="1" sqref="A3:A8" xr:uid="{0F05B16A-6E2C-452B-9B79-19E27F29B48E}"/>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FC80781-83D8-4CA9-8C42-D69918185115}">
          <x14:formula1>
            <xm:f>'Drop Down Menus'!$E$1:$E$3</xm:f>
          </x14:formula1>
          <xm:sqref>F8</xm:sqref>
        </x14:dataValidation>
        <x14:dataValidation type="list" allowBlank="1" showInputMessage="1" showErrorMessage="1" xr:uid="{05914460-126F-4657-A751-9659E2AC4B52}">
          <x14:formula1>
            <xm:f>'Drop Down Menus'!$B$1:$B$2</xm:f>
          </x14:formula1>
          <xm:sqref>F7</xm:sqref>
        </x14:dataValidation>
        <x14:dataValidation type="list" allowBlank="1" showInputMessage="1" showErrorMessage="1" xr:uid="{58F9B7BD-DBAE-4E50-BA75-EFF8B119870E}">
          <x14:formula1>
            <xm:f>'Drop Down Menus'!$A$1:$A$101</xm:f>
          </x14:formula1>
          <xm:sqref>F3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A9B93-6840-48B5-A629-DDD24EF1443C}">
  <sheetPr>
    <tabColor theme="9" tint="0.59999389629810485"/>
    <pageSetUpPr fitToPage="1"/>
  </sheetPr>
  <dimension ref="A1:S193"/>
  <sheetViews>
    <sheetView topLeftCell="A92" zoomScale="70" zoomScaleNormal="70" workbookViewId="0">
      <selection activeCell="J68" sqref="J68"/>
    </sheetView>
  </sheetViews>
  <sheetFormatPr defaultColWidth="9.21875" defaultRowHeight="15" x14ac:dyDescent="0.3"/>
  <cols>
    <col min="1" max="1" width="13.21875" style="10" customWidth="1"/>
    <col min="2" max="5" width="10.77734375" style="10" customWidth="1"/>
    <col min="6" max="7" width="15.21875" style="10" customWidth="1"/>
    <col min="8" max="8" width="15.21875" style="26" customWidth="1"/>
    <col min="9" max="9" width="15.21875" style="10" customWidth="1"/>
    <col min="10" max="10" width="21.21875" style="10" customWidth="1"/>
    <col min="11" max="11" width="19.21875" style="10" customWidth="1"/>
    <col min="12" max="12" width="4" style="10" customWidth="1"/>
    <col min="13" max="14" width="17.21875" style="10" customWidth="1"/>
    <col min="15" max="15" width="4" style="10" customWidth="1"/>
    <col min="16" max="17" width="15.77734375" style="10" customWidth="1"/>
    <col min="18" max="18" width="4" style="10" customWidth="1"/>
    <col min="19" max="19" width="15.77734375" style="10" customWidth="1"/>
    <col min="20" max="16384" width="9.218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738</v>
      </c>
      <c r="G5" s="188"/>
      <c r="H5" s="188"/>
      <c r="I5" s="188"/>
      <c r="L5" s="12"/>
      <c r="M5" s="12"/>
      <c r="N5" s="12"/>
      <c r="O5" s="12"/>
      <c r="P5" s="12"/>
      <c r="Q5" s="12"/>
    </row>
    <row r="6" spans="1:19" ht="16.5" customHeight="1" x14ac:dyDescent="0.3">
      <c r="A6" s="186" t="s">
        <v>1635</v>
      </c>
      <c r="B6" s="186"/>
      <c r="C6" s="186"/>
      <c r="D6" s="186"/>
      <c r="E6" s="186"/>
      <c r="F6" s="189">
        <v>338</v>
      </c>
      <c r="G6" s="189"/>
      <c r="H6" s="189"/>
      <c r="I6" s="189"/>
      <c r="L6" s="13"/>
      <c r="M6" s="13"/>
      <c r="N6" s="13"/>
      <c r="O6" s="13"/>
      <c r="P6" s="12"/>
      <c r="Q6" s="12"/>
    </row>
    <row r="7" spans="1:19" ht="16.5" customHeight="1" x14ac:dyDescent="0.3">
      <c r="A7" s="186" t="s">
        <v>1</v>
      </c>
      <c r="B7" s="186"/>
      <c r="C7" s="186"/>
      <c r="D7" s="186"/>
      <c r="E7" s="186"/>
      <c r="F7" s="189" t="s">
        <v>121</v>
      </c>
      <c r="G7" s="189"/>
      <c r="H7" s="189"/>
      <c r="I7" s="189"/>
      <c r="K7" s="53"/>
      <c r="L7" s="13"/>
      <c r="M7" s="13"/>
      <c r="N7" s="13"/>
      <c r="O7" s="13"/>
      <c r="P7" s="12"/>
      <c r="Q7" s="12"/>
    </row>
    <row r="8" spans="1:19" ht="16.5" customHeight="1" x14ac:dyDescent="0.3">
      <c r="A8" s="186" t="s">
        <v>1617</v>
      </c>
      <c r="B8" s="186"/>
      <c r="C8" s="186"/>
      <c r="D8" s="186"/>
      <c r="E8" s="186"/>
      <c r="F8" s="189" t="s">
        <v>155</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Fund",VLOOKUP(F5,qryIndex02a!$A$2:$K$654,4,FALSE)),"Unidentified")</f>
        <v>RESOURCES</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1785969</v>
      </c>
      <c r="M17" s="143">
        <v>1785969</v>
      </c>
      <c r="P17" s="143">
        <v>1785969</v>
      </c>
      <c r="Q17" s="155"/>
      <c r="S17" s="154">
        <f t="shared" si="0"/>
        <v>0</v>
      </c>
    </row>
    <row r="18" spans="1:19" ht="16.5" customHeight="1" x14ac:dyDescent="0.3">
      <c r="A18" s="54"/>
      <c r="B18" s="9" t="s">
        <v>169</v>
      </c>
      <c r="C18" s="9"/>
      <c r="D18" s="9"/>
      <c r="E18" s="140"/>
      <c r="F18" s="141"/>
      <c r="G18" s="141"/>
      <c r="H18" s="142"/>
      <c r="I18" s="142"/>
      <c r="J18" s="178">
        <f>P18</f>
        <v>839</v>
      </c>
      <c r="M18" s="143">
        <v>839</v>
      </c>
      <c r="P18" s="152">
        <f>IF(SUM($Q$20:$Q$23)&gt;SUM($P$15:$P$17),SUM($Q$20:$Q$23)-SUM($P$15:$P$17),0)</f>
        <v>839</v>
      </c>
      <c r="Q18" s="155"/>
      <c r="S18" s="154">
        <f t="shared" si="0"/>
        <v>0</v>
      </c>
    </row>
    <row r="19" spans="1:19" ht="16.5" customHeight="1" x14ac:dyDescent="0.3">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347272</v>
      </c>
      <c r="N22" s="143">
        <v>347272</v>
      </c>
      <c r="P22" s="155"/>
      <c r="Q22" s="143">
        <v>347272</v>
      </c>
      <c r="S22" s="154">
        <f t="shared" ref="S22:S25" si="1">Q22-N22</f>
        <v>0</v>
      </c>
    </row>
    <row r="23" spans="1:19" ht="16.5" customHeight="1" x14ac:dyDescent="0.3">
      <c r="A23" s="165" t="s">
        <v>1646</v>
      </c>
      <c r="B23" s="9"/>
      <c r="C23" s="9" t="s">
        <v>174</v>
      </c>
      <c r="D23" s="9"/>
      <c r="E23" s="140"/>
      <c r="F23" s="141"/>
      <c r="G23" s="141"/>
      <c r="H23" s="142"/>
      <c r="I23" s="142"/>
      <c r="J23" s="150"/>
      <c r="K23" s="178">
        <f>N23</f>
        <v>1439536</v>
      </c>
      <c r="N23" s="143">
        <v>1439536</v>
      </c>
      <c r="P23" s="155"/>
      <c r="Q23" s="143">
        <v>1439536</v>
      </c>
      <c r="S23" s="154">
        <f t="shared" si="1"/>
        <v>0</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3">
      <c r="A26" s="54"/>
      <c r="C26" s="20"/>
      <c r="D26" s="20"/>
      <c r="E26" s="20"/>
      <c r="F26" s="127"/>
      <c r="G26" s="127"/>
      <c r="H26" s="22"/>
      <c r="I26" s="22"/>
      <c r="J26" s="107">
        <f>SUM(J15:J25)</f>
        <v>1786808</v>
      </c>
      <c r="K26" s="107">
        <f>SUM(K15:K25)</f>
        <v>1786808</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c r="K33" s="144"/>
    </row>
    <row r="34" spans="1:12" ht="16.5" customHeight="1" x14ac:dyDescent="0.3">
      <c r="A34" s="54"/>
      <c r="B34" s="9"/>
      <c r="C34" s="9" t="s">
        <v>1748</v>
      </c>
      <c r="D34" s="140"/>
      <c r="E34" s="140"/>
      <c r="F34" s="141"/>
      <c r="G34" s="141"/>
      <c r="H34" s="142"/>
      <c r="I34" s="142"/>
      <c r="J34" s="144"/>
      <c r="K34" s="143"/>
    </row>
    <row r="35" spans="1:12" ht="16.5" customHeight="1" x14ac:dyDescent="0.3">
      <c r="A35" s="54"/>
      <c r="B35" s="9"/>
      <c r="C35" s="9" t="str">
        <f>IF($F$7="Proprietary","Cr: Acct 0870 - SERVICES &amp; CHARGES (MG ADJ)",VLOOKUP($F$9,'Drop Down Menus'!$F$2:$G$10,2,FALSE))</f>
        <v>Cr: Acct 0820 - NAT RES &amp; ENVIRON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c r="K41" s="144"/>
    </row>
    <row r="42" spans="1:12" ht="16.5" customHeight="1" x14ac:dyDescent="0.3">
      <c r="A42" s="54"/>
      <c r="B42" s="9"/>
      <c r="C42" s="9" t="s">
        <v>181</v>
      </c>
      <c r="D42" s="140"/>
      <c r="E42" s="140"/>
      <c r="F42" s="141"/>
      <c r="G42" s="141"/>
      <c r="H42" s="142"/>
      <c r="I42" s="142"/>
      <c r="J42" s="144"/>
      <c r="K42" s="143"/>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c r="K47" s="144"/>
    </row>
    <row r="48" spans="1:12" ht="16.5" customHeight="1" x14ac:dyDescent="0.3">
      <c r="A48" s="165" t="s">
        <v>1646</v>
      </c>
      <c r="B48" s="9"/>
      <c r="C48" s="9" t="s">
        <v>174</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595323</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595323</v>
      </c>
    </row>
    <row r="59" spans="1:16" ht="16.5" customHeight="1" x14ac:dyDescent="0.3">
      <c r="A59" s="54"/>
      <c r="C59" s="16"/>
      <c r="D59" s="16"/>
      <c r="E59" s="16"/>
      <c r="F59" s="17"/>
      <c r="G59" s="17"/>
      <c r="H59" s="18"/>
      <c r="I59" s="18"/>
      <c r="J59" s="107">
        <f>SUM(J55:J58)</f>
        <v>595323</v>
      </c>
      <c r="K59" s="107">
        <f>SUM(K55:K58)</f>
        <v>595323</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594826</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2334</v>
      </c>
      <c r="K63" s="147"/>
    </row>
    <row r="64" spans="1:16" ht="16.5" customHeight="1" x14ac:dyDescent="0.3">
      <c r="A64" s="54"/>
      <c r="B64" s="9"/>
      <c r="C64" s="9" t="str">
        <f>IF($F$7="Proprietary","Cr: Acct 0870 - SERVICES &amp; CHARGES (MG ADJ)",VLOOKUP($F$9,'Drop Down Menus'!$F$2:$G$10,2,FALSE))</f>
        <v>Cr: Acct 0820 - NAT RES &amp; ENVIRON (GAAP ADJ)</v>
      </c>
      <c r="D64" s="140"/>
      <c r="E64" s="140"/>
      <c r="F64" s="141"/>
      <c r="G64" s="141"/>
      <c r="H64" s="142"/>
      <c r="I64" s="142"/>
      <c r="J64" s="147"/>
      <c r="K64" s="143">
        <v>597160</v>
      </c>
    </row>
    <row r="65" spans="1:12" ht="16.5" customHeight="1" x14ac:dyDescent="0.3">
      <c r="A65" s="54"/>
      <c r="C65" s="16"/>
      <c r="D65" s="16"/>
      <c r="E65" s="16"/>
      <c r="F65" s="17"/>
      <c r="G65" s="17"/>
      <c r="H65" s="18"/>
      <c r="I65" s="18"/>
      <c r="J65" s="107">
        <f>SUM(J62:J64)</f>
        <v>597160</v>
      </c>
      <c r="K65" s="107">
        <f>SUM(K62:K64)</f>
        <v>597160</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594826</v>
      </c>
      <c r="K68" s="144"/>
    </row>
    <row r="69" spans="1:12" ht="16.5" customHeight="1" x14ac:dyDescent="0.3">
      <c r="A69" s="54"/>
      <c r="B69" s="9"/>
      <c r="C69" s="9" t="s">
        <v>186</v>
      </c>
      <c r="D69" s="140"/>
      <c r="E69" s="140"/>
      <c r="F69" s="141"/>
      <c r="G69" s="141"/>
      <c r="H69" s="142"/>
      <c r="I69" s="142"/>
      <c r="J69" s="144"/>
      <c r="K69" s="143">
        <v>594826</v>
      </c>
    </row>
    <row r="70" spans="1:12" ht="16.5" customHeight="1" x14ac:dyDescent="0.3">
      <c r="A70" s="54"/>
      <c r="C70" s="16"/>
      <c r="D70" s="16"/>
      <c r="E70" s="16"/>
      <c r="F70" s="17"/>
      <c r="G70" s="17"/>
      <c r="H70" s="18"/>
      <c r="I70" s="18"/>
      <c r="J70" s="107">
        <f>SUM(J68:J69)</f>
        <v>594826</v>
      </c>
      <c r="K70" s="107">
        <f>SUM(K68:K69)</f>
        <v>594826</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596017</v>
      </c>
      <c r="K75" s="144"/>
    </row>
    <row r="76" spans="1:12" ht="16.5" customHeight="1" x14ac:dyDescent="0.3">
      <c r="A76" s="54"/>
      <c r="B76" s="9"/>
      <c r="C76" s="9" t="s">
        <v>194</v>
      </c>
      <c r="D76" s="140"/>
      <c r="E76" s="140"/>
      <c r="F76" s="141"/>
      <c r="G76" s="141"/>
      <c r="H76" s="142"/>
      <c r="I76" s="142"/>
      <c r="J76" s="144"/>
      <c r="K76" s="143">
        <v>596017</v>
      </c>
    </row>
    <row r="77" spans="1:12" ht="16.5" customHeight="1" x14ac:dyDescent="0.25">
      <c r="A77" s="54"/>
      <c r="B77" s="193" t="s">
        <v>1735</v>
      </c>
      <c r="C77" s="193"/>
      <c r="D77" s="193"/>
      <c r="E77" s="193"/>
      <c r="F77" s="193"/>
      <c r="G77" s="193"/>
      <c r="H77" s="193"/>
      <c r="I77" s="193"/>
      <c r="J77" s="107">
        <f>SUM(J75:J76)</f>
        <v>596017</v>
      </c>
      <c r="K77" s="107">
        <f>SUM(K75:K76)</f>
        <v>596017</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0820 - NAT RES &amp; ENVIRON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0820 - NAT RES &amp; ENVIRON (GAAP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1785969</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-942595</v>
      </c>
    </row>
    <row r="128" spans="1:12" ht="16.5" customHeight="1" x14ac:dyDescent="0.3">
      <c r="D128" s="140" t="s">
        <v>1657</v>
      </c>
      <c r="H128" s="10"/>
      <c r="K128" s="169">
        <f>-K23-K48+J68+J75+J96-K113</f>
        <v>-248693</v>
      </c>
    </row>
    <row r="129" spans="4:11" ht="16.5" customHeight="1" x14ac:dyDescent="0.3">
      <c r="D129" s="140" t="s">
        <v>1658</v>
      </c>
      <c r="H129" s="10"/>
      <c r="K129" s="169">
        <f>-K76</f>
        <v>-596017</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operator="lessThan" allowBlank="1" showInputMessage="1" showErrorMessage="1" sqref="A3:A8" xr:uid="{3BB9C564-62BA-4C34-9CB9-91691262145E}"/>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2D46C237-69A0-4F9C-94E0-890FB14BEAE2}">
      <formula1>0</formula1>
    </dataValidation>
    <dataValidation type="textLength" operator="equal" allowBlank="1" showInputMessage="1" showErrorMessage="1" errorTitle="4-Digit Org Code" error="Enter the Org Code/BU as 4 digits." sqref="F5" xr:uid="{376E7B64-A484-45DF-B79A-A4DA234ACC5A}">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761B92C-25AE-47D3-8D51-390C6CAD74B7}">
          <x14:formula1>
            <xm:f>'Drop Down Menus'!$A$1:$A$101</xm:f>
          </x14:formula1>
          <xm:sqref>F3</xm:sqref>
        </x14:dataValidation>
        <x14:dataValidation type="list" allowBlank="1" showInputMessage="1" showErrorMessage="1" xr:uid="{5993BB62-8D86-4DCC-8830-E933409E93BD}">
          <x14:formula1>
            <xm:f>'Drop Down Menus'!$B$1:$B$2</xm:f>
          </x14:formula1>
          <xm:sqref>F7</xm:sqref>
        </x14:dataValidation>
        <x14:dataValidation type="list" allowBlank="1" showInputMessage="1" showErrorMessage="1" xr:uid="{D87D2BC6-477D-43F8-9981-3C73E2F54CC3}">
          <x14:formula1>
            <xm:f>'Drop Down Menus'!$E$1:$E$3</xm:f>
          </x14:formula1>
          <xm:sqref>F8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2AE75-07C4-4A51-AA08-F055552F345D}">
  <sheetPr>
    <tabColor theme="9" tint="0.59999389629810485"/>
    <pageSetUpPr fitToPage="1"/>
  </sheetPr>
  <dimension ref="A1:S193"/>
  <sheetViews>
    <sheetView tabSelected="1" zoomScale="70" zoomScaleNormal="70" workbookViewId="0">
      <selection activeCell="J17" sqref="J17"/>
    </sheetView>
  </sheetViews>
  <sheetFormatPr defaultColWidth="9.21875" defaultRowHeight="15" x14ac:dyDescent="0.3"/>
  <cols>
    <col min="1" max="1" width="13.21875" style="10" customWidth="1"/>
    <col min="2" max="5" width="10.77734375" style="10" customWidth="1"/>
    <col min="6" max="7" width="15.21875" style="10" customWidth="1"/>
    <col min="8" max="8" width="15.21875" style="26" customWidth="1"/>
    <col min="9" max="9" width="15.21875" style="10" customWidth="1"/>
    <col min="10" max="10" width="21.21875" style="10" customWidth="1"/>
    <col min="11" max="11" width="19.21875" style="10" customWidth="1"/>
    <col min="12" max="12" width="4" style="10" customWidth="1"/>
    <col min="13" max="14" width="17.21875" style="10" customWidth="1"/>
    <col min="15" max="15" width="4" style="10" customWidth="1"/>
    <col min="16" max="17" width="15.77734375" style="10" customWidth="1"/>
    <col min="18" max="18" width="4" style="10" customWidth="1"/>
    <col min="19" max="19" width="15.77734375" style="10" customWidth="1"/>
    <col min="20" max="16384" width="9.218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738</v>
      </c>
      <c r="G5" s="188"/>
      <c r="H5" s="188"/>
      <c r="I5" s="188"/>
      <c r="L5" s="12"/>
      <c r="M5" s="12"/>
      <c r="N5" s="12"/>
      <c r="O5" s="12"/>
      <c r="P5" s="12"/>
      <c r="Q5" s="12"/>
    </row>
    <row r="6" spans="1:19" ht="16.5" customHeight="1" x14ac:dyDescent="0.3">
      <c r="A6" s="186" t="s">
        <v>1635</v>
      </c>
      <c r="B6" s="186"/>
      <c r="C6" s="186"/>
      <c r="D6" s="186"/>
      <c r="E6" s="186"/>
      <c r="F6" s="189">
        <v>3046</v>
      </c>
      <c r="G6" s="189"/>
      <c r="H6" s="189"/>
      <c r="I6" s="189"/>
      <c r="L6" s="13"/>
      <c r="M6" s="13"/>
      <c r="N6" s="13"/>
      <c r="O6" s="13"/>
      <c r="P6" s="12"/>
      <c r="Q6" s="12"/>
    </row>
    <row r="7" spans="1:19" ht="16.5" customHeight="1" x14ac:dyDescent="0.3">
      <c r="A7" s="186" t="s">
        <v>1</v>
      </c>
      <c r="B7" s="186"/>
      <c r="C7" s="186"/>
      <c r="D7" s="186"/>
      <c r="E7" s="186"/>
      <c r="F7" s="189" t="s">
        <v>121</v>
      </c>
      <c r="G7" s="189"/>
      <c r="H7" s="189"/>
      <c r="I7" s="189"/>
      <c r="K7" s="53"/>
      <c r="L7" s="13"/>
      <c r="M7" s="13"/>
      <c r="N7" s="13"/>
      <c r="O7" s="13"/>
      <c r="P7" s="12"/>
      <c r="Q7" s="12"/>
    </row>
    <row r="8" spans="1:19" ht="16.5" customHeight="1" x14ac:dyDescent="0.3">
      <c r="A8" s="186" t="s">
        <v>1617</v>
      </c>
      <c r="B8" s="186"/>
      <c r="C8" s="186"/>
      <c r="D8" s="186"/>
      <c r="E8" s="186"/>
      <c r="F8" s="189" t="s">
        <v>155</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Fund",VLOOKUP(F5,qryIndex02a!$A$2:$K$654,4,FALSE)),"Unidentified")</f>
        <v>RESOURCES</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6547726</v>
      </c>
      <c r="M17" s="143">
        <v>6547726</v>
      </c>
      <c r="P17" s="143">
        <v>6547726</v>
      </c>
      <c r="Q17" s="155"/>
      <c r="S17" s="154">
        <f t="shared" si="0"/>
        <v>0</v>
      </c>
    </row>
    <row r="18" spans="1:19" ht="16.5" customHeight="1" x14ac:dyDescent="0.3">
      <c r="A18" s="54"/>
      <c r="B18" s="9" t="s">
        <v>169</v>
      </c>
      <c r="C18" s="9"/>
      <c r="D18" s="9"/>
      <c r="E18" s="140"/>
      <c r="F18" s="141"/>
      <c r="G18" s="141"/>
      <c r="H18" s="142"/>
      <c r="I18" s="142"/>
      <c r="J18" s="178">
        <f>P18</f>
        <v>4061</v>
      </c>
      <c r="M18" s="143">
        <v>4061</v>
      </c>
      <c r="P18" s="152">
        <f>IF(SUM($Q$20:$Q$23)&gt;SUM($P$15:$P$17),SUM($Q$20:$Q$23)-SUM($P$15:$P$17),0)</f>
        <v>4061</v>
      </c>
      <c r="Q18" s="155"/>
      <c r="S18" s="154">
        <f t="shared" si="0"/>
        <v>0</v>
      </c>
    </row>
    <row r="19" spans="1:19" ht="16.5" customHeight="1" x14ac:dyDescent="0.3">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2366813</v>
      </c>
      <c r="N22" s="143">
        <v>2366813</v>
      </c>
      <c r="P22" s="155"/>
      <c r="Q22" s="143">
        <v>2366813</v>
      </c>
      <c r="S22" s="154">
        <f t="shared" ref="S22:S25" si="1">Q22-N22</f>
        <v>0</v>
      </c>
    </row>
    <row r="23" spans="1:19" ht="16.5" customHeight="1" x14ac:dyDescent="0.3">
      <c r="A23" s="165" t="s">
        <v>1646</v>
      </c>
      <c r="B23" s="9"/>
      <c r="C23" s="9" t="s">
        <v>174</v>
      </c>
      <c r="D23" s="9"/>
      <c r="E23" s="140"/>
      <c r="F23" s="141"/>
      <c r="G23" s="141"/>
      <c r="H23" s="142"/>
      <c r="I23" s="142"/>
      <c r="J23" s="150"/>
      <c r="K23" s="178">
        <f>N23</f>
        <v>4184974</v>
      </c>
      <c r="N23" s="143">
        <v>4184974</v>
      </c>
      <c r="P23" s="155"/>
      <c r="Q23" s="143">
        <v>4184974</v>
      </c>
      <c r="S23" s="154">
        <f t="shared" si="1"/>
        <v>0</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3">
      <c r="A26" s="54"/>
      <c r="C26" s="20"/>
      <c r="D26" s="20"/>
      <c r="E26" s="20"/>
      <c r="F26" s="127"/>
      <c r="G26" s="127"/>
      <c r="H26" s="22"/>
      <c r="I26" s="22"/>
      <c r="J26" s="107">
        <f>SUM(J15:J25)</f>
        <v>6551787</v>
      </c>
      <c r="K26" s="107">
        <f>SUM(K15:K25)</f>
        <v>6551787</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c r="K33" s="144"/>
    </row>
    <row r="34" spans="1:12" ht="16.5" customHeight="1" x14ac:dyDescent="0.3">
      <c r="A34" s="54"/>
      <c r="B34" s="9"/>
      <c r="C34" s="9" t="s">
        <v>1748</v>
      </c>
      <c r="D34" s="140"/>
      <c r="E34" s="140"/>
      <c r="F34" s="141"/>
      <c r="G34" s="141"/>
      <c r="H34" s="142"/>
      <c r="I34" s="142"/>
      <c r="J34" s="144"/>
      <c r="K34" s="143"/>
    </row>
    <row r="35" spans="1:12" ht="16.5" customHeight="1" x14ac:dyDescent="0.3">
      <c r="A35" s="54"/>
      <c r="B35" s="9"/>
      <c r="C35" s="9" t="str">
        <f>IF($F$7="Proprietary","Cr: Acct 0870 - SERVICES &amp; CHARGES (MG ADJ)",VLOOKUP($F$9,'Drop Down Menus'!$F$2:$G$10,2,FALSE))</f>
        <v>Cr: Acct 0820 - NAT RES &amp; ENVIRON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c r="K41" s="144"/>
    </row>
    <row r="42" spans="1:12" ht="16.5" customHeight="1" x14ac:dyDescent="0.3">
      <c r="A42" s="54"/>
      <c r="B42" s="9"/>
      <c r="C42" s="9" t="s">
        <v>181</v>
      </c>
      <c r="D42" s="140"/>
      <c r="E42" s="140"/>
      <c r="F42" s="141"/>
      <c r="G42" s="141"/>
      <c r="H42" s="142"/>
      <c r="I42" s="142"/>
      <c r="J42" s="144"/>
      <c r="K42" s="143"/>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c r="K47" s="144"/>
    </row>
    <row r="48" spans="1:12" ht="16.5" customHeight="1" x14ac:dyDescent="0.3">
      <c r="A48" s="165" t="s">
        <v>1646</v>
      </c>
      <c r="B48" s="9"/>
      <c r="C48" s="9" t="s">
        <v>174</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2122556</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2122556</v>
      </c>
    </row>
    <row r="59" spans="1:16" ht="16.5" customHeight="1" x14ac:dyDescent="0.3">
      <c r="A59" s="54"/>
      <c r="C59" s="16"/>
      <c r="D59" s="16"/>
      <c r="E59" s="16"/>
      <c r="F59" s="17"/>
      <c r="G59" s="17"/>
      <c r="H59" s="18"/>
      <c r="I59" s="18"/>
      <c r="J59" s="107">
        <f>SUM(J55:J58)</f>
        <v>2122556</v>
      </c>
      <c r="K59" s="107">
        <f>SUM(K55:K58)</f>
        <v>2122556</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2122569</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6229</v>
      </c>
      <c r="K63" s="147"/>
    </row>
    <row r="64" spans="1:16" ht="16.5" customHeight="1" x14ac:dyDescent="0.3">
      <c r="A64" s="54"/>
      <c r="B64" s="9"/>
      <c r="C64" s="9" t="str">
        <f>IF($F$7="Proprietary","Cr: Acct 0870 - SERVICES &amp; CHARGES (MG ADJ)",VLOOKUP($F$9,'Drop Down Menus'!$F$2:$G$10,2,FALSE))</f>
        <v>Cr: Acct 0820 - NAT RES &amp; ENVIRON (GAAP ADJ)</v>
      </c>
      <c r="D64" s="140"/>
      <c r="E64" s="140"/>
      <c r="F64" s="141"/>
      <c r="G64" s="141"/>
      <c r="H64" s="142"/>
      <c r="I64" s="142"/>
      <c r="J64" s="147"/>
      <c r="K64" s="143">
        <v>2128798</v>
      </c>
    </row>
    <row r="65" spans="1:12" ht="16.5" customHeight="1" x14ac:dyDescent="0.3">
      <c r="A65" s="54"/>
      <c r="C65" s="16"/>
      <c r="D65" s="16"/>
      <c r="E65" s="16"/>
      <c r="F65" s="17"/>
      <c r="G65" s="17"/>
      <c r="H65" s="18"/>
      <c r="I65" s="18"/>
      <c r="J65" s="107">
        <f>SUM(J62:J64)</f>
        <v>2128798</v>
      </c>
      <c r="K65" s="107">
        <f>SUM(K62:K64)</f>
        <v>2128798</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2122569</v>
      </c>
      <c r="K68" s="144"/>
    </row>
    <row r="69" spans="1:12" ht="16.5" customHeight="1" x14ac:dyDescent="0.3">
      <c r="A69" s="54"/>
      <c r="B69" s="9"/>
      <c r="C69" s="9" t="s">
        <v>186</v>
      </c>
      <c r="D69" s="140"/>
      <c r="E69" s="140"/>
      <c r="F69" s="141"/>
      <c r="G69" s="141"/>
      <c r="H69" s="142"/>
      <c r="I69" s="142"/>
      <c r="J69" s="144"/>
      <c r="K69" s="143">
        <v>2122569</v>
      </c>
    </row>
    <row r="70" spans="1:12" ht="16.5" customHeight="1" x14ac:dyDescent="0.3">
      <c r="A70" s="54"/>
      <c r="C70" s="16"/>
      <c r="D70" s="16"/>
      <c r="E70" s="16"/>
      <c r="F70" s="17"/>
      <c r="G70" s="17"/>
      <c r="H70" s="18"/>
      <c r="I70" s="18"/>
      <c r="J70" s="107">
        <f>SUM(J68:J69)</f>
        <v>2122569</v>
      </c>
      <c r="K70" s="107">
        <f>SUM(K68:K69)</f>
        <v>2122569</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1538950</v>
      </c>
      <c r="K75" s="144"/>
    </row>
    <row r="76" spans="1:12" ht="16.5" customHeight="1" x14ac:dyDescent="0.3">
      <c r="A76" s="54"/>
      <c r="B76" s="9"/>
      <c r="C76" s="9" t="s">
        <v>194</v>
      </c>
      <c r="D76" s="140"/>
      <c r="E76" s="140"/>
      <c r="F76" s="141"/>
      <c r="G76" s="141"/>
      <c r="H76" s="142"/>
      <c r="I76" s="142"/>
      <c r="J76" s="144"/>
      <c r="K76" s="143">
        <v>1538950</v>
      </c>
    </row>
    <row r="77" spans="1:12" ht="16.5" customHeight="1" x14ac:dyDescent="0.25">
      <c r="A77" s="54"/>
      <c r="B77" s="193" t="s">
        <v>1735</v>
      </c>
      <c r="C77" s="193"/>
      <c r="D77" s="193"/>
      <c r="E77" s="193"/>
      <c r="F77" s="193"/>
      <c r="G77" s="193"/>
      <c r="H77" s="193"/>
      <c r="I77" s="193"/>
      <c r="J77" s="107">
        <f>SUM(J75:J76)</f>
        <v>1538950</v>
      </c>
      <c r="K77" s="107">
        <f>SUM(K75:K76)</f>
        <v>1538950</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0820 - NAT RES &amp; ENVIRON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0820 - NAT RES &amp; ENVIRON (GAAP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6547726</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-4489369</v>
      </c>
    </row>
    <row r="128" spans="1:12" ht="16.5" customHeight="1" x14ac:dyDescent="0.3">
      <c r="D128" s="140" t="s">
        <v>1657</v>
      </c>
      <c r="H128" s="10"/>
      <c r="K128" s="169">
        <f>-K23-K48+J68+J75+J96-K113</f>
        <v>-523455</v>
      </c>
    </row>
    <row r="129" spans="4:11" ht="16.5" customHeight="1" x14ac:dyDescent="0.3">
      <c r="D129" s="140" t="s">
        <v>1658</v>
      </c>
      <c r="H129" s="10"/>
      <c r="K129" s="169">
        <f>-K76</f>
        <v>-1538950</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42F59310-882C-4973-B7DC-B2196746E55A}">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A61F7DD1-60A8-4309-BB8C-58D7B884E856}">
      <formula1>0</formula1>
    </dataValidation>
    <dataValidation operator="lessThan" allowBlank="1" showInputMessage="1" showErrorMessage="1" sqref="A3:A8" xr:uid="{240F379A-AA99-4319-B0D5-082323A00781}"/>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3E317587-14A7-4A80-8795-F87F5E6418F3}">
          <x14:formula1>
            <xm:f>'Drop Down Menus'!$E$1:$E$3</xm:f>
          </x14:formula1>
          <xm:sqref>F8</xm:sqref>
        </x14:dataValidation>
        <x14:dataValidation type="list" allowBlank="1" showInputMessage="1" showErrorMessage="1" xr:uid="{56FEDBD0-D05D-49BD-80A4-5DFE558ED59D}">
          <x14:formula1>
            <xm:f>'Drop Down Menus'!$B$1:$B$2</xm:f>
          </x14:formula1>
          <xm:sqref>F7</xm:sqref>
        </x14:dataValidation>
        <x14:dataValidation type="list" allowBlank="1" showInputMessage="1" showErrorMessage="1" xr:uid="{F810E983-CA82-4E34-8446-F669EF9EA695}">
          <x14:formula1>
            <xm:f>'Drop Down Menus'!$A$1:$A$101</xm:f>
          </x14:formula1>
          <xm:sqref>F3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opLeftCell="A2" zoomScale="70" zoomScaleNormal="70" workbookViewId="0">
      <selection activeCell="C14" sqref="C14"/>
    </sheetView>
  </sheetViews>
  <sheetFormatPr defaultColWidth="9.21875" defaultRowHeight="15" x14ac:dyDescent="0.25"/>
  <cols>
    <col min="1" max="1" width="37.44140625" style="1" customWidth="1"/>
    <col min="2" max="3" width="33.21875" style="1" customWidth="1"/>
    <col min="4" max="4" width="86.77734375" style="1" customWidth="1"/>
    <col min="5" max="5" width="9.21875" style="1"/>
    <col min="6" max="6" width="19.21875" style="1" customWidth="1"/>
    <col min="7" max="16384" width="9.21875" style="1"/>
  </cols>
  <sheetData>
    <row r="1" spans="1:13" ht="30" customHeight="1" x14ac:dyDescent="0.3">
      <c r="A1" s="203" t="s">
        <v>140</v>
      </c>
      <c r="B1" s="203"/>
      <c r="C1" s="203"/>
      <c r="D1" s="203"/>
      <c r="E1" s="203"/>
      <c r="F1" s="203"/>
      <c r="G1" s="3"/>
      <c r="H1" s="3"/>
      <c r="I1" s="3"/>
      <c r="J1" s="3"/>
      <c r="K1" s="3"/>
      <c r="L1" s="3"/>
      <c r="M1" s="3"/>
    </row>
    <row r="2" spans="1:13" ht="64.2" customHeight="1" x14ac:dyDescent="0.3">
      <c r="A2" s="202" t="s">
        <v>138</v>
      </c>
      <c r="B2" s="202"/>
      <c r="C2" s="202"/>
      <c r="D2" s="202"/>
      <c r="E2" s="202"/>
      <c r="F2" s="202"/>
      <c r="G2" s="3"/>
      <c r="H2" s="3"/>
      <c r="I2" s="3"/>
      <c r="J2" s="3"/>
      <c r="K2" s="3"/>
      <c r="L2" s="3"/>
      <c r="M2" s="3"/>
    </row>
    <row r="3" spans="1:13" ht="31.95" customHeight="1" x14ac:dyDescent="0.3">
      <c r="A3" s="196" t="s">
        <v>195</v>
      </c>
      <c r="B3" s="196"/>
      <c r="C3" s="196"/>
      <c r="D3" s="24"/>
      <c r="E3" s="3"/>
      <c r="F3" s="3"/>
      <c r="G3" s="3"/>
      <c r="H3" s="3"/>
      <c r="I3" s="3"/>
      <c r="J3" s="3"/>
      <c r="K3" s="3"/>
      <c r="L3" s="3"/>
      <c r="M3" s="3"/>
    </row>
    <row r="4" spans="1:13" ht="31.2" customHeight="1" x14ac:dyDescent="0.3">
      <c r="A4" s="197" t="s">
        <v>5</v>
      </c>
      <c r="B4" s="197"/>
      <c r="C4" s="197"/>
      <c r="D4" s="24"/>
      <c r="E4" s="3"/>
      <c r="F4" s="3"/>
      <c r="G4" s="3"/>
      <c r="H4" s="3"/>
      <c r="I4" s="3"/>
      <c r="J4" s="3"/>
      <c r="K4" s="3"/>
      <c r="L4" s="3"/>
      <c r="M4" s="3"/>
    </row>
    <row r="5" spans="1:13" ht="31.2" customHeight="1" x14ac:dyDescent="0.3">
      <c r="A5" s="197" t="s">
        <v>7</v>
      </c>
      <c r="B5" s="197"/>
      <c r="C5" s="197"/>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4" t="s">
        <v>21</v>
      </c>
      <c r="C8" s="204"/>
      <c r="D8" s="3"/>
      <c r="E8" s="3"/>
      <c r="F8" s="3"/>
    </row>
    <row r="9" spans="1:13" ht="15.6" x14ac:dyDescent="0.3">
      <c r="A9" s="5" t="s">
        <v>193</v>
      </c>
      <c r="B9" s="206">
        <v>3480</v>
      </c>
      <c r="C9" s="206"/>
      <c r="D9" s="3"/>
      <c r="E9" s="3"/>
      <c r="F9" s="3"/>
    </row>
    <row r="10" spans="1:13" ht="15.6" x14ac:dyDescent="0.3">
      <c r="A10" s="5" t="s">
        <v>192</v>
      </c>
      <c r="B10" s="207" t="s">
        <v>1760</v>
      </c>
      <c r="C10" s="207"/>
      <c r="D10" s="3"/>
      <c r="E10" s="3"/>
      <c r="F10" s="3"/>
      <c r="G10" s="27"/>
      <c r="H10" s="27"/>
      <c r="I10" s="27"/>
      <c r="J10" s="27"/>
      <c r="K10" s="27"/>
      <c r="L10" s="27"/>
      <c r="M10" s="27"/>
    </row>
    <row r="11" spans="1:13" ht="32.25" customHeight="1" x14ac:dyDescent="0.3">
      <c r="A11" s="208" t="s">
        <v>8</v>
      </c>
      <c r="B11" s="208"/>
      <c r="C11" s="208"/>
      <c r="D11" s="3"/>
      <c r="E11" s="3"/>
      <c r="F11" s="3"/>
      <c r="G11" s="29"/>
      <c r="H11" s="29"/>
      <c r="I11" s="29"/>
      <c r="J11" s="29"/>
      <c r="K11" s="29"/>
      <c r="L11" s="29"/>
      <c r="M11" s="29"/>
    </row>
    <row r="12" spans="1:13" ht="15" customHeight="1" x14ac:dyDescent="0.3">
      <c r="A12" s="51"/>
      <c r="B12" s="52" t="s">
        <v>9</v>
      </c>
      <c r="C12" s="52" t="s">
        <v>10</v>
      </c>
      <c r="D12" s="205" t="str">
        <f>"All of the below questions are for Fiscal Year "&amp;$B$8&amp;":"</f>
        <v>All of the below questions are for Fiscal Year 2022–2023:</v>
      </c>
      <c r="E12" s="205"/>
      <c r="F12" s="205"/>
      <c r="G12" s="29"/>
      <c r="H12" s="29"/>
      <c r="I12" s="29"/>
      <c r="J12" s="29"/>
      <c r="K12" s="29"/>
      <c r="L12" s="29"/>
      <c r="M12" s="29"/>
    </row>
    <row r="13" spans="1:13" ht="15.6" customHeight="1" x14ac:dyDescent="0.3">
      <c r="A13" s="51" t="str">
        <f>RIGHT(B8,4)&amp;"–"&amp;RIGHT(B8,4)+1</f>
        <v>2023–2024</v>
      </c>
      <c r="B13" s="55">
        <f>127020+68395+596017+1538950</f>
        <v>2330382</v>
      </c>
      <c r="C13" s="55">
        <f>244+131+1143+2715</f>
        <v>4233</v>
      </c>
      <c r="D13" s="199" t="s">
        <v>4</v>
      </c>
      <c r="E13" s="200"/>
      <c r="F13" s="200"/>
      <c r="G13" s="29"/>
      <c r="H13" s="29"/>
      <c r="I13" s="29"/>
      <c r="J13" s="29"/>
      <c r="K13" s="29"/>
      <c r="L13" s="29"/>
      <c r="M13" s="29"/>
    </row>
    <row r="14" spans="1:13" x14ac:dyDescent="0.25">
      <c r="A14" s="51" t="str">
        <f>LEFT(A13,4)+1&amp;"–"&amp;RIGHT(A13,4)+1</f>
        <v>2024–2025</v>
      </c>
      <c r="B14" s="55">
        <f>53000+28538+248693+523455</f>
        <v>853686</v>
      </c>
      <c r="C14" s="55">
        <f>27+14+124+222</f>
        <v>387</v>
      </c>
      <c r="D14" s="199"/>
      <c r="E14" s="200"/>
      <c r="F14" s="200"/>
    </row>
    <row r="15" spans="1:13" ht="15.6" x14ac:dyDescent="0.25">
      <c r="A15" s="51" t="str">
        <f>LEFT(A14,4)+1&amp;"–"&amp;RIGHT(A14,4)+1</f>
        <v>2025–2026</v>
      </c>
      <c r="B15" s="55"/>
      <c r="C15" s="55"/>
      <c r="D15" s="195" t="s">
        <v>125</v>
      </c>
      <c r="E15" s="195"/>
      <c r="F15" s="195"/>
      <c r="G15" s="30"/>
      <c r="H15" s="30"/>
      <c r="I15" s="30"/>
      <c r="J15" s="30"/>
      <c r="K15" s="30"/>
      <c r="L15" s="30"/>
      <c r="M15" s="30"/>
    </row>
    <row r="16" spans="1:13" x14ac:dyDescent="0.25">
      <c r="A16" s="51" t="str">
        <f>LEFT(A15,4)+1&amp;"–"&amp;RIGHT(A15,4)+1</f>
        <v>2026–2027</v>
      </c>
      <c r="B16" s="55"/>
      <c r="C16" s="55"/>
      <c r="D16" s="198" t="str">
        <f>"If yes, record the dollar amount of variable payments below for fiscal year "&amp;$B$8&amp;":"</f>
        <v>If yes, record the dollar amount of variable payments below for fiscal year 2022–2023:</v>
      </c>
      <c r="E16" s="198"/>
      <c r="F16" s="198"/>
      <c r="G16" s="31"/>
      <c r="H16" s="31"/>
      <c r="I16" s="31"/>
      <c r="J16" s="31"/>
      <c r="K16" s="31"/>
    </row>
    <row r="17" spans="1:13" ht="15" customHeight="1" x14ac:dyDescent="0.25">
      <c r="A17" s="51" t="str">
        <f>LEFT(A16,4)+1&amp;"–"&amp;RIGHT(A16,4)+1</f>
        <v>2027–2028</v>
      </c>
      <c r="B17" s="55"/>
      <c r="C17" s="55"/>
      <c r="D17" s="195"/>
      <c r="E17" s="195"/>
      <c r="F17" s="195"/>
      <c r="G17" s="31"/>
      <c r="H17" s="31"/>
      <c r="I17" s="31"/>
      <c r="J17" s="31"/>
      <c r="K17" s="31"/>
    </row>
    <row r="18" spans="1:13" ht="15" customHeight="1" x14ac:dyDescent="0.3">
      <c r="A18" s="51" t="str">
        <f>LEFT(A17,4)+1&amp;"–"&amp;RIGHT(A17,4)+5</f>
        <v>2028–2033</v>
      </c>
      <c r="B18" s="55"/>
      <c r="C18" s="55"/>
      <c r="D18" s="199" t="s">
        <v>6</v>
      </c>
      <c r="E18" s="200"/>
      <c r="F18" s="200"/>
      <c r="G18" s="29"/>
      <c r="H18" s="29"/>
      <c r="I18" s="29"/>
      <c r="J18" s="29"/>
      <c r="K18" s="29"/>
      <c r="L18" s="29"/>
      <c r="M18" s="29"/>
    </row>
    <row r="19" spans="1:13" x14ac:dyDescent="0.25">
      <c r="A19" s="51" t="str">
        <f t="shared" ref="A19:A32" si="0">LEFT(A18,4)+5&amp;"–"&amp;RIGHT(A18,4)+5</f>
        <v>2033–2038</v>
      </c>
      <c r="B19" s="55"/>
      <c r="C19" s="55"/>
      <c r="D19" s="199"/>
      <c r="E19" s="200"/>
      <c r="F19" s="200"/>
    </row>
    <row r="20" spans="1:13" ht="15.6" x14ac:dyDescent="0.25">
      <c r="A20" s="51" t="str">
        <f t="shared" si="0"/>
        <v>2038–2043</v>
      </c>
      <c r="B20" s="55"/>
      <c r="C20" s="55"/>
      <c r="D20" s="195" t="s">
        <v>125</v>
      </c>
      <c r="E20" s="195"/>
      <c r="F20" s="195"/>
      <c r="G20" s="30"/>
      <c r="H20" s="30"/>
      <c r="I20" s="30"/>
      <c r="J20" s="30"/>
      <c r="K20" s="30"/>
      <c r="L20" s="30"/>
      <c r="M20" s="30"/>
    </row>
    <row r="21" spans="1:13" ht="15" customHeight="1" x14ac:dyDescent="0.25">
      <c r="A21" s="51" t="str">
        <f t="shared" si="0"/>
        <v>2043–2048</v>
      </c>
      <c r="B21" s="55"/>
      <c r="C21" s="55"/>
      <c r="D21" s="201" t="str">
        <f>"If yes, record the dollar amount of any payments made for residual value guarantees below for fiscal year "&amp;$B$8&amp;":"</f>
        <v>If yes, record the dollar amount of any payments made for residual value guarantees below for fiscal year 2022–2023:</v>
      </c>
      <c r="E21" s="198"/>
      <c r="F21" s="198"/>
    </row>
    <row r="22" spans="1:13" x14ac:dyDescent="0.25">
      <c r="A22" s="51" t="str">
        <f t="shared" si="0"/>
        <v>2048–2053</v>
      </c>
      <c r="B22" s="55"/>
      <c r="C22" s="55"/>
      <c r="D22" s="201"/>
      <c r="E22" s="198"/>
      <c r="F22" s="198"/>
    </row>
    <row r="23" spans="1:13" x14ac:dyDescent="0.25">
      <c r="A23" s="51" t="str">
        <f t="shared" si="0"/>
        <v>2053–2058</v>
      </c>
      <c r="B23" s="55"/>
      <c r="C23" s="55"/>
      <c r="D23" s="195"/>
      <c r="E23" s="195"/>
      <c r="F23" s="195"/>
    </row>
    <row r="24" spans="1:13" x14ac:dyDescent="0.25">
      <c r="A24" s="51" t="str">
        <f t="shared" si="0"/>
        <v>2058–2063</v>
      </c>
      <c r="B24" s="55"/>
      <c r="C24" s="55"/>
      <c r="D24"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8"/>
      <c r="F24" s="198"/>
    </row>
    <row r="25" spans="1:13" ht="15" customHeight="1" x14ac:dyDescent="0.25">
      <c r="A25" s="51" t="str">
        <f t="shared" si="0"/>
        <v>2063–2068</v>
      </c>
      <c r="B25" s="55"/>
      <c r="C25" s="55"/>
      <c r="D25" s="201"/>
      <c r="E25" s="198"/>
      <c r="F25" s="198"/>
    </row>
    <row r="26" spans="1:13" x14ac:dyDescent="0.25">
      <c r="A26" s="51" t="str">
        <f t="shared" si="0"/>
        <v>2068–2073</v>
      </c>
      <c r="B26" s="55"/>
      <c r="C26" s="55"/>
      <c r="D26" s="195" t="s">
        <v>1673</v>
      </c>
      <c r="E26" s="195"/>
      <c r="F26" s="195"/>
    </row>
    <row r="27" spans="1:13" ht="15" customHeight="1" x14ac:dyDescent="0.25">
      <c r="A27" s="51" t="str">
        <f t="shared" si="0"/>
        <v>2073–2078</v>
      </c>
      <c r="B27" s="55"/>
      <c r="C27" s="55"/>
      <c r="D27"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00"/>
      <c r="F27" s="200"/>
    </row>
    <row r="28" spans="1:13" ht="15.6" x14ac:dyDescent="0.25">
      <c r="A28" s="51" t="str">
        <f t="shared" si="0"/>
        <v>2078–2083</v>
      </c>
      <c r="B28" s="55"/>
      <c r="C28" s="55"/>
      <c r="D28" s="199"/>
      <c r="E28" s="200"/>
      <c r="F28" s="200"/>
      <c r="G28" s="33"/>
      <c r="H28" s="33"/>
      <c r="I28" s="33"/>
      <c r="J28" s="33"/>
      <c r="K28" s="33"/>
      <c r="L28" s="33"/>
      <c r="M28" s="33"/>
    </row>
    <row r="29" spans="1:13" ht="15.6" x14ac:dyDescent="0.25">
      <c r="A29" s="51" t="str">
        <f t="shared" si="0"/>
        <v>2083–2088</v>
      </c>
      <c r="B29" s="55"/>
      <c r="C29" s="55"/>
      <c r="D29" s="195" t="s">
        <v>125</v>
      </c>
      <c r="E29" s="195"/>
      <c r="F29" s="195"/>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5" t="s">
        <v>125</v>
      </c>
      <c r="E31" s="195"/>
      <c r="F31" s="195"/>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5"/>
      <c r="E33" s="195"/>
      <c r="F33" s="195"/>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194" t="str">
        <f>B8</f>
        <v>2022–2023</v>
      </c>
      <c r="C39" s="194"/>
      <c r="E39" s="32"/>
    </row>
    <row r="40" spans="1:13" ht="15.6" customHeight="1" x14ac:dyDescent="0.3">
      <c r="A40" s="5" t="s">
        <v>193</v>
      </c>
      <c r="B40" s="209">
        <f>B9</f>
        <v>3480</v>
      </c>
      <c r="C40" s="209"/>
      <c r="E40" s="32"/>
    </row>
    <row r="41" spans="1:13" ht="15.6" x14ac:dyDescent="0.3">
      <c r="A41" s="5" t="s">
        <v>192</v>
      </c>
      <c r="B41" s="194" t="str">
        <f>B10</f>
        <v>Department of Conservation</v>
      </c>
      <c r="C41" s="194"/>
      <c r="E41" s="32"/>
    </row>
    <row r="42" spans="1:13" ht="32.25" customHeight="1" x14ac:dyDescent="0.3">
      <c r="A42" s="208" t="s">
        <v>8</v>
      </c>
      <c r="B42" s="208"/>
      <c r="C42" s="208"/>
      <c r="D42" s="3"/>
      <c r="E42" s="3"/>
      <c r="F42" s="3"/>
      <c r="G42" s="29"/>
      <c r="H42" s="29"/>
      <c r="I42" s="29"/>
      <c r="J42" s="29"/>
      <c r="K42" s="29"/>
      <c r="L42" s="29"/>
      <c r="M42" s="29"/>
    </row>
    <row r="43" spans="1:13" ht="15" customHeight="1" x14ac:dyDescent="0.3">
      <c r="A43" s="51"/>
      <c r="B43" s="52" t="s">
        <v>9</v>
      </c>
      <c r="C43" s="52" t="s">
        <v>10</v>
      </c>
      <c r="D43" s="205" t="str">
        <f>"All of the below questions are for Fiscal Year "&amp;$B$8&amp;":"</f>
        <v>All of the below questions are for Fiscal Year 2022–2023:</v>
      </c>
      <c r="E43" s="205"/>
      <c r="F43" s="205"/>
    </row>
    <row r="44" spans="1:13" ht="15" customHeight="1" x14ac:dyDescent="0.25">
      <c r="A44" s="51" t="str">
        <f>RIGHT(B39,4)&amp;"–"&amp;RIGHT(B39,4)+1</f>
        <v>2023–2024</v>
      </c>
      <c r="B44" s="55"/>
      <c r="C44" s="55"/>
      <c r="D44" s="199" t="s">
        <v>4</v>
      </c>
      <c r="E44" s="200"/>
      <c r="F44" s="200"/>
    </row>
    <row r="45" spans="1:13" ht="15" customHeight="1" x14ac:dyDescent="0.25">
      <c r="A45" s="51" t="str">
        <f>LEFT(A44,4)+1&amp;"–"&amp;RIGHT(A44,4)+1</f>
        <v>2024–2025</v>
      </c>
      <c r="B45" s="55"/>
      <c r="C45" s="55"/>
      <c r="D45" s="199"/>
      <c r="E45" s="200"/>
      <c r="F45" s="200"/>
    </row>
    <row r="46" spans="1:13" x14ac:dyDescent="0.25">
      <c r="A46" s="51" t="str">
        <f>LEFT(A45,4)+1&amp;"–"&amp;RIGHT(A45,4)+1</f>
        <v>2025–2026</v>
      </c>
      <c r="B46" s="55"/>
      <c r="C46" s="55"/>
      <c r="D46" s="195"/>
      <c r="E46" s="195"/>
      <c r="F46" s="195"/>
    </row>
    <row r="47" spans="1:13" ht="15" customHeight="1" x14ac:dyDescent="0.25">
      <c r="A47" s="51" t="str">
        <f>LEFT(A46,4)+1&amp;"–"&amp;RIGHT(A46,4)+1</f>
        <v>2026–2027</v>
      </c>
      <c r="B47" s="55"/>
      <c r="C47" s="55"/>
      <c r="D47" s="198" t="str">
        <f>"If yes, record the dollar amount of variable payments below for fiscal year "&amp;$B$8&amp;":"</f>
        <v>If yes, record the dollar amount of variable payments below for fiscal year 2022–2023:</v>
      </c>
      <c r="E47" s="198"/>
      <c r="F47" s="198"/>
    </row>
    <row r="48" spans="1:13" ht="15" customHeight="1" x14ac:dyDescent="0.25">
      <c r="A48" s="51" t="str">
        <f>LEFT(A47,4)+1&amp;"–"&amp;RIGHT(A47,4)+1</f>
        <v>2027–2028</v>
      </c>
      <c r="B48" s="55"/>
      <c r="C48" s="55"/>
      <c r="D48" s="195"/>
      <c r="E48" s="195"/>
      <c r="F48" s="195"/>
    </row>
    <row r="49" spans="1:6" ht="15" customHeight="1" x14ac:dyDescent="0.25">
      <c r="A49" s="51" t="str">
        <f>LEFT(A48,4)+1&amp;"–"&amp;RIGHT(A48,4)+5</f>
        <v>2028–2033</v>
      </c>
      <c r="B49" s="55"/>
      <c r="C49" s="55"/>
      <c r="D49" s="199" t="s">
        <v>6</v>
      </c>
      <c r="E49" s="200"/>
      <c r="F49" s="200"/>
    </row>
    <row r="50" spans="1:6" x14ac:dyDescent="0.25">
      <c r="A50" s="51" t="str">
        <f t="shared" ref="A50:A63" si="1">LEFT(A49,4)+5&amp;"–"&amp;RIGHT(A49,4)+5</f>
        <v>2033–2038</v>
      </c>
      <c r="B50" s="55"/>
      <c r="C50" s="55"/>
      <c r="D50" s="199"/>
      <c r="E50" s="200"/>
      <c r="F50" s="200"/>
    </row>
    <row r="51" spans="1:6" ht="15" customHeight="1" x14ac:dyDescent="0.25">
      <c r="A51" s="51" t="str">
        <f t="shared" si="1"/>
        <v>2038–2043</v>
      </c>
      <c r="B51" s="55"/>
      <c r="C51" s="55"/>
      <c r="D51" s="195"/>
      <c r="E51" s="195"/>
      <c r="F51" s="195"/>
    </row>
    <row r="52" spans="1:6" ht="15" customHeight="1" x14ac:dyDescent="0.25">
      <c r="A52" s="51" t="str">
        <f t="shared" si="1"/>
        <v>2043–2048</v>
      </c>
      <c r="B52" s="55"/>
      <c r="C52" s="55"/>
      <c r="D52" s="201" t="str">
        <f>"If yes, record the dollar amount of any payments made for residual value guarantees below for fiscal year "&amp;$B$8&amp;":"</f>
        <v>If yes, record the dollar amount of any payments made for residual value guarantees below for fiscal year 2022–2023:</v>
      </c>
      <c r="E52" s="198"/>
      <c r="F52" s="198"/>
    </row>
    <row r="53" spans="1:6" x14ac:dyDescent="0.25">
      <c r="A53" s="51" t="str">
        <f t="shared" si="1"/>
        <v>2048–2053</v>
      </c>
      <c r="B53" s="55"/>
      <c r="C53" s="55"/>
      <c r="D53" s="201"/>
      <c r="E53" s="198"/>
      <c r="F53" s="198"/>
    </row>
    <row r="54" spans="1:6" x14ac:dyDescent="0.25">
      <c r="A54" s="51" t="str">
        <f t="shared" si="1"/>
        <v>2053–2058</v>
      </c>
      <c r="B54" s="55"/>
      <c r="C54" s="55"/>
      <c r="D54" s="195"/>
      <c r="E54" s="195"/>
      <c r="F54" s="195"/>
    </row>
    <row r="55" spans="1:6" ht="15" customHeight="1" x14ac:dyDescent="0.25">
      <c r="A55" s="51" t="str">
        <f t="shared" si="1"/>
        <v>2058–2063</v>
      </c>
      <c r="B55" s="55"/>
      <c r="C55" s="55"/>
      <c r="D55"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8"/>
      <c r="F55" s="198"/>
    </row>
    <row r="56" spans="1:6" ht="15" customHeight="1" x14ac:dyDescent="0.25">
      <c r="A56" s="51" t="str">
        <f t="shared" si="1"/>
        <v>2063–2068</v>
      </c>
      <c r="B56" s="55"/>
      <c r="C56" s="55"/>
      <c r="D56" s="201"/>
      <c r="E56" s="198"/>
      <c r="F56" s="198"/>
    </row>
    <row r="57" spans="1:6" x14ac:dyDescent="0.25">
      <c r="A57" s="51" t="str">
        <f t="shared" si="1"/>
        <v>2068–2073</v>
      </c>
      <c r="B57" s="55"/>
      <c r="C57" s="55"/>
      <c r="D57" s="195"/>
      <c r="E57" s="195"/>
      <c r="F57" s="195"/>
    </row>
    <row r="58" spans="1:6" x14ac:dyDescent="0.25">
      <c r="A58" s="51" t="str">
        <f t="shared" si="1"/>
        <v>2073–2078</v>
      </c>
      <c r="B58" s="55"/>
      <c r="C58" s="55"/>
      <c r="D58"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00"/>
      <c r="F58" s="200"/>
    </row>
    <row r="59" spans="1:6" x14ac:dyDescent="0.25">
      <c r="A59" s="51" t="str">
        <f t="shared" si="1"/>
        <v>2078–2083</v>
      </c>
      <c r="B59" s="55"/>
      <c r="C59" s="55"/>
      <c r="D59" s="199"/>
      <c r="E59" s="200"/>
      <c r="F59" s="200"/>
    </row>
    <row r="60" spans="1:6" ht="15" customHeight="1" x14ac:dyDescent="0.25">
      <c r="A60" s="51" t="str">
        <f t="shared" si="1"/>
        <v>2083–2088</v>
      </c>
      <c r="B60" s="55"/>
      <c r="C60" s="55"/>
      <c r="D60" s="195"/>
      <c r="E60" s="195"/>
      <c r="F60" s="195"/>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5"/>
      <c r="E62" s="195"/>
      <c r="F62" s="195"/>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5"/>
      <c r="E64" s="195"/>
      <c r="F64" s="195"/>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194" t="str">
        <f>B8</f>
        <v>2022–2023</v>
      </c>
      <c r="C70" s="194"/>
    </row>
    <row r="71" spans="1:13" ht="15.6" x14ac:dyDescent="0.3">
      <c r="A71" s="5" t="s">
        <v>193</v>
      </c>
      <c r="B71" s="209">
        <f>B9</f>
        <v>3480</v>
      </c>
      <c r="C71" s="209"/>
    </row>
    <row r="72" spans="1:13" ht="15.6" x14ac:dyDescent="0.3">
      <c r="A72" s="5" t="s">
        <v>192</v>
      </c>
      <c r="B72" s="194" t="str">
        <f>B10</f>
        <v>Department of Conservation</v>
      </c>
      <c r="C72" s="194"/>
    </row>
    <row r="73" spans="1:13" ht="32.25" customHeight="1" x14ac:dyDescent="0.3">
      <c r="A73" s="208" t="s">
        <v>8</v>
      </c>
      <c r="B73" s="208"/>
      <c r="C73" s="208"/>
      <c r="D73" s="3"/>
      <c r="E73" s="3"/>
      <c r="F73" s="3"/>
      <c r="G73" s="29"/>
      <c r="H73" s="29"/>
      <c r="I73" s="29"/>
      <c r="J73" s="29"/>
      <c r="K73" s="29"/>
      <c r="L73" s="29"/>
      <c r="M73" s="29"/>
    </row>
    <row r="74" spans="1:13" ht="15.6" x14ac:dyDescent="0.3">
      <c r="A74" s="51"/>
      <c r="B74" s="52" t="s">
        <v>9</v>
      </c>
      <c r="C74" s="52" t="s">
        <v>10</v>
      </c>
      <c r="D74" s="205" t="str">
        <f>"All of the below questions are for Fiscal Year "&amp;$B$8&amp;":"</f>
        <v>All of the below questions are for Fiscal Year 2022–2023:</v>
      </c>
      <c r="E74" s="205"/>
      <c r="F74" s="205"/>
    </row>
    <row r="75" spans="1:13" ht="15" customHeight="1" x14ac:dyDescent="0.25">
      <c r="A75" s="51" t="str">
        <f>RIGHT(B70,4)&amp;"–"&amp;RIGHT(B70,4)+1</f>
        <v>2023–2024</v>
      </c>
      <c r="B75" s="55"/>
      <c r="C75" s="55"/>
      <c r="D75" s="199" t="s">
        <v>4</v>
      </c>
      <c r="E75" s="200"/>
      <c r="F75" s="200"/>
    </row>
    <row r="76" spans="1:13" x14ac:dyDescent="0.25">
      <c r="A76" s="51" t="str">
        <f>LEFT(A75,4)+1&amp;"–"&amp;RIGHT(A75,4)+1</f>
        <v>2024–2025</v>
      </c>
      <c r="B76" s="55"/>
      <c r="C76" s="55"/>
      <c r="D76" s="199"/>
      <c r="E76" s="200"/>
      <c r="F76" s="200"/>
    </row>
    <row r="77" spans="1:13" x14ac:dyDescent="0.25">
      <c r="A77" s="51" t="str">
        <f>LEFT(A76,4)+1&amp;"–"&amp;RIGHT(A76,4)+1</f>
        <v>2025–2026</v>
      </c>
      <c r="B77" s="55"/>
      <c r="C77" s="55"/>
      <c r="D77" s="195"/>
      <c r="E77" s="195"/>
      <c r="F77" s="195"/>
    </row>
    <row r="78" spans="1:13" ht="15" customHeight="1" x14ac:dyDescent="0.25">
      <c r="A78" s="51" t="str">
        <f>LEFT(A77,4)+1&amp;"–"&amp;RIGHT(A77,4)+1</f>
        <v>2026–2027</v>
      </c>
      <c r="B78" s="55"/>
      <c r="C78" s="55"/>
      <c r="D78" s="198" t="str">
        <f>"If yes, record the dollar amount of variable payments below for fiscal year "&amp;$B$8&amp;":"</f>
        <v>If yes, record the dollar amount of variable payments below for fiscal year 2022–2023:</v>
      </c>
      <c r="E78" s="198"/>
      <c r="F78" s="198"/>
    </row>
    <row r="79" spans="1:13" x14ac:dyDescent="0.25">
      <c r="A79" s="51" t="str">
        <f>LEFT(A78,4)+1&amp;"–"&amp;RIGHT(A78,4)+1</f>
        <v>2027–2028</v>
      </c>
      <c r="B79" s="55"/>
      <c r="C79" s="55"/>
      <c r="D79" s="195"/>
      <c r="E79" s="195"/>
      <c r="F79" s="195"/>
    </row>
    <row r="80" spans="1:13" ht="15" customHeight="1" x14ac:dyDescent="0.25">
      <c r="A80" s="51" t="str">
        <f>LEFT(A79,4)+1&amp;"–"&amp;RIGHT(A79,4)+5</f>
        <v>2028–2033</v>
      </c>
      <c r="B80" s="55"/>
      <c r="C80" s="55"/>
      <c r="D80" s="199" t="s">
        <v>6</v>
      </c>
      <c r="E80" s="200"/>
      <c r="F80" s="200"/>
    </row>
    <row r="81" spans="1:6" x14ac:dyDescent="0.25">
      <c r="A81" s="51" t="str">
        <f t="shared" ref="A81:A94" si="2">LEFT(A80,4)+5&amp;"–"&amp;RIGHT(A80,4)+5</f>
        <v>2033–2038</v>
      </c>
      <c r="B81" s="55"/>
      <c r="C81" s="55"/>
      <c r="D81" s="199"/>
      <c r="E81" s="200"/>
      <c r="F81" s="200"/>
    </row>
    <row r="82" spans="1:6" x14ac:dyDescent="0.25">
      <c r="A82" s="51" t="str">
        <f t="shared" si="2"/>
        <v>2038–2043</v>
      </c>
      <c r="B82" s="55"/>
      <c r="C82" s="55"/>
      <c r="D82" s="195"/>
      <c r="E82" s="195"/>
      <c r="F82" s="195"/>
    </row>
    <row r="83" spans="1:6" ht="15" customHeight="1" x14ac:dyDescent="0.25">
      <c r="A83" s="51" t="str">
        <f t="shared" si="2"/>
        <v>2043–2048</v>
      </c>
      <c r="B83" s="55"/>
      <c r="C83" s="55"/>
      <c r="D83" s="201" t="str">
        <f>"If yes, record the dollar amount of any payments made for residual value guarantees below for fiscal year "&amp;$B$8&amp;":"</f>
        <v>If yes, record the dollar amount of any payments made for residual value guarantees below for fiscal year 2022–2023:</v>
      </c>
      <c r="E83" s="198"/>
      <c r="F83" s="198"/>
    </row>
    <row r="84" spans="1:6" x14ac:dyDescent="0.25">
      <c r="A84" s="51" t="str">
        <f t="shared" si="2"/>
        <v>2048–2053</v>
      </c>
      <c r="B84" s="55"/>
      <c r="C84" s="55"/>
      <c r="D84" s="201"/>
      <c r="E84" s="198"/>
      <c r="F84" s="198"/>
    </row>
    <row r="85" spans="1:6" x14ac:dyDescent="0.25">
      <c r="A85" s="51" t="str">
        <f t="shared" si="2"/>
        <v>2053–2058</v>
      </c>
      <c r="B85" s="55"/>
      <c r="C85" s="55"/>
      <c r="D85" s="195"/>
      <c r="E85" s="195"/>
      <c r="F85" s="195"/>
    </row>
    <row r="86" spans="1:6" ht="15" customHeight="1" x14ac:dyDescent="0.25">
      <c r="A86" s="51" t="str">
        <f t="shared" si="2"/>
        <v>2058–2063</v>
      </c>
      <c r="B86" s="55"/>
      <c r="C86" s="55"/>
      <c r="D86"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8"/>
      <c r="F86" s="198"/>
    </row>
    <row r="87" spans="1:6" x14ac:dyDescent="0.25">
      <c r="A87" s="51" t="str">
        <f t="shared" si="2"/>
        <v>2063–2068</v>
      </c>
      <c r="B87" s="55"/>
      <c r="C87" s="55"/>
      <c r="D87" s="201"/>
      <c r="E87" s="198"/>
      <c r="F87" s="198"/>
    </row>
    <row r="88" spans="1:6" x14ac:dyDescent="0.25">
      <c r="A88" s="51" t="str">
        <f t="shared" si="2"/>
        <v>2068–2073</v>
      </c>
      <c r="B88" s="55"/>
      <c r="C88" s="55"/>
      <c r="D88" s="195"/>
      <c r="E88" s="195"/>
      <c r="F88" s="195"/>
    </row>
    <row r="89" spans="1:6" x14ac:dyDescent="0.25">
      <c r="A89" s="51" t="str">
        <f t="shared" si="2"/>
        <v>2073–2078</v>
      </c>
      <c r="B89" s="55"/>
      <c r="C89" s="55"/>
      <c r="D89"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00"/>
      <c r="F89" s="200"/>
    </row>
    <row r="90" spans="1:6" x14ac:dyDescent="0.25">
      <c r="A90" s="51" t="str">
        <f t="shared" si="2"/>
        <v>2078–2083</v>
      </c>
      <c r="B90" s="55"/>
      <c r="C90" s="55"/>
      <c r="D90" s="199"/>
      <c r="E90" s="200"/>
      <c r="F90" s="200"/>
    </row>
    <row r="91" spans="1:6" ht="15" customHeight="1" x14ac:dyDescent="0.25">
      <c r="A91" s="51" t="str">
        <f t="shared" si="2"/>
        <v>2083–2088</v>
      </c>
      <c r="B91" s="55"/>
      <c r="C91" s="55"/>
      <c r="D91" s="195"/>
      <c r="E91" s="195"/>
      <c r="F91" s="195"/>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5"/>
      <c r="E93" s="195"/>
      <c r="F93" s="195"/>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5"/>
      <c r="E95" s="195"/>
      <c r="F95" s="195"/>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N10" sqref="N10"/>
    </sheetView>
  </sheetViews>
  <sheetFormatPr defaultColWidth="9.21875" defaultRowHeight="18" x14ac:dyDescent="0.35"/>
  <cols>
    <col min="1" max="1" width="9.21875" style="35"/>
    <col min="2" max="3" width="3.77734375" style="35" customWidth="1"/>
    <col min="4" max="4" width="35.77734375" style="35" customWidth="1"/>
    <col min="5" max="5" width="3.77734375" style="35" customWidth="1"/>
    <col min="6" max="6" width="16.77734375" style="36" customWidth="1"/>
    <col min="7" max="7" width="3.77734375" style="35" customWidth="1"/>
    <col min="8" max="8" width="16.77734375" style="36" customWidth="1"/>
    <col min="9" max="9" width="3.77734375" style="35" customWidth="1"/>
    <col min="10" max="10" width="16.77734375" style="36" customWidth="1"/>
    <col min="11" max="11" width="3.77734375" style="35" customWidth="1"/>
    <col min="12" max="12" width="16.77734375" style="36" customWidth="1"/>
    <col min="13" max="13" width="3.77734375" style="35" customWidth="1"/>
    <col min="14" max="14" width="16.77734375" style="36" customWidth="1"/>
    <col min="15" max="15" width="3.77734375" style="35" customWidth="1"/>
    <col min="16" max="16" width="17.77734375" style="36" bestFit="1" customWidth="1"/>
    <col min="17" max="17" width="3.77734375" style="35" customWidth="1"/>
    <col min="18" max="16384" width="9.218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0001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3480 - Department of Conservation</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f>306786+165192+1439536+4184974</f>
        <v>6096488</v>
      </c>
      <c r="G10" s="58"/>
      <c r="H10" s="61"/>
      <c r="I10" s="58"/>
      <c r="J10" s="61">
        <f>126766+68259+594826+2122569</f>
        <v>2912420</v>
      </c>
      <c r="K10" s="58"/>
      <c r="L10" s="63">
        <f>SUM(F10+H10-J10)</f>
        <v>3184068</v>
      </c>
      <c r="M10" s="58"/>
      <c r="N10" s="61">
        <f>127020+68395+596017+1538950</f>
        <v>2330382</v>
      </c>
      <c r="O10" s="58"/>
      <c r="P10" s="63">
        <f>L10-N10</f>
        <v>853686</v>
      </c>
      <c r="Q10" s="43"/>
    </row>
    <row r="11" spans="2:17" ht="19.2" thickTop="1" thickBot="1" x14ac:dyDescent="0.4">
      <c r="B11" s="41"/>
      <c r="C11" s="45" t="s">
        <v>19</v>
      </c>
      <c r="F11" s="62">
        <f>SUM(F10:F10)</f>
        <v>6096488</v>
      </c>
      <c r="G11" s="58"/>
      <c r="H11" s="62">
        <f>SUM(H10:H10)</f>
        <v>0</v>
      </c>
      <c r="I11" s="58"/>
      <c r="J11" s="62">
        <f>SUM(J10:J10)</f>
        <v>2912420</v>
      </c>
      <c r="K11" s="58"/>
      <c r="L11" s="62">
        <f>SUM(L10:L10)</f>
        <v>3184068</v>
      </c>
      <c r="M11" s="58"/>
      <c r="N11" s="62">
        <f>SUM(N10:N10)</f>
        <v>2330382</v>
      </c>
      <c r="O11" s="58"/>
      <c r="P11" s="62">
        <f>SUM(P10:P10)</f>
        <v>853686</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N70" sqref="N70"/>
    </sheetView>
  </sheetViews>
  <sheetFormatPr defaultColWidth="0" defaultRowHeight="14.4" zeroHeight="1" x14ac:dyDescent="0.3"/>
  <cols>
    <col min="1" max="1" width="2.77734375" style="74" customWidth="1"/>
    <col min="2" max="2" width="13.77734375" style="74" customWidth="1"/>
    <col min="3" max="3" width="2.77734375" style="96" customWidth="1"/>
    <col min="4" max="4" width="13.77734375" style="74" customWidth="1"/>
    <col min="5" max="5" width="2.77734375" style="96" customWidth="1"/>
    <col min="6" max="6" width="13.77734375" style="74" customWidth="1"/>
    <col min="7" max="7" width="2.77734375" style="74" customWidth="1"/>
    <col min="8" max="8" width="13.77734375" style="74" customWidth="1"/>
    <col min="9" max="9" width="2.77734375" style="74" customWidth="1"/>
    <col min="10" max="10" width="13.77734375" style="74" customWidth="1"/>
    <col min="11" max="11" width="2.77734375" style="96" customWidth="1"/>
    <col min="12" max="12" width="19.21875" style="74" customWidth="1"/>
    <col min="13" max="13" width="2.77734375" style="96" customWidth="1"/>
    <col min="14" max="14" width="25.77734375" style="74" customWidth="1"/>
    <col min="15" max="15" width="2.77734375" style="74" customWidth="1"/>
    <col min="16" max="16" width="13.77734375" style="74" customWidth="1"/>
    <col min="17" max="17" width="2.77734375" style="74" customWidth="1"/>
    <col min="18" max="19" width="0" style="74" hidden="1" customWidth="1"/>
    <col min="20" max="16384" width="9.218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0" t="s">
        <v>154</v>
      </c>
      <c r="B5" s="210"/>
      <c r="C5" s="210"/>
      <c r="D5" s="210"/>
      <c r="E5" s="210"/>
      <c r="F5" s="210"/>
      <c r="G5" s="210"/>
      <c r="H5" s="210"/>
      <c r="I5" s="210"/>
      <c r="J5" s="210"/>
      <c r="K5" s="210"/>
      <c r="L5" s="210"/>
      <c r="M5" s="210"/>
      <c r="N5" s="210"/>
      <c r="O5" s="210"/>
      <c r="P5" s="210"/>
      <c r="Q5" s="210"/>
    </row>
    <row r="6" spans="1:17" ht="15" customHeight="1" x14ac:dyDescent="0.3">
      <c r="A6" s="210"/>
      <c r="B6" s="210"/>
      <c r="C6" s="210"/>
      <c r="D6" s="210"/>
      <c r="E6" s="210"/>
      <c r="F6" s="210"/>
      <c r="G6" s="210"/>
      <c r="H6" s="210"/>
      <c r="I6" s="210"/>
      <c r="J6" s="210"/>
      <c r="K6" s="210"/>
      <c r="L6" s="210"/>
      <c r="M6" s="210"/>
      <c r="N6" s="210"/>
      <c r="O6" s="210"/>
      <c r="P6" s="210"/>
      <c r="Q6" s="210"/>
    </row>
    <row r="7" spans="1:17" x14ac:dyDescent="0.3">
      <c r="A7" s="210"/>
      <c r="B7" s="210"/>
      <c r="C7" s="210"/>
      <c r="D7" s="210"/>
      <c r="E7" s="210"/>
      <c r="F7" s="210"/>
      <c r="G7" s="210"/>
      <c r="H7" s="210"/>
      <c r="I7" s="210"/>
      <c r="J7" s="210"/>
      <c r="K7" s="210"/>
      <c r="L7" s="210"/>
      <c r="M7" s="210"/>
      <c r="N7" s="210"/>
      <c r="O7" s="210"/>
      <c r="P7" s="210"/>
      <c r="Q7" s="210"/>
    </row>
    <row r="8" spans="1:17" ht="15" customHeight="1" x14ac:dyDescent="0.3">
      <c r="A8" s="211" t="s">
        <v>1629</v>
      </c>
      <c r="B8" s="211"/>
      <c r="C8" s="211"/>
      <c r="D8" s="211"/>
      <c r="E8" s="211"/>
      <c r="F8" s="211"/>
      <c r="G8" s="211"/>
      <c r="H8" s="211"/>
      <c r="I8" s="211"/>
      <c r="J8" s="211"/>
      <c r="K8" s="211"/>
      <c r="L8" s="211"/>
      <c r="M8" s="211"/>
      <c r="N8" s="211"/>
      <c r="O8" s="211"/>
      <c r="P8" s="211"/>
      <c r="Q8" s="211"/>
    </row>
    <row r="9" spans="1:17" x14ac:dyDescent="0.3">
      <c r="A9" s="211"/>
      <c r="B9" s="211"/>
      <c r="C9" s="211"/>
      <c r="D9" s="211"/>
      <c r="E9" s="211"/>
      <c r="F9" s="211"/>
      <c r="G9" s="211"/>
      <c r="H9" s="211"/>
      <c r="I9" s="211"/>
      <c r="J9" s="211"/>
      <c r="K9" s="211"/>
      <c r="L9" s="211"/>
      <c r="M9" s="211"/>
      <c r="N9" s="211"/>
      <c r="O9" s="211"/>
      <c r="P9" s="211"/>
      <c r="Q9" s="211"/>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2" t="s">
        <v>143</v>
      </c>
      <c r="C13" s="212"/>
      <c r="D13" s="212"/>
      <c r="E13" s="212"/>
      <c r="F13" s="212"/>
      <c r="G13" s="212"/>
      <c r="H13" s="212"/>
      <c r="I13" s="212"/>
      <c r="J13" s="212"/>
      <c r="K13" s="212"/>
      <c r="L13" s="212"/>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'LS-Fund 0001 Journal Entries'!K23+'LS-Fund 0336 Journal Entries'!K23+'LS-Fund 0338 Journal Entries'!K23+'LS-Fund 3046 Journal Entries'!K23</f>
        <v>6096488</v>
      </c>
      <c r="C16" s="116" t="s">
        <v>146</v>
      </c>
      <c r="D16" s="84">
        <f>'LS-Fund 0001 Journal Entries'!K48+'LS-Fund 0336 Journal Entries'!K48+'LS-Fund 0338 Journal Entries'!K48+'LS-Fund 3046 Journal Entries'!K48</f>
        <v>0</v>
      </c>
      <c r="E16" s="118" t="s">
        <v>147</v>
      </c>
      <c r="F16" s="84">
        <f>'LS-Fund 0001 Journal Entries'!J68+'LS-Fund 0336 Journal Entries'!J68+'LS-Fund 0338 Journal Entries'!J68+'LS-Fund 3046 Journal Entries'!J68</f>
        <v>2912420</v>
      </c>
      <c r="G16" s="117" t="s">
        <v>147</v>
      </c>
      <c r="H16" s="84">
        <f>'LS-Fund 0001 Journal Entries'!J96+'LS-Fund 0336 Journal Entries'!J96+'LS-Fund 0338 Journal Entries'!J96+'LS-Fund 3046 Journal Entries'!J96</f>
        <v>0</v>
      </c>
      <c r="I16" s="117" t="s">
        <v>146</v>
      </c>
      <c r="J16" s="84">
        <f>'LS-Fund 0001 Journal Entries'!K113+'LS-Fund 0336 Journal Entries'!K113+'LS-Fund 0338 Journal Entries'!K113+'LS-Fund 3046 Journal Entries'!K113</f>
        <v>0</v>
      </c>
      <c r="K16" s="118" t="s">
        <v>150</v>
      </c>
      <c r="L16" s="87">
        <f>+B16+D16-F16-H16+J16</f>
        <v>3184068</v>
      </c>
      <c r="M16" s="86"/>
      <c r="N16" s="88">
        <f>SUM('LS-Department Note Disclosure'!B13:B36)</f>
        <v>3184068</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2" t="s">
        <v>143</v>
      </c>
      <c r="C21" s="212"/>
      <c r="D21" s="212"/>
      <c r="E21" s="212"/>
      <c r="F21" s="212"/>
      <c r="G21" s="212"/>
      <c r="H21" s="212"/>
      <c r="I21" s="212"/>
      <c r="J21" s="212"/>
      <c r="K21" s="212"/>
      <c r="L21" s="212"/>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0001 Journal Entries'!$F$8="Proprietary - Internal Service Fund",'LS-Fund 0001 Journal Entries'!$K$23,0)</f>
        <v>0</v>
      </c>
      <c r="C24" s="116" t="s">
        <v>146</v>
      </c>
      <c r="D24" s="84">
        <f>IF('LS-Fund 0001 Journal Entries'!$F$8="Proprietary - Internal Service Fund",'LS-Fund 0001 Journal Entries'!$K$48,0)</f>
        <v>0</v>
      </c>
      <c r="E24" s="118" t="s">
        <v>147</v>
      </c>
      <c r="F24" s="84">
        <f>IF('LS-Fund 0001 Journal Entries'!$F$8="Proprietary - Internal Service Fund",'LS-Fund 0001 Journal Entries'!$J$68,0)</f>
        <v>0</v>
      </c>
      <c r="G24" s="117" t="s">
        <v>147</v>
      </c>
      <c r="H24" s="84">
        <f>IF('LS-Fund 0001 Journal Entries'!$F$8="Proprietary - Internal Service Fund",'LS-Fund 0001 Journal Entries'!$J$96,0)</f>
        <v>0</v>
      </c>
      <c r="I24" s="117" t="s">
        <v>146</v>
      </c>
      <c r="J24" s="84">
        <f>IF('LS-Fund 0001 Journal Entries'!$F$8="Proprietary - Internal Service Fund",'LS-Fund 0001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2" t="s">
        <v>143</v>
      </c>
      <c r="C30" s="212"/>
      <c r="D30" s="212"/>
      <c r="E30" s="212"/>
      <c r="F30" s="212"/>
      <c r="G30" s="212"/>
      <c r="H30" s="212"/>
      <c r="I30" s="212"/>
      <c r="J30" s="212"/>
      <c r="K30" s="212"/>
      <c r="L30" s="212"/>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0001 Journal Entries'!$F$8="Proprietary - Enterprise Fund",'LS-Fund 0001 Journal Entries'!$K$23,0)</f>
        <v>0</v>
      </c>
      <c r="C33" s="116" t="s">
        <v>146</v>
      </c>
      <c r="D33" s="84">
        <f>IF('LS-Fund 0001 Journal Entries'!$F$8="Proprietary - Enterprise Fund",'LS-Fund 0001 Journal Entries'!$K$48,0)</f>
        <v>0</v>
      </c>
      <c r="E33" s="118" t="s">
        <v>147</v>
      </c>
      <c r="F33" s="84">
        <f>IF('LS-Fund 0001 Journal Entries'!$F$8="Proprietary - Enterprise Fund",'LS-Fund 0001 Journal Entries'!$J$68,0)</f>
        <v>0</v>
      </c>
      <c r="G33" s="117" t="s">
        <v>147</v>
      </c>
      <c r="H33" s="84">
        <f>IF('LS-Fund 0001 Journal Entries'!$F$8="Proprietary - Enterprise Fund",'LS-Fund 0001 Journal Entries'!$J$96,0)</f>
        <v>0</v>
      </c>
      <c r="I33" s="117" t="s">
        <v>146</v>
      </c>
      <c r="J33" s="84">
        <f>IF('LS-Fund 0001 Journal Entries'!$F$8="Proprietary - Enterprise Fund",'LS-Fund 0001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2" t="s">
        <v>143</v>
      </c>
      <c r="C40" s="212"/>
      <c r="D40" s="212"/>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'LS-Fund 0001 Journal Entries'!J75+'LS-Fund 0336 Journal Entries'!J75+'LS-Fund 0338 Journal Entries'!J75+'LS-Fund 3046 Journal Entries'!J75</f>
        <v>2330382</v>
      </c>
      <c r="C42" s="92"/>
      <c r="E42" s="92"/>
      <c r="G42" s="115"/>
      <c r="H42" s="115"/>
      <c r="I42" s="115"/>
      <c r="J42" s="115"/>
      <c r="K42" s="92"/>
      <c r="L42" s="92"/>
      <c r="M42" s="93"/>
      <c r="N42" s="88">
        <f>'LS-Department Note Disclosure'!B13</f>
        <v>2330382</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2" t="s">
        <v>143</v>
      </c>
      <c r="C47" s="212"/>
      <c r="D47" s="212"/>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2" t="s">
        <v>143</v>
      </c>
      <c r="C55" s="212"/>
      <c r="D55" s="212"/>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3" t="s">
        <v>143</v>
      </c>
      <c r="C64" s="213"/>
      <c r="D64" s="213"/>
      <c r="E64" s="213"/>
      <c r="F64" s="213"/>
      <c r="G64" s="213"/>
      <c r="H64" s="213"/>
      <c r="I64" s="95"/>
      <c r="J64" s="77" t="s">
        <v>1628</v>
      </c>
      <c r="K64" s="95"/>
      <c r="L64" s="213" t="s">
        <v>12</v>
      </c>
      <c r="M64" s="213"/>
      <c r="N64" s="213"/>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6096488</v>
      </c>
      <c r="J66" s="97">
        <f>SUM(D66)</f>
        <v>6096488</v>
      </c>
      <c r="L66" s="98" t="str">
        <f>CONCATENATE("Balance July 1, ",LEFT('LS-Department Note Disclosure'!$B$8,4))</f>
        <v>Balance July 1, 2022</v>
      </c>
      <c r="N66" s="97">
        <f>'LS-Lease Liabilities'!F10</f>
        <v>6096488</v>
      </c>
      <c r="P66" s="89">
        <f>J66-N66</f>
        <v>0</v>
      </c>
    </row>
    <row r="67" spans="1:17" x14ac:dyDescent="0.3">
      <c r="B67" s="79" t="s">
        <v>157</v>
      </c>
      <c r="D67" s="97">
        <f>$D$16</f>
        <v>0</v>
      </c>
      <c r="E67" s="119" t="s">
        <v>146</v>
      </c>
      <c r="F67" s="79" t="s">
        <v>1756</v>
      </c>
      <c r="H67" s="97">
        <f>$J$16</f>
        <v>0</v>
      </c>
      <c r="J67" s="97">
        <f>SUM(D67,H67)</f>
        <v>0</v>
      </c>
      <c r="L67" s="98" t="s">
        <v>13</v>
      </c>
      <c r="N67" s="97">
        <f>'LS-Lease Liabilities'!H10</f>
        <v>0</v>
      </c>
      <c r="P67" s="89">
        <f t="shared" ref="P67:P69" si="0">J67-N67</f>
        <v>0</v>
      </c>
    </row>
    <row r="68" spans="1:17" x14ac:dyDescent="0.3">
      <c r="B68" s="79" t="s">
        <v>152</v>
      </c>
      <c r="D68" s="97">
        <f>$F$16</f>
        <v>2912420</v>
      </c>
      <c r="E68" s="119" t="s">
        <v>146</v>
      </c>
      <c r="F68" s="79" t="s">
        <v>1753</v>
      </c>
      <c r="H68" s="97">
        <f>$H$16</f>
        <v>0</v>
      </c>
      <c r="J68" s="97">
        <f>SUM(D68,H68)</f>
        <v>2912420</v>
      </c>
      <c r="L68" s="98" t="s">
        <v>14</v>
      </c>
      <c r="N68" s="97">
        <f>'LS-Lease Liabilities'!J10</f>
        <v>2912420</v>
      </c>
      <c r="P68" s="89">
        <f t="shared" si="0"/>
        <v>0</v>
      </c>
    </row>
    <row r="69" spans="1:17" x14ac:dyDescent="0.3">
      <c r="B69" s="79" t="s">
        <v>156</v>
      </c>
      <c r="D69" s="97">
        <f>$B$42</f>
        <v>2330382</v>
      </c>
      <c r="J69" s="97">
        <f>SUM(D69)</f>
        <v>2330382</v>
      </c>
      <c r="L69" s="98" t="s">
        <v>15</v>
      </c>
      <c r="N69" s="97">
        <f>'LS-Lease Liabilities'!N10</f>
        <v>2330382</v>
      </c>
      <c r="P69" s="89">
        <f t="shared" si="0"/>
        <v>0</v>
      </c>
    </row>
    <row r="70" spans="1:17" x14ac:dyDescent="0.3">
      <c r="D70" s="99"/>
    </row>
    <row r="71" spans="1:17" ht="16.05"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3" t="s">
        <v>143</v>
      </c>
      <c r="C75" s="213"/>
      <c r="D75" s="213"/>
      <c r="E75" s="213"/>
      <c r="F75" s="213"/>
      <c r="G75" s="213"/>
      <c r="H75" s="213"/>
      <c r="I75" s="95"/>
      <c r="J75" s="77" t="s">
        <v>1628</v>
      </c>
      <c r="K75" s="95"/>
      <c r="L75" s="213" t="s">
        <v>12</v>
      </c>
      <c r="M75" s="213"/>
      <c r="N75" s="213"/>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1753</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4.95" customHeight="1" x14ac:dyDescent="0.3"/>
    <row r="84" spans="2:16" x14ac:dyDescent="0.3">
      <c r="B84" s="100" t="s">
        <v>162</v>
      </c>
      <c r="C84" s="100"/>
    </row>
    <row r="85" spans="2:16" x14ac:dyDescent="0.3">
      <c r="B85" s="100"/>
    </row>
    <row r="86" spans="2:16" ht="15" customHeight="1" x14ac:dyDescent="0.3">
      <c r="B86" s="213" t="s">
        <v>143</v>
      </c>
      <c r="C86" s="213"/>
      <c r="D86" s="213"/>
      <c r="E86" s="213"/>
      <c r="F86" s="213"/>
      <c r="G86" s="213"/>
      <c r="H86" s="213"/>
      <c r="I86" s="95"/>
      <c r="J86" s="77" t="s">
        <v>1628</v>
      </c>
      <c r="K86" s="95"/>
      <c r="L86" s="213" t="s">
        <v>12</v>
      </c>
      <c r="M86" s="213"/>
      <c r="N86" s="213"/>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E1C93036-444F-47B5-AFAF-8C749234E975}"/>
</file>

<file path=customXml/itemProps2.xml><?xml version="1.0" encoding="utf-8"?>
<ds:datastoreItem xmlns:ds="http://schemas.openxmlformats.org/officeDocument/2006/customXml" ds:itemID="{963852DA-1F40-47AE-BFA8-40DF21BB0C76}"/>
</file>

<file path=customXml/itemProps3.xml><?xml version="1.0" encoding="utf-8"?>
<ds:datastoreItem xmlns:ds="http://schemas.openxmlformats.org/officeDocument/2006/customXml" ds:itemID="{6E2572BE-CB07-4B72-A238-034DCC4A1C5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6</vt:i4>
      </vt:variant>
    </vt:vector>
  </HeadingPairs>
  <TitlesOfParts>
    <vt:vector size="16" baseType="lpstr">
      <vt:lpstr>Drop Down Menus</vt:lpstr>
      <vt:lpstr>qryIndex02a</vt:lpstr>
      <vt:lpstr>LS-Version Changes</vt:lpstr>
      <vt:lpstr>LS-Fund 0001 Journal Entries</vt:lpstr>
      <vt:lpstr>LS-Fund 0336 Journal Entries</vt:lpstr>
      <vt:lpstr>LS-Fund 0338 Journal Entries</vt:lpstr>
      <vt:lpstr>LS-Fund 3046 Journal Entries</vt:lpstr>
      <vt:lpstr>LS-Department Note Disclosure</vt:lpstr>
      <vt:lpstr>LS-Lease Liabilities</vt:lpstr>
      <vt:lpstr>LS-Check Figures  </vt:lpstr>
      <vt:lpstr>'LS-Department Note Disclosure'!Print_Area</vt:lpstr>
      <vt:lpstr>'LS-Fund 0001 Journal Entries'!Print_Area</vt:lpstr>
      <vt:lpstr>'LS-Fund 0336 Journal Entries'!Print_Area</vt:lpstr>
      <vt:lpstr>'LS-Fund 0338 Journal Entries'!Print_Area</vt:lpstr>
      <vt:lpstr>'LS-Fund 3046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2024-05-10T17:11:32Z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3419300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