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6F980C5A-ADD4-413F-AA3B-3AB208FE3573}" xr6:coauthVersionLast="47" xr6:coauthVersionMax="47" xr10:uidLastSave="{00000000-0000-0000-0000-000000000000}"/>
  <bookViews>
    <workbookView xWindow="22932" yWindow="-108" windowWidth="23256" windowHeight="12576" tabRatio="921" firstSheet="2" activeTab="4"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9751 Journal Entries" sheetId="16" r:id="rId5"/>
    <sheet name="LS-Department Note Disclosure" sheetId="3" r:id="rId6"/>
    <sheet name="LS-Lease Liabilities" sheetId="4" r:id="rId7"/>
    <sheet name="LS-Check Figures  " sheetId="7" r:id="rId8"/>
  </sheets>
  <externalReferences>
    <externalReference r:id="rId9"/>
    <externalReference r:id="rId10"/>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5">'LS-Department Note Disclosure'!$A$1:$C$85</definedName>
    <definedName name="_xlnm.Print_Area" localSheetId="3">'LS-Fund 0001 Journal Entries'!$A$1:$J$9</definedName>
    <definedName name="_xlnm.Print_Area" localSheetId="4">'LS-Fund 9751 Journal Entries'!$A$1:$J$9</definedName>
    <definedName name="_xlnm.Print_Area" localSheetId="6">'LS-Lease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7" l="1"/>
  <c r="J24" i="7"/>
  <c r="H24" i="7"/>
  <c r="F24" i="7"/>
  <c r="B24" i="7"/>
  <c r="D24" i="7"/>
  <c r="K129" i="16"/>
  <c r="K126" i="16"/>
  <c r="K124" i="16"/>
  <c r="L114" i="16"/>
  <c r="K114" i="16"/>
  <c r="J114" i="16"/>
  <c r="K105" i="16"/>
  <c r="J105" i="16"/>
  <c r="L105" i="16" s="1"/>
  <c r="C104" i="16"/>
  <c r="B100" i="16"/>
  <c r="K91" i="16"/>
  <c r="J91" i="16"/>
  <c r="K77" i="16"/>
  <c r="J77" i="16"/>
  <c r="K70" i="16"/>
  <c r="J70" i="16"/>
  <c r="K65" i="16"/>
  <c r="J65" i="16"/>
  <c r="C64" i="16"/>
  <c r="B63" i="16"/>
  <c r="K59" i="16"/>
  <c r="J59" i="16"/>
  <c r="K49" i="16"/>
  <c r="J49" i="16"/>
  <c r="L49" i="16" s="1"/>
  <c r="K43" i="16"/>
  <c r="L43" i="16" s="1"/>
  <c r="J43" i="16"/>
  <c r="L36" i="16"/>
  <c r="K36" i="16"/>
  <c r="J36" i="16"/>
  <c r="C35" i="16"/>
  <c r="S25" i="16"/>
  <c r="S24" i="16"/>
  <c r="Q24" i="16"/>
  <c r="K24" i="16"/>
  <c r="S23" i="16"/>
  <c r="K23" i="16"/>
  <c r="K128" i="16" s="1"/>
  <c r="S22" i="16"/>
  <c r="K22" i="16"/>
  <c r="K127" i="16" s="1"/>
  <c r="S21" i="16"/>
  <c r="K21" i="16"/>
  <c r="S20" i="16"/>
  <c r="K20" i="16"/>
  <c r="K125" i="16" s="1"/>
  <c r="S19" i="16"/>
  <c r="S18" i="16"/>
  <c r="P18" i="16"/>
  <c r="J18" i="16"/>
  <c r="S17" i="16"/>
  <c r="J17" i="16"/>
  <c r="S16" i="16"/>
  <c r="J16" i="16"/>
  <c r="K123" i="16" s="1"/>
  <c r="S15" i="16"/>
  <c r="J15" i="16"/>
  <c r="F9" i="16"/>
  <c r="L91" i="16" l="1"/>
  <c r="L77" i="16"/>
  <c r="L70" i="16"/>
  <c r="L65" i="16"/>
  <c r="L59" i="16"/>
  <c r="K122" i="16"/>
  <c r="K25" i="16"/>
  <c r="K26" i="16" s="1"/>
  <c r="J19" i="16"/>
  <c r="J26" i="16" s="1"/>
  <c r="L26" i="16" l="1"/>
  <c r="K129" i="2" l="1"/>
  <c r="S20" i="2"/>
  <c r="K20" i="2"/>
  <c r="K125" i="2" s="1"/>
  <c r="P18" i="2" l="1"/>
  <c r="J18" i="2" s="1"/>
  <c r="S25" i="2"/>
  <c r="Q24" i="2"/>
  <c r="S24" i="2" s="1"/>
  <c r="S23" i="2"/>
  <c r="K23" i="2"/>
  <c r="K128" i="2" s="1"/>
  <c r="S21" i="2"/>
  <c r="K21" i="2"/>
  <c r="K126" i="2" s="1"/>
  <c r="S19" i="2"/>
  <c r="S17" i="2"/>
  <c r="J17" i="2"/>
  <c r="K124" i="2" s="1"/>
  <c r="S16" i="2"/>
  <c r="J16" i="2"/>
  <c r="K123" i="2" s="1"/>
  <c r="S15" i="2"/>
  <c r="J15" i="2"/>
  <c r="K122" i="2" s="1"/>
  <c r="K24" i="2" l="1"/>
  <c r="S18" i="2"/>
  <c r="J5" i="4" l="1"/>
  <c r="N91" i="7" l="1"/>
  <c r="N90" i="7"/>
  <c r="N89" i="7"/>
  <c r="N88" i="7"/>
  <c r="N80" i="7"/>
  <c r="N79" i="7"/>
  <c r="N78" i="7"/>
  <c r="N77" i="7"/>
  <c r="N69" i="7"/>
  <c r="N68" i="7"/>
  <c r="N67" i="7"/>
  <c r="N66" i="7"/>
  <c r="N16" i="7"/>
  <c r="J33" i="7"/>
  <c r="H89" i="7" s="1"/>
  <c r="H33" i="7"/>
  <c r="H90" i="7" s="1"/>
  <c r="H78" i="7"/>
  <c r="H79" i="7"/>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L91" i="2" l="1"/>
  <c r="L43" i="2"/>
  <c r="L88" i="7" l="1"/>
  <c r="L77" i="7"/>
  <c r="L66" i="7"/>
  <c r="D33" i="7"/>
  <c r="D89" i="7" s="1"/>
  <c r="J89" i="7" s="1"/>
  <c r="P89" i="7" s="1"/>
  <c r="D78" i="7"/>
  <c r="J78" i="7" s="1"/>
  <c r="P78" i="7" s="1"/>
  <c r="D16" i="7"/>
  <c r="B57" i="7"/>
  <c r="D91" i="7" s="1"/>
  <c r="J91" i="7" s="1"/>
  <c r="P91" i="7" s="1"/>
  <c r="D80" i="7"/>
  <c r="J80" i="7" s="1"/>
  <c r="P80" i="7" s="1"/>
  <c r="B42" i="7"/>
  <c r="F33" i="7"/>
  <c r="D90" i="7" s="1"/>
  <c r="J90" i="7" s="1"/>
  <c r="P90" i="7" s="1"/>
  <c r="D79" i="7"/>
  <c r="J79" i="7" s="1"/>
  <c r="P79" i="7" s="1"/>
  <c r="F16" i="7"/>
  <c r="N57" i="7"/>
  <c r="N49" i="7"/>
  <c r="N42" i="7"/>
  <c r="N33" i="7"/>
  <c r="N24" i="7"/>
  <c r="B33"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22" i="2" l="1"/>
  <c r="K22" i="2"/>
  <c r="K127" i="2" s="1"/>
  <c r="K25" i="2" l="1"/>
  <c r="K26" i="2" s="1"/>
  <c r="J19" i="2"/>
  <c r="J26" i="2" s="1"/>
  <c r="L26" i="2" l="1"/>
</calcChain>
</file>

<file path=xl/sharedStrings.xml><?xml version="1.0" encoding="utf-8"?>
<sst xmlns="http://schemas.openxmlformats.org/spreadsheetml/2006/main" count="7910" uniqueCount="1761">
  <si>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</si>
  <si>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</si>
  <si>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</si>
  <si>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</si>
  <si>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</si>
  <si>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</si>
  <si>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</si>
  <si>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</si>
  <si>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</si>
  <si>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</si>
  <si>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</si>
  <si>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</si>
  <si>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</si>
  <si>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</si>
  <si>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</si>
  <si>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</si>
  <si>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</si>
  <si>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</si>
  <si>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</si>
  <si>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</si>
  <si>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</si>
  <si>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</si>
  <si>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</si>
  <si>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</si>
  <si>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</si>
  <si>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</si>
  <si>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</si>
  <si>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</si>
  <si>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</si>
  <si>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</si>
  <si>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</si>
  <si>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</si>
  <si>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</si>
  <si>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</si>
  <si>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</si>
  <si>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</si>
  <si>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</si>
  <si>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</si>
  <si>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</si>
  <si>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</si>
  <si>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</si>
  <si>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</si>
  <si>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</si>
  <si>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</si>
  <si>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</si>
  <si>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</si>
  <si>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</si>
  <si>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</si>
  <si>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</si>
  <si>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</si>
  <si>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</si>
  <si>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</si>
  <si>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</si>
  <si>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</si>
  <si>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</si>
  <si>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</si>
  <si>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</si>
  <si>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</si>
  <si>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</si>
  <si>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</si>
  <si>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</si>
  <si>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</si>
  <si>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</si>
  <si>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</si>
  <si>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</si>
  <si>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</si>
  <si>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</si>
  <si>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</si>
  <si>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</si>
  <si>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</si>
  <si>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</si>
  <si>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</si>
  <si>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</si>
  <si>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</si>
  <si>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</si>
  <si>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</si>
  <si>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</si>
  <si>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</si>
  <si>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</si>
  <si>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</si>
  <si>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</si>
  <si>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</si>
  <si>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</si>
  <si>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</si>
  <si>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</si>
  <si>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</si>
  <si>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</si>
  <si>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</si>
  <si>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</si>
  <si>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</si>
  <si>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</si>
  <si>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</si>
  <si>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</si>
  <si>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</si>
  <si>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</si>
  <si>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</si>
  <si>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</si>
  <si>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</si>
  <si>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</si>
  <si>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</si>
  <si>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</si>
  <si>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</si>
  <si>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</si>
  <si>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</si>
  <si>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</si>
  <si>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</si>
  <si>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</si>
  <si>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</si>
  <si>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</si>
  <si>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</si>
  <si>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</si>
  <si>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</si>
  <si>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</si>
  <si>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</si>
  <si>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</si>
  <si>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</si>
  <si>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</si>
  <si>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</si>
  <si>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</si>
  <si>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</si>
  <si>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</si>
  <si>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</si>
  <si>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</si>
  <si>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</si>
  <si>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</si>
  <si>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</si>
  <si>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</si>
  <si>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</si>
  <si>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</si>
  <si>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</si>
  <si>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</si>
  <si>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</si>
  <si>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</si>
  <si>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</si>
  <si>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</si>
  <si>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</si>
  <si>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</si>
  <si>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</si>
  <si>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</si>
  <si>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</si>
  <si>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</si>
  <si>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</si>
  <si>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</si>
  <si>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</si>
  <si>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</si>
  <si>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</si>
  <si>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</si>
  <si>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</si>
  <si>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</si>
  <si>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</si>
  <si>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</si>
  <si>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</si>
  <si>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</si>
  <si>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</si>
  <si>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</si>
  <si>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</si>
  <si>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</si>
  <si>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</si>
  <si>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</si>
  <si>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</si>
  <si>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</si>
  <si>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</si>
  <si>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</si>
  <si>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</si>
  <si>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</si>
  <si>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</si>
  <si>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</si>
  <si>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</si>
  <si>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</si>
  <si>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</si>
  <si>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</si>
  <si>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</si>
  <si>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</si>
  <si>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</si>
  <si>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</si>
  <si>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</si>
  <si>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</si>
  <si>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</si>
  <si>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</si>
  <si>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</si>
  <si>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</si>
  <si>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</si>
  <si>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</si>
  <si>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</si>
  <si>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</si>
  <si>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</si>
  <si>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</si>
  <si>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</si>
  <si>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</si>
  <si>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</si>
  <si>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</si>
  <si>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</si>
  <si>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</si>
  <si>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</si>
  <si>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</si>
  <si>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</si>
  <si>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</si>
  <si>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</si>
  <si>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</si>
  <si>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</si>
  <si>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</si>
  <si>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</si>
  <si>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</si>
  <si>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</si>
  <si>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</si>
  <si>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</si>
  <si>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</si>
  <si>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</si>
  <si>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</si>
  <si>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</si>
  <si>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</si>
  <si>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</si>
  <si>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</si>
  <si>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</si>
  <si>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</si>
  <si>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</si>
  <si>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</si>
  <si>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</si>
  <si>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</si>
  <si>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</si>
  <si>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</si>
  <si>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</si>
  <si>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</si>
  <si>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</si>
  <si>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</si>
  <si>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</si>
  <si>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</si>
  <si>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</si>
  <si>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</si>
  <si>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</si>
  <si>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</si>
  <si>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</si>
  <si>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</si>
  <si>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</si>
  <si>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</si>
  <si>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</si>
  <si>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</si>
  <si>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</si>
  <si>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</si>
  <si>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</si>
  <si>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</si>
  <si>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</si>
  <si>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</si>
  <si>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</si>
  <si>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</si>
  <si>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</si>
  <si>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</si>
  <si>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</si>
  <si>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</si>
  <si>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</si>
  <si>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</si>
  <si>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</si>
  <si>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</si>
  <si>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</si>
  <si>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</si>
  <si>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</si>
  <si>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</si>
  <si>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</si>
  <si>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</si>
  <si>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</si>
  <si>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</si>
  <si>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</si>
  <si>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</si>
  <si>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</si>
  <si>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</si>
  <si>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</si>
  <si>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</si>
  <si>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</si>
  <si>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</si>
  <si>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</si>
  <si>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</si>
  <si>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</si>
  <si>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</si>
  <si>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</si>
  <si>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</si>
  <si>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</si>
  <si>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</si>
  <si>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</si>
  <si>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</si>
  <si>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</si>
  <si>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</si>
  <si>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</si>
  <si>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</si>
  <si>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</si>
  <si>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</si>
  <si>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</si>
  <si>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</si>
  <si>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</si>
  <si>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</si>
  <si>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</si>
  <si>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</si>
  <si>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</si>
  <si>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</si>
  <si>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</si>
  <si>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</si>
  <si>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</si>
  <si>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</si>
  <si>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</si>
  <si>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</si>
  <si>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</si>
  <si>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</si>
  <si>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</si>
  <si>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</si>
  <si>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</si>
  <si>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</si>
  <si>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</si>
  <si>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</si>
  <si>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</si>
  <si>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</si>
  <si>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</si>
  <si>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</si>
  <si>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</si>
  <si>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</si>
  <si>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</si>
  <si>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</si>
  <si>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</si>
  <si>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</si>
  <si>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</si>
  <si>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</si>
  <si>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</si>
  <si>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</si>
  <si>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</si>
  <si>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</si>
  <si>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</si>
  <si>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</si>
  <si>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</si>
  <si>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</si>
  <si>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</si>
  <si>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</si>
  <si>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</si>
  <si>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</si>
  <si>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</si>
  <si>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</si>
  <si>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</si>
  <si>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</si>
  <si>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</si>
  <si>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</si>
  <si>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</si>
  <si>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</si>
  <si>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</si>
  <si>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</si>
  <si>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</si>
  <si>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</si>
  <si>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</si>
  <si>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</si>
  <si>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</si>
  <si>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</si>
  <si>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</si>
  <si>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</si>
  <si>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</si>
  <si>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</si>
  <si>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</si>
  <si>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</si>
  <si>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</si>
  <si>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</si>
  <si>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</si>
  <si>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</si>
  <si>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</si>
  <si>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</si>
  <si>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</si>
  <si>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</si>
  <si>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</si>
  <si>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</si>
  <si>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</si>
  <si>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</si>
  <si>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</si>
  <si>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</si>
  <si>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</si>
  <si>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</si>
  <si>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</si>
  <si>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</si>
  <si>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</si>
  <si>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</si>
  <si>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</si>
  <si>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</si>
  <si>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</si>
  <si>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</si>
  <si>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</si>
  <si>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</si>
  <si>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</si>
  <si>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</si>
  <si>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</si>
  <si>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</si>
  <si>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</si>
  <si>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</si>
  <si>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</si>
  <si>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</si>
  <si>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</si>
  <si>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</si>
  <si>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</si>
  <si>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</si>
  <si>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</si>
  <si>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</si>
  <si>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</si>
  <si>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</si>
  <si>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</si>
  <si>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</si>
  <si>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</si>
  <si>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</si>
  <si>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</si>
  <si>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</si>
  <si>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</si>
  <si>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</si>
  <si>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</si>
  <si>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</si>
  <si>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</si>
  <si>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</si>
  <si>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</si>
  <si>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</si>
  <si>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</si>
  <si>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</si>
  <si>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</si>
  <si>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</si>
  <si>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</si>
  <si>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</si>
  <si>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</si>
  <si>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</si>
  <si>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</si>
  <si>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</si>
  <si>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</si>
  <si>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</si>
  <si>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</si>
  <si>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</si>
  <si>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</si>
  <si>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</si>
  <si>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</si>
  <si>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</si>
  <si>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</si>
  <si>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</si>
  <si>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</si>
  <si>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</si>
  <si>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</si>
  <si>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</si>
  <si>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</si>
  <si>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</si>
  <si>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</si>
  <si>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</si>
  <si>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</si>
  <si>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</si>
  <si>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</si>
  <si>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</si>
  <si>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</si>
  <si>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</si>
  <si>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</si>
  <si>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</si>
  <si>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</si>
  <si>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</si>
  <si>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</si>
  <si>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</si>
  <si>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</si>
  <si>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</si>
  <si>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</si>
  <si>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</si>
  <si>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</si>
  <si>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</si>
  <si>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</si>
  <si>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</si>
  <si>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</si>
  <si>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</si>
  <si>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</si>
  <si>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</si>
  <si>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</si>
  <si>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</si>
  <si>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</si>
  <si>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</si>
  <si>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</si>
  <si>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</si>
  <si>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</si>
  <si>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</si>
  <si>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</si>
  <si>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</si>
  <si>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</si>
  <si>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</si>
  <si>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</si>
  <si>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</si>
  <si>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</si>
  <si>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</si>
  <si>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</si>
  <si>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</si>
  <si>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</si>
  <si>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</si>
  <si>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</si>
  <si>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</si>
  <si>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</si>
  <si>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</si>
  <si>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</si>
  <si>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</si>
  <si>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</si>
  <si>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</si>
  <si>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</si>
  <si>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</si>
  <si>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</si>
  <si>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</si>
  <si>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</si>
  <si>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</si>
  <si>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</si>
  <si>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</si>
  <si>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</si>
  <si>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</si>
  <si>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</si>
  <si>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</si>
  <si>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</si>
  <si>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</si>
  <si>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</si>
  <si>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</si>
  <si>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</si>
  <si>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</si>
  <si>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</si>
  <si>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</si>
  <si>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</si>
  <si>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</si>
  <si>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</si>
  <si>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</si>
  <si>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</si>
  <si>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</si>
  <si>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</si>
  <si>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</si>
  <si>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</si>
  <si>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</si>
  <si>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</si>
  <si>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</si>
  <si>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</si>
  <si>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</si>
  <si>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</si>
  <si>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</si>
  <si>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</si>
  <si>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</si>
  <si>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</si>
  <si>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</si>
  <si>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</si>
  <si>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</si>
  <si>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</si>
  <si>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</si>
  <si>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</si>
  <si>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</si>
  <si>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</si>
  <si>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</si>
  <si>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</si>
  <si>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</si>
  <si>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</si>
  <si>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</si>
  <si>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</si>
  <si>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</si>
  <si>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</si>
  <si>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</si>
  <si>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</si>
  <si>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</si>
  <si>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</si>
  <si>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</si>
  <si>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</si>
  <si>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</si>
  <si>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</si>
  <si>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</si>
  <si>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</si>
  <si>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</si>
  <si>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</si>
  <si>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</si>
  <si>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</si>
  <si>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</si>
  <si>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</si>
  <si>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</si>
  <si>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</si>
  <si>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</si>
  <si>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</si>
  <si>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</si>
  <si>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</si>
  <si>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</si>
  <si>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</si>
  <si>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</si>
  <si>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</si>
  <si>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</si>
  <si>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</si>
  <si>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</si>
  <si>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</si>
  <si>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</si>
  <si>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</si>
  <si>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</si>
  <si>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</si>
  <si>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</si>
  <si>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</si>
  <si>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</si>
  <si>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</si>
  <si>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</si>
  <si>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</si>
  <si>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</si>
  <si>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</si>
  <si>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</si>
  <si>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</si>
  <si>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</si>
  <si>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</si>
  <si>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</si>
  <si>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</si>
  <si>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</si>
  <si>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</si>
  <si>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</si>
  <si>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</si>
  <si>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</si>
  <si>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</si>
  <si>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</si>
  <si>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</si>
  <si>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</si>
  <si>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</si>
  <si>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</si>
  <si>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</si>
  <si>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</si>
  <si>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</si>
  <si>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</si>
  <si>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</si>
  <si>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</si>
  <si>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</si>
  <si>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</si>
  <si>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</si>
  <si>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</si>
  <si>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</si>
  <si>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</si>
  <si>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</si>
  <si>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</si>
  <si>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</si>
  <si>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</si>
  <si>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</si>
  <si>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</si>
  <si>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</si>
  <si>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</si>
  <si>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</si>
  <si>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</si>
  <si>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</si>
  <si>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</si>
  <si>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</si>
  <si>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</si>
  <si>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</si>
  <si>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</si>
  <si>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</si>
  <si>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</si>
  <si>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</si>
  <si>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</si>
  <si>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</si>
  <si>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</si>
  <si>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</si>
  <si>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</si>
  <si>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</si>
  <si>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</si>
  <si>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</si>
  <si>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</si>
  <si>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</si>
  <si>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</si>
  <si>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</si>
  <si>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</si>
  <si>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</si>
  <si>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</si>
  <si>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</si>
  <si>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</si>
  <si>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</si>
  <si>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</si>
  <si>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</si>
  <si>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</si>
  <si>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</si>
  <si>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</si>
  <si>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</si>
  <si>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</si>
  <si>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</si>
  <si>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</si>
  <si>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</si>
  <si>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</si>
  <si>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</si>
  <si>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</si>
  <si>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</si>
  <si>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</si>
  <si>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</si>
  <si>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</si>
  <si>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</si>
  <si>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</si>
  <si>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</si>
  <si>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</si>
  <si>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</si>
  <si>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</si>
  <si>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</si>
  <si>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</si>
  <si>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</si>
  <si>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</si>
  <si>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</si>
  <si>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</si>
  <si>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</si>
  <si>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</si>
  <si>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</si>
  <si>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</si>
  <si>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</si>
  <si>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</si>
  <si>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</si>
  <si>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</si>
  <si>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</si>
  <si>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</si>
  <si>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</si>
  <si>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</si>
  <si>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</si>
  <si>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</si>
  <si>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</si>
  <si>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</si>
  <si>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</si>
  <si>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</si>
  <si>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</si>
  <si>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</si>
  <si>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</si>
  <si>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</si>
  <si>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</si>
  <si>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</si>
  <si>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</si>
  <si>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</si>
  <si>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</si>
  <si>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</si>
  <si>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</si>
  <si>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</si>
  <si>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</si>
  <si>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</si>
  <si>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</si>
  <si>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</si>
  <si>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</si>
  <si>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</si>
  <si>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</si>
  <si>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</si>
  <si>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</si>
  <si>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</si>
  <si>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</si>
  <si>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</si>
  <si>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</si>
  <si>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</si>
  <si>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</si>
  <si>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</si>
  <si>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</si>
  <si>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</si>
  <si>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</si>
  <si>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</si>
  <si>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</si>
  <si>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</si>
  <si>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</si>
  <si>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</si>
  <si>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</si>
  <si>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</si>
  <si>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</si>
  <si>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</si>
  <si>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</si>
  <si>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</si>
  <si>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</si>
  <si>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</si>
  <si>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</si>
  <si>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</si>
  <si>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</si>
  <si>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</si>
  <si>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</si>
  <si>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</si>
  <si>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</si>
  <si>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</si>
  <si>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</si>
  <si>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</si>
  <si>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</si>
  <si>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</si>
  <si>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</si>
  <si>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</si>
  <si>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</si>
  <si>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</si>
  <si>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</si>
  <si>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</si>
  <si>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</si>
  <si>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</si>
  <si>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</si>
  <si>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</si>
  <si>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</si>
  <si>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</si>
  <si>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</si>
  <si>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</si>
  <si>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</si>
  <si>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</si>
  <si>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</si>
  <si>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</si>
  <si>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</si>
  <si>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</si>
  <si>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</si>
  <si>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</si>
  <si>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</si>
  <si>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</si>
  <si>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</si>
  <si>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</si>
  <si>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</si>
  <si>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</si>
  <si>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</si>
  <si>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</si>
  <si>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</si>
  <si>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</si>
  <si>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</si>
  <si>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</si>
  <si>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</si>
  <si>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</si>
  <si>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</si>
  <si>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</si>
  <si>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</si>
  <si>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</si>
  <si>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</si>
  <si>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</si>
  <si>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</si>
  <si>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</si>
  <si>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</si>
  <si>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</si>
  <si>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</si>
  <si>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</si>
  <si>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</si>
  <si>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</si>
  <si>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</si>
  <si>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</si>
  <si>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</si>
  <si>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</si>
  <si>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</si>
  <si>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</si>
  <si>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</si>
  <si>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</si>
  <si>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</si>
  <si>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</si>
  <si>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</si>
  <si>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</si>
  <si>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</si>
  <si>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</si>
  <si>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</si>
  <si>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</si>
  <si>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</si>
  <si>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</si>
  <si>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</si>
  <si>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</si>
  <si>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</si>
  <si>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</si>
  <si>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</si>
  <si>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</si>
  <si>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</si>
  <si>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</si>
  <si>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</si>
  <si>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</si>
  <si>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</si>
  <si>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</si>
  <si>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</si>
  <si>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</si>
  <si>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</si>
  <si>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</si>
  <si>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</si>
  <si>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</si>
  <si>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</si>
  <si>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</si>
  <si>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</si>
  <si>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</si>
  <si>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</si>
  <si>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</si>
  <si>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</si>
  <si>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</si>
  <si>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</si>
  <si>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</si>
  <si>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</si>
  <si>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</si>
  <si>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</si>
  <si>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</si>
  <si>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</si>
  <si>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</si>
  <si>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</si>
  <si>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</si>
  <si>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</si>
  <si>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</si>
  <si>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</si>
  <si>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</si>
  <si>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</si>
  <si>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</si>
  <si>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</si>
  <si>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</si>
  <si>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</si>
  <si>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</si>
  <si>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</si>
  <si>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</si>
  <si>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</si>
  <si>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</si>
  <si>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</si>
  <si>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</si>
  <si>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</si>
  <si>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</si>
  <si>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</si>
  <si>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</si>
  <si>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</si>
  <si>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</si>
  <si>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</si>
  <si>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</si>
  <si>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</si>
  <si>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</si>
  <si>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</si>
  <si>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</si>
  <si>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</si>
  <si>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</si>
  <si>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</si>
  <si>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</si>
  <si>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</si>
  <si>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</si>
  <si>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</si>
  <si>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</si>
  <si>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</si>
  <si>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</si>
  <si>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</si>
  <si>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</si>
  <si>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</si>
  <si>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</si>
  <si>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</si>
  <si>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</si>
  <si>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</si>
  <si>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</si>
  <si>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</si>
  <si>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</si>
  <si>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</si>
  <si>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</si>
  <si>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</si>
  <si>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</si>
  <si>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</si>
  <si>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</si>
  <si>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</si>
  <si>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</si>
  <si>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</si>
  <si>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</si>
  <si>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</si>
  <si>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</si>
  <si>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</si>
  <si>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</si>
  <si>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</si>
  <si>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</si>
  <si>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</si>
  <si>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</si>
  <si>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</si>
  <si>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</si>
  <si>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</si>
  <si>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</si>
  <si>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</si>
  <si>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</si>
  <si>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</si>
  <si>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</si>
  <si>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</si>
  <si>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</si>
  <si>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</si>
  <si>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</si>
  <si>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</si>
  <si>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</si>
  <si>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</si>
  <si>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</si>
  <si>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</si>
  <si>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</si>
  <si>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</si>
  <si>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</si>
  <si>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</si>
  <si>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</si>
  <si>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</si>
  <si>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</si>
  <si>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</si>
  <si>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</si>
  <si>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</si>
  <si>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</si>
  <si>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</si>
  <si>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</si>
  <si>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</si>
  <si>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</si>
  <si>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</si>
  <si>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</si>
  <si>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</si>
  <si>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</si>
  <si>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</si>
  <si>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</si>
  <si>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</si>
  <si>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</si>
  <si>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</si>
  <si>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</si>
  <si>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</si>
  <si>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</si>
  <si>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</si>
  <si>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</si>
  <si>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</si>
  <si>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</si>
  <si>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</si>
  <si>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</si>
  <si>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</si>
  <si>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</si>
  <si>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</si>
  <si>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</si>
  <si>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</si>
  <si>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</si>
  <si>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</si>
  <si>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</si>
  <si>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</si>
  <si>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</si>
  <si>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</si>
  <si>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</si>
  <si>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</si>
  <si>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</si>
  <si>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</si>
  <si>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</si>
  <si>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</si>
  <si>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</si>
  <si>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</si>
  <si>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</si>
  <si>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</si>
  <si>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</si>
  <si>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</si>
  <si>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</si>
  <si>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</si>
  <si>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</si>
  <si>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</si>
  <si>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</si>
  <si>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</si>
  <si>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</si>
  <si>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</si>
  <si>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</si>
  <si>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</si>
  <si>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</si>
  <si>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</si>
  <si>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</si>
  <si>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</si>
  <si>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</si>
  <si>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</si>
  <si>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</si>
  <si>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</si>
  <si>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</si>
  <si>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</si>
  <si>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</si>
  <si>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</si>
  <si>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</si>
  <si>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</si>
  <si>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</si>
  <si>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</si>
  <si>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</si>
  <si>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</si>
  <si>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</si>
  <si>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</si>
  <si>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</si>
  <si>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</si>
  <si>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</si>
  <si>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</si>
  <si>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</si>
  <si>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</si>
  <si>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</si>
  <si>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</si>
  <si>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</si>
  <si>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</si>
  <si>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</si>
  <si>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</si>
  <si>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</si>
  <si>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</si>
  <si>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</si>
  <si>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</si>
  <si>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</si>
  <si>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</si>
  <si>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</si>
  <si>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</si>
  <si>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</si>
  <si>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</si>
  <si>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</si>
  <si>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</si>
  <si>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</si>
  <si>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</si>
  <si>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</si>
  <si>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</si>
  <si>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</si>
  <si>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</si>
  <si>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</si>
  <si>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</si>
  <si>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</si>
  <si>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</si>
  <si>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</si>
  <si>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</si>
  <si>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</si>
  <si>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</si>
  <si>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</si>
  <si>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</si>
  <si>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</si>
  <si>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</si>
  <si>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</si>
  <si>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</si>
  <si>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</si>
  <si>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</si>
  <si>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</si>
  <si>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</si>
  <si>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</si>
  <si>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</si>
  <si>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</si>
  <si>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</si>
  <si>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</si>
  <si>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</si>
  <si>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</si>
  <si>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</si>
  <si>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</si>
  <si>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</si>
  <si>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</si>
  <si>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</si>
  <si>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</si>
  <si>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</si>
  <si>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</si>
  <si>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</si>
  <si>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</si>
  <si>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</si>
  <si>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</si>
  <si>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</si>
  <si>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</si>
  <si>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</si>
  <si>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</si>
  <si>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</si>
  <si>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</si>
  <si>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</si>
  <si>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</si>
  <si>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</si>
  <si>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</si>
  <si>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</si>
  <si>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</si>
  <si>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</si>
  <si>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</si>
  <si>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</si>
  <si>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</si>
  <si>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</si>
  <si>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</si>
  <si>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</si>
  <si>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</si>
  <si>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</si>
  <si>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</si>
  <si>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</si>
  <si>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</si>
  <si>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</si>
  <si>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</si>
  <si>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</si>
  <si>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</si>
  <si>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</si>
  <si>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</si>
  <si>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</si>
  <si>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</si>
  <si>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</si>
  <si>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</si>
  <si>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</si>
  <si>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</si>
  <si>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</si>
  <si>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</si>
  <si>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</si>
  <si>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</si>
  <si>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</si>
  <si>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</si>
  <si>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</si>
  <si>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</si>
  <si>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</si>
  <si>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</si>
  <si>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</si>
  <si>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</si>
  <si>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</si>
  <si>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</si>
  <si>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</si>
  <si>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</si>
  <si>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</si>
  <si>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</si>
  <si>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</si>
  <si>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</si>
  <si>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</si>
  <si>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</si>
  <si>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</si>
  <si>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</si>
  <si>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</si>
  <si>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</si>
  <si>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</si>
  <si>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</si>
  <si>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</si>
  <si>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</si>
  <si>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</si>
  <si>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</si>
  <si>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</si>
  <si>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</si>
  <si>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</si>
  <si>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</si>
  <si>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</si>
  <si>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</si>
  <si>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</si>
  <si>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</si>
  <si>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</si>
  <si>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</si>
  <si>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</si>
  <si>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</si>
  <si>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</si>
  <si>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</si>
  <si>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</si>
  <si>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</si>
  <si>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</si>
  <si>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</si>
  <si>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</si>
  <si>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</si>
  <si>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</si>
  <si>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</si>
  <si>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</si>
  <si>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</si>
  <si>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</si>
  <si>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</si>
  <si>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</si>
  <si>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</si>
  <si>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</si>
  <si>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</si>
  <si>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</si>
  <si>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</si>
  <si>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</si>
  <si>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</si>
  <si>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</si>
  <si>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</si>
  <si>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</si>
  <si>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</si>
  <si>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</si>
  <si>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</si>
  <si>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</si>
  <si>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</si>
  <si>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</si>
  <si>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</si>
  <si>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</si>
  <si>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</si>
  <si>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</si>
  <si>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</si>
  <si>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</si>
  <si>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</si>
  <si>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</si>
  <si>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</si>
  <si>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</si>
  <si>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</si>
  <si>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</si>
  <si>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</si>
  <si>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</si>
  <si>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</si>
  <si>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</si>
  <si>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</si>
  <si>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</si>
  <si>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</si>
  <si>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</si>
  <si>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</si>
  <si>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</si>
  <si>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</si>
  <si>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</si>
  <si>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</si>
  <si>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</si>
  <si>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</si>
  <si>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</si>
  <si>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</si>
  <si>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</si>
  <si>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</si>
  <si>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</si>
  <si>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</si>
  <si>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</si>
  <si>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</si>
  <si>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</si>
  <si>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</si>
  <si>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</si>
  <si>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</si>
  <si>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</si>
  <si>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</si>
  <si>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</si>
  <si>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</si>
  <si>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</si>
  <si>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</si>
  <si>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</si>
  <si>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</si>
  <si>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</si>
  <si>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</si>
  <si>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</si>
  <si>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</si>
  <si>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</si>
  <si>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</si>
  <si>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</si>
  <si>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</si>
  <si>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</si>
  <si>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</si>
  <si>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</si>
  <si>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</si>
  <si>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</si>
  <si>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</si>
  <si>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</si>
  <si>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</si>
  <si>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</si>
  <si>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</si>
  <si>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</si>
  <si>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</si>
  <si>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</si>
  <si>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</si>
  <si>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</si>
  <si>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</si>
  <si>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</si>
  <si>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</si>
  <si>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</si>
  <si>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</si>
  <si>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</si>
  <si>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</si>
  <si>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</si>
  <si>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</si>
  <si>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</si>
  <si>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</si>
  <si>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</si>
  <si>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</si>
  <si>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</si>
  <si>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</si>
  <si>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</si>
  <si>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</si>
  <si>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</si>
  <si>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</si>
  <si>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</si>
  <si>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</si>
  <si>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</si>
  <si>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</si>
  <si>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</si>
  <si>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</si>
  <si>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</si>
  <si>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</si>
  <si>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</si>
  <si>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</si>
  <si>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</si>
  <si>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</si>
  <si>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</si>
  <si>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</si>
  <si>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</si>
  <si>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</si>
  <si>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</si>
  <si>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</si>
  <si>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</si>
  <si>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</si>
  <si>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</si>
  <si>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</si>
  <si>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</si>
  <si>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</si>
  <si>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</si>
  <si>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</si>
  <si>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</si>
  <si>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</si>
  <si>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</si>
  <si>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</si>
  <si>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</si>
  <si>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</si>
  <si>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</si>
  <si>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</si>
  <si>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</si>
  <si>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</si>
  <si>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</si>
  <si>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</si>
  <si>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</si>
  <si>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</si>
  <si>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</si>
  <si>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</si>
  <si>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</si>
  <si>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</si>
  <si>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</si>
  <si>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</si>
  <si>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</si>
  <si>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</si>
  <si>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</si>
  <si>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</si>
  <si>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</si>
  <si>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</si>
  <si>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</si>
  <si>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</si>
  <si>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</si>
  <si>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</si>
  <si>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</si>
  <si>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</si>
  <si>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</si>
  <si>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</si>
  <si>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</si>
  <si>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</si>
  <si>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</si>
  <si>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</si>
  <si>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</si>
  <si>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</si>
  <si>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</si>
  <si>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</si>
  <si>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</si>
  <si>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</si>
  <si>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</si>
  <si>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</si>
  <si>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</si>
  <si>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</si>
  <si>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</si>
  <si>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</si>
  <si>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</si>
  <si>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</si>
  <si>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</si>
  <si>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</si>
  <si>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</si>
  <si>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</si>
  <si>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</si>
  <si>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</si>
  <si>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</si>
  <si>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</si>
  <si>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</si>
  <si>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</si>
  <si>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</si>
  <si>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</si>
  <si>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</si>
  <si>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</si>
  <si>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</si>
  <si>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</si>
  <si>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</si>
  <si>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</si>
  <si>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</si>
  <si>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</si>
  <si>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</si>
  <si>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</si>
  <si>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</si>
  <si>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</si>
  <si>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</si>
  <si>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</si>
  <si>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</si>
  <si>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</si>
  <si>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</si>
  <si>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</si>
  <si>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</si>
  <si>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</si>
  <si>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</si>
  <si>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</si>
  <si>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</si>
  <si>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</si>
  <si>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</si>
  <si>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</si>
  <si>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</si>
  <si>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</si>
  <si>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</si>
  <si>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</si>
  <si>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</si>
  <si>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</si>
  <si>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</si>
  <si>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</si>
  <si>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</si>
  <si>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</si>
  <si>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</si>
  <si>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</si>
  <si>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</si>
  <si>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</si>
  <si>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</si>
  <si>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</si>
  <si>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</si>
  <si>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</si>
  <si>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</si>
  <si>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</si>
  <si>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</si>
  <si>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</si>
  <si>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</si>
  <si>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</si>
  <si>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</si>
  <si>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</si>
  <si>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</si>
  <si>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</si>
  <si>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</si>
  <si>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</si>
  <si>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</si>
  <si>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</si>
  <si>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</si>
  <si>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</si>
  <si>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</si>
  <si>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</si>
  <si>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</si>
  <si>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</si>
  <si>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</si>
  <si>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</si>
  <si>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</si>
  <si>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</si>
  <si>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</si>
  <si>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</si>
  <si>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</si>
  <si>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</si>
  <si>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</si>
  <si>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</si>
  <si>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</si>
  <si>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</si>
  <si>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</si>
  <si>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</si>
  <si>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</si>
  <si>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</si>
  <si>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</si>
  <si>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</si>
  <si>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</si>
  <si>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</si>
  <si>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</si>
  <si>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</si>
  <si>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</si>
  <si>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</si>
  <si>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</si>
  <si>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</si>
  <si>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</si>
  <si>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</si>
  <si>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</si>
  <si>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</si>
  <si>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</si>
  <si>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</si>
  <si>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</si>
  <si>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</si>
  <si>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</si>
  <si>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</si>
  <si>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</si>
  <si>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</si>
  <si>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</si>
  <si>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</si>
  <si>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</si>
  <si>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</si>
  <si>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</si>
  <si>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</si>
  <si>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</si>
  <si>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</si>
  <si>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</si>
  <si>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</si>
  <si>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</si>
  <si>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</si>
  <si>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</si>
  <si>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</si>
  <si>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</si>
  <si>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</si>
  <si>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</si>
  <si>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</si>
  <si>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</si>
  <si>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</si>
  <si>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</si>
  <si>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</si>
  <si>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</si>
  <si>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</si>
  <si>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</si>
  <si>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</si>
  <si>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</si>
  <si>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</si>
  <si>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</si>
  <si>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</si>
  <si>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</si>
  <si>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</si>
  <si>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</si>
  <si>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</si>
  <si>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</si>
  <si>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</si>
  <si>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</si>
  <si>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</si>
  <si>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</si>
  <si>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</si>
  <si>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</si>
  <si>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</si>
  <si>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</si>
  <si>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</si>
  <si>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</si>
  <si>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</si>
  <si>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</si>
  <si>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</si>
  <si>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</si>
  <si>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</si>
  <si>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</si>
  <si>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</si>
  <si>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</si>
  <si>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</si>
  <si>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</si>
  <si>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</si>
  <si>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</si>
  <si>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</si>
  <si>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</si>
  <si>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</si>
  <si>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</si>
  <si>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</si>
  <si>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</si>
  <si>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</si>
  <si>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</si>
  <si>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</si>
  <si>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</si>
  <si>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</si>
  <si>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</si>
  <si>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</si>
  <si>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</si>
  <si>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</si>
  <si>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</si>
  <si>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</si>
  <si>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</si>
  <si>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</si>
  <si>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</si>
  <si>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</si>
  <si>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</si>
  <si>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</si>
  <si>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</si>
  <si>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</si>
  <si>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</si>
  <si>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</si>
  <si>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</si>
  <si>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</si>
  <si>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</si>
  <si>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</si>
  <si>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</si>
  <si>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</si>
  <si>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</si>
  <si>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</si>
  <si>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</si>
  <si>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</si>
  <si>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</si>
  <si>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</si>
  <si>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</si>
  <si>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</si>
  <si>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</si>
  <si>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</si>
  <si>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</si>
  <si>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</si>
  <si>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</si>
  <si>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</si>
  <si>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</si>
  <si>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</si>
  <si>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</si>
  <si>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</si>
  <si>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</si>
  <si>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</si>
  <si>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</si>
  <si>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</si>
  <si>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</si>
  <si>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</si>
  <si>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</si>
  <si>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</si>
  <si>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</si>
  <si>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</si>
  <si>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</si>
  <si>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</si>
  <si>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</si>
  <si>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</si>
  <si>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</si>
  <si>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</si>
  <si>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</si>
  <si>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</si>
  <si>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</si>
  <si>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</si>
  <si>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</si>
  <si>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</si>
  <si>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</si>
  <si>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</si>
  <si>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</si>
  <si>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</si>
  <si>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</si>
  <si>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</si>
  <si>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</si>
  <si>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</si>
  <si>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</si>
  <si>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</si>
  <si>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</si>
  <si>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</si>
  <si>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</si>
  <si>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</si>
  <si>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</si>
  <si>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</si>
  <si>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</si>
  <si>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</si>
  <si>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</si>
  <si>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</si>
  <si>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</si>
  <si>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</si>
  <si>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</si>
  <si>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</si>
  <si>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</si>
  <si>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</si>
  <si>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</si>
  <si>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</si>
  <si>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</si>
  <si>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</si>
  <si>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</si>
  <si>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</si>
  <si>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</si>
  <si>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</si>
  <si>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</si>
  <si>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</si>
  <si>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</si>
  <si>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</si>
  <si>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</si>
  <si>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</si>
  <si>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</si>
  <si>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</si>
  <si>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</si>
  <si>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</si>
  <si>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</si>
  <si>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</si>
  <si>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</si>
  <si>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</si>
  <si>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</si>
  <si>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</si>
  <si>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</si>
  <si>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</si>
  <si>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</si>
  <si>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</si>
  <si>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</si>
  <si>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</si>
  <si>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</si>
  <si>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</si>
  <si>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</si>
  <si>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</si>
  <si>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</si>
  <si>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</si>
  <si>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</si>
  <si>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</si>
  <si>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</si>
  <si>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</si>
  <si>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</si>
  <si>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</si>
  <si>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</si>
  <si>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</si>
  <si>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</si>
  <si>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</si>
  <si>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</si>
  <si>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</si>
  <si>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</si>
  <si>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</si>
  <si>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</si>
  <si>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</si>
  <si>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</si>
  <si>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</si>
  <si>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</si>
  <si>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</si>
  <si>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</si>
  <si>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</si>
  <si>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</si>
  <si>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</si>
  <si>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</si>
  <si>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</si>
  <si>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</si>
  <si>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</si>
  <si>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</si>
  <si>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</si>
  <si>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</si>
  <si>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</si>
  <si>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</si>
  <si>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</si>
  <si>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</si>
  <si>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</si>
  <si>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</si>
  <si>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</si>
  <si>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</si>
  <si>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</si>
  <si>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</si>
  <si>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</si>
  <si>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</si>
  <si>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</si>
  <si>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</si>
  <si>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</si>
  <si>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</si>
  <si>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</si>
  <si>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</si>
  <si>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</si>
  <si>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</si>
  <si>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</si>
  <si>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</si>
  <si>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</si>
  <si>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</si>
  <si>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</si>
  <si>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</si>
  <si>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</si>
  <si>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</si>
  <si>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</si>
  <si>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</si>
  <si>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</si>
  <si>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</si>
  <si>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</si>
  <si>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</si>
  <si>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</si>
  <si>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</si>
  <si>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</si>
  <si>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</si>
  <si>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</si>
  <si>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</si>
  <si>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</si>
  <si>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</si>
  <si>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</si>
  <si>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</si>
  <si>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</si>
  <si>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</si>
  <si>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</si>
  <si>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</si>
  <si>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</si>
  <si>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</si>
  <si>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Office of Emergency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</si>
</sst>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S:\Budget-Account\ACCOUNT\YEAREND\GASB%2087\FY%2022-23\GASB%2087%20Fund%209751%20FY22-23\22-23%20GASB_87_Annual_Reporting_Submission_Workbook_V2%20(Final).xlsx" TargetMode="External"/><Relationship Id="rId1" Type="http://schemas.openxmlformats.org/officeDocument/2006/relationships/externalLinkPath" Target="file:///S:\Budget-Account\ACCOUNT\YEAREND\GASB%2087\FY%2022-23\GASB%2087%20Fund%209751%20FY22-23\22-23%20GASB_87_Annual_Reporting_Submission_Workbook_V2%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3" activePane="bottomLeft" state="frozen"/>
      <selection activeCell="H56" sqref="H56"/>
      <selection pane="bottomLeft" activeCell="H13" sqref="H13"/>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zoomScale="80" zoomScaleNormal="80" workbookViewId="0">
      <selection activeCell="M7" sqref="M7"/>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360</v>
      </c>
      <c r="G5" s="188"/>
      <c r="H5" s="188"/>
      <c r="I5" s="188"/>
      <c r="L5" s="12"/>
      <c r="M5" s="12"/>
      <c r="N5" s="12"/>
      <c r="O5" s="12"/>
      <c r="P5" s="12"/>
      <c r="Q5" s="12"/>
    </row>
    <row r="6" spans="1:19" ht="16.5" customHeight="1" x14ac:dyDescent="0.3">
      <c r="A6" s="186" t="s">
        <v>1635</v>
      </c>
      <c r="B6" s="186"/>
      <c r="C6" s="186"/>
      <c r="D6" s="186"/>
      <c r="E6" s="186"/>
      <c r="F6" s="189">
        <v>1</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29375221</v>
      </c>
      <c r="M17" s="143">
        <v>29375221</v>
      </c>
      <c r="P17" s="143">
        <v>30151338</v>
      </c>
      <c r="Q17" s="155"/>
      <c r="S17" s="154">
        <f t="shared" si="0"/>
        <v>776117</v>
      </c>
    </row>
    <row r="18" spans="1:19" ht="16.5" customHeight="1" x14ac:dyDescent="0.3">
      <c r="A18" s="54"/>
      <c r="B18" s="9" t="s">
        <v>169</v>
      </c>
      <c r="C18" s="9"/>
      <c r="D18" s="9"/>
      <c r="E18" s="140"/>
      <c r="F18" s="141"/>
      <c r="G18" s="141"/>
      <c r="H18" s="142"/>
      <c r="I18" s="142"/>
      <c r="J18" s="178">
        <f>P18</f>
        <v>381352</v>
      </c>
      <c r="M18" s="143">
        <v>376632</v>
      </c>
      <c r="P18" s="152">
        <f>IF(SUM($Q$21:$Q$23)&gt;SUM($P$15:$P$17),SUM($Q$21:$Q$23)-SUM($P$15:$P$17),0)</f>
        <v>381352</v>
      </c>
      <c r="Q18" s="155"/>
      <c r="S18" s="154">
        <f t="shared" si="0"/>
        <v>4720</v>
      </c>
    </row>
    <row r="19" spans="1:19" ht="16.5" customHeight="1" x14ac:dyDescent="0.3">
      <c r="A19" s="54"/>
      <c r="B19" s="9" t="s">
        <v>170</v>
      </c>
      <c r="C19" s="9"/>
      <c r="D19" s="9"/>
      <c r="E19" s="140"/>
      <c r="F19" s="141"/>
      <c r="G19" s="141"/>
      <c r="H19" s="142"/>
      <c r="I19" s="142"/>
      <c r="J19" s="178">
        <f>IF(SUM($K$21:$K$24)&gt;SUM($J$15:$J$18),SUM($K$21:$K$24)-SUM($J$15:$J$18),0)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4352070</v>
      </c>
      <c r="N22" s="143">
        <v>4352070</v>
      </c>
      <c r="P22" s="155"/>
      <c r="Q22" s="143">
        <v>4554535</v>
      </c>
      <c r="S22" s="154">
        <f t="shared" ref="S22:S25" si="1">Q22-N22</f>
        <v>202465</v>
      </c>
    </row>
    <row r="23" spans="1:19" ht="16.5" customHeight="1" x14ac:dyDescent="0.3">
      <c r="A23" s="165" t="s">
        <v>1646</v>
      </c>
      <c r="B23" s="9"/>
      <c r="C23" s="9" t="s">
        <v>174</v>
      </c>
      <c r="D23" s="9"/>
      <c r="E23" s="140"/>
      <c r="F23" s="141"/>
      <c r="G23" s="141"/>
      <c r="H23" s="142"/>
      <c r="I23" s="142"/>
      <c r="J23" s="150"/>
      <c r="K23" s="178">
        <f>N23</f>
        <v>25399781</v>
      </c>
      <c r="N23" s="143">
        <v>25399781</v>
      </c>
      <c r="P23" s="155"/>
      <c r="Q23" s="143">
        <v>25978155</v>
      </c>
      <c r="S23" s="154">
        <f t="shared" si="1"/>
        <v>578374</v>
      </c>
    </row>
    <row r="24" spans="1:19" ht="16.5" customHeight="1" x14ac:dyDescent="0.3">
      <c r="A24" s="54"/>
      <c r="B24" s="9"/>
      <c r="C24" s="9" t="s">
        <v>176</v>
      </c>
      <c r="D24" s="9"/>
      <c r="E24" s="140"/>
      <c r="F24" s="141"/>
      <c r="G24" s="141"/>
      <c r="H24" s="142"/>
      <c r="I24" s="142"/>
      <c r="J24" s="150"/>
      <c r="K24" s="178">
        <f>Q24</f>
        <v>0</v>
      </c>
      <c r="N24" s="143"/>
      <c r="P24" s="155"/>
      <c r="Q24" s="152">
        <f>IF(SUM($Q$39:$Q$41)&lt;SUM($P$33:$P$35),-SUM($Q$39:$Q$41)+SUM($P$33:$P$35),0)</f>
        <v>0</v>
      </c>
      <c r="S24" s="154">
        <f t="shared" si="1"/>
        <v>0</v>
      </c>
    </row>
    <row r="25" spans="1:19" ht="16.5" customHeight="1" x14ac:dyDescent="0.3">
      <c r="A25" s="54"/>
      <c r="B25" s="9"/>
      <c r="C25" s="9" t="s">
        <v>177</v>
      </c>
      <c r="D25" s="9"/>
      <c r="E25" s="140"/>
      <c r="F25" s="141"/>
      <c r="G25" s="141"/>
      <c r="H25" s="142"/>
      <c r="I25" s="142"/>
      <c r="J25" s="150"/>
      <c r="K25" s="178">
        <f>IF(SUM($K$21:$K$24)&lt;SUM($J$15:$J$18),-SUM($K$21:$K$24)+SUM($J$15:$J$18),0)</f>
        <v>4722</v>
      </c>
      <c r="N25" s="143"/>
      <c r="P25" s="155"/>
      <c r="Q25" s="155"/>
      <c r="S25" s="154">
        <f t="shared" si="1"/>
        <v>0</v>
      </c>
    </row>
    <row r="26" spans="1:19" ht="16.5" customHeight="1" x14ac:dyDescent="0.3">
      <c r="A26" s="54"/>
      <c r="C26" s="20"/>
      <c r="D26" s="20"/>
      <c r="E26" s="20"/>
      <c r="F26" s="127"/>
      <c r="G26" s="127"/>
      <c r="H26" s="22"/>
      <c r="I26" s="22"/>
      <c r="J26" s="107">
        <f>SUM(J15:J25)</f>
        <v>29756573</v>
      </c>
      <c r="K26" s="107">
        <f>SUM(K15:K25)</f>
        <v>29756573</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40080314</v>
      </c>
      <c r="K33" s="144"/>
    </row>
    <row r="34" spans="1:12" ht="16.5" customHeight="1" x14ac:dyDescent="0.3">
      <c r="A34" s="54"/>
      <c r="B34" s="9"/>
      <c r="C34" s="9" t="s">
        <v>1748</v>
      </c>
      <c r="D34" s="140"/>
      <c r="E34" s="140"/>
      <c r="F34" s="141"/>
      <c r="G34" s="141"/>
      <c r="H34" s="142"/>
      <c r="I34" s="142"/>
      <c r="J34" s="144"/>
      <c r="K34" s="143">
        <v>40080314</v>
      </c>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40080314</v>
      </c>
      <c r="K36" s="107">
        <f>SUM(K33:K35)</f>
        <v>40080314</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40080314</v>
      </c>
      <c r="K41" s="144"/>
    </row>
    <row r="42" spans="1:12" ht="16.5" customHeight="1" x14ac:dyDescent="0.3">
      <c r="A42" s="54"/>
      <c r="B42" s="9"/>
      <c r="C42" s="9" t="s">
        <v>181</v>
      </c>
      <c r="D42" s="140"/>
      <c r="E42" s="140"/>
      <c r="F42" s="141"/>
      <c r="G42" s="141"/>
      <c r="H42" s="142"/>
      <c r="I42" s="142"/>
      <c r="J42" s="144"/>
      <c r="K42" s="143">
        <v>40080314</v>
      </c>
    </row>
    <row r="43" spans="1:12" ht="16.5" customHeight="1" x14ac:dyDescent="0.3">
      <c r="A43" s="54"/>
      <c r="B43" s="130" t="s">
        <v>1640</v>
      </c>
      <c r="C43" s="16"/>
      <c r="D43" s="16"/>
      <c r="E43" s="16"/>
      <c r="F43" s="17"/>
      <c r="G43" s="17"/>
      <c r="H43" s="18"/>
      <c r="I43" s="18"/>
      <c r="J43" s="107">
        <f>SUM(J39:J42)</f>
        <v>40080314</v>
      </c>
      <c r="K43" s="107">
        <f>SUM(K39:K42)</f>
        <v>40080314</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40080314</v>
      </c>
      <c r="K47" s="144"/>
    </row>
    <row r="48" spans="1:12" ht="16.5" customHeight="1" x14ac:dyDescent="0.3">
      <c r="A48" s="165" t="s">
        <v>1646</v>
      </c>
      <c r="B48" s="9"/>
      <c r="C48" s="9" t="s">
        <v>174</v>
      </c>
      <c r="D48" s="140"/>
      <c r="E48" s="140"/>
      <c r="F48" s="141"/>
      <c r="G48" s="141"/>
      <c r="H48" s="142"/>
      <c r="I48" s="142"/>
      <c r="J48" s="144"/>
      <c r="K48" s="143">
        <v>40080314</v>
      </c>
    </row>
    <row r="49" spans="1:16" ht="16.5" customHeight="1" x14ac:dyDescent="0.3">
      <c r="A49" s="54"/>
      <c r="C49" s="16"/>
      <c r="D49" s="16"/>
      <c r="E49" s="16"/>
      <c r="F49" s="17"/>
      <c r="G49" s="17"/>
      <c r="H49" s="18"/>
      <c r="I49" s="18"/>
      <c r="J49" s="107">
        <f>SUM(J47:J48)</f>
        <v>40080314</v>
      </c>
      <c r="K49" s="107">
        <f>SUM(K47:K48)</f>
        <v>40080314</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11615783</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11615783</v>
      </c>
    </row>
    <row r="59" spans="1:16" ht="16.5" customHeight="1" x14ac:dyDescent="0.3">
      <c r="A59" s="54"/>
      <c r="C59" s="16"/>
      <c r="D59" s="16"/>
      <c r="E59" s="16"/>
      <c r="F59" s="17"/>
      <c r="G59" s="17"/>
      <c r="H59" s="18"/>
      <c r="I59" s="18"/>
      <c r="J59" s="107">
        <f>SUM(J55:J58)</f>
        <v>11615783</v>
      </c>
      <c r="K59" s="107">
        <f>SUM(K55:K58)</f>
        <v>11615783</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10399811</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588082</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10987893</v>
      </c>
    </row>
    <row r="65" spans="1:12" ht="16.5" customHeight="1" x14ac:dyDescent="0.3">
      <c r="A65" s="54"/>
      <c r="C65" s="16"/>
      <c r="D65" s="16"/>
      <c r="E65" s="16"/>
      <c r="F65" s="17"/>
      <c r="G65" s="17"/>
      <c r="H65" s="18"/>
      <c r="I65" s="18"/>
      <c r="J65" s="107">
        <f>SUM(J62:J64)</f>
        <v>10987893</v>
      </c>
      <c r="K65" s="107">
        <f>SUM(K62:K64)</f>
        <v>10987893</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10399811</v>
      </c>
      <c r="K68" s="144"/>
    </row>
    <row r="69" spans="1:12" ht="16.5" customHeight="1" x14ac:dyDescent="0.3">
      <c r="A69" s="54"/>
      <c r="B69" s="9"/>
      <c r="C69" s="9" t="s">
        <v>186</v>
      </c>
      <c r="D69" s="140"/>
      <c r="E69" s="140"/>
      <c r="F69" s="141"/>
      <c r="G69" s="141"/>
      <c r="H69" s="142"/>
      <c r="I69" s="142"/>
      <c r="J69" s="144"/>
      <c r="K69" s="143">
        <v>10399811</v>
      </c>
    </row>
    <row r="70" spans="1:12" ht="16.5" customHeight="1" x14ac:dyDescent="0.3">
      <c r="A70" s="54"/>
      <c r="C70" s="16"/>
      <c r="D70" s="16"/>
      <c r="E70" s="16"/>
      <c r="F70" s="17"/>
      <c r="G70" s="17"/>
      <c r="H70" s="18"/>
      <c r="I70" s="18"/>
      <c r="J70" s="107">
        <f>SUM(J68:J69)</f>
        <v>10399811</v>
      </c>
      <c r="K70" s="107">
        <f>SUM(K68:K69)</f>
        <v>10399811</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9218801</v>
      </c>
      <c r="K75" s="144"/>
    </row>
    <row r="76" spans="1:12" ht="16.5" customHeight="1" x14ac:dyDescent="0.3">
      <c r="A76" s="54"/>
      <c r="B76" s="9"/>
      <c r="C76" s="9" t="s">
        <v>194</v>
      </c>
      <c r="D76" s="140"/>
      <c r="E76" s="140"/>
      <c r="F76" s="141"/>
      <c r="G76" s="141"/>
      <c r="H76" s="142"/>
      <c r="I76" s="142"/>
      <c r="J76" s="144"/>
      <c r="K76" s="143">
        <v>9218801</v>
      </c>
    </row>
    <row r="77" spans="1:12" ht="16.5" customHeight="1" x14ac:dyDescent="0.25">
      <c r="A77" s="54"/>
      <c r="B77" s="193" t="s">
        <v>1735</v>
      </c>
      <c r="C77" s="193"/>
      <c r="D77" s="193"/>
      <c r="E77" s="193"/>
      <c r="F77" s="193"/>
      <c r="G77" s="193"/>
      <c r="H77" s="193"/>
      <c r="I77" s="193"/>
      <c r="J77" s="107">
        <f>SUM(J75:J76)</f>
        <v>9218801</v>
      </c>
      <c r="K77" s="107">
        <f>SUM(K75:K76)</f>
        <v>9218801</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69455535</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-15967853</v>
      </c>
    </row>
    <row r="128" spans="1:12" ht="16.5" customHeight="1" x14ac:dyDescent="0.3">
      <c r="D128" s="140" t="s">
        <v>1657</v>
      </c>
      <c r="H128" s="10"/>
      <c r="K128" s="169">
        <f>-K23-K48+J68+J75+J96-K113</f>
        <v>-45861483</v>
      </c>
    </row>
    <row r="129" spans="4:11" ht="16.5" customHeight="1" x14ac:dyDescent="0.3">
      <c r="D129" s="140" t="s">
        <v>1658</v>
      </c>
      <c r="H129" s="10"/>
      <c r="K129" s="169">
        <f>-K76</f>
        <v>-9218801</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SicG6YaybumFzfi6v3XP89GeSZsJfNBDTIxipxQcqfdaUlen4iSK9q9axGMNvBR2vw8HAwZT268ptxKKUMNzGg==" saltValue="oBOHdXwFO0+HxgeepZxJY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55CF2-CA5D-485D-BBA0-9364587F99AD}">
  <sheetPr>
    <tabColor theme="9" tint="0.59999389629810485"/>
    <pageSetUpPr fitToPage="1"/>
  </sheetPr>
  <dimension ref="A1:S193"/>
  <sheetViews>
    <sheetView tabSelected="1" zoomScale="80" zoomScaleNormal="80" workbookViewId="0">
      <selection activeCell="L4" sqref="L4"/>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360</v>
      </c>
      <c r="G5" s="188"/>
      <c r="H5" s="188"/>
      <c r="I5" s="188"/>
      <c r="L5" s="12"/>
      <c r="M5" s="12"/>
      <c r="N5" s="12"/>
      <c r="O5" s="12"/>
      <c r="P5" s="12"/>
      <c r="Q5" s="12"/>
    </row>
    <row r="6" spans="1:19" ht="16.5" customHeight="1" x14ac:dyDescent="0.3">
      <c r="A6" s="186" t="s">
        <v>1635</v>
      </c>
      <c r="B6" s="186"/>
      <c r="C6" s="186"/>
      <c r="D6" s="186"/>
      <c r="E6" s="186"/>
      <c r="F6" s="189">
        <v>9751</v>
      </c>
      <c r="G6" s="189"/>
      <c r="H6" s="189"/>
      <c r="I6" s="189"/>
      <c r="L6" s="13"/>
      <c r="M6" s="13"/>
      <c r="N6" s="13"/>
      <c r="O6" s="13"/>
      <c r="P6" s="12"/>
      <c r="Q6" s="12"/>
    </row>
    <row r="7" spans="1:19" ht="16.5" customHeight="1" x14ac:dyDescent="0.3">
      <c r="A7" s="186" t="s">
        <v>1</v>
      </c>
      <c r="B7" s="186"/>
      <c r="C7" s="186"/>
      <c r="D7" s="186"/>
      <c r="E7" s="186"/>
      <c r="F7" s="189" t="s">
        <v>122</v>
      </c>
      <c r="G7" s="189"/>
      <c r="H7" s="189"/>
      <c r="I7" s="189"/>
      <c r="K7" s="53"/>
      <c r="L7" s="13"/>
      <c r="M7" s="13"/>
      <c r="N7" s="13"/>
      <c r="O7" s="13"/>
      <c r="P7" s="12"/>
      <c r="Q7" s="12"/>
    </row>
    <row r="8" spans="1:19" ht="16.5" customHeight="1" x14ac:dyDescent="0.3">
      <c r="A8" s="186" t="s">
        <v>1617</v>
      </c>
      <c r="B8" s="186"/>
      <c r="C8" s="186"/>
      <c r="D8" s="186"/>
      <c r="E8" s="186"/>
      <c r="F8" s="189" t="s">
        <v>132</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Fund",VLOOKUP(F5,[2]qryIndex02a!$A$2:$K$654,4,FALSE)),"Unidentified")</f>
        <v>Proprietary Fund</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2119584</v>
      </c>
      <c r="M15" s="143">
        <v>2119584</v>
      </c>
      <c r="P15" s="143">
        <v>1128710</v>
      </c>
      <c r="Q15" s="155"/>
      <c r="S15" s="154">
        <f t="shared" ref="S15:S20" si="0">P15-M15</f>
        <v>-990874</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57849640</v>
      </c>
      <c r="M17" s="143">
        <v>57849640</v>
      </c>
      <c r="P17" s="143">
        <v>45559841</v>
      </c>
      <c r="Q17" s="155"/>
      <c r="S17" s="154">
        <f t="shared" si="0"/>
        <v>-12289799</v>
      </c>
    </row>
    <row r="18" spans="1:19" ht="16.5" customHeight="1" x14ac:dyDescent="0.3">
      <c r="A18" s="54"/>
      <c r="B18" s="9" t="s">
        <v>169</v>
      </c>
      <c r="C18" s="9"/>
      <c r="D18" s="9"/>
      <c r="E18" s="140"/>
      <c r="F18" s="141"/>
      <c r="G18" s="141"/>
      <c r="H18" s="142"/>
      <c r="I18" s="142"/>
      <c r="J18" s="178">
        <f>P18</f>
        <v>689906</v>
      </c>
      <c r="M18" s="143">
        <v>1238716</v>
      </c>
      <c r="P18" s="152">
        <f>IF(SUM($Q$20:$Q$23)&gt;SUM($P$15:$P$17),SUM($Q$20:$Q$23)-SUM($P$15:$P$17),0)</f>
        <v>689906</v>
      </c>
      <c r="Q18" s="155"/>
      <c r="S18" s="154">
        <f t="shared" si="0"/>
        <v>-548810</v>
      </c>
    </row>
    <row r="19" spans="1:19" ht="16.5" customHeight="1" x14ac:dyDescent="0.3">
      <c r="A19" s="54"/>
      <c r="B19" s="9" t="s">
        <v>170</v>
      </c>
      <c r="C19" s="9"/>
      <c r="D19" s="9"/>
      <c r="E19" s="140"/>
      <c r="F19" s="141"/>
      <c r="G19" s="141"/>
      <c r="H19" s="142"/>
      <c r="I19" s="142"/>
      <c r="J19" s="178">
        <f>IF(SUM($K$20:$K$24)&gt;SUM($J$15:$J$18),SUM($K$20:$K$24)-SUM($J$15:$J$18),0)</f>
        <v>516387</v>
      </c>
      <c r="M19" s="143">
        <v>37634</v>
      </c>
      <c r="P19" s="155"/>
      <c r="Q19" s="155"/>
      <c r="S19" s="154">
        <f t="shared" si="0"/>
        <v>-37634</v>
      </c>
    </row>
    <row r="20" spans="1:19" ht="16.5" customHeight="1" x14ac:dyDescent="0.3">
      <c r="A20" s="54"/>
      <c r="B20" s="9"/>
      <c r="C20" s="9" t="s">
        <v>178</v>
      </c>
      <c r="D20" s="9"/>
      <c r="E20" s="140"/>
      <c r="F20" s="141"/>
      <c r="G20" s="141"/>
      <c r="H20" s="142"/>
      <c r="I20" s="142"/>
      <c r="J20" s="150"/>
      <c r="K20" s="178">
        <f>N20</f>
        <v>147275</v>
      </c>
      <c r="N20" s="143">
        <v>147275</v>
      </c>
      <c r="P20" s="155"/>
      <c r="Q20" s="143">
        <v>131536</v>
      </c>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6794429</v>
      </c>
      <c r="N22" s="143">
        <v>6794429</v>
      </c>
      <c r="P22" s="155"/>
      <c r="Q22" s="143">
        <v>6233119</v>
      </c>
      <c r="S22" s="154">
        <f t="shared" ref="S22:S25" si="1">Q22-N22</f>
        <v>-561310</v>
      </c>
    </row>
    <row r="23" spans="1:19" ht="16.5" customHeight="1" x14ac:dyDescent="0.3">
      <c r="A23" s="165" t="s">
        <v>1646</v>
      </c>
      <c r="B23" s="9"/>
      <c r="C23" s="9" t="s">
        <v>174</v>
      </c>
      <c r="D23" s="9"/>
      <c r="E23" s="140"/>
      <c r="F23" s="141"/>
      <c r="G23" s="141"/>
      <c r="H23" s="142"/>
      <c r="I23" s="142"/>
      <c r="J23" s="150"/>
      <c r="K23" s="178">
        <f>N23</f>
        <v>54233813</v>
      </c>
      <c r="N23" s="143">
        <v>54233813</v>
      </c>
      <c r="P23" s="155"/>
      <c r="Q23" s="143">
        <v>41013802</v>
      </c>
      <c r="S23" s="154">
        <f t="shared" si="1"/>
        <v>-13220011</v>
      </c>
    </row>
    <row r="24" spans="1:19" ht="16.5" customHeight="1" x14ac:dyDescent="0.3">
      <c r="A24" s="54"/>
      <c r="B24" s="9"/>
      <c r="C24" s="9" t="s">
        <v>176</v>
      </c>
      <c r="D24" s="9"/>
      <c r="E24" s="140"/>
      <c r="F24" s="141"/>
      <c r="G24" s="141"/>
      <c r="H24" s="142"/>
      <c r="I24" s="142"/>
      <c r="J24" s="150"/>
      <c r="K24" s="178">
        <f>Q24</f>
        <v>0</v>
      </c>
      <c r="N24" s="143">
        <v>9496</v>
      </c>
      <c r="P24" s="155"/>
      <c r="Q24" s="152">
        <f>IF(SUM($Q$20:$Q$23)&lt;SUM($P$15:$P$17),-SUM($Q$20:$Q$23)+SUM($P$15:$P$17),0)</f>
        <v>0</v>
      </c>
      <c r="S24" s="154">
        <f t="shared" si="1"/>
        <v>-9496</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61175517</v>
      </c>
      <c r="K26" s="107">
        <f>SUM(K15:K25)</f>
        <v>61175517</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989772</v>
      </c>
      <c r="K33" s="144"/>
    </row>
    <row r="34" spans="1:12" ht="16.5" customHeight="1" x14ac:dyDescent="0.3">
      <c r="A34" s="54"/>
      <c r="B34" s="9"/>
      <c r="C34" s="9" t="s">
        <v>1748</v>
      </c>
      <c r="D34" s="140"/>
      <c r="E34" s="140"/>
      <c r="F34" s="141"/>
      <c r="G34" s="141"/>
      <c r="H34" s="142"/>
      <c r="I34" s="142"/>
      <c r="J34" s="144"/>
      <c r="K34" s="143">
        <v>989772</v>
      </c>
    </row>
    <row r="35" spans="1:12" ht="16.5" customHeight="1" x14ac:dyDescent="0.3">
      <c r="A35" s="54"/>
      <c r="B35" s="9"/>
      <c r="C35" s="9" t="str">
        <f>IF($F$7="Proprietary","Cr: Acct 0870 - SERVICES &amp; CHARGES (MG ADJ)",VLOOKUP($F$9,'[2]Drop Down Menus'!$F$2:$G$10,2,FALSE))</f>
        <v>Cr: Acct 0870 - SERVICES &amp; CHARGES (MG ADJ)</v>
      </c>
      <c r="D35" s="140"/>
      <c r="E35" s="140"/>
      <c r="F35" s="141"/>
      <c r="G35" s="141"/>
      <c r="H35" s="142"/>
      <c r="I35" s="142"/>
      <c r="J35" s="144"/>
      <c r="K35" s="143"/>
    </row>
    <row r="36" spans="1:12" ht="16.5" customHeight="1" x14ac:dyDescent="0.3">
      <c r="A36" s="54"/>
      <c r="C36" s="16"/>
      <c r="D36" s="16"/>
      <c r="E36" s="16"/>
      <c r="F36" s="17"/>
      <c r="G36" s="17"/>
      <c r="H36" s="18"/>
      <c r="I36" s="18"/>
      <c r="J36" s="107">
        <f>SUM(J33:J35)</f>
        <v>989772</v>
      </c>
      <c r="K36" s="107">
        <f>SUM(K33:K35)</f>
        <v>989772</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989772</v>
      </c>
      <c r="K41" s="144"/>
    </row>
    <row r="42" spans="1:12" ht="16.5" customHeight="1" x14ac:dyDescent="0.3">
      <c r="A42" s="54"/>
      <c r="B42" s="9"/>
      <c r="C42" s="9" t="s">
        <v>181</v>
      </c>
      <c r="D42" s="140"/>
      <c r="E42" s="140"/>
      <c r="F42" s="141"/>
      <c r="G42" s="141"/>
      <c r="H42" s="142"/>
      <c r="I42" s="142"/>
      <c r="J42" s="144"/>
      <c r="K42" s="143">
        <v>989772</v>
      </c>
    </row>
    <row r="43" spans="1:12" ht="16.5" customHeight="1" x14ac:dyDescent="0.3">
      <c r="A43" s="54"/>
      <c r="B43" s="130" t="s">
        <v>1640</v>
      </c>
      <c r="C43" s="16"/>
      <c r="D43" s="16"/>
      <c r="E43" s="16"/>
      <c r="F43" s="17"/>
      <c r="G43" s="17"/>
      <c r="H43" s="18"/>
      <c r="I43" s="18"/>
      <c r="J43" s="107">
        <f>SUM(J39:J42)</f>
        <v>989772</v>
      </c>
      <c r="K43" s="107">
        <f>SUM(K39:K42)</f>
        <v>989772</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989772</v>
      </c>
      <c r="K47" s="144"/>
    </row>
    <row r="48" spans="1:12" ht="16.5" customHeight="1" x14ac:dyDescent="0.3">
      <c r="A48" s="165" t="s">
        <v>1646</v>
      </c>
      <c r="B48" s="9"/>
      <c r="C48" s="9" t="s">
        <v>174</v>
      </c>
      <c r="D48" s="140"/>
      <c r="E48" s="140"/>
      <c r="F48" s="141"/>
      <c r="G48" s="141"/>
      <c r="H48" s="142"/>
      <c r="I48" s="142"/>
      <c r="J48" s="144"/>
      <c r="K48" s="143">
        <v>989772</v>
      </c>
    </row>
    <row r="49" spans="1:16" ht="16.5" customHeight="1" x14ac:dyDescent="0.3">
      <c r="A49" s="54"/>
      <c r="C49" s="16"/>
      <c r="D49" s="16"/>
      <c r="E49" s="16"/>
      <c r="F49" s="17"/>
      <c r="G49" s="17"/>
      <c r="H49" s="18"/>
      <c r="I49" s="18"/>
      <c r="J49" s="107">
        <f>SUM(J47:J48)</f>
        <v>989772</v>
      </c>
      <c r="K49" s="107">
        <f>SUM(K47:K48)</f>
        <v>989772</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7047048</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7047048</v>
      </c>
    </row>
    <row r="59" spans="1:16" ht="16.5" customHeight="1" x14ac:dyDescent="0.3">
      <c r="A59" s="54"/>
      <c r="C59" s="16"/>
      <c r="D59" s="16"/>
      <c r="E59" s="16"/>
      <c r="F59" s="17"/>
      <c r="G59" s="17"/>
      <c r="H59" s="18"/>
      <c r="I59" s="18"/>
      <c r="J59" s="107">
        <f>SUM(J55:J58)</f>
        <v>7047048</v>
      </c>
      <c r="K59" s="107">
        <f>SUM(K55:K58)</f>
        <v>7047048</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6225317</v>
      </c>
      <c r="K62" s="147"/>
    </row>
    <row r="63" spans="1:16" ht="16.5" customHeight="1" x14ac:dyDescent="0.3">
      <c r="A63" s="54"/>
      <c r="B63" s="9" t="str">
        <f>IF(F7="Governmental","Dr: Acct 0851 - DEBT SERVICE - INTEREST LEASES","Dr: Acct 0894 - INTEREST EXPENSE AND FISCAL CHARGES")</f>
        <v>Dr: Acct 0894 - INTEREST EXPENSE AND FISCAL CHARGES</v>
      </c>
      <c r="C63" s="9"/>
      <c r="D63" s="140"/>
      <c r="E63" s="140"/>
      <c r="F63" s="141"/>
      <c r="G63" s="141"/>
      <c r="H63" s="142"/>
      <c r="I63" s="142"/>
      <c r="J63" s="146">
        <v>587504</v>
      </c>
      <c r="K63" s="147"/>
    </row>
    <row r="64" spans="1:16" ht="16.5" customHeight="1" x14ac:dyDescent="0.3">
      <c r="A64" s="54"/>
      <c r="B64" s="9"/>
      <c r="C64" s="9" t="str">
        <f>IF($F$7="Proprietary","Cr: Acct 0870 - SERVICES &amp; CHARGES (MG ADJ)",VLOOKUP($F$9,'[2]Drop Down Menus'!$F$2:$G$10,2,FALSE))</f>
        <v>Cr: Acct 0870 - SERVICES &amp; CHARGES (MG ADJ)</v>
      </c>
      <c r="D64" s="140"/>
      <c r="E64" s="140"/>
      <c r="F64" s="141"/>
      <c r="G64" s="141"/>
      <c r="H64" s="142"/>
      <c r="I64" s="142"/>
      <c r="J64" s="147"/>
      <c r="K64" s="143">
        <v>6812823</v>
      </c>
    </row>
    <row r="65" spans="1:12" ht="16.5" customHeight="1" x14ac:dyDescent="0.3">
      <c r="A65" s="54"/>
      <c r="C65" s="16"/>
      <c r="D65" s="16"/>
      <c r="E65" s="16"/>
      <c r="F65" s="17"/>
      <c r="G65" s="17"/>
      <c r="H65" s="18"/>
      <c r="I65" s="18"/>
      <c r="J65" s="107">
        <f>SUM(J62:J64)</f>
        <v>6812821</v>
      </c>
      <c r="K65" s="107">
        <f>SUM(K62:K64)</f>
        <v>6812823</v>
      </c>
      <c r="L65" s="8" t="str">
        <f>IF(J65=K65,"&lt;- Debits and Credits equal each other.","&lt;- Debits and Credits do not equal each other.")</f>
        <v>&lt;- Debits and Credits do not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6225317</v>
      </c>
      <c r="K68" s="144"/>
    </row>
    <row r="69" spans="1:12" ht="16.5" customHeight="1" x14ac:dyDescent="0.3">
      <c r="A69" s="54"/>
      <c r="B69" s="9"/>
      <c r="C69" s="9" t="s">
        <v>186</v>
      </c>
      <c r="D69" s="140"/>
      <c r="E69" s="140"/>
      <c r="F69" s="141"/>
      <c r="G69" s="141"/>
      <c r="H69" s="142"/>
      <c r="I69" s="142"/>
      <c r="J69" s="144"/>
      <c r="K69" s="143">
        <v>6225317</v>
      </c>
    </row>
    <row r="70" spans="1:12" ht="16.5" customHeight="1" x14ac:dyDescent="0.3">
      <c r="A70" s="54"/>
      <c r="C70" s="16"/>
      <c r="D70" s="16"/>
      <c r="E70" s="16"/>
      <c r="F70" s="17"/>
      <c r="G70" s="17"/>
      <c r="H70" s="18"/>
      <c r="I70" s="18"/>
      <c r="J70" s="107">
        <f>SUM(J68:J69)</f>
        <v>6225317</v>
      </c>
      <c r="K70" s="107">
        <f>SUM(K68:K69)</f>
        <v>6225317</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6402836</v>
      </c>
      <c r="K75" s="144"/>
    </row>
    <row r="76" spans="1:12" ht="16.5" customHeight="1" x14ac:dyDescent="0.3">
      <c r="A76" s="54"/>
      <c r="B76" s="9"/>
      <c r="C76" s="9" t="s">
        <v>194</v>
      </c>
      <c r="D76" s="140"/>
      <c r="E76" s="140"/>
      <c r="F76" s="141"/>
      <c r="G76" s="141"/>
      <c r="H76" s="142"/>
      <c r="I76" s="142"/>
      <c r="J76" s="144"/>
      <c r="K76" s="143">
        <v>6402836</v>
      </c>
    </row>
    <row r="77" spans="1:12" ht="16.5" customHeight="1" x14ac:dyDescent="0.25">
      <c r="A77" s="54"/>
      <c r="B77" s="193" t="s">
        <v>1735</v>
      </c>
      <c r="C77" s="193"/>
      <c r="D77" s="193"/>
      <c r="E77" s="193"/>
      <c r="F77" s="193"/>
      <c r="G77" s="193"/>
      <c r="H77" s="193"/>
      <c r="I77" s="193"/>
      <c r="J77" s="107">
        <f>SUM(J75:J76)</f>
        <v>6402836</v>
      </c>
      <c r="K77" s="107">
        <f>SUM(K75:K76)</f>
        <v>6402836</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v>50775</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v>50775</v>
      </c>
    </row>
    <row r="91" spans="1:16" ht="16.5" customHeight="1" x14ac:dyDescent="0.3">
      <c r="B91" s="130" t="s">
        <v>1641</v>
      </c>
      <c r="H91" s="10"/>
      <c r="J91" s="108">
        <f>SUM(J85:J90)</f>
        <v>50775</v>
      </c>
      <c r="K91" s="108">
        <f>SUM(K85:K90)</f>
        <v>50775</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0870 - SERVICES &amp; CHARGES (MG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Dr: Acct 0870 - SERVICES &amp; CHARGES (MG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2119584</v>
      </c>
    </row>
    <row r="123" spans="1:12" ht="16.5" customHeight="1" x14ac:dyDescent="0.3">
      <c r="D123" s="140" t="s">
        <v>1652</v>
      </c>
      <c r="H123" s="10"/>
      <c r="K123" s="169">
        <f>J16+J40-K89-K102+J111</f>
        <v>0</v>
      </c>
    </row>
    <row r="124" spans="1:12" ht="16.5" customHeight="1" x14ac:dyDescent="0.3">
      <c r="D124" s="140" t="s">
        <v>1653</v>
      </c>
      <c r="H124" s="10"/>
      <c r="K124" s="169">
        <f>J17+J41-K90-K103+J112</f>
        <v>58788637</v>
      </c>
    </row>
    <row r="125" spans="1:12" ht="16.5" customHeight="1" x14ac:dyDescent="0.3">
      <c r="D125" s="140" t="s">
        <v>1654</v>
      </c>
      <c r="H125" s="10"/>
      <c r="K125" s="169">
        <f>-K20-K56+J85+J97</f>
        <v>-147275</v>
      </c>
    </row>
    <row r="126" spans="1:12" ht="16.5" customHeight="1" x14ac:dyDescent="0.3">
      <c r="D126" s="140" t="s">
        <v>1655</v>
      </c>
      <c r="H126" s="10"/>
      <c r="K126" s="169">
        <f>-K21-K57+J86+J98</f>
        <v>0</v>
      </c>
    </row>
    <row r="127" spans="1:12" ht="16.5" customHeight="1" x14ac:dyDescent="0.3">
      <c r="D127" s="140" t="s">
        <v>1656</v>
      </c>
      <c r="H127" s="10"/>
      <c r="K127" s="169">
        <f>-K22-K58+J87+J99</f>
        <v>-13790702</v>
      </c>
    </row>
    <row r="128" spans="1:12" ht="16.5" customHeight="1" x14ac:dyDescent="0.3">
      <c r="D128" s="140" t="s">
        <v>1657</v>
      </c>
      <c r="H128" s="10"/>
      <c r="K128" s="169">
        <f>-K23-K48+J68+J75+J96-K113</f>
        <v>-42595432</v>
      </c>
    </row>
    <row r="129" spans="4:11" ht="16.5" customHeight="1" x14ac:dyDescent="0.3">
      <c r="D129" s="140" t="s">
        <v>1658</v>
      </c>
      <c r="H129" s="10"/>
      <c r="K129" s="169">
        <f>-K76</f>
        <v>-6402836</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1F83A27F-E52E-492C-88D0-1E844CA4F81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4D9B0579-ECC4-4F69-8CCF-317BDEE84AB9}">
      <formula1>0</formula1>
    </dataValidation>
    <dataValidation operator="lessThan" allowBlank="1" showInputMessage="1" showErrorMessage="1" sqref="A3:A8" xr:uid="{6386E314-EA2E-4182-A4ED-4C8752ED8055}"/>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83" zoomScaleNormal="83" workbookViewId="0">
      <selection activeCell="D63" sqref="D63"/>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3" t="s">
        <v>140</v>
      </c>
      <c r="B1" s="203"/>
      <c r="C1" s="203"/>
      <c r="D1" s="203"/>
      <c r="E1" s="203"/>
      <c r="F1" s="203"/>
      <c r="G1" s="3"/>
      <c r="H1" s="3"/>
      <c r="I1" s="3"/>
      <c r="J1" s="3"/>
      <c r="K1" s="3"/>
      <c r="L1" s="3"/>
      <c r="M1" s="3"/>
    </row>
    <row r="2" spans="1:13" ht="64.2" customHeight="1" x14ac:dyDescent="0.3">
      <c r="A2" s="202" t="s">
        <v>138</v>
      </c>
      <c r="B2" s="202"/>
      <c r="C2" s="202"/>
      <c r="D2" s="202"/>
      <c r="E2" s="202"/>
      <c r="F2" s="202"/>
      <c r="G2" s="3"/>
      <c r="H2" s="3"/>
      <c r="I2" s="3"/>
      <c r="J2" s="3"/>
      <c r="K2" s="3"/>
      <c r="L2" s="3"/>
      <c r="M2" s="3"/>
    </row>
    <row r="3" spans="1:13" ht="31.95" customHeight="1" x14ac:dyDescent="0.3">
      <c r="A3" s="196" t="s">
        <v>195</v>
      </c>
      <c r="B3" s="196"/>
      <c r="C3" s="196"/>
      <c r="D3" s="24"/>
      <c r="E3" s="3"/>
      <c r="F3" s="3"/>
      <c r="G3" s="3"/>
      <c r="H3" s="3"/>
      <c r="I3" s="3"/>
      <c r="J3" s="3"/>
      <c r="K3" s="3"/>
      <c r="L3" s="3"/>
      <c r="M3" s="3"/>
    </row>
    <row r="4" spans="1:13" ht="31.2" customHeight="1" x14ac:dyDescent="0.3">
      <c r="A4" s="197" t="s">
        <v>5</v>
      </c>
      <c r="B4" s="197"/>
      <c r="C4" s="197"/>
      <c r="D4" s="24"/>
      <c r="E4" s="3"/>
      <c r="F4" s="3"/>
      <c r="G4" s="3"/>
      <c r="H4" s="3"/>
      <c r="I4" s="3"/>
      <c r="J4" s="3"/>
      <c r="K4" s="3"/>
      <c r="L4" s="3"/>
      <c r="M4" s="3"/>
    </row>
    <row r="5" spans="1:13" ht="31.2" customHeight="1" x14ac:dyDescent="0.3">
      <c r="A5" s="197" t="s">
        <v>7</v>
      </c>
      <c r="B5" s="197"/>
      <c r="C5" s="197"/>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4" t="s">
        <v>21</v>
      </c>
      <c r="C8" s="204"/>
      <c r="D8" s="3"/>
      <c r="E8" s="3"/>
      <c r="F8" s="3"/>
    </row>
    <row r="9" spans="1:13" ht="15.6" x14ac:dyDescent="0.3">
      <c r="A9" s="5" t="s">
        <v>193</v>
      </c>
      <c r="B9" s="206">
        <v>690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208" t="s">
        <v>8</v>
      </c>
      <c r="B11" s="208"/>
      <c r="C11" s="208"/>
      <c r="D11" s="3"/>
      <c r="E11" s="3"/>
      <c r="F11" s="3"/>
      <c r="G11" s="29"/>
      <c r="H11" s="29"/>
      <c r="I11" s="29"/>
      <c r="J11" s="29"/>
      <c r="K11" s="29"/>
      <c r="L11" s="29"/>
      <c r="M11" s="29"/>
    </row>
    <row r="12" spans="1:13" ht="15" customHeight="1" x14ac:dyDescent="0.3">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3">
      <c r="A13" s="51" t="str">
        <f>RIGHT(B8,4)&amp;"–"&amp;RIGHT(B8,4)+1</f>
        <v>2023–2024</v>
      </c>
      <c r="B13" s="55">
        <v>9218801</v>
      </c>
      <c r="C13" s="55">
        <v>645847</v>
      </c>
      <c r="D13" s="199" t="s">
        <v>4</v>
      </c>
      <c r="E13" s="200"/>
      <c r="F13" s="200"/>
      <c r="G13" s="29"/>
      <c r="H13" s="29"/>
      <c r="I13" s="29"/>
      <c r="J13" s="29"/>
      <c r="K13" s="29"/>
      <c r="L13" s="29"/>
      <c r="M13" s="29"/>
    </row>
    <row r="14" spans="1:13" x14ac:dyDescent="0.25">
      <c r="A14" s="51" t="str">
        <f>LEFT(A13,4)+1&amp;"–"&amp;RIGHT(A13,4)+1</f>
        <v>2024–2025</v>
      </c>
      <c r="B14" s="55">
        <v>6461564</v>
      </c>
      <c r="C14" s="55">
        <v>552953</v>
      </c>
      <c r="D14" s="199"/>
      <c r="E14" s="200"/>
      <c r="F14" s="200"/>
    </row>
    <row r="15" spans="1:13" ht="15.6" x14ac:dyDescent="0.25">
      <c r="A15" s="51" t="str">
        <f>LEFT(A14,4)+1&amp;"–"&amp;RIGHT(A14,4)+1</f>
        <v>2025–2026</v>
      </c>
      <c r="B15" s="55">
        <v>6700796</v>
      </c>
      <c r="C15" s="55">
        <v>480535</v>
      </c>
      <c r="D15" s="195" t="s">
        <v>125</v>
      </c>
      <c r="E15" s="195"/>
      <c r="F15" s="195"/>
      <c r="G15" s="30"/>
      <c r="H15" s="30"/>
      <c r="I15" s="30"/>
      <c r="J15" s="30"/>
      <c r="K15" s="30"/>
      <c r="L15" s="30"/>
      <c r="M15" s="30"/>
    </row>
    <row r="16" spans="1:13" x14ac:dyDescent="0.25">
      <c r="A16" s="51" t="str">
        <f>LEFT(A15,4)+1&amp;"–"&amp;RIGHT(A15,4)+1</f>
        <v>2026–2027</v>
      </c>
      <c r="B16" s="55">
        <v>6922833</v>
      </c>
      <c r="C16" s="55">
        <v>405294</v>
      </c>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5">
      <c r="A17" s="51" t="str">
        <f>LEFT(A16,4)+1&amp;"–"&amp;RIGHT(A16,4)+1</f>
        <v>2027–2028</v>
      </c>
      <c r="B17" s="55">
        <v>6341799</v>
      </c>
      <c r="C17" s="55">
        <v>327857</v>
      </c>
      <c r="D17" s="195"/>
      <c r="E17" s="195"/>
      <c r="F17" s="195"/>
      <c r="G17" s="31"/>
      <c r="H17" s="31"/>
      <c r="I17" s="31"/>
      <c r="J17" s="31"/>
      <c r="K17" s="31"/>
    </row>
    <row r="18" spans="1:13" ht="15" customHeight="1" x14ac:dyDescent="0.3">
      <c r="A18" s="51" t="str">
        <f>LEFT(A17,4)+1&amp;"–"&amp;RIGHT(A17,4)+5</f>
        <v>2028–2033</v>
      </c>
      <c r="B18" s="55">
        <v>14469922</v>
      </c>
      <c r="C18" s="55">
        <v>944914</v>
      </c>
      <c r="D18" s="199" t="s">
        <v>6</v>
      </c>
      <c r="E18" s="200"/>
      <c r="F18" s="200"/>
      <c r="G18" s="29"/>
      <c r="H18" s="29"/>
      <c r="I18" s="29"/>
      <c r="J18" s="29"/>
      <c r="K18" s="29"/>
      <c r="L18" s="29"/>
      <c r="M18" s="29"/>
    </row>
    <row r="19" spans="1:13" x14ac:dyDescent="0.25">
      <c r="A19" s="51" t="str">
        <f t="shared" ref="A19:A32" si="0">LEFT(A18,4)+5&amp;"–"&amp;RIGHT(A18,4)+5</f>
        <v>2033–2038</v>
      </c>
      <c r="B19" s="55">
        <v>4964569</v>
      </c>
      <c r="C19" s="55">
        <v>59163</v>
      </c>
      <c r="D19" s="199"/>
      <c r="E19" s="200"/>
      <c r="F19" s="200"/>
    </row>
    <row r="20" spans="1:13" ht="15.6" x14ac:dyDescent="0.25">
      <c r="A20" s="51" t="str">
        <f t="shared" si="0"/>
        <v>2038–2043</v>
      </c>
      <c r="B20" s="55"/>
      <c r="C20" s="55"/>
      <c r="D20" s="195" t="s">
        <v>125</v>
      </c>
      <c r="E20" s="195"/>
      <c r="F20" s="195"/>
      <c r="G20" s="30"/>
      <c r="H20" s="30"/>
      <c r="I20" s="30"/>
      <c r="J20" s="30"/>
      <c r="K20" s="30"/>
      <c r="L20" s="30"/>
      <c r="M20" s="30"/>
    </row>
    <row r="21" spans="1:13" ht="15" customHeight="1" x14ac:dyDescent="0.25">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51" t="str">
        <f t="shared" si="0"/>
        <v>2048–2053</v>
      </c>
      <c r="B22" s="55"/>
      <c r="C22" s="55"/>
      <c r="D22" s="201"/>
      <c r="E22" s="198"/>
      <c r="F22" s="198"/>
    </row>
    <row r="23" spans="1:13" x14ac:dyDescent="0.25">
      <c r="A23" s="51" t="str">
        <f t="shared" si="0"/>
        <v>2053–2058</v>
      </c>
      <c r="B23" s="55"/>
      <c r="C23" s="55"/>
      <c r="D23" s="195"/>
      <c r="E23" s="195"/>
      <c r="F23" s="195"/>
    </row>
    <row r="24" spans="1:13" x14ac:dyDescent="0.25">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51" t="str">
        <f t="shared" si="0"/>
        <v>2063–2068</v>
      </c>
      <c r="B25" s="55"/>
      <c r="C25" s="55"/>
      <c r="D25" s="201"/>
      <c r="E25" s="198"/>
      <c r="F25" s="198"/>
    </row>
    <row r="26" spans="1:13" x14ac:dyDescent="0.25">
      <c r="A26" s="51" t="str">
        <f t="shared" si="0"/>
        <v>2068–2073</v>
      </c>
      <c r="B26" s="55"/>
      <c r="C26" s="55"/>
      <c r="D26" s="195"/>
      <c r="E26" s="195"/>
      <c r="F26" s="195"/>
    </row>
    <row r="27" spans="1:13" ht="15" customHeight="1" x14ac:dyDescent="0.25">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51" t="str">
        <f t="shared" si="0"/>
        <v>2078–2083</v>
      </c>
      <c r="B28" s="55"/>
      <c r="C28" s="55"/>
      <c r="D28" s="199"/>
      <c r="E28" s="200"/>
      <c r="F28" s="200"/>
      <c r="G28" s="33"/>
      <c r="H28" s="33"/>
      <c r="I28" s="33"/>
      <c r="J28" s="33"/>
      <c r="K28" s="33"/>
      <c r="L28" s="33"/>
      <c r="M28" s="33"/>
    </row>
    <row r="29" spans="1:13" ht="15.6" x14ac:dyDescent="0.25">
      <c r="A29" s="51" t="str">
        <f t="shared" si="0"/>
        <v>2083–2088</v>
      </c>
      <c r="B29" s="55"/>
      <c r="C29" s="55"/>
      <c r="D29" s="195" t="s">
        <v>125</v>
      </c>
      <c r="E29" s="195"/>
      <c r="F29" s="195"/>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5" t="s">
        <v>125</v>
      </c>
      <c r="E31" s="195"/>
      <c r="F31" s="195"/>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5"/>
      <c r="E33" s="195"/>
      <c r="F33" s="195"/>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4" t="str">
        <f>B8</f>
        <v>2022–2023</v>
      </c>
      <c r="C39" s="194"/>
      <c r="E39" s="32"/>
    </row>
    <row r="40" spans="1:13" ht="15.6" customHeight="1" x14ac:dyDescent="0.3">
      <c r="A40" s="5" t="s">
        <v>193</v>
      </c>
      <c r="B40" s="209">
        <f>B9</f>
        <v>690</v>
      </c>
      <c r="C40" s="209"/>
      <c r="E40" s="32"/>
    </row>
    <row r="41" spans="1:13" ht="15.6" x14ac:dyDescent="0.3">
      <c r="A41" s="5" t="s">
        <v>192</v>
      </c>
      <c r="B41" s="194" t="str">
        <f>B10</f>
        <v>Office of Emergency Services</v>
      </c>
      <c r="C41" s="194"/>
      <c r="E41" s="32"/>
    </row>
    <row r="42" spans="1:13" ht="32.25" customHeight="1" x14ac:dyDescent="0.3">
      <c r="A42" s="208" t="s">
        <v>8</v>
      </c>
      <c r="B42" s="208"/>
      <c r="C42" s="208"/>
      <c r="D42" s="3"/>
      <c r="E42" s="3"/>
      <c r="F42" s="3"/>
      <c r="G42" s="29"/>
      <c r="H42" s="29"/>
      <c r="I42" s="29"/>
      <c r="J42" s="29"/>
      <c r="K42" s="29"/>
      <c r="L42" s="29"/>
      <c r="M42" s="29"/>
    </row>
    <row r="43" spans="1:13" ht="15" customHeight="1" x14ac:dyDescent="0.3">
      <c r="A43" s="51"/>
      <c r="B43" s="52" t="s">
        <v>9</v>
      </c>
      <c r="C43" s="52" t="s">
        <v>10</v>
      </c>
      <c r="D43" s="205" t="str">
        <f>"All of the below questions are for Fiscal Year "&amp;$B$8&amp;":"</f>
        <v>All of the below questions are for Fiscal Year 2022–2023:</v>
      </c>
      <c r="E43" s="205"/>
      <c r="F43" s="205"/>
    </row>
    <row r="44" spans="1:13" ht="15" customHeight="1" x14ac:dyDescent="0.25">
      <c r="A44" s="51" t="str">
        <f>RIGHT(B39,4)&amp;"–"&amp;RIGHT(B39,4)+1</f>
        <v>2023–2024</v>
      </c>
      <c r="B44" s="55">
        <v>6402836</v>
      </c>
      <c r="C44" s="55">
        <v>548241</v>
      </c>
      <c r="D44" s="199" t="s">
        <v>4</v>
      </c>
      <c r="E44" s="200"/>
      <c r="F44" s="200"/>
    </row>
    <row r="45" spans="1:13" ht="15" customHeight="1" x14ac:dyDescent="0.25">
      <c r="A45" s="51" t="str">
        <f>LEFT(A44,4)+1&amp;"–"&amp;RIGHT(A44,4)+1</f>
        <v>2024–2025</v>
      </c>
      <c r="B45" s="55">
        <v>5379115</v>
      </c>
      <c r="C45" s="55">
        <v>497112</v>
      </c>
      <c r="D45" s="199"/>
      <c r="E45" s="200"/>
      <c r="F45" s="200"/>
    </row>
    <row r="46" spans="1:13" x14ac:dyDescent="0.25">
      <c r="A46" s="51" t="str">
        <f>LEFT(A45,4)+1&amp;"–"&amp;RIGHT(A45,4)+1</f>
        <v>2025–2026</v>
      </c>
      <c r="B46" s="55">
        <v>5121115</v>
      </c>
      <c r="C46" s="55">
        <v>446185</v>
      </c>
      <c r="D46" s="195" t="s">
        <v>125</v>
      </c>
      <c r="E46" s="195"/>
      <c r="F46" s="195"/>
    </row>
    <row r="47" spans="1:13" ht="15" customHeight="1" x14ac:dyDescent="0.25">
      <c r="A47" s="51" t="str">
        <f>LEFT(A46,4)+1&amp;"–"&amp;RIGHT(A46,4)+1</f>
        <v>2026–2027</v>
      </c>
      <c r="B47" s="55">
        <v>5097044</v>
      </c>
      <c r="C47" s="55">
        <v>394062</v>
      </c>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51" t="str">
        <f>LEFT(A47,4)+1&amp;"–"&amp;RIGHT(A47,4)+1</f>
        <v>2027–2028</v>
      </c>
      <c r="B48" s="55">
        <v>4928222</v>
      </c>
      <c r="C48" s="55">
        <v>341273</v>
      </c>
      <c r="D48" s="195"/>
      <c r="E48" s="195"/>
      <c r="F48" s="195"/>
    </row>
    <row r="49" spans="1:6" ht="15" customHeight="1" x14ac:dyDescent="0.25">
      <c r="A49" s="51" t="str">
        <f>LEFT(A48,4)+1&amp;"–"&amp;RIGHT(A48,4)+5</f>
        <v>2028–2033</v>
      </c>
      <c r="B49" s="55">
        <v>9828264</v>
      </c>
      <c r="C49" s="55">
        <v>1176909</v>
      </c>
      <c r="D49" s="199" t="s">
        <v>6</v>
      </c>
      <c r="E49" s="200"/>
      <c r="F49" s="200"/>
    </row>
    <row r="50" spans="1:6" x14ac:dyDescent="0.25">
      <c r="A50" s="51" t="str">
        <f t="shared" ref="A50:A63" si="1">LEFT(A49,4)+5&amp;"–"&amp;RIGHT(A49,4)+5</f>
        <v>2033–2038</v>
      </c>
      <c r="B50" s="55">
        <v>5635450</v>
      </c>
      <c r="C50" s="55">
        <v>740044</v>
      </c>
      <c r="D50" s="199"/>
      <c r="E50" s="200"/>
      <c r="F50" s="200"/>
    </row>
    <row r="51" spans="1:6" ht="15" customHeight="1" x14ac:dyDescent="0.25">
      <c r="A51" s="51" t="str">
        <f t="shared" si="1"/>
        <v>2038–2043</v>
      </c>
      <c r="B51" s="55">
        <v>5303163</v>
      </c>
      <c r="C51" s="55">
        <v>273829</v>
      </c>
      <c r="D51" s="195" t="s">
        <v>125</v>
      </c>
      <c r="E51" s="195"/>
      <c r="F51" s="195"/>
    </row>
    <row r="52" spans="1:6" ht="15" customHeight="1" x14ac:dyDescent="0.25">
      <c r="A52" s="51" t="str">
        <f t="shared" si="1"/>
        <v>2043–2048</v>
      </c>
      <c r="B52" s="55">
        <v>731929</v>
      </c>
      <c r="C52" s="55">
        <v>66150</v>
      </c>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51" t="str">
        <f t="shared" si="1"/>
        <v>2048–2053</v>
      </c>
      <c r="B53" s="55">
        <v>218894</v>
      </c>
      <c r="C53" s="55">
        <v>35098</v>
      </c>
      <c r="D53" s="201"/>
      <c r="E53" s="198"/>
      <c r="F53" s="198"/>
    </row>
    <row r="54" spans="1:6" x14ac:dyDescent="0.25">
      <c r="A54" s="51" t="str">
        <f t="shared" si="1"/>
        <v>2053–2058</v>
      </c>
      <c r="B54" s="55">
        <v>277876</v>
      </c>
      <c r="C54" s="55">
        <v>16571</v>
      </c>
      <c r="D54" s="195"/>
      <c r="E54" s="195"/>
      <c r="F54" s="195"/>
    </row>
    <row r="55" spans="1:6" ht="15" customHeight="1" x14ac:dyDescent="0.25">
      <c r="A55" s="51" t="str">
        <f t="shared" si="1"/>
        <v>2058–2063</v>
      </c>
      <c r="B55" s="55">
        <v>74360</v>
      </c>
      <c r="C55" s="55">
        <v>701</v>
      </c>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51" t="str">
        <f t="shared" si="1"/>
        <v>2063–2068</v>
      </c>
      <c r="B56" s="55"/>
      <c r="C56" s="55"/>
      <c r="D56" s="201"/>
      <c r="E56" s="198"/>
      <c r="F56" s="198"/>
    </row>
    <row r="57" spans="1:6" x14ac:dyDescent="0.25">
      <c r="A57" s="51" t="str">
        <f t="shared" si="1"/>
        <v>2068–2073</v>
      </c>
      <c r="B57" s="55"/>
      <c r="C57" s="55"/>
      <c r="D57" s="195"/>
      <c r="E57" s="195"/>
      <c r="F57" s="195"/>
    </row>
    <row r="58" spans="1:6" x14ac:dyDescent="0.25">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51" t="str">
        <f t="shared" si="1"/>
        <v>2078–2083</v>
      </c>
      <c r="B59" s="55"/>
      <c r="C59" s="55"/>
      <c r="D59" s="199"/>
      <c r="E59" s="200"/>
      <c r="F59" s="200"/>
    </row>
    <row r="60" spans="1:6" ht="15" customHeight="1" x14ac:dyDescent="0.25">
      <c r="A60" s="51" t="str">
        <f t="shared" si="1"/>
        <v>2083–2088</v>
      </c>
      <c r="B60" s="55"/>
      <c r="C60" s="55"/>
      <c r="D60" s="195" t="s">
        <v>125</v>
      </c>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t="s">
        <v>125</v>
      </c>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4" t="str">
        <f>B8</f>
        <v>2022–2023</v>
      </c>
      <c r="C70" s="194"/>
    </row>
    <row r="71" spans="1:13" ht="15.6" x14ac:dyDescent="0.3">
      <c r="A71" s="5" t="s">
        <v>193</v>
      </c>
      <c r="B71" s="209">
        <f>B9</f>
        <v>690</v>
      </c>
      <c r="C71" s="209"/>
    </row>
    <row r="72" spans="1:13" ht="15.6" x14ac:dyDescent="0.3">
      <c r="A72" s="5" t="s">
        <v>192</v>
      </c>
      <c r="B72" s="194" t="str">
        <f>B10</f>
        <v>Office of Emergency Services</v>
      </c>
      <c r="C72" s="194"/>
    </row>
    <row r="73" spans="1:13" ht="32.25" customHeight="1" x14ac:dyDescent="0.3">
      <c r="A73" s="208" t="s">
        <v>8</v>
      </c>
      <c r="B73" s="208"/>
      <c r="C73" s="208"/>
      <c r="D73" s="3"/>
      <c r="E73" s="3"/>
      <c r="F73" s="3"/>
      <c r="G73" s="29"/>
      <c r="H73" s="29"/>
      <c r="I73" s="29"/>
      <c r="J73" s="29"/>
      <c r="K73" s="29"/>
      <c r="L73" s="29"/>
      <c r="M73" s="29"/>
    </row>
    <row r="74" spans="1:13" ht="15.6" x14ac:dyDescent="0.3">
      <c r="A74" s="51"/>
      <c r="B74" s="52" t="s">
        <v>9</v>
      </c>
      <c r="C74" s="52" t="s">
        <v>10</v>
      </c>
      <c r="D74" s="205" t="str">
        <f>"All of the below questions are for Fiscal Year "&amp;$B$8&amp;":"</f>
        <v>All of the below questions are for Fiscal Year 2022–2023:</v>
      </c>
      <c r="E74" s="205"/>
      <c r="F74" s="205"/>
    </row>
    <row r="75" spans="1:13" ht="15" customHeight="1" x14ac:dyDescent="0.25">
      <c r="A75" s="51" t="str">
        <f>RIGHT(B70,4)&amp;"–"&amp;RIGHT(B70,4)+1</f>
        <v>2023–2024</v>
      </c>
      <c r="B75" s="55"/>
      <c r="C75" s="55"/>
      <c r="D75" s="199" t="s">
        <v>4</v>
      </c>
      <c r="E75" s="200"/>
      <c r="F75" s="200"/>
    </row>
    <row r="76" spans="1:13" x14ac:dyDescent="0.25">
      <c r="A76" s="51" t="str">
        <f>LEFT(A75,4)+1&amp;"–"&amp;RIGHT(A75,4)+1</f>
        <v>2024–2025</v>
      </c>
      <c r="B76" s="55"/>
      <c r="C76" s="55"/>
      <c r="D76" s="199"/>
      <c r="E76" s="200"/>
      <c r="F76" s="200"/>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9" t="s">
        <v>6</v>
      </c>
      <c r="E80" s="200"/>
      <c r="F80" s="200"/>
    </row>
    <row r="81" spans="1:6" x14ac:dyDescent="0.25">
      <c r="A81" s="51" t="str">
        <f t="shared" ref="A81:A94" si="2">LEFT(A80,4)+5&amp;"–"&amp;RIGHT(A80,4)+5</f>
        <v>2033–2038</v>
      </c>
      <c r="B81" s="55"/>
      <c r="C81" s="55"/>
      <c r="D81" s="199"/>
      <c r="E81" s="200"/>
      <c r="F81" s="200"/>
    </row>
    <row r="82" spans="1:6" x14ac:dyDescent="0.25">
      <c r="A82" s="51" t="str">
        <f t="shared" si="2"/>
        <v>2038–2043</v>
      </c>
      <c r="B82" s="55"/>
      <c r="C82" s="55"/>
      <c r="D82" s="195"/>
      <c r="E82" s="195"/>
      <c r="F82" s="195"/>
    </row>
    <row r="83" spans="1:6" ht="15" customHeight="1" x14ac:dyDescent="0.25">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51" t="str">
        <f t="shared" si="2"/>
        <v>2048–2053</v>
      </c>
      <c r="B84" s="55"/>
      <c r="C84" s="55"/>
      <c r="D84" s="201"/>
      <c r="E84" s="198"/>
      <c r="F84" s="198"/>
    </row>
    <row r="85" spans="1:6" x14ac:dyDescent="0.25">
      <c r="A85" s="51" t="str">
        <f t="shared" si="2"/>
        <v>2053–2058</v>
      </c>
      <c r="B85" s="55"/>
      <c r="C85" s="55"/>
      <c r="D85" s="195"/>
      <c r="E85" s="195"/>
      <c r="F85" s="195"/>
    </row>
    <row r="86" spans="1:6" ht="15" customHeight="1" x14ac:dyDescent="0.25">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51" t="str">
        <f t="shared" si="2"/>
        <v>2063–2068</v>
      </c>
      <c r="B87" s="55"/>
      <c r="C87" s="55"/>
      <c r="D87" s="201"/>
      <c r="E87" s="198"/>
      <c r="F87" s="198"/>
    </row>
    <row r="88" spans="1:6" x14ac:dyDescent="0.25">
      <c r="A88" s="51" t="str">
        <f t="shared" si="2"/>
        <v>2068–2073</v>
      </c>
      <c r="B88" s="55"/>
      <c r="C88" s="55"/>
      <c r="D88" s="195"/>
      <c r="E88" s="195"/>
      <c r="F88" s="195"/>
    </row>
    <row r="89" spans="1:6" x14ac:dyDescent="0.25">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51" t="str">
        <f t="shared" si="2"/>
        <v>2078–2083</v>
      </c>
      <c r="B90" s="55"/>
      <c r="C90" s="55"/>
      <c r="D90" s="199"/>
      <c r="E90" s="200"/>
      <c r="F90" s="200"/>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topLeftCell="A3" zoomScale="90" zoomScaleNormal="90" workbookViewId="0">
      <selection activeCell="L29" sqref="L29"/>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690 - Office of Emergency Services</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25399781</v>
      </c>
      <c r="G10" s="58"/>
      <c r="H10" s="61">
        <v>40080314</v>
      </c>
      <c r="I10" s="58"/>
      <c r="J10" s="61">
        <v>10399811</v>
      </c>
      <c r="K10" s="58"/>
      <c r="L10" s="63">
        <f>SUM(F10+H10-J10)</f>
        <v>55080284</v>
      </c>
      <c r="M10" s="58"/>
      <c r="N10" s="61">
        <v>9218801</v>
      </c>
      <c r="O10" s="58"/>
      <c r="P10" s="63">
        <f>L10-N10</f>
        <v>45861483</v>
      </c>
      <c r="Q10" s="43"/>
    </row>
    <row r="11" spans="2:17" ht="19.2" thickTop="1" thickBot="1" x14ac:dyDescent="0.4">
      <c r="B11" s="41"/>
      <c r="C11" s="45" t="s">
        <v>19</v>
      </c>
      <c r="F11" s="62">
        <f>SUM(F10:F10)</f>
        <v>25399781</v>
      </c>
      <c r="G11" s="58"/>
      <c r="H11" s="62">
        <f>SUM(H10:H10)</f>
        <v>40080314</v>
      </c>
      <c r="I11" s="58"/>
      <c r="J11" s="62">
        <f>SUM(J10:J10)</f>
        <v>10399811</v>
      </c>
      <c r="K11" s="58"/>
      <c r="L11" s="62">
        <f>SUM(L10:L10)</f>
        <v>55080284</v>
      </c>
      <c r="M11" s="58"/>
      <c r="N11" s="62">
        <f>SUM(N10:N10)</f>
        <v>9218801</v>
      </c>
      <c r="O11" s="58"/>
      <c r="P11" s="62">
        <f>SUM(P10:P10)</f>
        <v>45861483</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v>54233813</v>
      </c>
      <c r="G14" s="58"/>
      <c r="H14" s="61">
        <v>989772</v>
      </c>
      <c r="I14" s="58"/>
      <c r="J14" s="61">
        <v>6225317</v>
      </c>
      <c r="K14" s="58"/>
      <c r="L14" s="63">
        <f>SUM(F14+H14-J14)</f>
        <v>48998268</v>
      </c>
      <c r="M14" s="58"/>
      <c r="N14" s="61">
        <v>6402836</v>
      </c>
      <c r="O14" s="58"/>
      <c r="P14" s="63">
        <f>L14-N14</f>
        <v>42595432</v>
      </c>
      <c r="Q14" s="43"/>
    </row>
    <row r="15" spans="2:17" ht="19.2" thickTop="1" thickBot="1" x14ac:dyDescent="0.4">
      <c r="B15" s="41"/>
      <c r="C15" s="45" t="s">
        <v>135</v>
      </c>
      <c r="F15" s="62">
        <f>SUM(F14:F14)</f>
        <v>54233813</v>
      </c>
      <c r="G15" s="58"/>
      <c r="H15" s="62">
        <f>SUM(H14:H14)</f>
        <v>989772</v>
      </c>
      <c r="I15" s="58"/>
      <c r="J15" s="62">
        <f>SUM(J14:J14)</f>
        <v>6225317</v>
      </c>
      <c r="K15" s="58"/>
      <c r="L15" s="62">
        <f>SUM(L14:L14)</f>
        <v>48998268</v>
      </c>
      <c r="M15" s="58"/>
      <c r="N15" s="62">
        <f>SUM(N14:N14)</f>
        <v>6402836</v>
      </c>
      <c r="O15" s="58"/>
      <c r="P15" s="62">
        <f>SUM(P14:P14)</f>
        <v>42595432</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D77" sqref="D77"/>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25399781</v>
      </c>
      <c r="C16" s="116" t="s">
        <v>146</v>
      </c>
      <c r="D16" s="84">
        <f>IF('LS-Fund 0001 Journal Entries'!$F$8="Governmental Fund",'LS-Fund 0001 Journal Entries'!$K$48,0)</f>
        <v>40080314</v>
      </c>
      <c r="E16" s="118" t="s">
        <v>147</v>
      </c>
      <c r="F16" s="84">
        <f>IF('LS-Fund 0001 Journal Entries'!$F$8="Governmental Fund",'LS-Fund 0001 Journal Entries'!$J$68,0)</f>
        <v>10399811</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55080284</v>
      </c>
      <c r="M16" s="86"/>
      <c r="N16" s="88">
        <f>SUM('LS-Department Note Disclosure'!B13:B36)</f>
        <v>55080284</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9751 Journal Entries'!$F$8="Proprietary - Internal Service Fund",'LS-Fund 9751 Journal Entries'!$K$23,0)</f>
        <v>54233813</v>
      </c>
      <c r="C24" s="116" t="s">
        <v>146</v>
      </c>
      <c r="D24" s="84">
        <f>IF('LS-Fund 9751 Journal Entries'!$F$8="Proprietary - Internal Service Fund",'LS-Fund 9751 Journal Entries'!$K$48,0)</f>
        <v>989772</v>
      </c>
      <c r="E24" s="118" t="s">
        <v>147</v>
      </c>
      <c r="F24" s="84">
        <f>IF('LS-Fund 9751 Journal Entries'!$F$8="Proprietary - Internal Service Fund",'LS-Fund 9751 Journal Entries'!$J$68,0)</f>
        <v>6225317</v>
      </c>
      <c r="G24" s="117" t="s">
        <v>147</v>
      </c>
      <c r="H24" s="84">
        <f>IF('LS-Fund 9751 Journal Entries'!$F$8="Proprietary - Internal Service Fund",'LS-Fund 9751 Journal Entries'!$J$96,0)</f>
        <v>0</v>
      </c>
      <c r="I24" s="117" t="s">
        <v>146</v>
      </c>
      <c r="J24" s="84">
        <f>IF('LS-Fund 9751 Journal Entries'!$F$8="Proprietary - Internal Service Fund",'LS-Fund 9751 Journal Entries'!$K$113,0)</f>
        <v>0</v>
      </c>
      <c r="K24" s="118" t="s">
        <v>150</v>
      </c>
      <c r="L24" s="87">
        <f>+B24+D24-F24-H24+J24</f>
        <v>48998268</v>
      </c>
      <c r="M24" s="86"/>
      <c r="N24" s="88">
        <f>SUM('LS-Department Note Disclosure'!B44:B67)</f>
        <v>48998268</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9218801</v>
      </c>
      <c r="C42" s="92"/>
      <c r="E42" s="92"/>
      <c r="G42" s="115"/>
      <c r="H42" s="115"/>
      <c r="I42" s="115"/>
      <c r="J42" s="115"/>
      <c r="K42" s="92"/>
      <c r="L42" s="92"/>
      <c r="M42" s="93"/>
      <c r="N42" s="88">
        <f>'LS-Department Note Disclosure'!B13</f>
        <v>9218801</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9751 Journal Entries'!$F$8="Proprietary - Internal Service Fund",'LS-Fund 9751 Journal Entries'!$K$76,0)</f>
        <v>6402836</v>
      </c>
      <c r="C49" s="92"/>
      <c r="E49" s="92"/>
      <c r="G49" s="115"/>
      <c r="H49" s="115"/>
      <c r="I49" s="115"/>
      <c r="J49" s="115"/>
      <c r="K49" s="92"/>
      <c r="L49" s="92"/>
      <c r="M49" s="93"/>
      <c r="N49" s="88">
        <f>'LS-Department Note Disclosure'!B44</f>
        <v>6402836</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25399781</v>
      </c>
      <c r="J66" s="97">
        <f>SUM(D66)</f>
        <v>25399781</v>
      </c>
      <c r="L66" s="98" t="str">
        <f>CONCATENATE("Balance July 1, ",LEFT('LS-Department Note Disclosure'!$B$8,4))</f>
        <v>Balance July 1, 2022</v>
      </c>
      <c r="N66" s="97">
        <f>'LS-Lease Liabilities'!F10</f>
        <v>25399781</v>
      </c>
      <c r="P66" s="89">
        <f>J66-N66</f>
        <v>0</v>
      </c>
    </row>
    <row r="67" spans="1:17" x14ac:dyDescent="0.3">
      <c r="B67" s="79" t="s">
        <v>157</v>
      </c>
      <c r="D67" s="97">
        <f>$D$16</f>
        <v>40080314</v>
      </c>
      <c r="E67" s="119" t="s">
        <v>146</v>
      </c>
      <c r="F67" s="79" t="s">
        <v>1756</v>
      </c>
      <c r="H67" s="97">
        <f>$J$16</f>
        <v>0</v>
      </c>
      <c r="J67" s="97">
        <f>SUM(D67,H67)</f>
        <v>40080314</v>
      </c>
      <c r="L67" s="98" t="s">
        <v>13</v>
      </c>
      <c r="N67" s="97">
        <f>'LS-Lease Liabilities'!H10</f>
        <v>40080314</v>
      </c>
      <c r="P67" s="89">
        <f t="shared" ref="P67:P69" si="0">J67-N67</f>
        <v>0</v>
      </c>
    </row>
    <row r="68" spans="1:17" x14ac:dyDescent="0.3">
      <c r="B68" s="79" t="s">
        <v>152</v>
      </c>
      <c r="D68" s="97">
        <f>$F$16</f>
        <v>10399811</v>
      </c>
      <c r="E68" s="119" t="s">
        <v>146</v>
      </c>
      <c r="F68" s="79" t="s">
        <v>1753</v>
      </c>
      <c r="H68" s="97">
        <f>$H$16</f>
        <v>0</v>
      </c>
      <c r="J68" s="97">
        <f>SUM(D68,H68)</f>
        <v>10399811</v>
      </c>
      <c r="L68" s="98" t="s">
        <v>14</v>
      </c>
      <c r="N68" s="97">
        <f>'LS-Lease Liabilities'!J10</f>
        <v>10399811</v>
      </c>
      <c r="P68" s="89">
        <f t="shared" si="0"/>
        <v>0</v>
      </c>
    </row>
    <row r="69" spans="1:17" x14ac:dyDescent="0.3">
      <c r="B69" s="79" t="s">
        <v>156</v>
      </c>
      <c r="D69" s="97">
        <f>$B$42</f>
        <v>9218801</v>
      </c>
      <c r="J69" s="97">
        <f>SUM(D69)</f>
        <v>9218801</v>
      </c>
      <c r="L69" s="98" t="s">
        <v>15</v>
      </c>
      <c r="N69" s="97">
        <f>'LS-Lease Liabilities'!N10</f>
        <v>9218801</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54233813</v>
      </c>
      <c r="J77" s="97">
        <f>SUM(D77)</f>
        <v>54233813</v>
      </c>
      <c r="L77" s="98" t="str">
        <f>CONCATENATE("Balance July 1, ",LEFT('LS-Department Note Disclosure'!$B$8,4))</f>
        <v>Balance July 1, 2022</v>
      </c>
      <c r="N77" s="97">
        <f>'LS-Lease Liabilities'!F14</f>
        <v>54233813</v>
      </c>
      <c r="P77" s="89">
        <f>J77-N77</f>
        <v>0</v>
      </c>
    </row>
    <row r="78" spans="1:17" x14ac:dyDescent="0.3">
      <c r="B78" s="79" t="s">
        <v>157</v>
      </c>
      <c r="D78" s="97">
        <f>D24</f>
        <v>989772</v>
      </c>
      <c r="E78" s="119" t="s">
        <v>146</v>
      </c>
      <c r="F78" s="79" t="s">
        <v>1756</v>
      </c>
      <c r="H78" s="97">
        <f>$J$24</f>
        <v>0</v>
      </c>
      <c r="J78" s="97">
        <f>SUM(D78,H78)</f>
        <v>989772</v>
      </c>
      <c r="L78" s="98" t="s">
        <v>13</v>
      </c>
      <c r="N78" s="97">
        <f>'LS-Lease Liabilities'!H14</f>
        <v>989772</v>
      </c>
      <c r="P78" s="89">
        <f t="shared" ref="P78:P80" si="1">J78-N78</f>
        <v>0</v>
      </c>
    </row>
    <row r="79" spans="1:17" x14ac:dyDescent="0.3">
      <c r="B79" s="79" t="s">
        <v>152</v>
      </c>
      <c r="D79" s="97">
        <f>F24</f>
        <v>6225317</v>
      </c>
      <c r="E79" s="119" t="s">
        <v>146</v>
      </c>
      <c r="F79" s="79" t="s">
        <v>1753</v>
      </c>
      <c r="H79" s="97">
        <f>$H$24</f>
        <v>0</v>
      </c>
      <c r="J79" s="97">
        <f>SUM(D79,H79)</f>
        <v>6225317</v>
      </c>
      <c r="L79" s="98" t="s">
        <v>14</v>
      </c>
      <c r="N79" s="97">
        <f>'LS-Lease Liabilities'!J14</f>
        <v>6225317</v>
      </c>
      <c r="P79" s="89">
        <f t="shared" si="1"/>
        <v>0</v>
      </c>
    </row>
    <row r="80" spans="1:17" x14ac:dyDescent="0.3">
      <c r="B80" s="79" t="s">
        <v>156</v>
      </c>
      <c r="D80" s="97">
        <f>B49</f>
        <v>6402836</v>
      </c>
      <c r="J80" s="97">
        <f>SUM(D80)</f>
        <v>6402836</v>
      </c>
      <c r="L80" s="98" t="s">
        <v>15</v>
      </c>
      <c r="N80" s="97">
        <f>'LS-Lease Liabilities'!N14</f>
        <v>6402836</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F57FFDA9-B608-4ACD-87B6-5F5F92403C29}"/>
</file>

<file path=customXml/itemProps2.xml><?xml version="1.0" encoding="utf-8"?>
<ds:datastoreItem xmlns:ds="http://schemas.openxmlformats.org/officeDocument/2006/customXml" ds:itemID="{CEB0E9DC-D487-4932-9C03-66ADA9682203}"/>
</file>

<file path=customXml/itemProps3.xml><?xml version="1.0" encoding="utf-8"?>
<ds:datastoreItem xmlns:ds="http://schemas.openxmlformats.org/officeDocument/2006/customXml" ds:itemID="{0D6618CA-955B-4053-958F-E6DB0BCBD66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Drop Down Menus</vt:lpstr>
      <vt:lpstr>qryIndex02a</vt:lpstr>
      <vt:lpstr>LS-Version Changes</vt:lpstr>
      <vt:lpstr>LS-Fund 0001 Journal Entries</vt:lpstr>
      <vt:lpstr>LS-Fund 9751 Journal Entries</vt:lpstr>
      <vt:lpstr>LS-Department Note Disclosure</vt:lpstr>
      <vt:lpstr>LS-Lease Liabilities</vt:lpstr>
      <vt:lpstr>LS-Check Figures  </vt:lpstr>
      <vt:lpstr>'LS-Department Note Disclosure'!Print_Area</vt:lpstr>
      <vt:lpstr>'LS-Fund 0001 Journal Entries'!Print_Area</vt:lpstr>
      <vt:lpstr>'LS-Fund 9751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2024-05-09T18:54:39Z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3421700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