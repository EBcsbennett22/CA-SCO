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6B3C53E-C8E1-44E6-8806-4DB005E99A0B}"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890 Journal Entries" sheetId="14" r:id="rId5"/>
    <sheet name="LS-Department Note Disclosure" sheetId="3" r:id="rId6"/>
    <sheet name="LS-Lease Liabilities" sheetId="4" r:id="rId7"/>
    <sheet name="LS-Check Figures  " sheetId="7" r:id="rId8"/>
  </sheets>
  <externalReferences>
    <externalReference r:id="rId9"/>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3">'LS-Fund 0001 Journal Entries'!$A$1:$J$9</definedName>
    <definedName name="_xlnm.Print_Area" localSheetId="4">'LS-Fund 0890 Journal Entries'!$A$1:$J$9</definedName>
    <definedName name="_xlnm.Print_Area" localSheetId="6">'LS-Lease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F16" i="7"/>
  <c r="B16" i="7"/>
  <c r="N10" i="4"/>
  <c r="J10" i="4"/>
  <c r="F10" i="4"/>
  <c r="C14" i="3"/>
  <c r="C13" i="3"/>
  <c r="B14" i="3"/>
  <c r="B13" i="3"/>
  <c r="K129" i="14"/>
  <c r="K127" i="14"/>
  <c r="K126" i="14"/>
  <c r="K114" i="14"/>
  <c r="J114" i="14"/>
  <c r="L114" i="14" s="1"/>
  <c r="L105" i="14"/>
  <c r="K105" i="14"/>
  <c r="J105" i="14"/>
  <c r="K91" i="14"/>
  <c r="J91" i="14"/>
  <c r="L91" i="14" s="1"/>
  <c r="L77" i="14"/>
  <c r="K77" i="14"/>
  <c r="J77" i="14"/>
  <c r="K70" i="14"/>
  <c r="L70" i="14" s="1"/>
  <c r="J70" i="14"/>
  <c r="K65" i="14"/>
  <c r="J65" i="14"/>
  <c r="L65" i="14" s="1"/>
  <c r="B63" i="14"/>
  <c r="K59" i="14"/>
  <c r="L59" i="14" s="1"/>
  <c r="J59" i="14"/>
  <c r="K49" i="14"/>
  <c r="J49" i="14"/>
  <c r="L49" i="14" s="1"/>
  <c r="K43" i="14"/>
  <c r="J43" i="14"/>
  <c r="L43" i="14" s="1"/>
  <c r="L36" i="14"/>
  <c r="K36" i="14"/>
  <c r="J36" i="14"/>
  <c r="S25" i="14"/>
  <c r="Q24" i="14"/>
  <c r="S24" i="14" s="1"/>
  <c r="K24" i="14"/>
  <c r="S23" i="14"/>
  <c r="K23" i="14"/>
  <c r="K128" i="14" s="1"/>
  <c r="S22" i="14"/>
  <c r="K22" i="14"/>
  <c r="S21" i="14"/>
  <c r="K21" i="14"/>
  <c r="S20" i="14"/>
  <c r="K20" i="14"/>
  <c r="K125" i="14" s="1"/>
  <c r="S19" i="14"/>
  <c r="P18" i="14"/>
  <c r="S18" i="14" s="1"/>
  <c r="J18" i="14"/>
  <c r="S17" i="14"/>
  <c r="J17" i="14"/>
  <c r="K124" i="14" s="1"/>
  <c r="S16" i="14"/>
  <c r="J16" i="14"/>
  <c r="K25" i="14" s="1"/>
  <c r="S15" i="14"/>
  <c r="J15" i="14"/>
  <c r="F9" i="14"/>
  <c r="C35" i="14" s="1"/>
  <c r="B24" i="7"/>
  <c r="B100" i="14" l="1"/>
  <c r="K122" i="14"/>
  <c r="C104" i="14"/>
  <c r="K123" i="14"/>
  <c r="J19" i="14"/>
  <c r="J26" i="14" s="1"/>
  <c r="L26" i="14" s="1"/>
  <c r="K26" i="14"/>
  <c r="C64" i="14"/>
  <c r="B33" i="7" l="1"/>
  <c r="Q24" i="2" l="1"/>
  <c r="P18" i="2"/>
  <c r="K129" i="2" l="1"/>
  <c r="S20" i="2"/>
  <c r="K20" i="2"/>
  <c r="K125" i="2" s="1"/>
  <c r="J18" i="2" l="1"/>
  <c r="S25" i="2"/>
  <c r="S24" i="2"/>
  <c r="S23" i="2"/>
  <c r="K23" i="2"/>
  <c r="K128" i="2" s="1"/>
  <c r="S22" i="2"/>
  <c r="K22" i="2"/>
  <c r="K127" i="2" s="1"/>
  <c r="S21" i="2"/>
  <c r="K21" i="2"/>
  <c r="K126" i="2" s="1"/>
  <c r="S19" i="2"/>
  <c r="S16" i="2"/>
  <c r="J16" i="2"/>
  <c r="K123" i="2" s="1"/>
  <c r="S15" i="2"/>
  <c r="J15" i="2"/>
  <c r="K122" i="2" s="1"/>
  <c r="K24" i="2" l="1"/>
  <c r="S18" i="2"/>
  <c r="J5" i="4" l="1"/>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7" i="2" l="1"/>
  <c r="J17" i="2"/>
  <c r="K25" i="2" s="1"/>
  <c r="K26" i="2" s="1"/>
  <c r="J19" i="2" l="1"/>
  <c r="J26" i="2" s="1"/>
  <c r="L26" i="2" s="1"/>
  <c r="K124" i="2"/>
</calcChain>
</file>

<file path=xl/sharedStrings.xml><?xml version="1.0" encoding="utf-8"?>
<sst xmlns="http://schemas.openxmlformats.org/spreadsheetml/2006/main" count="7908" uniqueCount="1761">
  <si>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</si>
  <si>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</si>
  <si>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</si>
  <si>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</si>
  <si>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</si>
  <si>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</si>
  <si>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</si>
  <si>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</si>
  <si>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</si>
  <si>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</si>
  <si>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</si>
  <si>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</si>
  <si>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</si>
  <si>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</si>
  <si>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</si>
  <si>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</si>
  <si>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</si>
  <si>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</si>
  <si>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</si>
  <si>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</si>
  <si>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</si>
  <si>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</si>
  <si>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</si>
  <si>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</si>
  <si>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</si>
  <si>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</si>
  <si>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</si>
  <si>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</si>
  <si>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</si>
  <si>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</si>
  <si>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</si>
  <si>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</si>
  <si>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</si>
  <si>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</si>
  <si>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</si>
  <si>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</si>
  <si>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</si>
  <si>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</si>
  <si>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</si>
  <si>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</si>
  <si>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</si>
  <si>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</si>
  <si>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</si>
  <si>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</si>
  <si>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</si>
  <si>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</si>
  <si>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</si>
  <si>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</si>
  <si>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</si>
  <si>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</si>
  <si>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</si>
  <si>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</si>
  <si>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</si>
  <si>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</si>
  <si>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</si>
  <si>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</si>
  <si>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</si>
  <si>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</si>
  <si>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</si>
  <si>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</si>
  <si>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</si>
  <si>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</si>
  <si>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</si>
  <si>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</si>
  <si>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</si>
  <si>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</si>
  <si>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</si>
  <si>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</si>
  <si>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</si>
  <si>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</si>
  <si>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</si>
  <si>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</si>
  <si>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</si>
  <si>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</si>
  <si>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</si>
  <si>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</si>
  <si>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</si>
  <si>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</si>
  <si>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</si>
  <si>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</si>
  <si>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</si>
  <si>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</si>
  <si>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</si>
  <si>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</si>
  <si>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</si>
  <si>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</si>
  <si>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</si>
  <si>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</si>
  <si>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</si>
  <si>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</si>
  <si>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</si>
  <si>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</si>
  <si>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</si>
  <si>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</si>
  <si>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</si>
  <si>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</si>
  <si>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</si>
  <si>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</si>
  <si>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</si>
  <si>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</si>
  <si>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</si>
  <si>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</si>
  <si>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</si>
  <si>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</si>
  <si>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</si>
  <si>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</si>
  <si>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</si>
  <si>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</si>
  <si>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</si>
  <si>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</si>
  <si>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</si>
  <si>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</si>
  <si>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</si>
  <si>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</si>
  <si>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</si>
  <si>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</si>
  <si>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</si>
  <si>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</si>
  <si>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</si>
  <si>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</si>
  <si>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</si>
  <si>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</si>
  <si>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</si>
  <si>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</si>
  <si>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</si>
  <si>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</si>
  <si>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</si>
  <si>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</si>
  <si>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</si>
  <si>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</si>
  <si>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</si>
  <si>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</si>
  <si>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</si>
  <si>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</si>
  <si>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</si>
  <si>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</si>
  <si>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</si>
  <si>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</si>
  <si>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</si>
  <si>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</si>
  <si>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</si>
  <si>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</si>
  <si>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</si>
  <si>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</si>
  <si>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</si>
  <si>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</si>
  <si>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</si>
  <si>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</si>
  <si>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</si>
  <si>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</si>
  <si>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</si>
  <si>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</si>
  <si>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</si>
  <si>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</si>
  <si>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</si>
  <si>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</si>
  <si>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</si>
  <si>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</si>
  <si>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</si>
  <si>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</si>
  <si>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</si>
  <si>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</si>
  <si>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</si>
  <si>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</si>
  <si>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</si>
  <si>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</si>
  <si>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</si>
  <si>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</si>
  <si>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</si>
  <si>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</si>
  <si>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</si>
  <si>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</si>
  <si>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</si>
  <si>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</si>
  <si>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</si>
  <si>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</si>
  <si>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</si>
  <si>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</si>
  <si>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</si>
  <si>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</si>
  <si>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</si>
  <si>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</si>
  <si>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</si>
  <si>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</si>
  <si>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</si>
  <si>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</si>
  <si>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</si>
  <si>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</si>
  <si>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</si>
  <si>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</si>
  <si>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</si>
  <si>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</si>
  <si>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</si>
  <si>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</si>
  <si>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</si>
  <si>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</si>
  <si>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</si>
  <si>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</si>
  <si>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</si>
  <si>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</si>
  <si>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</si>
  <si>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</si>
  <si>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</si>
  <si>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</si>
  <si>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</si>
  <si>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</si>
  <si>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</si>
  <si>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</si>
  <si>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</si>
  <si>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</si>
  <si>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</si>
  <si>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</si>
  <si>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</si>
  <si>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</si>
  <si>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</si>
  <si>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</si>
  <si>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</si>
  <si>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</si>
  <si>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</si>
  <si>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</si>
  <si>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</si>
  <si>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</si>
  <si>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</si>
  <si>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</si>
  <si>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</si>
  <si>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</si>
  <si>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</si>
  <si>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</si>
  <si>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</si>
  <si>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</si>
  <si>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</si>
  <si>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</si>
  <si>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</si>
  <si>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</si>
  <si>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</si>
  <si>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</si>
  <si>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</si>
  <si>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</si>
  <si>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</si>
  <si>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</si>
  <si>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</si>
  <si>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</si>
  <si>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</si>
  <si>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</si>
  <si>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</si>
  <si>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</si>
  <si>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</si>
  <si>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</si>
  <si>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</si>
  <si>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</si>
  <si>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</si>
  <si>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</si>
  <si>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</si>
  <si>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</si>
  <si>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</si>
  <si>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</si>
  <si>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</si>
  <si>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</si>
  <si>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</si>
  <si>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</si>
  <si>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</si>
  <si>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</si>
  <si>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</si>
  <si>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</si>
  <si>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</si>
  <si>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</si>
  <si>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</si>
  <si>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</si>
  <si>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</si>
  <si>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</si>
  <si>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</si>
  <si>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</si>
  <si>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</si>
  <si>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</si>
  <si>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</si>
  <si>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</si>
  <si>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</si>
  <si>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</si>
  <si>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</si>
  <si>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</si>
  <si>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</si>
  <si>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</si>
  <si>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</si>
  <si>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</si>
  <si>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</si>
  <si>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</si>
  <si>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</si>
  <si>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</si>
  <si>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</si>
  <si>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</si>
  <si>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</si>
  <si>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</si>
  <si>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</si>
  <si>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</si>
  <si>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</si>
  <si>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</si>
  <si>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</si>
  <si>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</si>
  <si>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</si>
  <si>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</si>
  <si>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</si>
  <si>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</si>
  <si>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</si>
  <si>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</si>
  <si>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</si>
  <si>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</si>
  <si>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</si>
  <si>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</si>
  <si>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</si>
  <si>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</si>
  <si>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</si>
  <si>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</si>
  <si>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</si>
  <si>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</si>
  <si>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</si>
  <si>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</si>
  <si>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</si>
  <si>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</si>
  <si>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</si>
  <si>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</si>
  <si>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</si>
  <si>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</si>
  <si>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</si>
  <si>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</si>
  <si>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</si>
  <si>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</si>
  <si>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</si>
  <si>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</si>
  <si>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</si>
  <si>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</si>
  <si>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</si>
  <si>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</si>
  <si>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</si>
  <si>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</si>
  <si>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</si>
  <si>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</si>
  <si>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</si>
  <si>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</si>
  <si>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</si>
  <si>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</si>
  <si>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</si>
  <si>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</si>
  <si>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</si>
  <si>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</si>
  <si>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</si>
  <si>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</si>
  <si>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</si>
  <si>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</si>
  <si>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</si>
  <si>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</si>
  <si>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</si>
  <si>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</si>
  <si>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</si>
  <si>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</si>
  <si>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</si>
  <si>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</si>
  <si>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</si>
  <si>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</si>
  <si>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</si>
  <si>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</si>
  <si>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</si>
  <si>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</si>
  <si>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</si>
  <si>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</si>
  <si>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</si>
  <si>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</si>
  <si>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</si>
  <si>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</si>
  <si>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</si>
  <si>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</si>
  <si>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</si>
  <si>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</si>
  <si>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</si>
  <si>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</si>
  <si>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</si>
  <si>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</si>
  <si>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</si>
  <si>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</si>
  <si>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</si>
  <si>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</si>
  <si>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</si>
  <si>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</si>
  <si>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</si>
  <si>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</si>
  <si>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</si>
  <si>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</si>
  <si>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</si>
  <si>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</si>
  <si>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</si>
  <si>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</si>
  <si>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</si>
  <si>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</si>
  <si>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</si>
  <si>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</si>
  <si>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</si>
  <si>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</si>
  <si>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</si>
  <si>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</si>
  <si>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</si>
  <si>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</si>
  <si>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</si>
  <si>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</si>
  <si>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</si>
  <si>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</si>
  <si>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</si>
  <si>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</si>
  <si>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</si>
  <si>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</si>
  <si>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</si>
  <si>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</si>
  <si>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</si>
  <si>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</si>
  <si>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</si>
  <si>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</si>
  <si>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</si>
  <si>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</si>
  <si>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</si>
  <si>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</si>
  <si>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</si>
  <si>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</si>
  <si>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</si>
  <si>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</si>
  <si>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</si>
  <si>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</si>
  <si>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</si>
  <si>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</si>
  <si>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</si>
  <si>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</si>
  <si>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</si>
  <si>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</si>
  <si>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</si>
  <si>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</si>
  <si>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</si>
  <si>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</si>
  <si>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</si>
  <si>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</si>
  <si>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</si>
  <si>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</si>
  <si>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</si>
  <si>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</si>
  <si>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</si>
  <si>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</si>
  <si>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</si>
  <si>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</si>
  <si>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</si>
  <si>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</si>
  <si>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</si>
  <si>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</si>
  <si>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</si>
  <si>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</si>
  <si>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</si>
  <si>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</si>
  <si>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</si>
  <si>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</si>
  <si>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</si>
  <si>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</si>
  <si>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</si>
  <si>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</si>
  <si>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</si>
  <si>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</si>
  <si>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</si>
  <si>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</si>
  <si>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</si>
  <si>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</si>
  <si>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</si>
  <si>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</si>
  <si>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</si>
  <si>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</si>
  <si>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</si>
  <si>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</si>
  <si>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</si>
  <si>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</si>
  <si>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</si>
  <si>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</si>
  <si>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</si>
  <si>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</si>
  <si>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</si>
  <si>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</si>
  <si>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</si>
  <si>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</si>
  <si>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</si>
  <si>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</si>
  <si>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</si>
  <si>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</si>
  <si>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</si>
  <si>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</si>
  <si>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</si>
  <si>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</si>
  <si>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</si>
  <si>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</si>
  <si>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</si>
  <si>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</si>
  <si>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</si>
  <si>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</si>
  <si>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</si>
  <si>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</si>
  <si>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</si>
  <si>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</si>
  <si>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</si>
  <si>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</si>
  <si>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</si>
  <si>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</si>
  <si>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</si>
  <si>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</si>
  <si>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</si>
  <si>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</si>
  <si>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</si>
  <si>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</si>
  <si>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</si>
  <si>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</si>
  <si>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</si>
  <si>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</si>
  <si>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</si>
  <si>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</si>
  <si>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</si>
  <si>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</si>
  <si>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</si>
  <si>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</si>
  <si>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</si>
  <si>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</si>
  <si>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</si>
  <si>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</si>
  <si>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</si>
  <si>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</si>
  <si>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</si>
  <si>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</si>
  <si>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</si>
  <si>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</si>
  <si>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</si>
  <si>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</si>
  <si>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</si>
  <si>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</si>
  <si>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</si>
  <si>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</si>
  <si>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</si>
  <si>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</si>
  <si>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</si>
  <si>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</si>
  <si>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</si>
  <si>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</si>
  <si>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</si>
  <si>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</si>
  <si>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</si>
  <si>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</si>
  <si>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</si>
  <si>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</si>
  <si>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</si>
  <si>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</si>
  <si>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</si>
  <si>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</si>
  <si>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</si>
  <si>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</si>
  <si>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</si>
  <si>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</si>
  <si>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</si>
  <si>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</si>
  <si>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</si>
  <si>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</si>
  <si>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</si>
  <si>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</si>
  <si>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</si>
  <si>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</si>
  <si>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</si>
  <si>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</si>
  <si>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</si>
  <si>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</si>
  <si>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</si>
  <si>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</si>
  <si>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</si>
  <si>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</si>
  <si>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</si>
  <si>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</si>
  <si>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</si>
  <si>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</si>
  <si>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</si>
  <si>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</si>
  <si>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</si>
  <si>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</si>
  <si>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</si>
  <si>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</si>
  <si>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</si>
  <si>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</si>
  <si>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</si>
  <si>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</si>
  <si>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</si>
  <si>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</si>
  <si>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</si>
  <si>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</si>
  <si>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</si>
  <si>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</si>
  <si>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</si>
  <si>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</si>
  <si>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</si>
  <si>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</si>
  <si>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</si>
  <si>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</si>
  <si>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</si>
  <si>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</si>
  <si>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</si>
  <si>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</si>
  <si>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</si>
  <si>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</si>
  <si>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</si>
  <si>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</si>
  <si>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</si>
  <si>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</si>
  <si>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</si>
  <si>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</si>
  <si>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</si>
  <si>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</si>
  <si>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</si>
  <si>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</si>
  <si>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</si>
  <si>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</si>
  <si>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</si>
  <si>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</si>
  <si>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</si>
  <si>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</si>
  <si>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</si>
  <si>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</si>
  <si>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</si>
  <si>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</si>
  <si>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</si>
  <si>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</si>
  <si>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</si>
  <si>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</si>
  <si>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</si>
  <si>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</si>
  <si>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</si>
  <si>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</si>
  <si>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</si>
  <si>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</si>
  <si>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</si>
  <si>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</si>
  <si>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</si>
  <si>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</si>
  <si>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</si>
  <si>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</si>
  <si>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</si>
  <si>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</si>
  <si>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</si>
  <si>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</si>
  <si>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</si>
  <si>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</si>
  <si>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</si>
  <si>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</si>
  <si>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</si>
  <si>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</si>
  <si>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</si>
  <si>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</si>
  <si>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</si>
  <si>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</si>
  <si>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</si>
  <si>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</si>
  <si>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</si>
  <si>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</si>
  <si>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</si>
  <si>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</si>
  <si>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</si>
  <si>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</si>
  <si>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</si>
  <si>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</si>
  <si>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</si>
  <si>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</si>
  <si>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</si>
  <si>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</si>
  <si>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</si>
  <si>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</si>
  <si>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</si>
  <si>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</si>
  <si>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</si>
  <si>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</si>
  <si>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</si>
  <si>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</si>
  <si>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</si>
  <si>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</si>
  <si>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</si>
  <si>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</si>
  <si>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</si>
  <si>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</si>
  <si>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</si>
  <si>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</si>
  <si>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</si>
  <si>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</si>
  <si>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</si>
  <si>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</si>
  <si>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</si>
  <si>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</si>
  <si>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</si>
  <si>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</si>
  <si>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</si>
  <si>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</si>
  <si>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</si>
  <si>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</si>
  <si>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</si>
  <si>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</si>
  <si>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</si>
  <si>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</si>
  <si>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</si>
  <si>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</si>
  <si>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</si>
  <si>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</si>
  <si>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</si>
  <si>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</si>
  <si>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</si>
  <si>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</si>
  <si>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</si>
  <si>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</si>
  <si>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</si>
  <si>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</si>
  <si>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</si>
  <si>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</si>
  <si>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</si>
  <si>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</si>
  <si>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</si>
  <si>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</si>
  <si>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</si>
  <si>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</si>
  <si>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</si>
  <si>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</si>
  <si>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</si>
  <si>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</si>
  <si>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</si>
  <si>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</si>
  <si>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</si>
  <si>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</si>
  <si>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</si>
  <si>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</si>
  <si>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</si>
  <si>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</si>
  <si>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</si>
  <si>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</si>
  <si>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</si>
  <si>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</si>
  <si>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</si>
  <si>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</si>
  <si>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</si>
  <si>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</si>
  <si>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</si>
  <si>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</si>
  <si>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</si>
  <si>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</si>
  <si>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</si>
  <si>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</si>
  <si>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</si>
  <si>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</si>
  <si>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</si>
  <si>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</si>
  <si>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</si>
  <si>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</si>
  <si>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</si>
  <si>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</si>
  <si>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</si>
  <si>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</si>
  <si>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</si>
  <si>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</si>
  <si>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</si>
  <si>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</si>
  <si>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</si>
  <si>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</si>
  <si>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</si>
  <si>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</si>
  <si>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</si>
  <si>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</si>
  <si>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</si>
  <si>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</si>
  <si>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</si>
  <si>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</si>
  <si>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</si>
  <si>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</si>
  <si>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</si>
  <si>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</si>
  <si>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</si>
  <si>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</si>
  <si>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</si>
  <si>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</si>
  <si>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</si>
  <si>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</si>
  <si>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</si>
  <si>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</si>
  <si>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</si>
  <si>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</si>
  <si>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</si>
  <si>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</si>
  <si>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</si>
  <si>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</si>
  <si>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</si>
  <si>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</si>
  <si>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</si>
  <si>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</si>
  <si>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</si>
  <si>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</si>
  <si>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</si>
  <si>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</si>
  <si>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</si>
  <si>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</si>
  <si>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</si>
  <si>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</si>
  <si>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</si>
  <si>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</si>
  <si>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</si>
  <si>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</si>
  <si>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</si>
  <si>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</si>
  <si>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</si>
  <si>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</si>
  <si>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</si>
  <si>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</si>
  <si>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</si>
  <si>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</si>
  <si>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</si>
  <si>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</si>
  <si>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</si>
  <si>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</si>
  <si>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</si>
  <si>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</si>
  <si>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</si>
  <si>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</si>
  <si>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</si>
  <si>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</si>
  <si>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</si>
  <si>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</si>
  <si>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</si>
  <si>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</si>
  <si>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</si>
  <si>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</si>
  <si>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</si>
  <si>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</si>
  <si>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</si>
  <si>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</si>
  <si>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</si>
  <si>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</si>
  <si>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</si>
  <si>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</si>
  <si>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</si>
  <si>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</si>
  <si>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</si>
  <si>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</si>
  <si>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</si>
  <si>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</si>
  <si>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</si>
  <si>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</si>
  <si>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</si>
  <si>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</si>
  <si>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</si>
  <si>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</si>
  <si>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</si>
  <si>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</si>
  <si>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</si>
  <si>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</si>
  <si>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</si>
  <si>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</si>
  <si>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</si>
  <si>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</si>
  <si>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</si>
  <si>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</si>
  <si>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</si>
  <si>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</si>
  <si>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</si>
  <si>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</si>
  <si>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</si>
  <si>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</si>
  <si>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</si>
  <si>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</si>
  <si>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</si>
  <si>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</si>
  <si>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</si>
  <si>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</si>
  <si>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</si>
  <si>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</si>
  <si>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</si>
  <si>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</si>
  <si>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</si>
  <si>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</si>
  <si>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</si>
  <si>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</si>
  <si>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</si>
  <si>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</si>
  <si>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</si>
  <si>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</si>
  <si>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</si>
  <si>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</si>
  <si>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</si>
  <si>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</si>
  <si>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</si>
  <si>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</si>
  <si>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</si>
  <si>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</si>
  <si>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</si>
  <si>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</si>
  <si>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</si>
  <si>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</si>
  <si>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</si>
  <si>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</si>
  <si>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</si>
  <si>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</si>
  <si>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</si>
  <si>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</si>
  <si>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</si>
  <si>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</si>
  <si>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</si>
  <si>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</si>
  <si>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</si>
  <si>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</si>
  <si>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</si>
  <si>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</si>
  <si>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</si>
  <si>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</si>
  <si>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</si>
  <si>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</si>
  <si>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</si>
  <si>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</si>
  <si>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</si>
  <si>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</si>
  <si>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</si>
  <si>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</si>
  <si>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</si>
  <si>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</si>
  <si>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</si>
  <si>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</si>
  <si>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</si>
  <si>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</si>
  <si>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</si>
  <si>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</si>
  <si>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</si>
  <si>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</si>
  <si>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</si>
  <si>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</si>
  <si>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</si>
  <si>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</si>
  <si>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</si>
  <si>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</si>
  <si>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</si>
  <si>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</si>
  <si>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</si>
  <si>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</si>
  <si>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</si>
  <si>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</si>
  <si>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</si>
  <si>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</si>
  <si>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</si>
  <si>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</si>
  <si>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</si>
  <si>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</si>
  <si>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</si>
  <si>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</si>
  <si>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</si>
  <si>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</si>
  <si>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</si>
  <si>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</si>
  <si>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</si>
  <si>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</si>
  <si>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</si>
  <si>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</si>
  <si>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</si>
  <si>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</si>
  <si>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</si>
  <si>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</si>
  <si>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</si>
  <si>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</si>
  <si>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</si>
  <si>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</si>
  <si>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</si>
  <si>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</si>
  <si>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</si>
  <si>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</si>
  <si>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</si>
  <si>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</si>
  <si>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</si>
  <si>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</si>
  <si>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</si>
  <si>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</si>
  <si>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</si>
  <si>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</si>
  <si>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</si>
  <si>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</si>
  <si>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</si>
  <si>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</si>
  <si>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</si>
  <si>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</si>
  <si>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</si>
  <si>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</si>
  <si>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</si>
  <si>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</si>
  <si>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</si>
  <si>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</si>
  <si>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</si>
  <si>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</si>
  <si>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</si>
  <si>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</si>
  <si>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</si>
  <si>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</si>
  <si>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</si>
  <si>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</si>
  <si>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</si>
  <si>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</si>
  <si>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</si>
  <si>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</si>
  <si>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</si>
  <si>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</si>
  <si>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</si>
  <si>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</si>
  <si>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</si>
  <si>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</si>
  <si>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</si>
  <si>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</si>
  <si>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</si>
  <si>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</si>
  <si>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</si>
  <si>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</si>
  <si>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</si>
  <si>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</si>
  <si>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</si>
  <si>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</si>
  <si>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</si>
  <si>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</si>
  <si>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</si>
  <si>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</si>
  <si>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</si>
  <si>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</si>
  <si>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</si>
  <si>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</si>
  <si>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</si>
  <si>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</si>
  <si>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</si>
  <si>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</si>
  <si>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</si>
  <si>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</si>
  <si>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</si>
  <si>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</si>
  <si>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</si>
  <si>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</si>
  <si>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</si>
  <si>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</si>
  <si>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</si>
  <si>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</si>
  <si>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</si>
  <si>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</si>
  <si>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</si>
  <si>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</si>
  <si>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</si>
  <si>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</si>
  <si>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</si>
  <si>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</si>
  <si>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</si>
  <si>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</si>
  <si>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</si>
  <si>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</si>
  <si>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</si>
  <si>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</si>
  <si>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</si>
  <si>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</si>
  <si>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</si>
  <si>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</si>
  <si>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</si>
  <si>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</si>
  <si>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</si>
  <si>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</si>
  <si>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</si>
  <si>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</si>
  <si>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</si>
  <si>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</si>
  <si>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</si>
  <si>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</si>
  <si>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</si>
  <si>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</si>
  <si>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</si>
  <si>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</si>
  <si>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</si>
  <si>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</si>
  <si>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</si>
  <si>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</si>
  <si>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</si>
  <si>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</si>
  <si>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</si>
  <si>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</si>
  <si>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</si>
  <si>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</si>
  <si>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</si>
  <si>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</si>
  <si>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</si>
  <si>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</si>
  <si>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</si>
  <si>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</si>
  <si>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</si>
  <si>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</si>
  <si>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</si>
  <si>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</si>
  <si>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</si>
  <si>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</si>
  <si>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</si>
  <si>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</si>
  <si>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</si>
  <si>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</si>
  <si>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</si>
  <si>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</si>
  <si>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</si>
  <si>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</si>
  <si>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</si>
  <si>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</si>
  <si>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</si>
  <si>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</si>
  <si>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</si>
  <si>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</si>
  <si>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</si>
  <si>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</si>
  <si>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</si>
  <si>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</si>
  <si>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</si>
  <si>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</si>
  <si>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</si>
  <si>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</si>
  <si>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</si>
  <si>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</si>
  <si>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</si>
  <si>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</si>
  <si>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</si>
  <si>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</si>
  <si>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</si>
  <si>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</si>
  <si>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</si>
  <si>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</si>
  <si>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</si>
  <si>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</si>
  <si>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</si>
  <si>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</si>
  <si>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</si>
  <si>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</si>
  <si>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</si>
  <si>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</si>
  <si>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</si>
  <si>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</si>
  <si>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</si>
  <si>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</si>
  <si>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</si>
  <si>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</si>
  <si>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</si>
  <si>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</si>
  <si>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</si>
  <si>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</si>
  <si>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</si>
  <si>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</si>
  <si>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</si>
  <si>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</si>
  <si>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</si>
  <si>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</si>
  <si>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</si>
  <si>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</si>
  <si>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</si>
  <si>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</si>
  <si>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</si>
  <si>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</si>
  <si>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</si>
  <si>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</si>
  <si>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</si>
  <si>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</si>
  <si>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</si>
  <si>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</si>
  <si>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</si>
  <si>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</si>
  <si>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</si>
  <si>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</si>
  <si>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</si>
  <si>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</si>
  <si>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</si>
  <si>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</si>
  <si>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</si>
  <si>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</si>
  <si>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</si>
  <si>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</si>
  <si>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</si>
  <si>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</si>
  <si>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</si>
  <si>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</si>
  <si>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</si>
  <si>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</si>
  <si>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</si>
  <si>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</si>
  <si>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</si>
  <si>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</si>
  <si>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</si>
  <si>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</si>
  <si>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</si>
  <si>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</si>
  <si>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</si>
  <si>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</si>
  <si>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</si>
  <si>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</si>
  <si>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</si>
  <si>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</si>
  <si>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</si>
  <si>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</si>
  <si>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</si>
  <si>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</si>
  <si>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</si>
  <si>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</si>
  <si>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</si>
  <si>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</si>
  <si>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</si>
  <si>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</si>
  <si>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</si>
  <si>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</si>
  <si>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</si>
  <si>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</si>
  <si>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</si>
  <si>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</si>
  <si>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</si>
  <si>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</si>
  <si>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</si>
  <si>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</si>
  <si>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</si>
  <si>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</si>
  <si>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</si>
  <si>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</si>
  <si>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</si>
  <si>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</si>
  <si>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</si>
  <si>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</si>
  <si>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</si>
  <si>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</si>
  <si>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</si>
  <si>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</si>
  <si>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</si>
  <si>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</si>
  <si>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</si>
  <si>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</si>
  <si>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</si>
  <si>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</si>
  <si>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</si>
  <si>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</si>
  <si>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</si>
  <si>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</si>
  <si>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</si>
  <si>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</si>
  <si>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</si>
  <si>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</si>
  <si>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</si>
  <si>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</si>
  <si>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</si>
  <si>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</si>
  <si>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</si>
  <si>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</si>
  <si>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</si>
  <si>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</si>
  <si>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</si>
  <si>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</si>
  <si>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</si>
  <si>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</si>
  <si>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</si>
  <si>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</si>
  <si>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</si>
  <si>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</si>
  <si>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</si>
  <si>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</si>
  <si>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</si>
  <si>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</si>
  <si>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</si>
  <si>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</si>
  <si>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</si>
  <si>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</si>
  <si>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</si>
  <si>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</si>
  <si>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</si>
  <si>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</si>
  <si>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</si>
  <si>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</si>
  <si>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</si>
  <si>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</si>
  <si>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</si>
  <si>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</si>
  <si>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</si>
  <si>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</si>
  <si>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</si>
  <si>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</si>
  <si>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</si>
  <si>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</si>
  <si>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</si>
  <si>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</si>
  <si>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</si>
  <si>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</si>
  <si>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</si>
  <si>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</si>
  <si>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</si>
  <si>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</si>
  <si>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</si>
  <si>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</si>
  <si>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</si>
  <si>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</si>
  <si>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</si>
  <si>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</si>
  <si>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</si>
  <si>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</si>
  <si>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</si>
  <si>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</si>
  <si>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</si>
  <si>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</si>
  <si>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</si>
  <si>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</si>
  <si>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</si>
  <si>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</si>
  <si>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</si>
  <si>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</si>
  <si>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</si>
  <si>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</si>
  <si>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</si>
  <si>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</si>
  <si>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</si>
  <si>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</si>
  <si>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</si>
  <si>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</si>
  <si>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</si>
  <si>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</si>
  <si>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</si>
  <si>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</si>
  <si>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</si>
  <si>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</si>
  <si>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</si>
  <si>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</si>
  <si>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</si>
  <si>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</si>
  <si>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</si>
  <si>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</si>
  <si>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</si>
  <si>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</si>
  <si>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</si>
  <si>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</si>
  <si>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</si>
  <si>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</si>
  <si>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</si>
  <si>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</si>
  <si>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</si>
  <si>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</si>
  <si>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</si>
  <si>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</si>
  <si>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</si>
  <si>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</si>
  <si>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</si>
  <si>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</si>
  <si>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</si>
  <si>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</si>
  <si>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</si>
  <si>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</si>
  <si>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</si>
  <si>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</si>
  <si>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</si>
  <si>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</si>
  <si>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</si>
  <si>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</si>
  <si>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</si>
  <si>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</si>
  <si>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</si>
  <si>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</si>
  <si>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</si>
  <si>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</si>
  <si>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</si>
  <si>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</si>
  <si>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</si>
  <si>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</si>
  <si>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</si>
  <si>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</si>
  <si>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</si>
  <si>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</si>
  <si>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</si>
  <si>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</si>
  <si>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</si>
  <si>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</si>
  <si>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</si>
  <si>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</si>
  <si>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</si>
  <si>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</si>
  <si>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</si>
  <si>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</si>
  <si>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</si>
  <si>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</si>
  <si>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</si>
  <si>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</si>
  <si>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</si>
  <si>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</si>
  <si>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</si>
  <si>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</si>
  <si>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</si>
  <si>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</si>
  <si>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</si>
  <si>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</si>
  <si>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</si>
  <si>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</si>
  <si>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</si>
  <si>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</si>
  <si>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</si>
  <si>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</si>
  <si>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</si>
  <si>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</si>
  <si>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</si>
  <si>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</si>
  <si>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</si>
  <si>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</si>
  <si>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</si>
  <si>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</si>
  <si>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</si>
  <si>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</si>
  <si>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</si>
  <si>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</si>
  <si>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</si>
  <si>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</si>
  <si>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</si>
  <si>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</si>
  <si>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</si>
  <si>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</si>
  <si>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</si>
  <si>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</si>
  <si>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</si>
  <si>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</si>
  <si>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</si>
  <si>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</si>
  <si>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</si>
  <si>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</si>
  <si>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</si>
  <si>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</si>
  <si>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</si>
  <si>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</si>
  <si>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</si>
  <si>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</si>
  <si>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</si>
  <si>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</si>
  <si>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</si>
  <si>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</si>
  <si>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</si>
  <si>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</si>
  <si>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</si>
  <si>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</si>
  <si>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</si>
  <si>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</si>
  <si>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</si>
  <si>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</si>
  <si>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</si>
  <si>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</si>
  <si>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</si>
  <si>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</si>
  <si>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</si>
  <si>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</si>
  <si>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</si>
  <si>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</si>
  <si>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</si>
  <si>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</si>
  <si>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</si>
  <si>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</si>
  <si>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</si>
  <si>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</si>
  <si>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</si>
  <si>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</si>
  <si>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</si>
  <si>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</si>
  <si>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</si>
  <si>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</si>
  <si>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</si>
  <si>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</si>
  <si>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</si>
  <si>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</si>
  <si>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</si>
  <si>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</si>
  <si>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</si>
  <si>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</si>
  <si>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</si>
  <si>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</si>
  <si>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</si>
  <si>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</si>
  <si>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</si>
  <si>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</si>
  <si>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</si>
  <si>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</si>
  <si>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</si>
  <si>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</si>
  <si>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</si>
  <si>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</si>
  <si>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</si>
  <si>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</si>
  <si>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</si>
  <si>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</si>
  <si>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</si>
  <si>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</si>
  <si>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</si>
  <si>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</si>
  <si>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</si>
  <si>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</si>
  <si>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</si>
  <si>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</si>
  <si>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</si>
  <si>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</si>
  <si>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</si>
  <si>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</si>
  <si>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</si>
  <si>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</si>
  <si>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</si>
  <si>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</si>
  <si>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</si>
  <si>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</si>
  <si>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</si>
  <si>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</si>
  <si>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</si>
  <si>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</si>
  <si>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</si>
  <si>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</si>
  <si>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</si>
  <si>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</si>
  <si>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</si>
  <si>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</si>
  <si>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</si>
  <si>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</si>
  <si>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</si>
  <si>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</si>
  <si>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</si>
  <si>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</si>
  <si>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</si>
  <si>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</si>
  <si>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</si>
  <si>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</si>
  <si>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</si>
  <si>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</si>
  <si>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</si>
  <si>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</si>
  <si>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</si>
  <si>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</si>
  <si>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</si>
  <si>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</si>
  <si>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</si>
  <si>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</si>
  <si>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</si>
  <si>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</si>
  <si>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</si>
  <si>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</si>
  <si>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</si>
  <si>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</si>
  <si>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</si>
  <si>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</si>
  <si>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</si>
  <si>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</si>
  <si>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</si>
  <si>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</si>
  <si>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</si>
  <si>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</si>
  <si>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</si>
  <si>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</si>
  <si>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</si>
  <si>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</si>
  <si>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</si>
  <si>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</si>
  <si>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</si>
  <si>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</si>
  <si>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</si>
  <si>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</si>
  <si>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</si>
  <si>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</si>
  <si>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</si>
  <si>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</si>
  <si>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</si>
  <si>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</si>
  <si>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</si>
  <si>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</si>
  <si>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</si>
  <si>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</si>
  <si>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</si>
  <si>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</si>
  <si>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</si>
  <si>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</si>
  <si>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</si>
  <si>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</si>
  <si>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</si>
  <si>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</si>
  <si>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</si>
  <si>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</si>
  <si>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</si>
  <si>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</si>
  <si>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</si>
  <si>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</si>
  <si>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</si>
  <si>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</si>
  <si>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</si>
  <si>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</si>
  <si>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</si>
  <si>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</si>
  <si>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</si>
  <si>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</si>
  <si>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</si>
  <si>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</si>
  <si>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</si>
  <si>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</si>
  <si>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</si>
  <si>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</si>
  <si>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</si>
  <si>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</si>
  <si>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</si>
  <si>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</si>
  <si>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</si>
  <si>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</si>
  <si>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</si>
  <si>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</si>
  <si>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</si>
  <si>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</si>
  <si>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</si>
  <si>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</si>
  <si>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</si>
  <si>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</si>
  <si>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</si>
  <si>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</si>
  <si>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</si>
  <si>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</si>
  <si>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</si>
  <si>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</si>
  <si>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</si>
  <si>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</si>
  <si>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</si>
  <si>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</si>
  <si>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</si>
  <si>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</si>
  <si>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</si>
  <si>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</si>
  <si>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</si>
  <si>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</si>
  <si>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</si>
  <si>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</si>
  <si>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</si>
  <si>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</si>
  <si>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</si>
  <si>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</si>
  <si>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</si>
  <si>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</si>
  <si>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</si>
  <si>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</si>
  <si>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</si>
  <si>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</si>
  <si>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</si>
  <si>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</si>
  <si>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</si>
  <si>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</si>
  <si>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</si>
  <si>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</si>
  <si>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</si>
  <si>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</si>
  <si>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</si>
  <si>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</si>
  <si>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</si>
  <si>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</si>
  <si>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</si>
  <si>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</si>
  <si>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</si>
  <si>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</si>
  <si>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</si>
  <si>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</si>
  <si>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</si>
  <si>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</si>
  <si>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</si>
  <si>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</si>
  <si>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</si>
  <si>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</si>
  <si>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</si>
  <si>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</si>
  <si>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</si>
  <si>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</si>
  <si>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</si>
  <si>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</si>
  <si>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</si>
  <si>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</si>
  <si>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</si>
  <si>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</si>
  <si>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</si>
  <si>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</si>
  <si>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</si>
  <si>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</si>
  <si>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</si>
  <si>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</si>
  <si>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</si>
  <si>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</si>
  <si>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</si>
  <si>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</si>
  <si>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</si>
  <si>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</si>
  <si>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</si>
  <si>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</si>
  <si>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</si>
  <si>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</si>
  <si>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</si>
  <si>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</si>
  <si>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</si>
  <si>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</si>
  <si>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</si>
  <si>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</si>
  <si>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</si>
  <si>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</si>
  <si>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</si>
  <si>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</si>
  <si>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</si>
  <si>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</si>
  <si>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</si>
  <si>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</si>
  <si>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</si>
  <si>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</si>
  <si>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</si>
  <si>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</si>
  <si>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</si>
  <si>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</si>
  <si>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</si>
  <si>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</si>
  <si>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</si>
  <si>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</si>
  <si>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</si>
  <si>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</si>
  <si>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</si>
  <si>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</si>
  <si>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</si>
  <si>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</si>
  <si>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</si>
  <si>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</si>
  <si>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</si>
  <si>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</si>
  <si>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</si>
  <si>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</si>
  <si>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</si>
  <si>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</si>
  <si>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</si>
  <si>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</si>
  <si>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</si>
  <si>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</si>
  <si>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</si>
  <si>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</si>
  <si>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</si>
  <si>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</si>
  <si>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</si>
  <si>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</si>
  <si>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</si>
  <si>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</si>
  <si>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</si>
  <si>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</si>
  <si>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</si>
  <si>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</si>
  <si>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</si>
  <si>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</si>
  <si>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</si>
  <si>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</si>
  <si>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</si>
  <si>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</si>
  <si>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</si>
  <si>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</si>
  <si>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</si>
  <si>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</si>
  <si>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</si>
  <si>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</si>
  <si>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</si>
  <si>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</si>
  <si>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</si>
  <si>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</si>
  <si>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</si>
  <si>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</si>
  <si>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</si>
  <si>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</si>
  <si>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</si>
  <si>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</si>
  <si>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</si>
  <si>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</si>
  <si>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</si>
  <si>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</si>
  <si>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State Council on Developmental Disabilities.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</si>
</sst>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0"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11"/>
      <color indexed="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49" fillId="0" borderId="0"/>
    <xf numFmtId="0" fontId="1" fillId="0" borderId="0"/>
    <xf numFmtId="0" fontId="1" fillId="0" borderId="0"/>
    <xf numFmtId="0" fontId="1" fillId="0" borderId="0"/>
    <xf numFmtId="0" fontId="44" fillId="0" borderId="0"/>
    <xf numFmtId="0" fontId="1" fillId="0" borderId="0"/>
    <xf numFmtId="43" fontId="49" fillId="0" borderId="0" applyFont="0" applyFill="0" applyBorder="0" applyAlignment="0" applyProtection="0"/>
    <xf numFmtId="44" fontId="49" fillId="0" borderId="0" applyFont="0" applyFill="0" applyBorder="0" applyAlignment="0" applyProtection="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12">
    <cellStyle name="Comma" xfId="1" builtinId="3"/>
    <cellStyle name="Comma 2" xfId="10" xr:uid="{F0547BFD-412A-4918-BD45-648AE47CC914}"/>
    <cellStyle name="Currency" xfId="2" builtinId="4"/>
    <cellStyle name="Currency 2" xfId="11" xr:uid="{F374C29D-BFA2-4D7E-9C34-F6A73CAD818A}"/>
    <cellStyle name="Normal" xfId="0" builtinId="0"/>
    <cellStyle name="Normal 2" xfId="3" xr:uid="{00000000-0005-0000-0000-000003000000}"/>
    <cellStyle name="Normal 2 2 2 2" xfId="6" xr:uid="{D015E8B5-E7D2-4011-A6C5-2D7E452958DA}"/>
    <cellStyle name="Normal 2 3 2" xfId="7" xr:uid="{2848088E-4C11-48DA-9972-3E27188AE8B6}"/>
    <cellStyle name="Normal 2 4" xfId="4" xr:uid="{457C3D6A-3B36-467D-8F4B-AE35DFE69E34}"/>
    <cellStyle name="Normal 2 4 2" xfId="5" xr:uid="{9DA09D69-411A-4DC2-BD52-A8884D902E12}"/>
    <cellStyle name="Normal 3" xfId="8" xr:uid="{637EE0FA-6FAF-4986-9E63-F6C1C57F3701}"/>
    <cellStyle name="Normal 5" xfId="9" xr:uid="{164C4E7A-E731-4E7E-9789-B2CFD95ED3D6}"/>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198E0"/>
      <color rgb="FF75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Department%20Responses\Dump%20File%20(review%20and%20organize%20at%20a%20later%20date)\BU%204100%20-%20FY2022-23%20GASB_87_Annual_Reporting_Submission_Workbook_FF.xlsx" TargetMode="External"/><Relationship Id="rId1" Type="http://schemas.openxmlformats.org/officeDocument/2006/relationships/externalLinkPath" Target="BU%204100%20-%20FY2022-23%20GASB_87_Annual_Reporting_Submission_Workbook_F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890 Journal Entries"/>
      <sheetName val="LS-Department Note Disclosure"/>
      <sheetName val="LS-Lease Liabilities"/>
      <sheetName val="LS-Check Figures  "/>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A13" sqref="A13"/>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814</v>
      </c>
      <c r="G5" s="191"/>
      <c r="H5" s="191"/>
      <c r="I5" s="191"/>
      <c r="L5" s="12"/>
      <c r="M5" s="12"/>
      <c r="N5" s="12"/>
      <c r="O5" s="12"/>
      <c r="P5" s="12"/>
      <c r="Q5" s="12"/>
    </row>
    <row r="6" spans="1:19" ht="16.5" customHeight="1" x14ac:dyDescent="0.3">
      <c r="A6" s="189" t="s">
        <v>1635</v>
      </c>
      <c r="B6" s="189"/>
      <c r="C6" s="189"/>
      <c r="D6" s="189"/>
      <c r="E6" s="189"/>
      <c r="F6" s="192">
        <v>1</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275359</v>
      </c>
      <c r="M17" s="143">
        <v>275359</v>
      </c>
      <c r="P17" s="143">
        <v>275359</v>
      </c>
      <c r="Q17" s="155"/>
      <c r="S17" s="154">
        <f t="shared" si="0"/>
        <v>0</v>
      </c>
    </row>
    <row r="18" spans="1:19" ht="16.5" customHeight="1" x14ac:dyDescent="0.3">
      <c r="A18" s="54"/>
      <c r="B18" s="9" t="s">
        <v>169</v>
      </c>
      <c r="C18" s="9"/>
      <c r="D18" s="9"/>
      <c r="E18" s="140"/>
      <c r="F18" s="141"/>
      <c r="G18" s="141"/>
      <c r="H18" s="142"/>
      <c r="I18" s="142"/>
      <c r="J18" s="178">
        <f>P18</f>
        <v>12537</v>
      </c>
      <c r="M18" s="143">
        <v>12537</v>
      </c>
      <c r="P18" s="152">
        <f>IF(SUM($Q$20:$Q$23)&gt;SUM($P$15:$P$17),SUM($Q$20:$Q$23)-SUM($P$15:$P$17),0)</f>
        <v>12537</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146772</v>
      </c>
      <c r="N22" s="143">
        <v>146772</v>
      </c>
      <c r="P22" s="155"/>
      <c r="Q22" s="143">
        <v>146772</v>
      </c>
      <c r="S22" s="154">
        <f t="shared" ref="S22:S25" si="1">Q22-N22</f>
        <v>0</v>
      </c>
    </row>
    <row r="23" spans="1:19" ht="16.5" customHeight="1" x14ac:dyDescent="0.3">
      <c r="A23" s="165" t="s">
        <v>1646</v>
      </c>
      <c r="B23" s="9"/>
      <c r="C23" s="9" t="s">
        <v>174</v>
      </c>
      <c r="D23" s="9"/>
      <c r="E23" s="140"/>
      <c r="F23" s="141"/>
      <c r="G23" s="141"/>
      <c r="H23" s="142"/>
      <c r="I23" s="142"/>
      <c r="J23" s="150"/>
      <c r="K23" s="178">
        <f>N23</f>
        <v>141124</v>
      </c>
      <c r="N23" s="143">
        <v>141124</v>
      </c>
      <c r="P23" s="155"/>
      <c r="Q23" s="143">
        <v>141124</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287896</v>
      </c>
      <c r="K26" s="107">
        <f>SUM(K15:K25)</f>
        <v>287896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63866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63866</v>
      </c>
    </row>
    <row r="59" spans="1:16" ht="16.5" customHeight="1" x14ac:dyDescent="0.3">
      <c r="A59" s="54"/>
      <c r="C59" s="16"/>
      <c r="D59" s="16"/>
      <c r="E59" s="16"/>
      <c r="F59" s="17"/>
      <c r="G59" s="17"/>
      <c r="H59" s="18"/>
      <c r="I59" s="18"/>
      <c r="J59" s="107">
        <f>SUM(J55:J58)</f>
        <v>63866</v>
      </c>
      <c r="K59" s="107">
        <f>SUM(K55:K58)</f>
        <v>63866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63684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189</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63873</v>
      </c>
    </row>
    <row r="65" spans="1:12" ht="16.5" customHeight="1" x14ac:dyDescent="0.3">
      <c r="A65" s="54"/>
      <c r="C65" s="16"/>
      <c r="D65" s="16"/>
      <c r="E65" s="16"/>
      <c r="F65" s="17"/>
      <c r="G65" s="17"/>
      <c r="H65" s="18"/>
      <c r="I65" s="18"/>
      <c r="J65" s="107">
        <f>SUM(J62:J64)</f>
        <v>63873</v>
      </c>
      <c r="K65" s="107">
        <f>SUM(K62:K64)</f>
        <v>63873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63684</v>
      </c>
      <c r="K68" s="144"/>
    </row>
    <row r="69" spans="1:12" ht="16.5" customHeight="1" x14ac:dyDescent="0.3">
      <c r="A69" s="54"/>
      <c r="B69" s="9"/>
      <c r="C69" s="9" t="s">
        <v>186</v>
      </c>
      <c r="D69" s="140"/>
      <c r="E69" s="140"/>
      <c r="F69" s="141"/>
      <c r="G69" s="141"/>
      <c r="H69" s="142"/>
      <c r="I69" s="142"/>
      <c r="J69" s="144"/>
      <c r="K69" s="143">
        <v>63684</v>
      </c>
    </row>
    <row r="70" spans="1:12" ht="16.5" customHeight="1" x14ac:dyDescent="0.3">
      <c r="A70" s="54"/>
      <c r="C70" s="16"/>
      <c r="D70" s="16"/>
      <c r="E70" s="16"/>
      <c r="F70" s="17"/>
      <c r="G70" s="17"/>
      <c r="H70" s="18"/>
      <c r="I70" s="18"/>
      <c r="J70" s="107">
        <f>SUM(J68:J69)</f>
        <v>63684</v>
      </c>
      <c r="K70" s="107">
        <f>SUM(K68:K69)</f>
        <v>63684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59231</v>
      </c>
      <c r="K75" s="144"/>
    </row>
    <row r="76" spans="1:12" ht="16.5" customHeight="1" x14ac:dyDescent="0.3">
      <c r="A76" s="54"/>
      <c r="B76" s="9"/>
      <c r="C76" s="9" t="s">
        <v>194</v>
      </c>
      <c r="D76" s="140"/>
      <c r="E76" s="140"/>
      <c r="F76" s="141"/>
      <c r="G76" s="141"/>
      <c r="H76" s="142"/>
      <c r="I76" s="142"/>
      <c r="J76" s="144"/>
      <c r="K76" s="143">
        <v>59231</v>
      </c>
    </row>
    <row r="77" spans="1:12" ht="16.5" customHeight="1" x14ac:dyDescent="0.25">
      <c r="A77" s="54"/>
      <c r="B77" s="187" t="s">
        <v>1735</v>
      </c>
      <c r="C77" s="187"/>
      <c r="D77" s="187"/>
      <c r="E77" s="187"/>
      <c r="F77" s="187"/>
      <c r="G77" s="187"/>
      <c r="H77" s="187"/>
      <c r="I77" s="187"/>
      <c r="J77" s="107">
        <f>SUM(J75:J76)</f>
        <v>59231</v>
      </c>
      <c r="K77" s="107">
        <f>SUM(K75:K76)</f>
        <v>59231</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275359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-210638</v>
      </c>
    </row>
    <row r="128" spans="1:12" ht="16.5" customHeight="1" x14ac:dyDescent="0.3">
      <c r="D128" s="140" t="s">
        <v>1657</v>
      </c>
      <c r="H128" s="10"/>
      <c r="K128" s="169">
        <f>-K23-K48+J68+J75+J96-K113</f>
        <v>-18209</v>
      </c>
    </row>
    <row r="129" spans="4:11" ht="16.5" customHeight="1" x14ac:dyDescent="0.3">
      <c r="D129" s="140" t="s">
        <v>1658</v>
      </c>
      <c r="H129" s="10"/>
      <c r="K129" s="169">
        <f>-K76</f>
        <v>-59231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959B-9FAA-4546-9F72-A3629647AE1D}">
  <sheetPr>
    <tabColor theme="9" tint="0.59999389629810485"/>
    <pageSetUpPr fitToPage="1"/>
  </sheetPr>
  <dimension ref="A1:S193"/>
  <sheetViews>
    <sheetView zoomScale="80" zoomScaleNormal="80" workbookViewId="0">
      <selection activeCell="L20" sqref="L20"/>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814</v>
      </c>
      <c r="G5" s="191"/>
      <c r="H5" s="191"/>
      <c r="I5" s="191"/>
      <c r="L5" s="12"/>
      <c r="M5" s="12"/>
      <c r="N5" s="12"/>
      <c r="O5" s="12"/>
      <c r="P5" s="12"/>
      <c r="Q5" s="12"/>
    </row>
    <row r="6" spans="1:19" ht="16.5" customHeight="1" x14ac:dyDescent="0.3">
      <c r="A6" s="189" t="s">
        <v>1635</v>
      </c>
      <c r="B6" s="189"/>
      <c r="C6" s="189"/>
      <c r="D6" s="189"/>
      <c r="E6" s="189"/>
      <c r="F6" s="192" t="s">
        <v>397</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Fund",VLOOKUP(F5,[2]qryIndex02a!$A$2:$K$654,4,FALSE)),"Unidentified")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444533</v>
      </c>
      <c r="M17" s="143">
        <v>444533</v>
      </c>
      <c r="P17" s="143">
        <v>444533</v>
      </c>
      <c r="Q17" s="155"/>
      <c r="S17" s="154">
        <f t="shared" si="0"/>
        <v>0</v>
      </c>
    </row>
    <row r="18" spans="1:19" ht="16.5" customHeight="1" x14ac:dyDescent="0.3">
      <c r="A18" s="54"/>
      <c r="B18" s="9" t="s">
        <v>169</v>
      </c>
      <c r="C18" s="9"/>
      <c r="D18" s="9"/>
      <c r="E18" s="140"/>
      <c r="F18" s="141"/>
      <c r="G18" s="141"/>
      <c r="H18" s="142"/>
      <c r="I18" s="142"/>
      <c r="J18" s="178">
        <f>P18</f>
        <v>20239</v>
      </c>
      <c r="M18" s="143">
        <v>20239</v>
      </c>
      <c r="P18" s="152">
        <f>IF(SUM($Q$20:$Q$23)&gt;SUM($P$15:$P$17),SUM($Q$20:$Q$23)-SUM($P$15:$P$17),0)</f>
        <v>20239</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236946</v>
      </c>
      <c r="N22" s="143">
        <v>236946</v>
      </c>
      <c r="P22" s="155"/>
      <c r="Q22" s="143">
        <v>236946</v>
      </c>
      <c r="S22" s="154">
        <f t="shared" ref="S22:S25" si="1">Q22-N22</f>
        <v>0</v>
      </c>
    </row>
    <row r="23" spans="1:19" ht="16.5" customHeight="1" x14ac:dyDescent="0.3">
      <c r="A23" s="165" t="s">
        <v>1646</v>
      </c>
      <c r="B23" s="9"/>
      <c r="C23" s="9" t="s">
        <v>174</v>
      </c>
      <c r="D23" s="9"/>
      <c r="E23" s="140"/>
      <c r="F23" s="141"/>
      <c r="G23" s="141"/>
      <c r="H23" s="142"/>
      <c r="I23" s="142"/>
      <c r="J23" s="150"/>
      <c r="K23" s="178">
        <f>N23</f>
        <v>227826</v>
      </c>
      <c r="N23" s="143">
        <v>227826</v>
      </c>
      <c r="P23" s="155"/>
      <c r="Q23" s="143">
        <v>227826</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464772</v>
      </c>
      <c r="K26" s="107">
        <f>SUM(K15:K25)</f>
        <v>464772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103104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103104</v>
      </c>
    </row>
    <row r="59" spans="1:16" ht="16.5" customHeight="1" x14ac:dyDescent="0.3">
      <c r="A59" s="54"/>
      <c r="C59" s="16"/>
      <c r="D59" s="16"/>
      <c r="E59" s="16"/>
      <c r="F59" s="17"/>
      <c r="G59" s="17"/>
      <c r="H59" s="18"/>
      <c r="I59" s="18"/>
      <c r="J59" s="107">
        <f>SUM(J55:J58)</f>
        <v>103104</v>
      </c>
      <c r="K59" s="107">
        <f>SUM(K55:K58)</f>
        <v>103104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102809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304</v>
      </c>
      <c r="K63" s="147"/>
    </row>
    <row r="64" spans="1:16" ht="16.5" customHeight="1" x14ac:dyDescent="0.3">
      <c r="A64" s="54"/>
      <c r="B64" s="9"/>
      <c r="C64" s="9" t="str">
        <f>IF($F$7="Proprietary","Cr: Acct 0870 - SERVICES &amp; CHARGES (MG ADJ)",VLOOKUP($F$9,'[2]Drop Down Menus'!$F$2:$G$10,2,FALSE))</f>
        <v>Cr: Acct 0815 - HLTH&amp;HUM SV SV.LAB(GAAP ADJ)</v>
      </c>
      <c r="D64" s="140"/>
      <c r="E64" s="140"/>
      <c r="F64" s="141"/>
      <c r="G64" s="141"/>
      <c r="H64" s="142"/>
      <c r="I64" s="142"/>
      <c r="J64" s="147"/>
      <c r="K64" s="143">
        <v>103113</v>
      </c>
    </row>
    <row r="65" spans="1:12" ht="16.5" customHeight="1" x14ac:dyDescent="0.3">
      <c r="A65" s="54"/>
      <c r="C65" s="16"/>
      <c r="D65" s="16"/>
      <c r="E65" s="16"/>
      <c r="F65" s="17"/>
      <c r="G65" s="17"/>
      <c r="H65" s="18"/>
      <c r="I65" s="18"/>
      <c r="J65" s="107">
        <f>SUM(J62:J64)</f>
        <v>103113</v>
      </c>
      <c r="K65" s="107">
        <f>SUM(K62:K64)</f>
        <v>103113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102809</v>
      </c>
      <c r="K68" s="144"/>
    </row>
    <row r="69" spans="1:12" ht="16.5" customHeight="1" x14ac:dyDescent="0.3">
      <c r="A69" s="54"/>
      <c r="B69" s="9"/>
      <c r="C69" s="9" t="s">
        <v>186</v>
      </c>
      <c r="D69" s="140"/>
      <c r="E69" s="140"/>
      <c r="F69" s="141"/>
      <c r="G69" s="141"/>
      <c r="H69" s="142"/>
      <c r="I69" s="142"/>
      <c r="J69" s="144"/>
      <c r="K69" s="143">
        <v>102809</v>
      </c>
    </row>
    <row r="70" spans="1:12" ht="16.5" customHeight="1" x14ac:dyDescent="0.3">
      <c r="A70" s="54"/>
      <c r="C70" s="16"/>
      <c r="D70" s="16"/>
      <c r="E70" s="16"/>
      <c r="F70" s="17"/>
      <c r="G70" s="17"/>
      <c r="H70" s="18"/>
      <c r="I70" s="18"/>
      <c r="J70" s="107">
        <f>SUM(J68:J69)</f>
        <v>102809</v>
      </c>
      <c r="K70" s="107">
        <f>SUM(K68:K69)</f>
        <v>102809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95621</v>
      </c>
      <c r="K75" s="144"/>
    </row>
    <row r="76" spans="1:12" ht="16.5" customHeight="1" x14ac:dyDescent="0.3">
      <c r="A76" s="54"/>
      <c r="B76" s="9"/>
      <c r="C76" s="9" t="s">
        <v>194</v>
      </c>
      <c r="D76" s="140"/>
      <c r="E76" s="140"/>
      <c r="F76" s="141"/>
      <c r="G76" s="141"/>
      <c r="H76" s="142"/>
      <c r="I76" s="142"/>
      <c r="J76" s="144"/>
      <c r="K76" s="143">
        <v>95621</v>
      </c>
    </row>
    <row r="77" spans="1:12" ht="16.5" customHeight="1" x14ac:dyDescent="0.25">
      <c r="A77" s="54"/>
      <c r="B77" s="187" t="s">
        <v>1735</v>
      </c>
      <c r="C77" s="187"/>
      <c r="D77" s="187"/>
      <c r="E77" s="187"/>
      <c r="F77" s="187"/>
      <c r="G77" s="187"/>
      <c r="H77" s="187"/>
      <c r="I77" s="187"/>
      <c r="J77" s="107">
        <f>SUM(J75:J76)</f>
        <v>95621</v>
      </c>
      <c r="K77" s="107">
        <f>SUM(K75:K76)</f>
        <v>95621</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444533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-340050</v>
      </c>
    </row>
    <row r="128" spans="1:12" ht="16.5" customHeight="1" x14ac:dyDescent="0.3">
      <c r="D128" s="140" t="s">
        <v>1657</v>
      </c>
      <c r="H128" s="10"/>
      <c r="K128" s="169">
        <f>-K23-K48+J68+J75+J96-K113</f>
        <v>-29396</v>
      </c>
    </row>
    <row r="129" spans="4:11" ht="16.5" customHeight="1" x14ac:dyDescent="0.3">
      <c r="D129" s="140" t="s">
        <v>1658</v>
      </c>
      <c r="H129" s="10"/>
      <c r="K129" s="169">
        <f>-K76</f>
        <v>-95621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1:K1"/>
    <mergeCell ref="A3:E3"/>
    <mergeCell ref="F3:I3"/>
    <mergeCell ref="A4:E4"/>
    <mergeCell ref="F4:I4"/>
    <mergeCell ref="A5:E5"/>
    <mergeCell ref="F5:I5"/>
  </mergeCells>
  <dataValidations count="3">
    <dataValidation type="textLength" operator="equal" allowBlank="1" showInputMessage="1" showErrorMessage="1" errorTitle="4-Digit Org Code" error="Enter the Org Code/BU as 4 digits." sqref="F5" xr:uid="{23FBB733-8CDE-4651-B832-998433F67B2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8CF6F53-41F1-4A20-9CC6-8241F242DC6B}">
      <formula1>0</formula1>
    </dataValidation>
    <dataValidation operator="lessThan" allowBlank="1" showInputMessage="1" showErrorMessage="1" sqref="A3:A8" xr:uid="{143468A5-DFD5-4461-AF29-166B6E6EBE3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L20" sqref="L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4100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f>59231+95621</f>
        <v>154852</v>
      </c>
      <c r="C13" s="55">
        <f>88+142</f>
        <v>230</v>
      </c>
      <c r="D13" s="197" t="s">
        <v>4</v>
      </c>
      <c r="E13" s="198"/>
      <c r="F13" s="198"/>
      <c r="G13" s="29"/>
      <c r="H13" s="29"/>
      <c r="I13" s="29"/>
      <c r="J13" s="29"/>
      <c r="K13" s="29"/>
      <c r="L13" s="29"/>
      <c r="M13" s="29"/>
    </row>
    <row r="14" spans="1:13" x14ac:dyDescent="0.25">
      <c r="A14" s="51" t="str">
        <f>LEFT(A13,4)+1&amp;"–"&amp;RIGHT(A13,4)+1</f>
        <v>2024–2025</v>
      </c>
      <c r="B14" s="55">
        <f>18209+29396</f>
        <v>47605</v>
      </c>
      <c r="C14" s="55">
        <f>11+17</f>
        <v>28</v>
      </c>
      <c r="D14" s="197"/>
      <c r="E14" s="198"/>
      <c r="F14" s="198"/>
    </row>
    <row r="15" spans="1:13" ht="15.6" x14ac:dyDescent="0.25">
      <c r="A15" s="51" t="str">
        <f>LEFT(A14,4)+1&amp;"–"&amp;RIGHT(A14,4)+1</f>
        <v>2025–2026</v>
      </c>
      <c r="B15" s="55"/>
      <c r="C15" s="55"/>
      <c r="D15" s="194" t="s">
        <v>125</v>
      </c>
      <c r="E15" s="194"/>
      <c r="F15" s="194"/>
      <c r="G15" s="30"/>
      <c r="H15" s="30"/>
      <c r="I15" s="30"/>
      <c r="J15" s="30"/>
      <c r="K15" s="30"/>
      <c r="L15" s="30"/>
      <c r="M15" s="30"/>
    </row>
    <row r="16" spans="1:13" x14ac:dyDescent="0.25">
      <c r="A16" s="51" t="str">
        <f>LEFT(A15,4)+1&amp;"–"&amp;RIGHT(A15,4)+1</f>
        <v>2026–2027</v>
      </c>
      <c r="B16" s="55"/>
      <c r="C16" s="55"/>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c r="C17" s="55"/>
      <c r="D17" s="194"/>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1673</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4100</v>
      </c>
      <c r="C40" s="202"/>
      <c r="E40" s="32"/>
    </row>
    <row r="41" spans="1:13" ht="15.6" x14ac:dyDescent="0.3">
      <c r="A41" s="5" t="s">
        <v>192</v>
      </c>
      <c r="B41" s="200" t="str">
        <f>B10</f>
        <v>State Council on Developmental Disabilities.</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4100</v>
      </c>
      <c r="C71" s="202"/>
    </row>
    <row r="72" spans="1:13" ht="15.6" x14ac:dyDescent="0.3">
      <c r="A72" s="5" t="s">
        <v>192</v>
      </c>
      <c r="B72" s="200" t="str">
        <f>B10</f>
        <v>State Council on Developmental Disabilities.</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L20" sqref="L2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4100 - State Council on Developmental Disabilities.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Entries'!K23+'LS-Fund 0890 Journal Entries'!K23</f>
        <v>368950</v>
      </c>
      <c r="G10" s="58"/>
      <c r="H10" s="61"/>
      <c r="I10" s="58"/>
      <c r="J10" s="61">
        <f>'LS-Fund 0001 Journal Entries'!J68+'LS-Fund 0890 Journal Entries'!J68</f>
        <v>166493</v>
      </c>
      <c r="K10" s="58"/>
      <c r="L10" s="63">
        <f>SUM(F10+H10-J10)</f>
        <v>202457</v>
      </c>
      <c r="M10" s="58"/>
      <c r="N10" s="61">
        <f>'LS-Fund 0001 Journal Entries'!J75+'LS-Fund 0890 Journal Entries'!J75</f>
        <v>154852</v>
      </c>
      <c r="O10" s="58"/>
      <c r="P10" s="63">
        <f>L10-N10</f>
        <v>47605</v>
      </c>
      <c r="Q10" s="43"/>
    </row>
    <row r="11" spans="2:17" ht="19.2" thickTop="1" thickBot="1" x14ac:dyDescent="0.4">
      <c r="B11" s="41"/>
      <c r="C11" s="45" t="s">
        <v>19</v>
      </c>
      <c r="F11" s="62">
        <f>SUM(F10:F10)</f>
        <v>368950</v>
      </c>
      <c r="G11" s="58"/>
      <c r="H11" s="62">
        <f>SUM(H10:H10)</f>
        <v>0</v>
      </c>
      <c r="I11" s="58"/>
      <c r="J11" s="62">
        <f>SUM(J10:J10)</f>
        <v>166493</v>
      </c>
      <c r="K11" s="58"/>
      <c r="L11" s="62">
        <f>SUM(L10:L10)</f>
        <v>202457</v>
      </c>
      <c r="M11" s="58"/>
      <c r="N11" s="62">
        <f>SUM(N10:N10)</f>
        <v>154852</v>
      </c>
      <c r="O11" s="58"/>
      <c r="P11" s="62">
        <f>SUM(P10:P10)</f>
        <v>47605</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20" sqref="L20"/>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0001 Journal Entries'!N23+'LS-Fund 0890 Journal Entries'!K23</f>
        <v>368950</v>
      </c>
      <c r="C16" s="116" t="s">
        <v>146</v>
      </c>
      <c r="D16" s="84">
        <f>IF('LS-Fund 0001 Journal Entries'!$F$8="Governmental Fund",'LS-Fund 0001 Journal Entries'!$K$48,0)</f>
        <v>0</v>
      </c>
      <c r="E16" s="118" t="s">
        <v>147</v>
      </c>
      <c r="F16" s="84">
        <f>'LS-Fund 0001 Journal Entries'!J68+'LS-Fund 0890 Journal Entries'!J68</f>
        <v>166493</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202457</v>
      </c>
      <c r="M16" s="86"/>
      <c r="N16" s="88">
        <f>SUM('LS-Department Note Disclosure'!B13:B36)</f>
        <v>202457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Entries'!$K$76,0)+'LS-Fund 0890 Journal Entries'!J75</f>
        <v>154852</v>
      </c>
      <c r="C42" s="92"/>
      <c r="E42" s="92"/>
      <c r="G42" s="115"/>
      <c r="H42" s="115"/>
      <c r="I42" s="115"/>
      <c r="J42" s="115"/>
      <c r="K42" s="92"/>
      <c r="L42" s="92"/>
      <c r="M42" s="93"/>
      <c r="N42" s="88">
        <f>'LS-Department Note Disclosure'!B13</f>
        <v>154852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368950</v>
      </c>
      <c r="J66" s="97">
        <f>SUM(D66)</f>
        <v>368950</v>
      </c>
      <c r="L66" s="98" t="str">
        <f>CONCATENATE("Balance July 1, ",LEFT('LS-Department Note Disclosure'!$B$8,4))</f>
        <v>Balance July 1, 2022</v>
      </c>
      <c r="N66" s="97">
        <f>'LS-Lease Liabilities'!F10</f>
        <v>368950</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166493</v>
      </c>
      <c r="E68" s="119" t="s">
        <v>146</v>
      </c>
      <c r="F68" s="79" t="s">
        <v>1753</v>
      </c>
      <c r="H68" s="97">
        <f>$H$16</f>
        <v>0</v>
      </c>
      <c r="J68" s="97">
        <f>SUM(D68,H68)</f>
        <v>166493</v>
      </c>
      <c r="L68" s="98" t="s">
        <v>14</v>
      </c>
      <c r="N68" s="97">
        <f>'LS-Lease Liabilities'!J10</f>
        <v>166493</v>
      </c>
      <c r="P68" s="89">
        <f t="shared" si="0"/>
        <v>0</v>
      </c>
    </row>
    <row r="69" spans="1:17" x14ac:dyDescent="0.3">
      <c r="B69" s="79" t="s">
        <v>156</v>
      </c>
      <c r="D69" s="97">
        <f>$B$42</f>
        <v>154852</v>
      </c>
      <c r="J69" s="97">
        <f>SUM(D69)</f>
        <v>154852</v>
      </c>
      <c r="L69" s="98" t="s">
        <v>15</v>
      </c>
      <c r="N69" s="97">
        <f>'LS-Lease Liabilities'!N10</f>
        <v>154852</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B214541-5F64-4F08-BE2D-177B012DC3A9}"/>
</file>

<file path=customXml/itemProps2.xml><?xml version="1.0" encoding="utf-8"?>
<ds:datastoreItem xmlns:ds="http://schemas.openxmlformats.org/officeDocument/2006/customXml" ds:itemID="{F2DD41FC-00A3-41F8-8334-BA77933C0AFE}"/>
</file>

<file path=customXml/itemProps3.xml><?xml version="1.0" encoding="utf-8"?>
<ds:datastoreItem xmlns:ds="http://schemas.openxmlformats.org/officeDocument/2006/customXml" ds:itemID="{A871963A-9D81-4963-8748-17C04F8C4C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0890 Journal Entries</vt:lpstr>
      <vt:lpstr>LS-Department Note Disclosure</vt:lpstr>
      <vt:lpstr>LS-Lease Liabilities</vt:lpstr>
      <vt:lpstr>LS-Check Figures  </vt:lpstr>
      <vt:lpstr>'LS-Department Note Disclosure'!Print_Area</vt:lpstr>
      <vt:lpstr>'LS-Fund 0001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2024-04-23T16:39:33Z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