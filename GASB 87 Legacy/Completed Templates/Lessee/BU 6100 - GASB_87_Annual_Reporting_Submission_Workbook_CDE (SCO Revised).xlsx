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Lessee All\"/>
    </mc:Choice>
  </mc:AlternateContent>
  <xr:revisionPtr revIDLastSave="0" documentId="13_ncr:1_{C545FA91-907C-4A3B-8956-499944005841}" xr6:coauthVersionLast="47" xr6:coauthVersionMax="47" xr10:uidLastSave="{00000000-0000-0000-0000-000000000000}"/>
  <bookViews>
    <workbookView xWindow="20370" yWindow="-120" windowWidth="29040" windowHeight="15840" tabRatio="921" firstSheet="4" activeTab="5"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044 Journal Entrie" sheetId="17" r:id="rId5"/>
    <sheet name="LS-Fund 0687 Journal Entrie" sheetId="18" r:id="rId6"/>
    <sheet name="LS-Fund 0890 Journal Entrie " sheetId="16" r:id="rId7"/>
    <sheet name="LS-Department Note Disclosure" sheetId="3" r:id="rId8"/>
    <sheet name="LS-Lease Liabilities" sheetId="4" r:id="rId9"/>
    <sheet name="LS-Check Figures  " sheetId="7" r:id="rId10"/>
    <sheet name="LR-Version Changes" sheetId="15" state="hidden" r:id="rId11"/>
    <sheet name="LR-Fund #### Journal Entries" sheetId="5" state="hidden" r:id="rId12"/>
    <sheet name="LR-Department Note Disclosure" sheetId="6" state="hidden" r:id="rId13"/>
    <sheet name="LR-Check Figures" sheetId="12" state="hidden" r:id="rId14"/>
    <sheet name="FP-Version Changes" sheetId="14" state="hidden" r:id="rId15"/>
    <sheet name="FP-Fund #### Journal Entries" sheetId="8" state="hidden" r:id="rId16"/>
    <sheet name="FP-Lease Liabilities" sheetId="10" state="hidden" r:id="rId17"/>
  </sheets>
  <externalReferences>
    <externalReference r:id="rId1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4">#REF!</definedName>
    <definedName name="AgencyCode" localSheetId="13">#REF!</definedName>
    <definedName name="AgencyCode" localSheetId="10">#REF!</definedName>
    <definedName name="AgencyCode">#REF!</definedName>
    <definedName name="AgencyCode1" localSheetId="14">#REF!</definedName>
    <definedName name="AgencyCode1" localSheetId="13">#REF!</definedName>
    <definedName name="AgencyCode1" localSheetId="10">#REF!</definedName>
    <definedName name="AgencyCode1">#REF!</definedName>
    <definedName name="AnalystGASB">[1]DeveloperInfo!$D$20</definedName>
    <definedName name="Annuity" localSheetId="14">#REF!</definedName>
    <definedName name="Annuity" localSheetId="13">#REF!</definedName>
    <definedName name="Annuity" localSheetId="10">#REF!</definedName>
    <definedName name="Annuity">#REF!</definedName>
    <definedName name="Annuity1" localSheetId="14">#REF!</definedName>
    <definedName name="Annuity1" localSheetId="13">#REF!</definedName>
    <definedName name="Annuity1" localSheetId="10">#REF!</definedName>
    <definedName name="Annuity1">#REF!</definedName>
    <definedName name="AnnuityLY" localSheetId="14">#REF!</definedName>
    <definedName name="AnnuityLY" localSheetId="13">#REF!</definedName>
    <definedName name="AnnuityLY" localSheetId="1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4">#REF!</definedName>
    <definedName name="EmployerRates" localSheetId="13">#REF!</definedName>
    <definedName name="EmployerRates" localSheetId="10">#REF!</definedName>
    <definedName name="EmployerRates">#REF!</definedName>
    <definedName name="EmployerRates1" localSheetId="14">#REF!</definedName>
    <definedName name="EmployerRates1" localSheetId="13">#REF!</definedName>
    <definedName name="EmployerRates1" localSheetId="10">#REF!</definedName>
    <definedName name="EmployerRates1">#REF!</definedName>
    <definedName name="EmployerRatesLEO" localSheetId="14">#REF!</definedName>
    <definedName name="EmployerRatesLEO" localSheetId="13">#REF!</definedName>
    <definedName name="EmployerRatesLEO" localSheetId="10">#REF!</definedName>
    <definedName name="EmployerRatesLEO">#REF!</definedName>
    <definedName name="EmployerRatesLEO1" localSheetId="14">#REF!</definedName>
    <definedName name="EmployerRatesLEO1" localSheetId="13">#REF!</definedName>
    <definedName name="EmployerRatesLEO1" localSheetId="1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4">#REF!</definedName>
    <definedName name="Pension" localSheetId="13">#REF!</definedName>
    <definedName name="Pension" localSheetId="10">#REF!</definedName>
    <definedName name="Pension">#REF!</definedName>
    <definedName name="Pension1" localSheetId="14">#REF!</definedName>
    <definedName name="Pension1" localSheetId="13">#REF!</definedName>
    <definedName name="Pension1" localSheetId="10">#REF!</definedName>
    <definedName name="Pension1">#REF!</definedName>
    <definedName name="PensionLY" localSheetId="14">#REF!</definedName>
    <definedName name="PensionLY" localSheetId="13">#REF!</definedName>
    <definedName name="PensionLY" localSheetId="10">#REF!</definedName>
    <definedName name="PensionLY">#REF!</definedName>
    <definedName name="PlanNameLongGASB">[1]DeveloperInfo!$D$7</definedName>
    <definedName name="PlanNameShortGASB">[1]DeveloperInfo!$D$8</definedName>
    <definedName name="_xlnm.Print_Area" localSheetId="15">'FP-Fund #### Journal Entries'!$A$1:$J$9</definedName>
    <definedName name="_xlnm.Print_Area" localSheetId="16">'FP-Lease Liabilities'!$B$2:$Q$17</definedName>
    <definedName name="_xlnm.Print_Area" localSheetId="12">'LR-Department Note Disclosure'!$A$1:$C$93</definedName>
    <definedName name="_xlnm.Print_Area" localSheetId="11">'LR-Fund #### Journal Entries'!$B$1:$K$67</definedName>
    <definedName name="_xlnm.Print_Area" localSheetId="7">'LS-Department Note Disclosure'!$A$1:$C$85</definedName>
    <definedName name="_xlnm.Print_Area" localSheetId="3">'LS-Fund 0001 Journal Entries'!$A$1:$J$9</definedName>
    <definedName name="_xlnm.Print_Area" localSheetId="4">'LS-Fund 0044 Journal Entrie'!$A$1:$J$9</definedName>
    <definedName name="_xlnm.Print_Area" localSheetId="5">'LS-Fund 0687 Journal Entrie'!$A$1:$J$9</definedName>
    <definedName name="_xlnm.Print_Area" localSheetId="6">'LS-Fund 0890 Journal Entrie '!$A$1:$J$9</definedName>
    <definedName name="_xlnm.Print_Area" localSheetId="8">'LS-Lease Liabilities'!$B$2:$Q$17</definedName>
    <definedName name="ProjDisc?">[1]DeveloperInfo!$D$65</definedName>
    <definedName name="ProValResults" localSheetId="14">#REF!</definedName>
    <definedName name="ProValResults" localSheetId="13">#REF!</definedName>
    <definedName name="ProValResults" localSheetId="10">#REF!</definedName>
    <definedName name="ProValResults">#REF!</definedName>
    <definedName name="ProValResults1" localSheetId="14">#REF!</definedName>
    <definedName name="ProValResults1" localSheetId="13">#REF!</definedName>
    <definedName name="ProValResults1" localSheetId="1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4">#REF!</definedName>
    <definedName name="TableData" localSheetId="13">#REF!</definedName>
    <definedName name="TableData" localSheetId="10">#REF!</definedName>
    <definedName name="TableData">#REF!</definedName>
    <definedName name="TableData1" localSheetId="14">#REF!</definedName>
    <definedName name="TableData1" localSheetId="13">#REF!</definedName>
    <definedName name="TableData1" localSheetId="10">#REF!</definedName>
    <definedName name="TableData1">#REF!</definedName>
    <definedName name="Type" localSheetId="14">#REF!</definedName>
    <definedName name="Type" localSheetId="13">#REF!</definedName>
    <definedName name="Type" localSheetId="10">#REF!</definedName>
    <definedName name="Type">#REF!</definedName>
    <definedName name="TypeAnnuity" localSheetId="14">#REF!</definedName>
    <definedName name="TypeAnnuity" localSheetId="13">#REF!</definedName>
    <definedName name="TypeAnnuity" localSheetId="10">#REF!</definedName>
    <definedName name="TypeAnnuity">#REF!</definedName>
    <definedName name="TypeAnnuity1" localSheetId="14">#REF!</definedName>
    <definedName name="TypeAnnuity1" localSheetId="13">#REF!</definedName>
    <definedName name="TypeAnnuity1" localSheetId="10">#REF!</definedName>
    <definedName name="TypeAnnuity1">#REF!</definedName>
    <definedName name="TypePension" localSheetId="14">#REF!</definedName>
    <definedName name="TypePension" localSheetId="13">#REF!</definedName>
    <definedName name="TypePension" localSheetId="10">#REF!</definedName>
    <definedName name="TypePension">#REF!</definedName>
    <definedName name="TypePension1" localSheetId="14">#REF!</definedName>
    <definedName name="TypePension1" localSheetId="13">#REF!</definedName>
    <definedName name="TypePension1" localSheetId="10">#REF!</definedName>
    <definedName name="TypePension1">#REF!</definedName>
    <definedName name="UnfundedData" localSheetId="14">#REF!</definedName>
    <definedName name="UnfundedData" localSheetId="13">#REF!</definedName>
    <definedName name="UnfundedData" localSheetId="10">#REF!</definedName>
    <definedName name="UnfundedData">#REF!</definedName>
    <definedName name="UnfundedData1" localSheetId="14">#REF!</definedName>
    <definedName name="UnfundedData1" localSheetId="13">#REF!</definedName>
    <definedName name="UnfundedData1" localSheetId="10">#REF!</definedName>
    <definedName name="UnfundedData1">#REF!</definedName>
    <definedName name="UnfundedLY" localSheetId="14">#REF!</definedName>
    <definedName name="UnfundedLY" localSheetId="13">#REF!</definedName>
    <definedName name="UnfundedLY" localSheetId="10">#REF!</definedName>
    <definedName name="UnfundedLY">#REF!</definedName>
    <definedName name="UnfundedLY1" localSheetId="14">#REF!</definedName>
    <definedName name="UnfundedLY1" localSheetId="13">#REF!</definedName>
    <definedName name="UnfundedLY1" localSheetId="10">#REF!</definedName>
    <definedName name="UnfundedLY1">#REF!</definedName>
    <definedName name="UnfundedLYLEO1" localSheetId="14">#REF!</definedName>
    <definedName name="UnfundedLYLEO1" localSheetId="13">#REF!</definedName>
    <definedName name="UnfundedLYLEO1" localSheetId="10">#REF!</definedName>
    <definedName name="UnfundedLYLEO1">#REF!</definedName>
    <definedName name="UnfunedLYLEO" localSheetId="14">#REF!</definedName>
    <definedName name="UnfunedLYLEO" localSheetId="13">#REF!</definedName>
    <definedName name="UnfunedLYLEO" localSheetId="1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3" l="1"/>
  <c r="J63" i="18"/>
  <c r="K76" i="18" l="1"/>
  <c r="N18" i="4" s="1"/>
  <c r="J75" i="18"/>
  <c r="J62" i="18"/>
  <c r="J18" i="4"/>
  <c r="B57" i="7"/>
  <c r="D33" i="7"/>
  <c r="F33" i="7"/>
  <c r="B33" i="7"/>
  <c r="B42" i="7"/>
  <c r="F16" i="7"/>
  <c r="B16" i="7"/>
  <c r="K64" i="18" l="1"/>
  <c r="K129" i="18" l="1"/>
  <c r="K128" i="18"/>
  <c r="K127" i="18"/>
  <c r="K124" i="18"/>
  <c r="K123" i="18"/>
  <c r="K114" i="18"/>
  <c r="J114" i="18"/>
  <c r="L114" i="18" s="1"/>
  <c r="K105" i="18"/>
  <c r="J105" i="18"/>
  <c r="L105" i="18" s="1"/>
  <c r="K91" i="18"/>
  <c r="J91" i="18"/>
  <c r="K77" i="18"/>
  <c r="J77" i="18"/>
  <c r="K70" i="18"/>
  <c r="J70" i="18"/>
  <c r="K65" i="18"/>
  <c r="J65" i="18"/>
  <c r="B63" i="18"/>
  <c r="K59" i="18"/>
  <c r="J59" i="18"/>
  <c r="K49" i="18"/>
  <c r="J49" i="18"/>
  <c r="K43" i="18"/>
  <c r="J43" i="18"/>
  <c r="K36" i="18"/>
  <c r="J36" i="18"/>
  <c r="S25" i="18"/>
  <c r="Q24" i="18"/>
  <c r="S24" i="18" s="1"/>
  <c r="S23" i="18"/>
  <c r="S22" i="18"/>
  <c r="S21" i="18"/>
  <c r="K21" i="18"/>
  <c r="S20" i="18"/>
  <c r="K20" i="18"/>
  <c r="K125" i="18" s="1"/>
  <c r="S19" i="18"/>
  <c r="P18" i="18"/>
  <c r="S18" i="18" s="1"/>
  <c r="S17" i="18"/>
  <c r="S16" i="18"/>
  <c r="J16" i="18"/>
  <c r="S15" i="18"/>
  <c r="J15" i="18"/>
  <c r="K122" i="18" s="1"/>
  <c r="F9" i="18"/>
  <c r="C104" i="18" s="1"/>
  <c r="J18" i="18" l="1"/>
  <c r="L65" i="18"/>
  <c r="L49" i="18"/>
  <c r="L36" i="18"/>
  <c r="L91" i="18"/>
  <c r="L77" i="18"/>
  <c r="L70" i="18"/>
  <c r="L59" i="18"/>
  <c r="L43" i="18"/>
  <c r="B100" i="18"/>
  <c r="C64" i="18"/>
  <c r="K126" i="18"/>
  <c r="K24" i="18"/>
  <c r="C35" i="18"/>
  <c r="J19" i="18" l="1"/>
  <c r="J26" i="18" s="1"/>
  <c r="K25" i="18"/>
  <c r="K26" i="18" s="1"/>
  <c r="L26" i="18" s="1"/>
  <c r="K129" i="17" l="1"/>
  <c r="K128" i="17"/>
  <c r="K127" i="17"/>
  <c r="K124" i="17"/>
  <c r="L114" i="17"/>
  <c r="K114" i="17"/>
  <c r="J114" i="17"/>
  <c r="L105" i="17"/>
  <c r="K105" i="17"/>
  <c r="J105" i="17"/>
  <c r="L91" i="17"/>
  <c r="K91" i="17"/>
  <c r="J91" i="17"/>
  <c r="K77" i="17"/>
  <c r="J77" i="17"/>
  <c r="L77" i="17" s="1"/>
  <c r="K70" i="17"/>
  <c r="J70" i="17"/>
  <c r="K65" i="17"/>
  <c r="J65" i="17"/>
  <c r="B63" i="17"/>
  <c r="K59" i="17"/>
  <c r="J59" i="17"/>
  <c r="K49" i="17"/>
  <c r="J49" i="17"/>
  <c r="L49" i="17" s="1"/>
  <c r="K43" i="17"/>
  <c r="J43" i="17"/>
  <c r="L43" i="17" s="1"/>
  <c r="L36" i="17"/>
  <c r="K36" i="17"/>
  <c r="J36" i="17"/>
  <c r="S25" i="17"/>
  <c r="S24" i="17"/>
  <c r="Q24" i="17"/>
  <c r="K24" i="17"/>
  <c r="S23" i="17"/>
  <c r="S22" i="17"/>
  <c r="S21" i="17"/>
  <c r="K21" i="17"/>
  <c r="S20" i="17"/>
  <c r="K20" i="17"/>
  <c r="S19" i="17"/>
  <c r="P18" i="17"/>
  <c r="S17" i="17"/>
  <c r="S16" i="17"/>
  <c r="J16" i="17"/>
  <c r="S15" i="17"/>
  <c r="J15" i="17"/>
  <c r="K122" i="17" s="1"/>
  <c r="F9" i="17"/>
  <c r="C35" i="17" s="1"/>
  <c r="K129" i="16"/>
  <c r="K128" i="16"/>
  <c r="K127" i="16"/>
  <c r="K124" i="16"/>
  <c r="L114" i="16"/>
  <c r="K114" i="16"/>
  <c r="J114" i="16"/>
  <c r="K105" i="16"/>
  <c r="L105" i="16" s="1"/>
  <c r="J105" i="16"/>
  <c r="L91" i="16"/>
  <c r="K91" i="16"/>
  <c r="J91" i="16"/>
  <c r="K77" i="16"/>
  <c r="J77" i="16"/>
  <c r="K70" i="16"/>
  <c r="J70" i="16"/>
  <c r="K65" i="16"/>
  <c r="J65" i="16"/>
  <c r="B63" i="16"/>
  <c r="K59" i="16"/>
  <c r="J59" i="16"/>
  <c r="K49" i="16"/>
  <c r="J49" i="16"/>
  <c r="L49" i="16" s="1"/>
  <c r="K43" i="16"/>
  <c r="J43" i="16"/>
  <c r="L43" i="16" s="1"/>
  <c r="L36" i="16"/>
  <c r="K36" i="16"/>
  <c r="J36" i="16"/>
  <c r="S25" i="16"/>
  <c r="Q24" i="16"/>
  <c r="S24" i="16" s="1"/>
  <c r="K24" i="16"/>
  <c r="S23" i="16"/>
  <c r="S22" i="16"/>
  <c r="S21" i="16"/>
  <c r="K21" i="16"/>
  <c r="K126" i="16" s="1"/>
  <c r="S20" i="16"/>
  <c r="K20" i="16"/>
  <c r="K125" i="16" s="1"/>
  <c r="S19" i="16"/>
  <c r="P18" i="16"/>
  <c r="S18" i="16" s="1"/>
  <c r="S17" i="16"/>
  <c r="S16" i="16"/>
  <c r="J16" i="16"/>
  <c r="K123" i="16" s="1"/>
  <c r="S15" i="16"/>
  <c r="J15" i="16"/>
  <c r="F9" i="16"/>
  <c r="C35" i="16" s="1"/>
  <c r="S18" i="17" l="1"/>
  <c r="J18" i="17"/>
  <c r="K25" i="17" s="1"/>
  <c r="K26" i="17" s="1"/>
  <c r="J19" i="17"/>
  <c r="J26" i="17" s="1"/>
  <c r="L70" i="17"/>
  <c r="L65" i="17"/>
  <c r="L59" i="17"/>
  <c r="B100" i="17"/>
  <c r="C104" i="17"/>
  <c r="K123" i="17"/>
  <c r="C64" i="17"/>
  <c r="K125" i="17"/>
  <c r="K126" i="17"/>
  <c r="L77" i="16"/>
  <c r="L70" i="16"/>
  <c r="L65" i="16"/>
  <c r="L59" i="16"/>
  <c r="K122" i="16"/>
  <c r="B100" i="16"/>
  <c r="J18" i="16"/>
  <c r="K25" i="16" s="1"/>
  <c r="K26" i="16" s="1"/>
  <c r="C104" i="16"/>
  <c r="C64" i="16"/>
  <c r="J19" i="16" l="1"/>
  <c r="J26" i="16" s="1"/>
  <c r="L26" i="16" s="1"/>
  <c r="L26" i="17"/>
  <c r="J62" i="2"/>
  <c r="K53" i="8" l="1"/>
  <c r="J53" i="8"/>
  <c r="K83" i="8" l="1"/>
  <c r="K68" i="5"/>
  <c r="K129" i="2"/>
  <c r="S20" i="2"/>
  <c r="K20" i="2"/>
  <c r="K125" i="2" s="1"/>
  <c r="N57" i="12" l="1"/>
  <c r="N49" i="12"/>
  <c r="N42" i="12"/>
  <c r="N33" i="12"/>
  <c r="N24" i="12"/>
  <c r="N16" i="12"/>
  <c r="P49" i="12" l="1"/>
  <c r="D51" i="12" s="1"/>
  <c r="P57" i="12"/>
  <c r="L33" i="12"/>
  <c r="P33" i="12" s="1"/>
  <c r="D35" i="12" s="1"/>
  <c r="L24" i="12"/>
  <c r="P24" i="12" s="1"/>
  <c r="D26" i="12" s="1"/>
  <c r="L16" i="12"/>
  <c r="P16" i="12" s="1"/>
  <c r="D18" i="12" s="1"/>
  <c r="P42" i="12"/>
  <c r="D44" i="12" s="1"/>
  <c r="P15" i="5"/>
  <c r="S19" i="5"/>
  <c r="S17" i="5"/>
  <c r="S16" i="5"/>
  <c r="S14" i="5"/>
  <c r="P18" i="2"/>
  <c r="J18" i="2" s="1"/>
  <c r="J19" i="2" s="1"/>
  <c r="S25" i="2"/>
  <c r="Q24" i="2"/>
  <c r="S24" i="2" s="1"/>
  <c r="S23" i="2"/>
  <c r="K128" i="2"/>
  <c r="S22" i="2"/>
  <c r="K127" i="2"/>
  <c r="S21" i="2"/>
  <c r="K21" i="2"/>
  <c r="K126" i="2" s="1"/>
  <c r="S19" i="2"/>
  <c r="S17" i="2"/>
  <c r="K124" i="2"/>
  <c r="S16" i="2"/>
  <c r="J16" i="2"/>
  <c r="K123" i="2" s="1"/>
  <c r="S15" i="2"/>
  <c r="J15" i="2"/>
  <c r="K122" i="2" s="1"/>
  <c r="S22" i="8"/>
  <c r="S25" i="8"/>
  <c r="S19" i="8"/>
  <c r="Q24" i="8"/>
  <c r="K24" i="8" s="1"/>
  <c r="P18" i="8"/>
  <c r="J18" i="8" s="1"/>
  <c r="K24" i="2" l="1"/>
  <c r="K25" i="2" s="1"/>
  <c r="K17" i="5"/>
  <c r="K69" i="5" s="1"/>
  <c r="J14" i="5"/>
  <c r="K67" i="5" s="1"/>
  <c r="S18" i="8"/>
  <c r="S24" i="8"/>
  <c r="S18" i="2"/>
  <c r="K23" i="8"/>
  <c r="K82" i="8" s="1"/>
  <c r="K22" i="8"/>
  <c r="K21" i="8"/>
  <c r="K80" i="8" s="1"/>
  <c r="J17" i="8"/>
  <c r="K79" i="8" s="1"/>
  <c r="J16" i="8"/>
  <c r="K78" i="8" s="1"/>
  <c r="J15" i="8"/>
  <c r="K77" i="8" s="1"/>
  <c r="S21" i="8"/>
  <c r="S17" i="8"/>
  <c r="S16" i="8"/>
  <c r="S15" i="8"/>
  <c r="S23" i="8"/>
  <c r="J19" i="8" l="1"/>
  <c r="K81"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89" i="7"/>
  <c r="J89" i="7" s="1"/>
  <c r="P89" i="7" s="1"/>
  <c r="D24" i="7"/>
  <c r="D78" i="7" s="1"/>
  <c r="J78" i="7" s="1"/>
  <c r="P78" i="7" s="1"/>
  <c r="D16" i="7"/>
  <c r="D91" i="7"/>
  <c r="J91" i="7" s="1"/>
  <c r="P91" i="7" s="1"/>
  <c r="B49" i="7"/>
  <c r="D80" i="7" s="1"/>
  <c r="J80" i="7" s="1"/>
  <c r="P80" i="7" s="1"/>
  <c r="D90" i="7"/>
  <c r="J90" i="7" s="1"/>
  <c r="P90" i="7" s="1"/>
  <c r="F24" i="7"/>
  <c r="D79" i="7" s="1"/>
  <c r="J79" i="7" s="1"/>
  <c r="P79" i="7" s="1"/>
  <c r="N57" i="7"/>
  <c r="N49" i="7"/>
  <c r="N42" i="7"/>
  <c r="N33" i="7"/>
  <c r="N24"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Q18" i="5"/>
  <c r="S18" i="5" s="1"/>
  <c r="J15" i="5"/>
  <c r="K18" i="5" l="1"/>
  <c r="J16" i="5" l="1"/>
  <c r="J20" i="5" s="1"/>
  <c r="K19" i="5"/>
  <c r="K20" i="5" s="1"/>
  <c r="L20" i="5" l="1"/>
</calcChain>
</file>

<file path=xl/sharedStrings.xml><?xml version="1.0" encoding="utf-8"?>
<sst xmlns="http://schemas.openxmlformats.org/spreadsheetml/2006/main" count="8590" uniqueCount="1884">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</sst>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4">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protection locked="0"/>
    </xf>
    <xf numFmtId="168" fontId="3" fillId="0"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49" t="s">
        <v>1767</v>
      </c>
      <c r="B1" s="250"/>
      <c r="C1" s="250"/>
      <c r="D1" s="250"/>
      <c r="E1" s="250"/>
      <c r="F1" s="251"/>
    </row>
    <row r="2" spans="1:6" x14ac:dyDescent="0.25">
      <c r="A2" s="252"/>
      <c r="B2" s="253"/>
      <c r="C2" s="253"/>
      <c r="D2" s="253"/>
      <c r="E2" s="253"/>
      <c r="F2" s="254"/>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28.25"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P33" sqref="P3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8" t="s">
        <v>1661</v>
      </c>
      <c r="B1" s="258"/>
      <c r="C1" s="258"/>
      <c r="D1" s="258"/>
      <c r="E1" s="258"/>
      <c r="F1" s="258"/>
      <c r="G1" s="258"/>
      <c r="H1" s="258"/>
      <c r="I1" s="258"/>
      <c r="J1" s="258"/>
      <c r="K1" s="258"/>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9" t="s">
        <v>13</v>
      </c>
      <c r="B3" s="259"/>
      <c r="C3" s="259"/>
      <c r="D3" s="259"/>
      <c r="E3" s="259"/>
      <c r="F3" s="260" t="s">
        <v>24</v>
      </c>
      <c r="G3" s="260"/>
      <c r="H3" s="260"/>
      <c r="I3" s="260"/>
    </row>
    <row r="4" spans="1:19" ht="16.5" customHeight="1" x14ac:dyDescent="0.2">
      <c r="A4" s="259" t="s">
        <v>209</v>
      </c>
      <c r="B4" s="259"/>
      <c r="C4" s="259"/>
      <c r="D4" s="259"/>
      <c r="E4" s="259"/>
      <c r="F4" s="261" t="s">
        <v>1883</v>
      </c>
      <c r="G4" s="261"/>
      <c r="H4" s="261"/>
      <c r="I4" s="261"/>
    </row>
    <row r="5" spans="1:19" ht="16.5" customHeight="1" x14ac:dyDescent="0.2">
      <c r="A5" s="259" t="s">
        <v>1640</v>
      </c>
      <c r="B5" s="259"/>
      <c r="C5" s="259"/>
      <c r="D5" s="259"/>
      <c r="E5" s="259"/>
      <c r="F5" s="261" t="s">
        <v>1106</v>
      </c>
      <c r="G5" s="261"/>
      <c r="H5" s="261"/>
      <c r="I5" s="261"/>
      <c r="L5" s="39"/>
      <c r="M5" s="39"/>
      <c r="N5" s="39"/>
      <c r="O5" s="39"/>
      <c r="P5" s="39"/>
      <c r="Q5" s="39"/>
    </row>
    <row r="6" spans="1:19" ht="16.5" customHeight="1" x14ac:dyDescent="0.25">
      <c r="A6" s="259" t="s">
        <v>1683</v>
      </c>
      <c r="B6" s="259"/>
      <c r="C6" s="259"/>
      <c r="D6" s="259"/>
      <c r="E6" s="259"/>
      <c r="F6" s="262">
        <v>1</v>
      </c>
      <c r="G6" s="262"/>
      <c r="H6" s="262"/>
      <c r="I6" s="262"/>
      <c r="L6" s="40"/>
      <c r="M6" s="40"/>
      <c r="N6" s="40"/>
      <c r="O6" s="40"/>
      <c r="P6" s="39"/>
      <c r="Q6" s="39"/>
    </row>
    <row r="7" spans="1:19" ht="16.5" customHeight="1" x14ac:dyDescent="0.25">
      <c r="A7" s="259" t="s">
        <v>3</v>
      </c>
      <c r="B7" s="259"/>
      <c r="C7" s="259"/>
      <c r="D7" s="259"/>
      <c r="E7" s="259"/>
      <c r="F7" s="262" t="s">
        <v>124</v>
      </c>
      <c r="G7" s="262"/>
      <c r="H7" s="262"/>
      <c r="I7" s="262"/>
      <c r="K7" s="96"/>
      <c r="L7" s="40"/>
      <c r="M7" s="40"/>
      <c r="N7" s="40"/>
      <c r="O7" s="40"/>
      <c r="P7" s="39"/>
      <c r="Q7" s="39"/>
    </row>
    <row r="8" spans="1:19" ht="16.5" customHeight="1" x14ac:dyDescent="0.25">
      <c r="A8" s="259" t="s">
        <v>1641</v>
      </c>
      <c r="B8" s="259"/>
      <c r="C8" s="259"/>
      <c r="D8" s="259"/>
      <c r="E8" s="259"/>
      <c r="F8" s="262" t="s">
        <v>165</v>
      </c>
      <c r="G8" s="262"/>
      <c r="H8" s="262"/>
      <c r="I8" s="262"/>
      <c r="K8" s="96"/>
      <c r="L8" s="40"/>
      <c r="M8" s="40"/>
      <c r="N8" s="40"/>
      <c r="O8" s="40"/>
      <c r="P8" s="39"/>
      <c r="Q8" s="39"/>
    </row>
    <row r="9" spans="1:19" ht="16.5" customHeight="1" x14ac:dyDescent="0.25">
      <c r="A9" s="259" t="s">
        <v>1639</v>
      </c>
      <c r="B9" s="259"/>
      <c r="C9" s="259"/>
      <c r="D9" s="259"/>
      <c r="E9" s="259"/>
      <c r="F9" s="263" t="str">
        <f>IFERROR(IF(F7="Proprietary","Proprietary Fund",VLOOKUP(F5,qryIndex02a!$A$2:$K$654,4,FALSE)),"Unidentified")</f>
        <v>EDUCATION</v>
      </c>
      <c r="G9" s="263"/>
      <c r="H9" s="263"/>
      <c r="I9" s="26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5" t="s">
        <v>1673</v>
      </c>
      <c r="N14" s="256"/>
      <c r="O14" s="188"/>
      <c r="P14" s="255" t="s">
        <v>1668</v>
      </c>
      <c r="Q14" s="256"/>
      <c r="R14" s="188"/>
      <c r="S14" s="222" t="s">
        <v>1669</v>
      </c>
    </row>
    <row r="15" spans="1:19" ht="16.5" customHeight="1" x14ac:dyDescent="0.25">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7">
        <f>M16</f>
        <v>0</v>
      </c>
      <c r="M16" s="196"/>
      <c r="P16" s="196"/>
      <c r="Q16" s="224"/>
      <c r="S16" s="223">
        <f t="shared" si="0"/>
        <v>0</v>
      </c>
    </row>
    <row r="17" spans="1:19" ht="16.5" customHeight="1" x14ac:dyDescent="0.25">
      <c r="A17" s="228" t="s">
        <v>1690</v>
      </c>
      <c r="B17" s="26" t="s">
        <v>183</v>
      </c>
      <c r="C17" s="26"/>
      <c r="D17" s="26"/>
      <c r="E17" s="193"/>
      <c r="F17" s="194"/>
      <c r="G17" s="194"/>
      <c r="H17" s="195"/>
      <c r="I17" s="195"/>
      <c r="J17" s="247">
        <v>554335</v>
      </c>
      <c r="M17" s="196">
        <v>554336</v>
      </c>
      <c r="P17" s="196">
        <v>554336</v>
      </c>
      <c r="Q17" s="224"/>
      <c r="S17" s="223">
        <f t="shared" si="0"/>
        <v>0</v>
      </c>
    </row>
    <row r="18" spans="1:19" ht="16.5" customHeight="1" x14ac:dyDescent="0.25">
      <c r="A18" s="99"/>
      <c r="B18" s="26" t="s">
        <v>179</v>
      </c>
      <c r="C18" s="26"/>
      <c r="D18" s="26"/>
      <c r="E18" s="193"/>
      <c r="F18" s="194"/>
      <c r="G18" s="194"/>
      <c r="H18" s="195"/>
      <c r="I18" s="195"/>
      <c r="J18" s="247">
        <f>P18</f>
        <v>9193</v>
      </c>
      <c r="M18" s="196">
        <v>9193</v>
      </c>
      <c r="P18" s="221">
        <f>IF(SUM($Q$21:$Q$23)&gt;SUM($P$15:$P$17),SUM($Q$21:$Q$23)-SUM($P$15:$P$17),0)</f>
        <v>9193</v>
      </c>
      <c r="Q18" s="224"/>
      <c r="S18" s="223">
        <f t="shared" si="0"/>
        <v>0</v>
      </c>
    </row>
    <row r="19" spans="1:19" ht="16.5" customHeight="1" x14ac:dyDescent="0.25">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7">
        <f>N20</f>
        <v>0</v>
      </c>
      <c r="N20" s="196"/>
      <c r="P20" s="224"/>
      <c r="Q20" s="196"/>
      <c r="S20" s="223">
        <f t="shared" si="0"/>
        <v>0</v>
      </c>
    </row>
    <row r="21" spans="1:19" ht="16.5" customHeight="1" x14ac:dyDescent="0.25">
      <c r="A21" s="99"/>
      <c r="B21" s="26"/>
      <c r="C21" s="26" t="s">
        <v>185</v>
      </c>
      <c r="D21" s="26"/>
      <c r="E21" s="193"/>
      <c r="F21" s="194"/>
      <c r="G21" s="194"/>
      <c r="H21" s="195"/>
      <c r="I21" s="195"/>
      <c r="J21" s="213"/>
      <c r="K21" s="247">
        <f>N21</f>
        <v>0</v>
      </c>
      <c r="N21" s="196"/>
      <c r="P21" s="224"/>
      <c r="Q21" s="196"/>
      <c r="S21" s="223">
        <f>Q21-N21</f>
        <v>0</v>
      </c>
    </row>
    <row r="22" spans="1:19" ht="16.5" customHeight="1" x14ac:dyDescent="0.25">
      <c r="A22" s="99"/>
      <c r="B22" s="26"/>
      <c r="C22" s="26" t="s">
        <v>189</v>
      </c>
      <c r="D22" s="26"/>
      <c r="E22" s="193"/>
      <c r="F22" s="194"/>
      <c r="G22" s="194"/>
      <c r="H22" s="195"/>
      <c r="I22" s="195"/>
      <c r="J22" s="213"/>
      <c r="K22" s="247">
        <v>73911</v>
      </c>
      <c r="N22" s="196">
        <v>73911</v>
      </c>
      <c r="P22" s="224"/>
      <c r="Q22" s="196">
        <v>73911</v>
      </c>
      <c r="S22" s="223">
        <f t="shared" ref="S22:S25" si="1">Q22-N22</f>
        <v>0</v>
      </c>
    </row>
    <row r="23" spans="1:19" ht="16.5" customHeight="1" x14ac:dyDescent="0.25">
      <c r="A23" s="234" t="s">
        <v>1698</v>
      </c>
      <c r="B23" s="26"/>
      <c r="C23" s="26" t="s">
        <v>184</v>
      </c>
      <c r="D23" s="26"/>
      <c r="E23" s="193"/>
      <c r="F23" s="194"/>
      <c r="G23" s="194"/>
      <c r="H23" s="195"/>
      <c r="I23" s="195"/>
      <c r="J23" s="213"/>
      <c r="K23" s="247">
        <v>489617</v>
      </c>
      <c r="N23" s="196">
        <v>489618</v>
      </c>
      <c r="P23" s="224"/>
      <c r="Q23" s="196">
        <v>489618</v>
      </c>
      <c r="S23" s="223">
        <f t="shared" si="1"/>
        <v>0</v>
      </c>
    </row>
    <row r="24" spans="1:19" ht="16.5" customHeight="1" x14ac:dyDescent="0.25">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563528</v>
      </c>
      <c r="K26" s="155">
        <f>SUM(K15:K25)</f>
        <v>563528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73911</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73911</v>
      </c>
    </row>
    <row r="59" spans="1:16" ht="16.5" customHeight="1" x14ac:dyDescent="0.25">
      <c r="A59" s="99"/>
      <c r="C59" s="43"/>
      <c r="D59" s="43"/>
      <c r="E59" s="43"/>
      <c r="F59" s="44"/>
      <c r="G59" s="44"/>
      <c r="H59" s="45"/>
      <c r="I59" s="45"/>
      <c r="J59" s="155">
        <f>SUM(J55:J58)</f>
        <v>73911</v>
      </c>
      <c r="K59" s="155">
        <f>SUM(K55:K58)</f>
        <v>73911</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f>+K64-J63</f>
        <v>67395</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4077</v>
      </c>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v>71472</v>
      </c>
    </row>
    <row r="65" spans="1:12" ht="16.5" customHeight="1" x14ac:dyDescent="0.25">
      <c r="A65" s="99"/>
      <c r="C65" s="43"/>
      <c r="D65" s="43"/>
      <c r="E65" s="43"/>
      <c r="F65" s="44"/>
      <c r="G65" s="44"/>
      <c r="H65" s="45"/>
      <c r="I65" s="45"/>
      <c r="J65" s="155">
        <f>SUM(J62:J64)</f>
        <v>71472</v>
      </c>
      <c r="K65" s="155">
        <f>SUM(K62:K64)</f>
        <v>71472</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67395</v>
      </c>
      <c r="K68" s="197"/>
    </row>
    <row r="69" spans="1:12" ht="16.5" customHeight="1" x14ac:dyDescent="0.25">
      <c r="A69" s="99"/>
      <c r="B69" s="26"/>
      <c r="C69" s="26" t="s">
        <v>203</v>
      </c>
      <c r="D69" s="193"/>
      <c r="E69" s="193"/>
      <c r="F69" s="194"/>
      <c r="G69" s="194"/>
      <c r="H69" s="195"/>
      <c r="I69" s="195"/>
      <c r="J69" s="197"/>
      <c r="K69" s="196">
        <v>67395</v>
      </c>
    </row>
    <row r="70" spans="1:12" ht="16.5" customHeight="1" x14ac:dyDescent="0.25">
      <c r="A70" s="99"/>
      <c r="C70" s="43"/>
      <c r="D70" s="43"/>
      <c r="E70" s="43"/>
      <c r="F70" s="44"/>
      <c r="G70" s="44"/>
      <c r="H70" s="45"/>
      <c r="I70" s="45"/>
      <c r="J70" s="155">
        <f>SUM(J68:J69)</f>
        <v>67395</v>
      </c>
      <c r="K70" s="155">
        <f>SUM(K68:K69)</f>
        <v>67395</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70158</v>
      </c>
      <c r="K75" s="197"/>
    </row>
    <row r="76" spans="1:12" ht="16.5" customHeight="1" x14ac:dyDescent="0.25">
      <c r="A76" s="99"/>
      <c r="B76" s="26"/>
      <c r="C76" s="26" t="s">
        <v>211</v>
      </c>
      <c r="D76" s="193"/>
      <c r="E76" s="193"/>
      <c r="F76" s="194"/>
      <c r="G76" s="194"/>
      <c r="H76" s="195"/>
      <c r="I76" s="195"/>
      <c r="J76" s="197"/>
      <c r="K76" s="196">
        <v>70158</v>
      </c>
    </row>
    <row r="77" spans="1:12" ht="16.5" customHeight="1" x14ac:dyDescent="0.2">
      <c r="A77" s="99"/>
      <c r="B77" s="257" t="s">
        <v>1841</v>
      </c>
      <c r="C77" s="257"/>
      <c r="D77" s="257"/>
      <c r="E77" s="257"/>
      <c r="F77" s="257"/>
      <c r="G77" s="257"/>
      <c r="H77" s="257"/>
      <c r="I77" s="257"/>
      <c r="J77" s="155">
        <f>SUM(J75:J76)</f>
        <v>70158</v>
      </c>
      <c r="K77" s="155">
        <f>SUM(K75:K76)</f>
        <v>70158</v>
      </c>
      <c r="L77" s="21" t="str">
        <f>IF(J77=K77,"&lt;- Debits and Credits equal each other.","&lt;- Debits and Credits do not equal each other.")</f>
        <v>&lt;- Debits and Credits equal each other.</v>
      </c>
    </row>
    <row r="78" spans="1:12" ht="16.5" customHeight="1" x14ac:dyDescent="0.2">
      <c r="A78" s="99"/>
      <c r="B78" s="257"/>
      <c r="C78" s="257"/>
      <c r="D78" s="257"/>
      <c r="E78" s="257"/>
      <c r="F78" s="257"/>
      <c r="G78" s="257"/>
      <c r="H78" s="257"/>
      <c r="I78" s="257"/>
      <c r="J78" s="155"/>
      <c r="K78" s="155"/>
      <c r="L78" s="21"/>
    </row>
    <row r="79" spans="1:12" ht="24.6" customHeight="1" x14ac:dyDescent="0.2">
      <c r="A79" s="99"/>
      <c r="B79" s="257"/>
      <c r="C79" s="257"/>
      <c r="D79" s="257"/>
      <c r="E79" s="257"/>
      <c r="F79" s="257"/>
      <c r="G79" s="257"/>
      <c r="H79" s="257"/>
      <c r="I79" s="257"/>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554335</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-147822</v>
      </c>
    </row>
    <row r="128" spans="1:12" ht="16.5" customHeight="1" x14ac:dyDescent="0.25">
      <c r="D128" s="193" t="s">
        <v>1709</v>
      </c>
      <c r="H128" s="37"/>
      <c r="K128" s="238">
        <f>-K23-K48+J68+J75+J96-K113</f>
        <v>-352064</v>
      </c>
    </row>
    <row r="129" spans="4:11" ht="16.5" customHeight="1" x14ac:dyDescent="0.25">
      <c r="D129" s="193" t="s">
        <v>1710</v>
      </c>
      <c r="H129" s="37"/>
      <c r="K129" s="238">
        <f>-K76</f>
        <v>-70158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5m/HXnGOqaij6aW/iUobP0xTOKRmho+Kt+8klrl8KfKLrSbKGzJTXtjbRYVRmooY1zStD3qeKL19aQB13iqMJA==" saltValue="FZUa2JnMmHy9xNg93qJ3+w=="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B8D2C-9E51-4E11-A52A-E69A1C2C2ED0}">
  <sheetPr>
    <tabColor theme="9" tint="0.59999389629810485"/>
    <pageSetUpPr fitToPage="1"/>
  </sheetPr>
  <dimension ref="A1:S193"/>
  <sheetViews>
    <sheetView zoomScale="70" zoomScaleNormal="70" workbookViewId="0">
      <selection activeCell="M19" sqref="M1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8" t="s">
        <v>1661</v>
      </c>
      <c r="B1" s="258"/>
      <c r="C1" s="258"/>
      <c r="D1" s="258"/>
      <c r="E1" s="258"/>
      <c r="F1" s="258"/>
      <c r="G1" s="258"/>
      <c r="H1" s="258"/>
      <c r="I1" s="258"/>
      <c r="J1" s="258"/>
      <c r="K1" s="258"/>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9" t="s">
        <v>13</v>
      </c>
      <c r="B3" s="259"/>
      <c r="C3" s="259"/>
      <c r="D3" s="259"/>
      <c r="E3" s="259"/>
      <c r="F3" s="260" t="s">
        <v>24</v>
      </c>
      <c r="G3" s="260"/>
      <c r="H3" s="260"/>
      <c r="I3" s="260"/>
    </row>
    <row r="4" spans="1:19" ht="16.5" customHeight="1" x14ac:dyDescent="0.2">
      <c r="A4" s="259" t="s">
        <v>209</v>
      </c>
      <c r="B4" s="259"/>
      <c r="C4" s="259"/>
      <c r="D4" s="259"/>
      <c r="E4" s="259"/>
      <c r="F4" s="261" t="s">
        <v>1883</v>
      </c>
      <c r="G4" s="261"/>
      <c r="H4" s="261"/>
      <c r="I4" s="261"/>
    </row>
    <row r="5" spans="1:19" ht="16.5" customHeight="1" x14ac:dyDescent="0.2">
      <c r="A5" s="259" t="s">
        <v>1640</v>
      </c>
      <c r="B5" s="259"/>
      <c r="C5" s="259"/>
      <c r="D5" s="259"/>
      <c r="E5" s="259"/>
      <c r="F5" s="261" t="s">
        <v>1106</v>
      </c>
      <c r="G5" s="261"/>
      <c r="H5" s="261"/>
      <c r="I5" s="261"/>
      <c r="L5" s="39"/>
      <c r="M5" s="39"/>
      <c r="N5" s="39"/>
      <c r="O5" s="39"/>
      <c r="P5" s="39"/>
      <c r="Q5" s="39"/>
    </row>
    <row r="6" spans="1:19" ht="16.5" customHeight="1" x14ac:dyDescent="0.25">
      <c r="A6" s="259" t="s">
        <v>1683</v>
      </c>
      <c r="B6" s="259"/>
      <c r="C6" s="259"/>
      <c r="D6" s="259"/>
      <c r="E6" s="259"/>
      <c r="F6" s="262">
        <v>44</v>
      </c>
      <c r="G6" s="262"/>
      <c r="H6" s="262"/>
      <c r="I6" s="262"/>
      <c r="L6" s="40"/>
      <c r="M6" s="40"/>
      <c r="N6" s="40"/>
      <c r="O6" s="40"/>
      <c r="P6" s="39"/>
      <c r="Q6" s="39"/>
    </row>
    <row r="7" spans="1:19" ht="16.5" customHeight="1" x14ac:dyDescent="0.25">
      <c r="A7" s="259" t="s">
        <v>3</v>
      </c>
      <c r="B7" s="259"/>
      <c r="C7" s="259"/>
      <c r="D7" s="259"/>
      <c r="E7" s="259"/>
      <c r="F7" s="262" t="s">
        <v>124</v>
      </c>
      <c r="G7" s="262"/>
      <c r="H7" s="262"/>
      <c r="I7" s="262"/>
      <c r="K7" s="96"/>
      <c r="L7" s="40"/>
      <c r="M7" s="40"/>
      <c r="N7" s="40"/>
      <c r="O7" s="40"/>
      <c r="P7" s="39"/>
      <c r="Q7" s="39"/>
    </row>
    <row r="8" spans="1:19" ht="16.5" customHeight="1" x14ac:dyDescent="0.25">
      <c r="A8" s="259" t="s">
        <v>1641</v>
      </c>
      <c r="B8" s="259"/>
      <c r="C8" s="259"/>
      <c r="D8" s="259"/>
      <c r="E8" s="259"/>
      <c r="F8" s="262" t="s">
        <v>165</v>
      </c>
      <c r="G8" s="262"/>
      <c r="H8" s="262"/>
      <c r="I8" s="262"/>
      <c r="K8" s="96"/>
      <c r="L8" s="40"/>
      <c r="M8" s="40"/>
      <c r="N8" s="40"/>
      <c r="O8" s="40"/>
      <c r="P8" s="39"/>
      <c r="Q8" s="39"/>
    </row>
    <row r="9" spans="1:19" ht="16.5" customHeight="1" x14ac:dyDescent="0.25">
      <c r="A9" s="259" t="s">
        <v>1639</v>
      </c>
      <c r="B9" s="259"/>
      <c r="C9" s="259"/>
      <c r="D9" s="259"/>
      <c r="E9" s="259"/>
      <c r="F9" s="263" t="str">
        <f>IFERROR(IF(F7="Proprietary","Proprietary Fund",VLOOKUP(F5,qryIndex02a!$A$2:$K$654,4,FALSE)),"Unidentified")</f>
        <v>EDUCATION</v>
      </c>
      <c r="G9" s="263"/>
      <c r="H9" s="263"/>
      <c r="I9" s="26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5" t="s">
        <v>1673</v>
      </c>
      <c r="N14" s="256"/>
      <c r="O14" s="188"/>
      <c r="P14" s="255" t="s">
        <v>1668</v>
      </c>
      <c r="Q14" s="256"/>
      <c r="R14" s="188"/>
      <c r="S14" s="222" t="s">
        <v>1669</v>
      </c>
    </row>
    <row r="15" spans="1:19" ht="16.5" customHeight="1" x14ac:dyDescent="0.25">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7">
        <f>M16</f>
        <v>0</v>
      </c>
      <c r="M16" s="196"/>
      <c r="P16" s="196"/>
      <c r="Q16" s="224"/>
      <c r="S16" s="223">
        <f t="shared" si="0"/>
        <v>0</v>
      </c>
    </row>
    <row r="17" spans="1:19" ht="16.5" customHeight="1" x14ac:dyDescent="0.25">
      <c r="A17" s="228" t="s">
        <v>1690</v>
      </c>
      <c r="B17" s="26" t="s">
        <v>183</v>
      </c>
      <c r="C17" s="26"/>
      <c r="D17" s="26"/>
      <c r="E17" s="193"/>
      <c r="F17" s="194"/>
      <c r="G17" s="194"/>
      <c r="H17" s="195"/>
      <c r="I17" s="195"/>
      <c r="J17" s="247">
        <v>1066007</v>
      </c>
      <c r="M17" s="196">
        <v>1066007</v>
      </c>
      <c r="P17" s="196">
        <v>1066007</v>
      </c>
      <c r="Q17" s="224"/>
      <c r="S17" s="223">
        <f t="shared" si="0"/>
        <v>0</v>
      </c>
    </row>
    <row r="18" spans="1:19" ht="16.5" customHeight="1" x14ac:dyDescent="0.25">
      <c r="A18" s="99"/>
      <c r="B18" s="26" t="s">
        <v>179</v>
      </c>
      <c r="C18" s="26"/>
      <c r="D18" s="26"/>
      <c r="E18" s="193"/>
      <c r="F18" s="194"/>
      <c r="G18" s="194"/>
      <c r="H18" s="195"/>
      <c r="I18" s="195"/>
      <c r="J18" s="247">
        <f>P18</f>
        <v>8667</v>
      </c>
      <c r="M18" s="196">
        <v>8667</v>
      </c>
      <c r="P18" s="221">
        <f>IF(SUM($Q$21:$Q$23)&gt;SUM($P$15:$P$17),SUM($Q$21:$Q$23)-SUM($P$15:$P$17),0)</f>
        <v>8667</v>
      </c>
      <c r="Q18" s="224"/>
      <c r="S18" s="223">
        <f t="shared" si="0"/>
        <v>0</v>
      </c>
    </row>
    <row r="19" spans="1:19" ht="16.5" customHeight="1" x14ac:dyDescent="0.25">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7">
        <f>N20</f>
        <v>0</v>
      </c>
      <c r="N20" s="196"/>
      <c r="P20" s="224"/>
      <c r="Q20" s="196"/>
      <c r="S20" s="223">
        <f t="shared" si="0"/>
        <v>0</v>
      </c>
    </row>
    <row r="21" spans="1:19" ht="16.5" customHeight="1" x14ac:dyDescent="0.25">
      <c r="A21" s="99"/>
      <c r="B21" s="26"/>
      <c r="C21" s="26" t="s">
        <v>185</v>
      </c>
      <c r="D21" s="26"/>
      <c r="E21" s="193"/>
      <c r="F21" s="194"/>
      <c r="G21" s="194"/>
      <c r="H21" s="195"/>
      <c r="I21" s="195"/>
      <c r="J21" s="213"/>
      <c r="K21" s="247">
        <f>N21</f>
        <v>0</v>
      </c>
      <c r="N21" s="196"/>
      <c r="P21" s="224"/>
      <c r="Q21" s="196"/>
      <c r="S21" s="223">
        <f>Q21-N21</f>
        <v>0</v>
      </c>
    </row>
    <row r="22" spans="1:19" ht="16.5" customHeight="1" x14ac:dyDescent="0.25">
      <c r="A22" s="99"/>
      <c r="B22" s="26"/>
      <c r="C22" s="26" t="s">
        <v>189</v>
      </c>
      <c r="D22" s="26"/>
      <c r="E22" s="193"/>
      <c r="F22" s="194"/>
      <c r="G22" s="194"/>
      <c r="H22" s="195"/>
      <c r="I22" s="195"/>
      <c r="J22" s="213"/>
      <c r="K22" s="247">
        <v>278089</v>
      </c>
      <c r="N22" s="196">
        <v>278089</v>
      </c>
      <c r="P22" s="224"/>
      <c r="Q22" s="196">
        <v>278089</v>
      </c>
      <c r="S22" s="223">
        <f t="shared" ref="S22:S25" si="1">Q22-N22</f>
        <v>0</v>
      </c>
    </row>
    <row r="23" spans="1:19" ht="16.5" customHeight="1" x14ac:dyDescent="0.25">
      <c r="A23" s="234" t="s">
        <v>1698</v>
      </c>
      <c r="B23" s="26"/>
      <c r="C23" s="26" t="s">
        <v>184</v>
      </c>
      <c r="D23" s="26"/>
      <c r="E23" s="193"/>
      <c r="F23" s="194"/>
      <c r="G23" s="194"/>
      <c r="H23" s="195"/>
      <c r="I23" s="195"/>
      <c r="J23" s="213"/>
      <c r="K23" s="247">
        <v>796585</v>
      </c>
      <c r="N23" s="196">
        <v>796585</v>
      </c>
      <c r="P23" s="224"/>
      <c r="Q23" s="196">
        <v>796585</v>
      </c>
      <c r="S23" s="223">
        <f t="shared" si="1"/>
        <v>0</v>
      </c>
    </row>
    <row r="24" spans="1:19" ht="16.5" customHeight="1" x14ac:dyDescent="0.25">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1074674</v>
      </c>
      <c r="K26" s="155">
        <f>SUM(K15:K25)</f>
        <v>1074674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278089</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278089</v>
      </c>
    </row>
    <row r="59" spans="1:16" ht="16.5" customHeight="1" x14ac:dyDescent="0.25">
      <c r="A59" s="99"/>
      <c r="C59" s="43"/>
      <c r="D59" s="43"/>
      <c r="E59" s="43"/>
      <c r="F59" s="44"/>
      <c r="G59" s="44"/>
      <c r="H59" s="45"/>
      <c r="I59" s="45"/>
      <c r="J59" s="155">
        <f>SUM(J55:J58)</f>
        <v>278089</v>
      </c>
      <c r="K59" s="155">
        <f>SUM(K55:K58)</f>
        <v>278089</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275393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1294</v>
      </c>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v>276687</v>
      </c>
    </row>
    <row r="65" spans="1:12" ht="16.5" customHeight="1" x14ac:dyDescent="0.25">
      <c r="A65" s="99"/>
      <c r="C65" s="43"/>
      <c r="D65" s="43"/>
      <c r="E65" s="43"/>
      <c r="F65" s="44"/>
      <c r="G65" s="44"/>
      <c r="H65" s="45"/>
      <c r="I65" s="45"/>
      <c r="J65" s="155">
        <f>SUM(J62:J64)</f>
        <v>276687</v>
      </c>
      <c r="K65" s="155">
        <f>SUM(K62:K64)</f>
        <v>276687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275393</v>
      </c>
      <c r="K68" s="197"/>
    </row>
    <row r="69" spans="1:12" ht="16.5" customHeight="1" x14ac:dyDescent="0.25">
      <c r="A69" s="99"/>
      <c r="B69" s="26"/>
      <c r="C69" s="26" t="s">
        <v>203</v>
      </c>
      <c r="D69" s="193"/>
      <c r="E69" s="193"/>
      <c r="F69" s="194"/>
      <c r="G69" s="194"/>
      <c r="H69" s="195"/>
      <c r="I69" s="195"/>
      <c r="J69" s="197"/>
      <c r="K69" s="196">
        <v>275393</v>
      </c>
    </row>
    <row r="70" spans="1:12" ht="16.5" customHeight="1" x14ac:dyDescent="0.25">
      <c r="A70" s="99"/>
      <c r="C70" s="43"/>
      <c r="D70" s="43"/>
      <c r="E70" s="43"/>
      <c r="F70" s="44"/>
      <c r="G70" s="44"/>
      <c r="H70" s="45"/>
      <c r="I70" s="45"/>
      <c r="J70" s="155">
        <f>SUM(J68:J69)</f>
        <v>275393</v>
      </c>
      <c r="K70" s="155">
        <f>SUM(K68:K69)</f>
        <v>275393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281484</v>
      </c>
      <c r="K75" s="197"/>
    </row>
    <row r="76" spans="1:12" ht="16.5" customHeight="1" x14ac:dyDescent="0.25">
      <c r="A76" s="99"/>
      <c r="B76" s="26"/>
      <c r="C76" s="26" t="s">
        <v>211</v>
      </c>
      <c r="D76" s="193"/>
      <c r="E76" s="193"/>
      <c r="F76" s="194"/>
      <c r="G76" s="194"/>
      <c r="H76" s="195"/>
      <c r="I76" s="195"/>
      <c r="J76" s="197"/>
      <c r="K76" s="196">
        <v>281484</v>
      </c>
    </row>
    <row r="77" spans="1:12" ht="16.5" customHeight="1" x14ac:dyDescent="0.2">
      <c r="A77" s="99"/>
      <c r="B77" s="257" t="s">
        <v>1841</v>
      </c>
      <c r="C77" s="257"/>
      <c r="D77" s="257"/>
      <c r="E77" s="257"/>
      <c r="F77" s="257"/>
      <c r="G77" s="257"/>
      <c r="H77" s="257"/>
      <c r="I77" s="257"/>
      <c r="J77" s="155">
        <f>SUM(J75:J76)</f>
        <v>281484</v>
      </c>
      <c r="K77" s="155">
        <f>SUM(K75:K76)</f>
        <v>281484</v>
      </c>
      <c r="L77" s="21" t="str">
        <f>IF(J77=K77,"&lt;- Debits and Credits equal each other.","&lt;- Debits and Credits do not equal each other.")</f>
        <v>&lt;- Debits and Credits equal each other.</v>
      </c>
    </row>
    <row r="78" spans="1:12" ht="16.5" customHeight="1" x14ac:dyDescent="0.2">
      <c r="A78" s="99"/>
      <c r="B78" s="257"/>
      <c r="C78" s="257"/>
      <c r="D78" s="257"/>
      <c r="E78" s="257"/>
      <c r="F78" s="257"/>
      <c r="G78" s="257"/>
      <c r="H78" s="257"/>
      <c r="I78" s="257"/>
      <c r="J78" s="155"/>
      <c r="K78" s="155"/>
      <c r="L78" s="21"/>
    </row>
    <row r="79" spans="1:12" ht="24.6" customHeight="1" x14ac:dyDescent="0.2">
      <c r="A79" s="99"/>
      <c r="B79" s="257"/>
      <c r="C79" s="257"/>
      <c r="D79" s="257"/>
      <c r="E79" s="257"/>
      <c r="F79" s="257"/>
      <c r="G79" s="257"/>
      <c r="H79" s="257"/>
      <c r="I79" s="257"/>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1066007</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-556178</v>
      </c>
    </row>
    <row r="128" spans="1:12" ht="16.5" customHeight="1" x14ac:dyDescent="0.25">
      <c r="D128" s="193" t="s">
        <v>1709</v>
      </c>
      <c r="H128" s="37"/>
      <c r="K128" s="238">
        <f>-K23-K48+J68+J75+J96-K113</f>
        <v>-239708</v>
      </c>
    </row>
    <row r="129" spans="4:11" ht="16.5" customHeight="1" x14ac:dyDescent="0.25">
      <c r="D129" s="193" t="s">
        <v>1710</v>
      </c>
      <c r="H129" s="37"/>
      <c r="K129" s="238">
        <f>-K76</f>
        <v>-281484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5m/HXnGOqaij6aW/iUobP0xTOKRmho+Kt+8klrl8KfKLrSbKGzJTXtjbRYVRmooY1zStD3qeKL19aQB13iqMJA==" saltValue="FZUa2JnMmHy9xNg93qJ3+w=="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725E3D7B-EB2D-4C9F-B242-FBEA2DEF65DF}"/>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AD12E19-1F3F-497C-BD07-0216D6B043D8}">
      <formula1>0</formula1>
    </dataValidation>
    <dataValidation type="textLength" operator="equal" allowBlank="1" showInputMessage="1" showErrorMessage="1" errorTitle="4-Digit Org Code" error="Enter the Org Code/BU as 4 digits." sqref="F5" xr:uid="{6056E752-0B94-442C-B887-BE3825B29ADB}">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4459166-D0FE-4DD8-887C-2C33A7ED79C0}">
          <x14:formula1>
            <xm:f>'Drop Down Menus'!$A$1:$A$101</xm:f>
          </x14:formula1>
          <xm:sqref>F3</xm:sqref>
        </x14:dataValidation>
        <x14:dataValidation type="list" allowBlank="1" showInputMessage="1" showErrorMessage="1" xr:uid="{96C50D04-B31A-4537-A4C7-A8E2D0BE5076}">
          <x14:formula1>
            <xm:f>'Drop Down Menus'!$B$1:$B$2</xm:f>
          </x14:formula1>
          <xm:sqref>F7</xm:sqref>
        </x14:dataValidation>
        <x14:dataValidation type="list" allowBlank="1" showInputMessage="1" showErrorMessage="1" xr:uid="{D145D3DB-A60B-4F91-B510-4E3EDD76D72E}">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BA3B-CB7C-4747-BF39-12E12EA772DF}">
  <sheetPr>
    <tabColor theme="9" tint="0.59999389629810485"/>
    <pageSetUpPr fitToPage="1"/>
  </sheetPr>
  <dimension ref="A1:S193"/>
  <sheetViews>
    <sheetView tabSelected="1" zoomScale="70" zoomScaleNormal="70" workbookViewId="0">
      <selection activeCell="M40" sqref="M4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8" t="s">
        <v>1661</v>
      </c>
      <c r="B1" s="258"/>
      <c r="C1" s="258"/>
      <c r="D1" s="258"/>
      <c r="E1" s="258"/>
      <c r="F1" s="258"/>
      <c r="G1" s="258"/>
      <c r="H1" s="258"/>
      <c r="I1" s="258"/>
      <c r="J1" s="258"/>
      <c r="K1" s="258"/>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9" t="s">
        <v>13</v>
      </c>
      <c r="B3" s="259"/>
      <c r="C3" s="259"/>
      <c r="D3" s="259"/>
      <c r="E3" s="259"/>
      <c r="F3" s="260" t="s">
        <v>24</v>
      </c>
      <c r="G3" s="260"/>
      <c r="H3" s="260"/>
      <c r="I3" s="260"/>
    </row>
    <row r="4" spans="1:19" ht="16.5" customHeight="1" x14ac:dyDescent="0.2">
      <c r="A4" s="259" t="s">
        <v>209</v>
      </c>
      <c r="B4" s="259"/>
      <c r="C4" s="259"/>
      <c r="D4" s="259"/>
      <c r="E4" s="259"/>
      <c r="F4" s="261" t="s">
        <v>1883</v>
      </c>
      <c r="G4" s="261"/>
      <c r="H4" s="261"/>
      <c r="I4" s="261"/>
    </row>
    <row r="5" spans="1:19" ht="16.5" customHeight="1" x14ac:dyDescent="0.2">
      <c r="A5" s="259" t="s">
        <v>1640</v>
      </c>
      <c r="B5" s="259"/>
      <c r="C5" s="259"/>
      <c r="D5" s="259"/>
      <c r="E5" s="259"/>
      <c r="F5" s="261" t="s">
        <v>1106</v>
      </c>
      <c r="G5" s="261"/>
      <c r="H5" s="261"/>
      <c r="I5" s="261"/>
      <c r="L5" s="39"/>
      <c r="M5" s="39"/>
      <c r="N5" s="39"/>
      <c r="O5" s="39"/>
      <c r="P5" s="39"/>
      <c r="Q5" s="39"/>
    </row>
    <row r="6" spans="1:19" ht="16.5" customHeight="1" x14ac:dyDescent="0.25">
      <c r="A6" s="259" t="s">
        <v>1683</v>
      </c>
      <c r="B6" s="259"/>
      <c r="C6" s="259"/>
      <c r="D6" s="259"/>
      <c r="E6" s="259"/>
      <c r="F6" s="262">
        <v>687</v>
      </c>
      <c r="G6" s="262"/>
      <c r="H6" s="262"/>
      <c r="I6" s="262"/>
      <c r="L6" s="40"/>
      <c r="M6" s="40"/>
      <c r="N6" s="40"/>
      <c r="O6" s="40"/>
      <c r="P6" s="39"/>
      <c r="Q6" s="39"/>
    </row>
    <row r="7" spans="1:19" ht="16.5" customHeight="1" x14ac:dyDescent="0.25">
      <c r="A7" s="259" t="s">
        <v>3</v>
      </c>
      <c r="B7" s="259"/>
      <c r="C7" s="259"/>
      <c r="D7" s="259"/>
      <c r="E7" s="259"/>
      <c r="F7" s="262" t="s">
        <v>125</v>
      </c>
      <c r="G7" s="262"/>
      <c r="H7" s="262"/>
      <c r="I7" s="262"/>
      <c r="K7" s="96"/>
      <c r="L7" s="40"/>
      <c r="M7" s="40"/>
      <c r="N7" s="40"/>
      <c r="O7" s="40"/>
      <c r="P7" s="39"/>
      <c r="Q7" s="39"/>
    </row>
    <row r="8" spans="1:19" ht="16.5" customHeight="1" x14ac:dyDescent="0.25">
      <c r="A8" s="259" t="s">
        <v>1641</v>
      </c>
      <c r="B8" s="259"/>
      <c r="C8" s="259"/>
      <c r="D8" s="259"/>
      <c r="E8" s="259"/>
      <c r="F8" s="262" t="s">
        <v>141</v>
      </c>
      <c r="G8" s="262"/>
      <c r="H8" s="262"/>
      <c r="I8" s="262"/>
      <c r="K8" s="96"/>
      <c r="L8" s="40"/>
      <c r="M8" s="40"/>
      <c r="N8" s="40"/>
      <c r="O8" s="40"/>
      <c r="P8" s="39"/>
      <c r="Q8" s="39"/>
    </row>
    <row r="9" spans="1:19" ht="16.5" customHeight="1" x14ac:dyDescent="0.25">
      <c r="A9" s="259" t="s">
        <v>1639</v>
      </c>
      <c r="B9" s="259"/>
      <c r="C9" s="259"/>
      <c r="D9" s="259"/>
      <c r="E9" s="259"/>
      <c r="F9" s="263" t="str">
        <f>IFERROR(IF(F7="Proprietary","Proprietary Fund",VLOOKUP(F5,qryIndex02a!$A$2:$K$654,4,FALSE)),"Unidentified")</f>
        <v>Proprietary Fund</v>
      </c>
      <c r="G9" s="263"/>
      <c r="H9" s="263"/>
      <c r="I9" s="26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5" t="s">
        <v>1673</v>
      </c>
      <c r="N14" s="256"/>
      <c r="O14" s="188"/>
      <c r="P14" s="255" t="s">
        <v>1668</v>
      </c>
      <c r="Q14" s="256"/>
      <c r="R14" s="188"/>
      <c r="S14" s="222" t="s">
        <v>1669</v>
      </c>
    </row>
    <row r="15" spans="1:19" ht="16.5" customHeight="1" x14ac:dyDescent="0.25">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7">
        <f>M16</f>
        <v>0</v>
      </c>
      <c r="M16" s="196"/>
      <c r="P16" s="196"/>
      <c r="Q16" s="224"/>
      <c r="S16" s="223">
        <f t="shared" si="0"/>
        <v>0</v>
      </c>
    </row>
    <row r="17" spans="1:19" ht="16.5" customHeight="1" x14ac:dyDescent="0.25">
      <c r="A17" s="228" t="s">
        <v>1690</v>
      </c>
      <c r="B17" s="26" t="s">
        <v>183</v>
      </c>
      <c r="C17" s="26"/>
      <c r="D17" s="26"/>
      <c r="E17" s="193"/>
      <c r="F17" s="194"/>
      <c r="G17" s="194"/>
      <c r="H17" s="195"/>
      <c r="I17" s="195"/>
      <c r="J17" s="247">
        <v>1969032</v>
      </c>
      <c r="M17" s="196">
        <v>1969032</v>
      </c>
      <c r="P17" s="196">
        <v>1969032</v>
      </c>
      <c r="Q17" s="224"/>
      <c r="S17" s="223">
        <f t="shared" si="0"/>
        <v>0</v>
      </c>
    </row>
    <row r="18" spans="1:19" ht="16.5" customHeight="1" x14ac:dyDescent="0.25">
      <c r="A18" s="99"/>
      <c r="B18" s="26" t="s">
        <v>179</v>
      </c>
      <c r="C18" s="26"/>
      <c r="D18" s="26"/>
      <c r="E18" s="193"/>
      <c r="F18" s="194"/>
      <c r="G18" s="194"/>
      <c r="H18" s="195"/>
      <c r="I18" s="195"/>
      <c r="J18" s="247">
        <f>P18</f>
        <v>6011</v>
      </c>
      <c r="M18" s="196">
        <v>6011</v>
      </c>
      <c r="P18" s="221">
        <f>IF(SUM($Q$21:$Q$23)&gt;SUM($P$15:$P$17),SUM($Q$21:$Q$23)-SUM($P$15:$P$17),0)</f>
        <v>6011</v>
      </c>
      <c r="Q18" s="224"/>
      <c r="S18" s="223">
        <f t="shared" si="0"/>
        <v>0</v>
      </c>
    </row>
    <row r="19" spans="1:19" ht="16.5" customHeight="1" x14ac:dyDescent="0.25">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7">
        <f>N20</f>
        <v>0</v>
      </c>
      <c r="N20" s="196"/>
      <c r="P20" s="224"/>
      <c r="Q20" s="196"/>
      <c r="S20" s="223">
        <f t="shared" si="0"/>
        <v>0</v>
      </c>
    </row>
    <row r="21" spans="1:19" ht="16.5" customHeight="1" x14ac:dyDescent="0.25">
      <c r="A21" s="99"/>
      <c r="B21" s="26"/>
      <c r="C21" s="26" t="s">
        <v>185</v>
      </c>
      <c r="D21" s="26"/>
      <c r="E21" s="193"/>
      <c r="F21" s="194"/>
      <c r="G21" s="194"/>
      <c r="H21" s="195"/>
      <c r="I21" s="195"/>
      <c r="J21" s="213"/>
      <c r="K21" s="247">
        <f>N21</f>
        <v>0</v>
      </c>
      <c r="N21" s="196"/>
      <c r="P21" s="224"/>
      <c r="Q21" s="196"/>
      <c r="S21" s="223">
        <f>Q21-N21</f>
        <v>0</v>
      </c>
    </row>
    <row r="22" spans="1:19" ht="16.5" customHeight="1" x14ac:dyDescent="0.25">
      <c r="A22" s="99"/>
      <c r="B22" s="26"/>
      <c r="C22" s="26" t="s">
        <v>189</v>
      </c>
      <c r="D22" s="26"/>
      <c r="E22" s="193"/>
      <c r="F22" s="194"/>
      <c r="G22" s="194"/>
      <c r="H22" s="195"/>
      <c r="I22" s="195"/>
      <c r="J22" s="213"/>
      <c r="K22" s="247">
        <v>960348</v>
      </c>
      <c r="N22" s="196">
        <v>960348</v>
      </c>
      <c r="P22" s="224"/>
      <c r="Q22" s="196">
        <v>960348</v>
      </c>
      <c r="S22" s="223">
        <f t="shared" ref="S22:S25" si="1">Q22-N22</f>
        <v>0</v>
      </c>
    </row>
    <row r="23" spans="1:19" ht="16.5" customHeight="1" x14ac:dyDescent="0.25">
      <c r="A23" s="234" t="s">
        <v>1698</v>
      </c>
      <c r="B23" s="26"/>
      <c r="C23" s="26" t="s">
        <v>184</v>
      </c>
      <c r="D23" s="26"/>
      <c r="E23" s="193"/>
      <c r="F23" s="194"/>
      <c r="G23" s="194"/>
      <c r="H23" s="195"/>
      <c r="I23" s="195"/>
      <c r="J23" s="213"/>
      <c r="K23" s="247">
        <v>1014695</v>
      </c>
      <c r="N23" s="196">
        <v>1014695</v>
      </c>
      <c r="P23" s="224"/>
      <c r="Q23" s="196">
        <v>1014695</v>
      </c>
      <c r="S23" s="223">
        <f t="shared" si="1"/>
        <v>0</v>
      </c>
    </row>
    <row r="24" spans="1:19" ht="16.5" customHeight="1" x14ac:dyDescent="0.25">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1975043</v>
      </c>
      <c r="K26" s="155">
        <f>SUM(K15:K25)</f>
        <v>1975043</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19733659</v>
      </c>
      <c r="K33" s="197"/>
    </row>
    <row r="34" spans="1:12" ht="16.5" customHeight="1" x14ac:dyDescent="0.25">
      <c r="A34" s="99"/>
      <c r="B34" s="26"/>
      <c r="C34" s="26" t="s">
        <v>1861</v>
      </c>
      <c r="D34" s="193"/>
      <c r="E34" s="193"/>
      <c r="F34" s="194"/>
      <c r="G34" s="194"/>
      <c r="H34" s="195"/>
      <c r="I34" s="195"/>
      <c r="J34" s="197"/>
      <c r="K34" s="196">
        <v>19733659</v>
      </c>
    </row>
    <row r="35" spans="1:12" ht="16.5" customHeight="1" x14ac:dyDescent="0.25">
      <c r="A35" s="99"/>
      <c r="B35" s="26"/>
      <c r="C35" s="26" t="str">
        <f>IF($F$7="Proprietary","Cr: Acct 0870 - SERVICES &amp; CHARGES (MG ADJ)",VLOOKUP($F$9,'Drop Down Menus'!$F$2:$G$10,2,FALSE))</f>
        <v>Cr: Acct 0870 - SERVICES &amp; CHARGES (MG ADJ)</v>
      </c>
      <c r="D35" s="193"/>
      <c r="E35" s="193"/>
      <c r="F35" s="194"/>
      <c r="G35" s="194"/>
      <c r="H35" s="195"/>
      <c r="I35" s="195"/>
      <c r="J35" s="197"/>
      <c r="K35" s="196"/>
    </row>
    <row r="36" spans="1:12" ht="16.5" customHeight="1" x14ac:dyDescent="0.25">
      <c r="A36" s="99"/>
      <c r="C36" s="43"/>
      <c r="D36" s="43"/>
      <c r="E36" s="43"/>
      <c r="F36" s="44"/>
      <c r="G36" s="44"/>
      <c r="H36" s="45"/>
      <c r="I36" s="45"/>
      <c r="J36" s="155">
        <f>SUM(J33:J35)</f>
        <v>19733659</v>
      </c>
      <c r="K36" s="155">
        <f>SUM(K33:K35)</f>
        <v>19733659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19733659</v>
      </c>
      <c r="K41" s="197"/>
    </row>
    <row r="42" spans="1:12" ht="16.5" customHeight="1" x14ac:dyDescent="0.25">
      <c r="A42" s="99"/>
      <c r="B42" s="26"/>
      <c r="C42" s="26" t="s">
        <v>198</v>
      </c>
      <c r="D42" s="193"/>
      <c r="E42" s="193"/>
      <c r="F42" s="194"/>
      <c r="G42" s="194"/>
      <c r="H42" s="195"/>
      <c r="I42" s="195"/>
      <c r="J42" s="197"/>
      <c r="K42" s="196">
        <v>19733659</v>
      </c>
    </row>
    <row r="43" spans="1:12" ht="16.5" customHeight="1" x14ac:dyDescent="0.25">
      <c r="A43" s="99"/>
      <c r="B43" s="182" t="s">
        <v>1692</v>
      </c>
      <c r="C43" s="43"/>
      <c r="D43" s="43"/>
      <c r="E43" s="43"/>
      <c r="F43" s="44"/>
      <c r="G43" s="44"/>
      <c r="H43" s="45"/>
      <c r="I43" s="45"/>
      <c r="J43" s="155">
        <f>SUM(J39:J42)</f>
        <v>19733659</v>
      </c>
      <c r="K43" s="155">
        <f>SUM(K39:K42)</f>
        <v>19733659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19733659</v>
      </c>
      <c r="K47" s="197"/>
    </row>
    <row r="48" spans="1:12" ht="16.5" customHeight="1" x14ac:dyDescent="0.25">
      <c r="A48" s="234" t="s">
        <v>1698</v>
      </c>
      <c r="B48" s="26"/>
      <c r="C48" s="26" t="s">
        <v>184</v>
      </c>
      <c r="D48" s="193"/>
      <c r="E48" s="193"/>
      <c r="F48" s="194"/>
      <c r="G48" s="194"/>
      <c r="H48" s="195"/>
      <c r="I48" s="195"/>
      <c r="J48" s="197"/>
      <c r="K48" s="196">
        <v>19733659</v>
      </c>
    </row>
    <row r="49" spans="1:16" ht="16.5" customHeight="1" x14ac:dyDescent="0.25">
      <c r="A49" s="99"/>
      <c r="C49" s="43"/>
      <c r="D49" s="43"/>
      <c r="E49" s="43"/>
      <c r="F49" s="44"/>
      <c r="G49" s="44"/>
      <c r="H49" s="45"/>
      <c r="I49" s="45"/>
      <c r="J49" s="155">
        <f>SUM(J47:J48)</f>
        <v>19733659</v>
      </c>
      <c r="K49" s="155">
        <f>SUM(K47:K48)</f>
        <v>19733659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1222793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1222793</v>
      </c>
    </row>
    <row r="59" spans="1:16" ht="16.5" customHeight="1" x14ac:dyDescent="0.25">
      <c r="A59" s="99"/>
      <c r="C59" s="43"/>
      <c r="D59" s="43"/>
      <c r="E59" s="43"/>
      <c r="F59" s="44"/>
      <c r="G59" s="44"/>
      <c r="H59" s="45"/>
      <c r="I59" s="45"/>
      <c r="J59" s="155">
        <f>SUM(J55:J58)</f>
        <v>1222793</v>
      </c>
      <c r="K59" s="155">
        <f>SUM(K55:K58)</f>
        <v>1222793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f>1048009+258909</f>
        <v>1306918</v>
      </c>
      <c r="K62" s="200"/>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f>17466</f>
        <v>17466</v>
      </c>
      <c r="K63" s="200"/>
    </row>
    <row r="64" spans="1:16" ht="16.5" customHeight="1" x14ac:dyDescent="0.25">
      <c r="A64" s="99"/>
      <c r="B64" s="26"/>
      <c r="C64" s="26" t="str">
        <f>IF($F$7="Proprietary","Cr: Acct 0870 - SERVICES &amp; CHARGES (MG ADJ)",VLOOKUP($F$9,'Drop Down Menus'!$F$2:$G$10,2,FALSE))</f>
        <v>Cr: Acct 0870 - SERVICES &amp; CHARGES (MG ADJ)</v>
      </c>
      <c r="D64" s="193"/>
      <c r="E64" s="193"/>
      <c r="F64" s="194"/>
      <c r="G64" s="194"/>
      <c r="H64" s="195"/>
      <c r="I64" s="195"/>
      <c r="J64" s="200"/>
      <c r="K64" s="196">
        <f>+J62+J63</f>
        <v>1324384</v>
      </c>
    </row>
    <row r="65" spans="1:12" ht="16.5" customHeight="1" x14ac:dyDescent="0.25">
      <c r="A65" s="99"/>
      <c r="C65" s="43"/>
      <c r="D65" s="43"/>
      <c r="E65" s="43"/>
      <c r="F65" s="44"/>
      <c r="G65" s="44"/>
      <c r="H65" s="45"/>
      <c r="I65" s="45"/>
      <c r="J65" s="155">
        <f>SUM(J62:J64)</f>
        <v>1324384</v>
      </c>
      <c r="K65" s="155">
        <f>SUM(K62:K64)</f>
        <v>1324384</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1306918</v>
      </c>
      <c r="K68" s="197"/>
    </row>
    <row r="69" spans="1:12" ht="16.5" customHeight="1" x14ac:dyDescent="0.25">
      <c r="A69" s="99"/>
      <c r="B69" s="26"/>
      <c r="C69" s="26" t="s">
        <v>203</v>
      </c>
      <c r="D69" s="193"/>
      <c r="E69" s="193"/>
      <c r="F69" s="194"/>
      <c r="G69" s="194"/>
      <c r="H69" s="195"/>
      <c r="I69" s="195"/>
      <c r="J69" s="197"/>
      <c r="K69" s="196">
        <v>1306918</v>
      </c>
    </row>
    <row r="70" spans="1:12" ht="16.5" customHeight="1" x14ac:dyDescent="0.25">
      <c r="A70" s="99"/>
      <c r="C70" s="43"/>
      <c r="D70" s="43"/>
      <c r="E70" s="43"/>
      <c r="F70" s="44"/>
      <c r="G70" s="44"/>
      <c r="H70" s="45"/>
      <c r="I70" s="45"/>
      <c r="J70" s="155">
        <f>SUM(J68:J69)</f>
        <v>1306918</v>
      </c>
      <c r="K70" s="155">
        <f>SUM(K68:K69)</f>
        <v>1306918</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f>1174036-194034</f>
        <v>980002</v>
      </c>
      <c r="K75" s="197"/>
    </row>
    <row r="76" spans="1:12" ht="16.5" customHeight="1" x14ac:dyDescent="0.25">
      <c r="A76" s="99"/>
      <c r="B76" s="26"/>
      <c r="C76" s="26" t="s">
        <v>211</v>
      </c>
      <c r="D76" s="193"/>
      <c r="E76" s="193"/>
      <c r="F76" s="194"/>
      <c r="G76" s="194"/>
      <c r="H76" s="195"/>
      <c r="I76" s="195"/>
      <c r="J76" s="197"/>
      <c r="K76" s="196">
        <f>+J75</f>
        <v>980002</v>
      </c>
    </row>
    <row r="77" spans="1:12" ht="16.5" customHeight="1" x14ac:dyDescent="0.2">
      <c r="A77" s="99"/>
      <c r="B77" s="257" t="s">
        <v>1841</v>
      </c>
      <c r="C77" s="257"/>
      <c r="D77" s="257"/>
      <c r="E77" s="257"/>
      <c r="F77" s="257"/>
      <c r="G77" s="257"/>
      <c r="H77" s="257"/>
      <c r="I77" s="257"/>
      <c r="J77" s="155">
        <f>SUM(J75:J76)</f>
        <v>980002</v>
      </c>
      <c r="K77" s="155">
        <f>SUM(K75:K76)</f>
        <v>980002</v>
      </c>
      <c r="L77" s="21" t="str">
        <f>IF(J77=K77,"&lt;- Debits and Credits equal each other.","&lt;- Debits and Credits do not equal each other.")</f>
        <v>&lt;- Debits and Credits equal each other.</v>
      </c>
    </row>
    <row r="78" spans="1:12" ht="16.5" customHeight="1" x14ac:dyDescent="0.2">
      <c r="A78" s="99"/>
      <c r="B78" s="257"/>
      <c r="C78" s="257"/>
      <c r="D78" s="257"/>
      <c r="E78" s="257"/>
      <c r="F78" s="257"/>
      <c r="G78" s="257"/>
      <c r="H78" s="257"/>
      <c r="I78" s="257"/>
      <c r="J78" s="155"/>
      <c r="K78" s="155"/>
      <c r="L78" s="21"/>
    </row>
    <row r="79" spans="1:12" ht="24.6" customHeight="1" x14ac:dyDescent="0.2">
      <c r="A79" s="99"/>
      <c r="B79" s="257"/>
      <c r="C79" s="257"/>
      <c r="D79" s="257"/>
      <c r="E79" s="257"/>
      <c r="F79" s="257"/>
      <c r="G79" s="257"/>
      <c r="H79" s="257"/>
      <c r="I79" s="257"/>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0870 - SERVICES &amp; CHARGES (MG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Dr: Acct 0870 - SERVICES &amp; CHARGES (MG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21702691</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-2183141</v>
      </c>
    </row>
    <row r="128" spans="1:12" ht="16.5" customHeight="1" x14ac:dyDescent="0.25">
      <c r="D128" s="193" t="s">
        <v>1709</v>
      </c>
      <c r="H128" s="37"/>
      <c r="K128" s="238">
        <f>-K23-K48+J68+J75+J96-K113</f>
        <v>-18461434</v>
      </c>
    </row>
    <row r="129" spans="4:11" ht="16.5" customHeight="1" x14ac:dyDescent="0.25">
      <c r="D129" s="193" t="s">
        <v>1710</v>
      </c>
      <c r="H129" s="37"/>
      <c r="K129" s="238">
        <f>-K76</f>
        <v>-980002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5m/HXnGOqaij6aW/iUobP0xTOKRmho+Kt+8klrl8KfKLrSbKGzJTXtjbRYVRmooY1zStD3qeKL19aQB13iqMJA==" saltValue="FZUa2JnMmHy9xNg93qJ3+w=="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64C9AC43-FD4F-402A-84B3-DDA4DFB570A6}"/>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F6A7E70-1B25-4222-A4FA-7B27A5EAA853}">
      <formula1>0</formula1>
    </dataValidation>
    <dataValidation type="textLength" operator="equal" allowBlank="1" showInputMessage="1" showErrorMessage="1" errorTitle="4-Digit Org Code" error="Enter the Org Code/BU as 4 digits." sqref="F5" xr:uid="{AFC7C6BD-DFB5-4DA5-B919-F15533E27805}">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C1517D3F-6133-4D81-81E2-C45D58867255}">
          <x14:formula1>
            <xm:f>'Drop Down Menus'!$A$1:$A$101</xm:f>
          </x14:formula1>
          <xm:sqref>F3</xm:sqref>
        </x14:dataValidation>
        <x14:dataValidation type="list" allowBlank="1" showInputMessage="1" showErrorMessage="1" xr:uid="{33E355E2-016F-4AD4-A629-24FD87026781}">
          <x14:formula1>
            <xm:f>'Drop Down Menus'!$B$1:$B$2</xm:f>
          </x14:formula1>
          <xm:sqref>F7</xm:sqref>
        </x14:dataValidation>
        <x14:dataValidation type="list" allowBlank="1" showInputMessage="1" showErrorMessage="1" xr:uid="{34F9A422-91DF-4339-8DFD-F20497600640}">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E932-1884-4CE4-9C44-78C8720C59F3}">
  <sheetPr>
    <tabColor theme="9" tint="0.59999389629810485"/>
    <pageSetUpPr fitToPage="1"/>
  </sheetPr>
  <dimension ref="A1:S193"/>
  <sheetViews>
    <sheetView topLeftCell="A21" zoomScale="70" zoomScaleNormal="70" workbookViewId="0">
      <selection activeCell="M19" sqref="M1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8" t="s">
        <v>1661</v>
      </c>
      <c r="B1" s="258"/>
      <c r="C1" s="258"/>
      <c r="D1" s="258"/>
      <c r="E1" s="258"/>
      <c r="F1" s="258"/>
      <c r="G1" s="258"/>
      <c r="H1" s="258"/>
      <c r="I1" s="258"/>
      <c r="J1" s="258"/>
      <c r="K1" s="258"/>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9" t="s">
        <v>13</v>
      </c>
      <c r="B3" s="259"/>
      <c r="C3" s="259"/>
      <c r="D3" s="259"/>
      <c r="E3" s="259"/>
      <c r="F3" s="260" t="s">
        <v>24</v>
      </c>
      <c r="G3" s="260"/>
      <c r="H3" s="260"/>
      <c r="I3" s="260"/>
    </row>
    <row r="4" spans="1:19" ht="16.5" customHeight="1" x14ac:dyDescent="0.2">
      <c r="A4" s="259" t="s">
        <v>209</v>
      </c>
      <c r="B4" s="259"/>
      <c r="C4" s="259"/>
      <c r="D4" s="259"/>
      <c r="E4" s="259"/>
      <c r="F4" s="261" t="s">
        <v>1883</v>
      </c>
      <c r="G4" s="261"/>
      <c r="H4" s="261"/>
      <c r="I4" s="261"/>
    </row>
    <row r="5" spans="1:19" ht="16.5" customHeight="1" x14ac:dyDescent="0.2">
      <c r="A5" s="259" t="s">
        <v>1640</v>
      </c>
      <c r="B5" s="259"/>
      <c r="C5" s="259"/>
      <c r="D5" s="259"/>
      <c r="E5" s="259"/>
      <c r="F5" s="261" t="s">
        <v>1106</v>
      </c>
      <c r="G5" s="261"/>
      <c r="H5" s="261"/>
      <c r="I5" s="261"/>
      <c r="L5" s="39"/>
      <c r="M5" s="39"/>
      <c r="N5" s="39"/>
      <c r="O5" s="39"/>
      <c r="P5" s="39"/>
      <c r="Q5" s="39"/>
    </row>
    <row r="6" spans="1:19" ht="16.5" customHeight="1" x14ac:dyDescent="0.25">
      <c r="A6" s="259" t="s">
        <v>1683</v>
      </c>
      <c r="B6" s="259"/>
      <c r="C6" s="259"/>
      <c r="D6" s="259"/>
      <c r="E6" s="259"/>
      <c r="F6" s="262">
        <v>890</v>
      </c>
      <c r="G6" s="262"/>
      <c r="H6" s="262"/>
      <c r="I6" s="262"/>
      <c r="L6" s="40"/>
      <c r="M6" s="40"/>
      <c r="N6" s="40"/>
      <c r="O6" s="40"/>
      <c r="P6" s="39"/>
      <c r="Q6" s="39"/>
    </row>
    <row r="7" spans="1:19" ht="16.5" customHeight="1" x14ac:dyDescent="0.25">
      <c r="A7" s="259" t="s">
        <v>3</v>
      </c>
      <c r="B7" s="259"/>
      <c r="C7" s="259"/>
      <c r="D7" s="259"/>
      <c r="E7" s="259"/>
      <c r="F7" s="262" t="s">
        <v>124</v>
      </c>
      <c r="G7" s="262"/>
      <c r="H7" s="262"/>
      <c r="I7" s="262"/>
      <c r="K7" s="96"/>
      <c r="L7" s="40"/>
      <c r="M7" s="40"/>
      <c r="N7" s="40"/>
      <c r="O7" s="40"/>
      <c r="P7" s="39"/>
      <c r="Q7" s="39"/>
    </row>
    <row r="8" spans="1:19" ht="16.5" customHeight="1" x14ac:dyDescent="0.25">
      <c r="A8" s="259" t="s">
        <v>1641</v>
      </c>
      <c r="B8" s="259"/>
      <c r="C8" s="259"/>
      <c r="D8" s="259"/>
      <c r="E8" s="259"/>
      <c r="F8" s="262" t="s">
        <v>165</v>
      </c>
      <c r="G8" s="262"/>
      <c r="H8" s="262"/>
      <c r="I8" s="262"/>
      <c r="K8" s="96"/>
      <c r="L8" s="40"/>
      <c r="M8" s="40"/>
      <c r="N8" s="40"/>
      <c r="O8" s="40"/>
      <c r="P8" s="39"/>
      <c r="Q8" s="39"/>
    </row>
    <row r="9" spans="1:19" ht="16.5" customHeight="1" x14ac:dyDescent="0.25">
      <c r="A9" s="259" t="s">
        <v>1639</v>
      </c>
      <c r="B9" s="259"/>
      <c r="C9" s="259"/>
      <c r="D9" s="259"/>
      <c r="E9" s="259"/>
      <c r="F9" s="263" t="str">
        <f>IFERROR(IF(F7="Proprietary","Proprietary Fund",VLOOKUP(F5,qryIndex02a!$A$2:$K$654,4,FALSE)),"Unidentified")</f>
        <v>EDUCATION</v>
      </c>
      <c r="G9" s="263"/>
      <c r="H9" s="263"/>
      <c r="I9" s="26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5" t="s">
        <v>1673</v>
      </c>
      <c r="N14" s="256"/>
      <c r="O14" s="188"/>
      <c r="P14" s="255" t="s">
        <v>1668</v>
      </c>
      <c r="Q14" s="256"/>
      <c r="R14" s="188"/>
      <c r="S14" s="222" t="s">
        <v>1669</v>
      </c>
    </row>
    <row r="15" spans="1:19" ht="16.5" customHeight="1" x14ac:dyDescent="0.25">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7">
        <f>M16</f>
        <v>0</v>
      </c>
      <c r="M16" s="196"/>
      <c r="P16" s="196"/>
      <c r="Q16" s="224"/>
      <c r="S16" s="223">
        <f t="shared" si="0"/>
        <v>0</v>
      </c>
    </row>
    <row r="17" spans="1:19" ht="16.5" customHeight="1" x14ac:dyDescent="0.25">
      <c r="A17" s="228" t="s">
        <v>1690</v>
      </c>
      <c r="B17" s="26" t="s">
        <v>183</v>
      </c>
      <c r="C17" s="26"/>
      <c r="D17" s="26"/>
      <c r="E17" s="193"/>
      <c r="F17" s="194"/>
      <c r="G17" s="194"/>
      <c r="H17" s="195"/>
      <c r="I17" s="195"/>
      <c r="J17" s="247">
        <v>3056973</v>
      </c>
      <c r="M17" s="196">
        <v>3056973</v>
      </c>
      <c r="P17" s="196">
        <v>3056973</v>
      </c>
      <c r="Q17" s="224"/>
      <c r="S17" s="223">
        <f t="shared" si="0"/>
        <v>0</v>
      </c>
    </row>
    <row r="18" spans="1:19" ht="16.5" customHeight="1" x14ac:dyDescent="0.25">
      <c r="A18" s="99"/>
      <c r="B18" s="26" t="s">
        <v>179</v>
      </c>
      <c r="C18" s="26"/>
      <c r="D18" s="26"/>
      <c r="E18" s="193"/>
      <c r="F18" s="194"/>
      <c r="G18" s="194"/>
      <c r="H18" s="195"/>
      <c r="I18" s="195"/>
      <c r="J18" s="247">
        <f>P18</f>
        <v>50698</v>
      </c>
      <c r="M18" s="196">
        <v>50698</v>
      </c>
      <c r="P18" s="221">
        <f>IF(SUM($Q$21:$Q$23)&gt;SUM($P$15:$P$17),SUM($Q$21:$Q$23)-SUM($P$15:$P$17),0)</f>
        <v>50698</v>
      </c>
      <c r="Q18" s="224"/>
      <c r="S18" s="223">
        <f t="shared" si="0"/>
        <v>0</v>
      </c>
    </row>
    <row r="19" spans="1:19" ht="16.5" customHeight="1" x14ac:dyDescent="0.25">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7">
        <f>N20</f>
        <v>0</v>
      </c>
      <c r="N20" s="196"/>
      <c r="P20" s="224"/>
      <c r="Q20" s="196"/>
      <c r="S20" s="223">
        <f t="shared" si="0"/>
        <v>0</v>
      </c>
    </row>
    <row r="21" spans="1:19" ht="16.5" customHeight="1" x14ac:dyDescent="0.25">
      <c r="A21" s="99"/>
      <c r="B21" s="26"/>
      <c r="C21" s="26" t="s">
        <v>185</v>
      </c>
      <c r="D21" s="26"/>
      <c r="E21" s="193"/>
      <c r="F21" s="194"/>
      <c r="G21" s="194"/>
      <c r="H21" s="195"/>
      <c r="I21" s="195"/>
      <c r="J21" s="213"/>
      <c r="K21" s="247">
        <f>N21</f>
        <v>0</v>
      </c>
      <c r="N21" s="196"/>
      <c r="P21" s="224"/>
      <c r="Q21" s="196"/>
      <c r="S21" s="223">
        <f>Q21-N21</f>
        <v>0</v>
      </c>
    </row>
    <row r="22" spans="1:19" ht="16.5" customHeight="1" x14ac:dyDescent="0.25">
      <c r="A22" s="99"/>
      <c r="B22" s="26"/>
      <c r="C22" s="26" t="s">
        <v>189</v>
      </c>
      <c r="D22" s="26"/>
      <c r="E22" s="193"/>
      <c r="F22" s="194"/>
      <c r="G22" s="194"/>
      <c r="H22" s="195"/>
      <c r="I22" s="195"/>
      <c r="J22" s="213"/>
      <c r="K22" s="247">
        <v>407596</v>
      </c>
      <c r="N22" s="196">
        <v>407596</v>
      </c>
      <c r="P22" s="224"/>
      <c r="Q22" s="196">
        <v>407596</v>
      </c>
      <c r="S22" s="223">
        <f t="shared" ref="S22:S25" si="1">Q22-N22</f>
        <v>0</v>
      </c>
    </row>
    <row r="23" spans="1:19" ht="16.5" customHeight="1" x14ac:dyDescent="0.25">
      <c r="A23" s="234" t="s">
        <v>1698</v>
      </c>
      <c r="B23" s="26"/>
      <c r="C23" s="26" t="s">
        <v>184</v>
      </c>
      <c r="D23" s="26"/>
      <c r="E23" s="193"/>
      <c r="F23" s="194"/>
      <c r="G23" s="194"/>
      <c r="H23" s="195"/>
      <c r="I23" s="195"/>
      <c r="J23" s="213"/>
      <c r="K23" s="247">
        <v>2700075</v>
      </c>
      <c r="N23" s="196">
        <v>2700075</v>
      </c>
      <c r="P23" s="224"/>
      <c r="Q23" s="196">
        <v>2700075</v>
      </c>
      <c r="S23" s="223">
        <f t="shared" si="1"/>
        <v>0</v>
      </c>
    </row>
    <row r="24" spans="1:19" ht="16.5" customHeight="1" x14ac:dyDescent="0.25">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3107671</v>
      </c>
      <c r="K26" s="155">
        <f>SUM(K15:K25)</f>
        <v>3107671</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0810 - EDUCATION EXP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407596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407596</v>
      </c>
    </row>
    <row r="59" spans="1:16" ht="16.5" customHeight="1" x14ac:dyDescent="0.25">
      <c r="A59" s="99"/>
      <c r="C59" s="43"/>
      <c r="D59" s="43"/>
      <c r="E59" s="43"/>
      <c r="F59" s="44"/>
      <c r="G59" s="44"/>
      <c r="H59" s="45"/>
      <c r="I59" s="45"/>
      <c r="J59" s="155">
        <f>SUM(J55:J58)</f>
        <v>407596</v>
      </c>
      <c r="K59" s="155">
        <f>SUM(K55:K58)</f>
        <v>407596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371658</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22488</v>
      </c>
      <c r="K63" s="200"/>
    </row>
    <row r="64" spans="1:16" ht="16.5" customHeight="1" x14ac:dyDescent="0.25">
      <c r="A64" s="99"/>
      <c r="B64" s="26"/>
      <c r="C64" s="26" t="str">
        <f>IF($F$7="Proprietary","Cr: Acct 0870 - SERVICES &amp; CHARGES (MG ADJ)",VLOOKUP($F$9,'Drop Down Menus'!$F$2:$G$10,2,FALSE))</f>
        <v>Cr: Acct 0810 - EDUCATION EXP (GAAP ADJ)</v>
      </c>
      <c r="D64" s="193"/>
      <c r="E64" s="193"/>
      <c r="F64" s="194"/>
      <c r="G64" s="194"/>
      <c r="H64" s="195"/>
      <c r="I64" s="195"/>
      <c r="J64" s="200"/>
      <c r="K64" s="196">
        <v>394146</v>
      </c>
    </row>
    <row r="65" spans="1:12" ht="16.5" customHeight="1" x14ac:dyDescent="0.25">
      <c r="A65" s="99"/>
      <c r="C65" s="43"/>
      <c r="D65" s="43"/>
      <c r="E65" s="43"/>
      <c r="F65" s="44"/>
      <c r="G65" s="44"/>
      <c r="H65" s="45"/>
      <c r="I65" s="45"/>
      <c r="J65" s="155">
        <f>SUM(J62:J64)</f>
        <v>394146</v>
      </c>
      <c r="K65" s="155">
        <f>SUM(K62:K64)</f>
        <v>394146</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371658</v>
      </c>
      <c r="K68" s="197"/>
    </row>
    <row r="69" spans="1:12" ht="16.5" customHeight="1" x14ac:dyDescent="0.25">
      <c r="A69" s="99"/>
      <c r="B69" s="26"/>
      <c r="C69" s="26" t="s">
        <v>203</v>
      </c>
      <c r="D69" s="193"/>
      <c r="E69" s="193"/>
      <c r="F69" s="194"/>
      <c r="G69" s="194"/>
      <c r="H69" s="195"/>
      <c r="I69" s="195"/>
      <c r="J69" s="197"/>
      <c r="K69" s="196">
        <v>371658</v>
      </c>
    </row>
    <row r="70" spans="1:12" ht="16.5" customHeight="1" x14ac:dyDescent="0.25">
      <c r="A70" s="99"/>
      <c r="C70" s="43"/>
      <c r="D70" s="43"/>
      <c r="E70" s="43"/>
      <c r="F70" s="44"/>
      <c r="G70" s="44"/>
      <c r="H70" s="45"/>
      <c r="I70" s="45"/>
      <c r="J70" s="155">
        <f>SUM(J68:J69)</f>
        <v>371658</v>
      </c>
      <c r="K70" s="155">
        <f>SUM(K68:K69)</f>
        <v>371658</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386899</v>
      </c>
      <c r="K75" s="197"/>
    </row>
    <row r="76" spans="1:12" ht="16.5" customHeight="1" x14ac:dyDescent="0.25">
      <c r="A76" s="99"/>
      <c r="B76" s="26"/>
      <c r="C76" s="26" t="s">
        <v>211</v>
      </c>
      <c r="D76" s="193"/>
      <c r="E76" s="193"/>
      <c r="F76" s="194"/>
      <c r="G76" s="194"/>
      <c r="H76" s="195"/>
      <c r="I76" s="195"/>
      <c r="J76" s="197"/>
      <c r="K76" s="196">
        <v>386899</v>
      </c>
    </row>
    <row r="77" spans="1:12" ht="16.5" customHeight="1" x14ac:dyDescent="0.2">
      <c r="A77" s="99"/>
      <c r="B77" s="257" t="s">
        <v>1841</v>
      </c>
      <c r="C77" s="257"/>
      <c r="D77" s="257"/>
      <c r="E77" s="257"/>
      <c r="F77" s="257"/>
      <c r="G77" s="257"/>
      <c r="H77" s="257"/>
      <c r="I77" s="257"/>
      <c r="J77" s="155">
        <f>SUM(J75:J76)</f>
        <v>386899</v>
      </c>
      <c r="K77" s="155">
        <f>SUM(K75:K76)</f>
        <v>386899</v>
      </c>
      <c r="L77" s="21" t="str">
        <f>IF(J77=K77,"&lt;- Debits and Credits equal each other.","&lt;- Debits and Credits do not equal each other.")</f>
        <v>&lt;- Debits and Credits equal each other.</v>
      </c>
    </row>
    <row r="78" spans="1:12" ht="16.5" customHeight="1" x14ac:dyDescent="0.2">
      <c r="A78" s="99"/>
      <c r="B78" s="257"/>
      <c r="C78" s="257"/>
      <c r="D78" s="257"/>
      <c r="E78" s="257"/>
      <c r="F78" s="257"/>
      <c r="G78" s="257"/>
      <c r="H78" s="257"/>
      <c r="I78" s="257"/>
      <c r="J78" s="155"/>
      <c r="K78" s="155"/>
      <c r="L78" s="21"/>
    </row>
    <row r="79" spans="1:12" ht="24.6" customHeight="1" x14ac:dyDescent="0.2">
      <c r="A79" s="99"/>
      <c r="B79" s="257"/>
      <c r="C79" s="257"/>
      <c r="D79" s="257"/>
      <c r="E79" s="257"/>
      <c r="F79" s="257"/>
      <c r="G79" s="257"/>
      <c r="H79" s="257"/>
      <c r="I79" s="257"/>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0810 - EDUCATION EXP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0810 - EDUCATION EXP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3056973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-815192</v>
      </c>
    </row>
    <row r="128" spans="1:12" ht="16.5" customHeight="1" x14ac:dyDescent="0.25">
      <c r="D128" s="193" t="s">
        <v>1709</v>
      </c>
      <c r="H128" s="37"/>
      <c r="K128" s="238">
        <f>-K23-K48+J68+J75+J96-K113</f>
        <v>-1941518</v>
      </c>
    </row>
    <row r="129" spans="4:11" ht="16.5" customHeight="1" x14ac:dyDescent="0.25">
      <c r="D129" s="193" t="s">
        <v>1710</v>
      </c>
      <c r="H129" s="37"/>
      <c r="K129" s="238">
        <f>-K76</f>
        <v>-386899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B7F09198-AF6C-4C7C-995F-CC4E7B03A08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9B3B325-39EB-4A27-9E1A-F3F5CB32FBD3}">
      <formula1>0</formula1>
    </dataValidation>
    <dataValidation operator="lessThan" allowBlank="1" showInputMessage="1" showErrorMessage="1" sqref="A3:A8" xr:uid="{505BC590-65E3-4738-AEC1-2099EFA2D9F5}"/>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382E5A0-1CC3-40B4-96D1-D6C831FC6506}">
          <x14:formula1>
            <xm:f>'Drop Down Menus'!$E$1:$E$3</xm:f>
          </x14:formula1>
          <xm:sqref>F8</xm:sqref>
        </x14:dataValidation>
        <x14:dataValidation type="list" allowBlank="1" showInputMessage="1" showErrorMessage="1" xr:uid="{2B4F67CB-9045-4880-983B-7EC355E022EB}">
          <x14:formula1>
            <xm:f>'Drop Down Menus'!$B$1:$B$2</xm:f>
          </x14:formula1>
          <xm:sqref>F7</xm:sqref>
        </x14:dataValidation>
        <x14:dataValidation type="list" allowBlank="1" showInputMessage="1" showErrorMessage="1" xr:uid="{25FC8E15-133A-43AF-9DB0-EA1BCB5F9008}">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H22" sqref="H2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78" t="s">
        <v>212</v>
      </c>
      <c r="B3" s="278"/>
      <c r="C3" s="278"/>
      <c r="D3" s="52"/>
      <c r="E3" s="5"/>
      <c r="F3" s="5"/>
      <c r="G3" s="5"/>
      <c r="H3" s="5"/>
      <c r="I3" s="5"/>
      <c r="J3" s="5"/>
      <c r="K3" s="5"/>
      <c r="L3" s="5"/>
      <c r="M3" s="5"/>
    </row>
    <row r="4" spans="1:13" ht="31.15" customHeight="1" x14ac:dyDescent="0.25">
      <c r="A4" s="279" t="s">
        <v>7</v>
      </c>
      <c r="B4" s="279"/>
      <c r="C4" s="279"/>
      <c r="D4" s="52"/>
      <c r="E4" s="5"/>
      <c r="F4" s="5"/>
      <c r="G4" s="5"/>
      <c r="H4" s="5"/>
      <c r="I4" s="5"/>
      <c r="J4" s="5"/>
      <c r="K4" s="5"/>
      <c r="L4" s="5"/>
      <c r="M4" s="5"/>
    </row>
    <row r="5" spans="1:13" ht="31.15" customHeight="1" x14ac:dyDescent="0.25">
      <c r="A5" s="279" t="s">
        <v>9</v>
      </c>
      <c r="B5" s="279"/>
      <c r="C5" s="279"/>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6">
        <v>6100</v>
      </c>
      <c r="C9" s="276"/>
      <c r="D9" s="5"/>
      <c r="E9" s="5"/>
      <c r="F9" s="5"/>
    </row>
    <row r="10" spans="1:13" ht="15.75" x14ac:dyDescent="0.25">
      <c r="A10" s="12" t="s">
        <v>209</v>
      </c>
      <c r="B10" s="277" t="s">
        <v>1883</v>
      </c>
      <c r="C10" s="277"/>
      <c r="D10" s="5"/>
      <c r="E10" s="5"/>
      <c r="F10" s="5"/>
      <c r="G10" s="55"/>
      <c r="H10" s="55"/>
      <c r="I10" s="55"/>
      <c r="J10" s="55"/>
      <c r="K10" s="55"/>
      <c r="L10" s="55"/>
      <c r="M10" s="55"/>
    </row>
    <row r="11" spans="1:13" ht="32.25" customHeight="1" x14ac:dyDescent="0.25">
      <c r="A11" s="269" t="s">
        <v>10</v>
      </c>
      <c r="B11" s="269"/>
      <c r="C11" s="269"/>
      <c r="D11" s="5"/>
      <c r="E11" s="5"/>
      <c r="F11" s="5"/>
      <c r="G11" s="57"/>
      <c r="H11" s="57"/>
      <c r="I11" s="57"/>
      <c r="J11" s="57"/>
      <c r="K11" s="57"/>
      <c r="L11" s="57"/>
      <c r="M11" s="57"/>
    </row>
    <row r="12" spans="1:13" ht="15" customHeight="1" x14ac:dyDescent="0.25">
      <c r="A12" s="84"/>
      <c r="B12" s="85" t="s">
        <v>11</v>
      </c>
      <c r="C12" s="85" t="s">
        <v>12</v>
      </c>
      <c r="D12" s="271" t="str">
        <f>"All of the below questions are for Fiscal Year "&amp;$B$8&amp;":"</f>
        <v>All of the below questions are for Fiscal Year 2022–2023:</v>
      </c>
      <c r="E12" s="271"/>
      <c r="F12" s="271"/>
      <c r="G12" s="57"/>
      <c r="H12" s="57"/>
      <c r="I12" s="57"/>
      <c r="J12" s="57"/>
      <c r="K12" s="57"/>
      <c r="L12" s="57"/>
      <c r="M12" s="57"/>
    </row>
    <row r="13" spans="1:13" ht="15.6" customHeight="1" x14ac:dyDescent="0.25">
      <c r="A13" s="84" t="str">
        <f>RIGHT(B8,4)&amp;"–"&amp;RIGHT(B8,4)+1</f>
        <v>2023–2024</v>
      </c>
      <c r="B13" s="100">
        <v>738541</v>
      </c>
      <c r="C13" s="100">
        <v>23267.150000000005</v>
      </c>
      <c r="D13" s="267" t="s">
        <v>6</v>
      </c>
      <c r="E13" s="268"/>
      <c r="F13" s="268"/>
      <c r="G13" s="57"/>
      <c r="H13" s="57"/>
      <c r="I13" s="57"/>
      <c r="J13" s="57"/>
      <c r="K13" s="57"/>
      <c r="L13" s="57"/>
      <c r="M13" s="57"/>
    </row>
    <row r="14" spans="1:13" x14ac:dyDescent="0.2">
      <c r="A14" s="84" t="str">
        <f>LEFT(A13,4)+1&amp;"–"&amp;RIGHT(A13,4)+1</f>
        <v>2024–2025</v>
      </c>
      <c r="B14" s="100">
        <v>715354</v>
      </c>
      <c r="C14" s="100">
        <v>18509.160000000003</v>
      </c>
      <c r="D14" s="267"/>
      <c r="E14" s="268"/>
      <c r="F14" s="268"/>
    </row>
    <row r="15" spans="1:13" ht="15.75" x14ac:dyDescent="0.2">
      <c r="A15" s="84" t="str">
        <f>LEFT(A14,4)+1&amp;"–"&amp;RIGHT(A14,4)+1</f>
        <v>2025–2026</v>
      </c>
      <c r="B15" s="100">
        <v>494834</v>
      </c>
      <c r="C15" s="100">
        <v>13958.880000000001</v>
      </c>
      <c r="D15" s="264" t="s">
        <v>131</v>
      </c>
      <c r="E15" s="264"/>
      <c r="F15" s="264"/>
      <c r="G15" s="58"/>
      <c r="H15" s="58"/>
      <c r="I15" s="58"/>
      <c r="J15" s="58"/>
      <c r="K15" s="58"/>
      <c r="L15" s="58"/>
      <c r="M15" s="58"/>
    </row>
    <row r="16" spans="1:13" x14ac:dyDescent="0.2">
      <c r="A16" s="84" t="str">
        <f>LEFT(A15,4)+1&amp;"–"&amp;RIGHT(A15,4)+1</f>
        <v>2026–2027</v>
      </c>
      <c r="B16" s="100">
        <v>514644</v>
      </c>
      <c r="C16" s="100">
        <v>9412.869999999999</v>
      </c>
      <c r="D16" s="266" t="str">
        <f>"If yes, record the dollar amount of variable payments below for fiscal year "&amp;$B$8&amp;":"</f>
        <v>If yes, record the dollar amount of variable payments below for fiscal year 2022–2023:</v>
      </c>
      <c r="E16" s="266"/>
      <c r="F16" s="266"/>
      <c r="G16" s="59"/>
      <c r="H16" s="59"/>
      <c r="I16" s="59"/>
      <c r="J16" s="59"/>
      <c r="K16" s="59"/>
    </row>
    <row r="17" spans="1:13" ht="15" customHeight="1" x14ac:dyDescent="0.2">
      <c r="A17" s="84" t="str">
        <f>LEFT(A16,4)+1&amp;"–"&amp;RIGHT(A16,4)+1</f>
        <v>2027–2028</v>
      </c>
      <c r="B17" s="100">
        <v>535093</v>
      </c>
      <c r="C17" s="100">
        <v>4685.59</v>
      </c>
      <c r="D17" s="264"/>
      <c r="E17" s="264"/>
      <c r="F17" s="264"/>
      <c r="G17" s="59"/>
      <c r="H17" s="59"/>
      <c r="I17" s="59"/>
      <c r="J17" s="59"/>
      <c r="K17" s="59"/>
    </row>
    <row r="18" spans="1:13" ht="15" customHeight="1" x14ac:dyDescent="0.25">
      <c r="A18" s="84" t="str">
        <f>LEFT(A17,4)+1&amp;"–"&amp;RIGHT(A17,4)+5</f>
        <v>2028–2033</v>
      </c>
      <c r="B18" s="100">
        <v>273365</v>
      </c>
      <c r="C18" s="100">
        <v>512.62</v>
      </c>
      <c r="D18" s="267" t="s">
        <v>8</v>
      </c>
      <c r="E18" s="268"/>
      <c r="F18" s="268"/>
      <c r="G18" s="57"/>
      <c r="H18" s="57"/>
      <c r="I18" s="57"/>
      <c r="J18" s="57"/>
      <c r="K18" s="57"/>
      <c r="L18" s="57"/>
      <c r="M18" s="57"/>
    </row>
    <row r="19" spans="1:13" x14ac:dyDescent="0.2">
      <c r="A19" s="84" t="str">
        <f t="shared" ref="A19:A32" si="0">LEFT(A18,4)+5&amp;"–"&amp;RIGHT(A18,4)+5</f>
        <v>2033–2038</v>
      </c>
      <c r="B19" s="100"/>
      <c r="C19" s="100"/>
      <c r="D19" s="267"/>
      <c r="E19" s="268"/>
      <c r="F19" s="268"/>
    </row>
    <row r="20" spans="1:13" ht="15.75" x14ac:dyDescent="0.2">
      <c r="A20" s="84" t="str">
        <f t="shared" si="0"/>
        <v>2038–2043</v>
      </c>
      <c r="B20" s="100"/>
      <c r="C20" s="100"/>
      <c r="D20" s="264" t="s">
        <v>131</v>
      </c>
      <c r="E20" s="264"/>
      <c r="F20" s="264"/>
      <c r="G20" s="58"/>
      <c r="H20" s="58"/>
      <c r="I20" s="58"/>
      <c r="J20" s="58"/>
      <c r="K20" s="58"/>
      <c r="L20" s="58"/>
      <c r="M20" s="58"/>
    </row>
    <row r="21" spans="1:13" ht="15" customHeight="1" x14ac:dyDescent="0.2">
      <c r="A21" s="84" t="str">
        <f t="shared" si="0"/>
        <v>2043–2048</v>
      </c>
      <c r="B21" s="100"/>
      <c r="C21" s="100"/>
      <c r="D21" s="265" t="str">
        <f>"If yes, record the dollar amount of any payments made for residual value guarantees below for fiscal year "&amp;$B$8&amp;":"</f>
        <v>If yes, record the dollar amount of any payments made for residual value guarantees below for fiscal year 2022–2023:</v>
      </c>
      <c r="E21" s="266"/>
      <c r="F21" s="266"/>
    </row>
    <row r="22" spans="1:13" x14ac:dyDescent="0.2">
      <c r="A22" s="84" t="str">
        <f t="shared" si="0"/>
        <v>2048–2053</v>
      </c>
      <c r="B22" s="100"/>
      <c r="C22" s="100"/>
      <c r="D22" s="265"/>
      <c r="E22" s="266"/>
      <c r="F22" s="266"/>
    </row>
    <row r="23" spans="1:13" x14ac:dyDescent="0.2">
      <c r="A23" s="84" t="str">
        <f t="shared" si="0"/>
        <v>2053–2058</v>
      </c>
      <c r="B23" s="100"/>
      <c r="C23" s="100"/>
      <c r="D23" s="264"/>
      <c r="E23" s="264"/>
      <c r="F23" s="264"/>
    </row>
    <row r="24" spans="1:13" x14ac:dyDescent="0.2">
      <c r="A24" s="84" t="str">
        <f t="shared" si="0"/>
        <v>2058–2063</v>
      </c>
      <c r="B24" s="100"/>
      <c r="C24" s="100"/>
      <c r="D24"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6"/>
      <c r="F24" s="266"/>
    </row>
    <row r="25" spans="1:13" ht="15" customHeight="1" x14ac:dyDescent="0.2">
      <c r="A25" s="84" t="str">
        <f t="shared" si="0"/>
        <v>2063–2068</v>
      </c>
      <c r="B25" s="100"/>
      <c r="C25" s="100"/>
      <c r="D25" s="265"/>
      <c r="E25" s="266"/>
      <c r="F25" s="266"/>
    </row>
    <row r="26" spans="1:13" x14ac:dyDescent="0.2">
      <c r="A26" s="84" t="str">
        <f t="shared" si="0"/>
        <v>2068–2073</v>
      </c>
      <c r="B26" s="100"/>
      <c r="C26" s="100"/>
      <c r="D26" s="264"/>
      <c r="E26" s="264"/>
      <c r="F26" s="264"/>
    </row>
    <row r="27" spans="1:13" ht="15" customHeight="1" x14ac:dyDescent="0.2">
      <c r="A27" s="84" t="str">
        <f t="shared" si="0"/>
        <v>2073–2078</v>
      </c>
      <c r="B27" s="100"/>
      <c r="C27" s="100"/>
      <c r="D27"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8"/>
      <c r="F27" s="268"/>
    </row>
    <row r="28" spans="1:13" ht="15.75" x14ac:dyDescent="0.2">
      <c r="A28" s="84" t="str">
        <f t="shared" si="0"/>
        <v>2078–2083</v>
      </c>
      <c r="B28" s="100"/>
      <c r="C28" s="100"/>
      <c r="D28" s="267"/>
      <c r="E28" s="268"/>
      <c r="F28" s="268"/>
      <c r="G28" s="61"/>
      <c r="H28" s="61"/>
      <c r="I28" s="61"/>
      <c r="J28" s="61"/>
      <c r="K28" s="61"/>
      <c r="L28" s="61"/>
      <c r="M28" s="61"/>
    </row>
    <row r="29" spans="1:13" ht="15.75" x14ac:dyDescent="0.2">
      <c r="A29" s="84" t="str">
        <f t="shared" si="0"/>
        <v>2083–2088</v>
      </c>
      <c r="B29" s="100"/>
      <c r="C29" s="100"/>
      <c r="D29" s="264" t="s">
        <v>131</v>
      </c>
      <c r="E29" s="264"/>
      <c r="F29" s="264"/>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4" t="s">
        <v>131</v>
      </c>
      <c r="E31" s="264"/>
      <c r="F31" s="264"/>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4"/>
      <c r="E33" s="264"/>
      <c r="F33" s="264"/>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70" t="str">
        <f>B8</f>
        <v>2022–2023</v>
      </c>
      <c r="C39" s="270"/>
      <c r="E39" s="60"/>
    </row>
    <row r="40" spans="1:13" ht="15.6" customHeight="1" x14ac:dyDescent="0.25">
      <c r="A40" s="12" t="s">
        <v>210</v>
      </c>
      <c r="B40" s="272">
        <f>B9</f>
        <v>6100</v>
      </c>
      <c r="C40" s="272"/>
      <c r="E40" s="60"/>
    </row>
    <row r="41" spans="1:13" ht="15.75" x14ac:dyDescent="0.25">
      <c r="A41" s="12" t="s">
        <v>209</v>
      </c>
      <c r="B41" s="270" t="str">
        <f>B10</f>
        <v>Department of Education</v>
      </c>
      <c r="C41" s="270"/>
      <c r="E41" s="60"/>
    </row>
    <row r="42" spans="1:13" ht="32.25" customHeight="1" x14ac:dyDescent="0.25">
      <c r="A42" s="269" t="s">
        <v>10</v>
      </c>
      <c r="B42" s="269"/>
      <c r="C42" s="269"/>
      <c r="D42" s="5"/>
      <c r="E42" s="5"/>
      <c r="F42" s="5"/>
      <c r="G42" s="57"/>
      <c r="H42" s="57"/>
      <c r="I42" s="57"/>
      <c r="J42" s="57"/>
      <c r="K42" s="57"/>
      <c r="L42" s="57"/>
      <c r="M42" s="57"/>
    </row>
    <row r="43" spans="1:13" ht="15" customHeight="1" x14ac:dyDescent="0.25">
      <c r="A43" s="84"/>
      <c r="B43" s="85" t="s">
        <v>11</v>
      </c>
      <c r="C43" s="85" t="s">
        <v>12</v>
      </c>
      <c r="D43" s="271" t="str">
        <f>"All of the below questions are for Fiscal Year "&amp;$B$8&amp;":"</f>
        <v>All of the below questions are for Fiscal Year 2022–2023:</v>
      </c>
      <c r="E43" s="271"/>
      <c r="F43" s="271"/>
    </row>
    <row r="44" spans="1:13" ht="15" customHeight="1" x14ac:dyDescent="0.2">
      <c r="A44" s="84" t="str">
        <f>RIGHT(B39,4)&amp;"–"&amp;RIGHT(B39,4)+1</f>
        <v>2023–2024</v>
      </c>
      <c r="B44" s="100"/>
      <c r="C44" s="100"/>
      <c r="D44" s="267" t="s">
        <v>6</v>
      </c>
      <c r="E44" s="268"/>
      <c r="F44" s="268"/>
    </row>
    <row r="45" spans="1:13" ht="15" customHeight="1" x14ac:dyDescent="0.2">
      <c r="A45" s="84" t="str">
        <f>LEFT(A44,4)+1&amp;"–"&amp;RIGHT(A44,4)+1</f>
        <v>2024–2025</v>
      </c>
      <c r="B45" s="100"/>
      <c r="C45" s="100"/>
      <c r="D45" s="267"/>
      <c r="E45" s="268"/>
      <c r="F45" s="268"/>
    </row>
    <row r="46" spans="1:13" x14ac:dyDescent="0.2">
      <c r="A46" s="84" t="str">
        <f>LEFT(A45,4)+1&amp;"–"&amp;RIGHT(A45,4)+1</f>
        <v>2025–2026</v>
      </c>
      <c r="B46" s="100"/>
      <c r="C46" s="100"/>
      <c r="D46" s="264"/>
      <c r="E46" s="264"/>
      <c r="F46" s="264"/>
    </row>
    <row r="47" spans="1:13" ht="15" customHeight="1" x14ac:dyDescent="0.2">
      <c r="A47" s="84" t="str">
        <f>LEFT(A46,4)+1&amp;"–"&amp;RIGHT(A46,4)+1</f>
        <v>2026–2027</v>
      </c>
      <c r="B47" s="100"/>
      <c r="C47" s="100"/>
      <c r="D47" s="266" t="str">
        <f>"If yes, record the dollar amount of variable payments below for fiscal year "&amp;$B$8&amp;":"</f>
        <v>If yes, record the dollar amount of variable payments below for fiscal year 2022–2023:</v>
      </c>
      <c r="E47" s="266"/>
      <c r="F47" s="266"/>
    </row>
    <row r="48" spans="1:13" ht="15" customHeight="1" x14ac:dyDescent="0.2">
      <c r="A48" s="84" t="str">
        <f>LEFT(A47,4)+1&amp;"–"&amp;RIGHT(A47,4)+1</f>
        <v>2027–2028</v>
      </c>
      <c r="B48" s="100"/>
      <c r="C48" s="100"/>
      <c r="D48" s="264"/>
      <c r="E48" s="264"/>
      <c r="F48" s="264"/>
    </row>
    <row r="49" spans="1:6" ht="15" customHeight="1" x14ac:dyDescent="0.2">
      <c r="A49" s="84" t="str">
        <f>LEFT(A48,4)+1&amp;"–"&amp;RIGHT(A48,4)+5</f>
        <v>2028–2033</v>
      </c>
      <c r="B49" s="100"/>
      <c r="C49" s="100"/>
      <c r="D49" s="267" t="s">
        <v>8</v>
      </c>
      <c r="E49" s="268"/>
      <c r="F49" s="268"/>
    </row>
    <row r="50" spans="1:6" x14ac:dyDescent="0.2">
      <c r="A50" s="84" t="str">
        <f t="shared" ref="A50:A63" si="1">LEFT(A49,4)+5&amp;"–"&amp;RIGHT(A49,4)+5</f>
        <v>2033–2038</v>
      </c>
      <c r="B50" s="100"/>
      <c r="C50" s="100"/>
      <c r="D50" s="267"/>
      <c r="E50" s="268"/>
      <c r="F50" s="268"/>
    </row>
    <row r="51" spans="1:6" ht="15" customHeight="1" x14ac:dyDescent="0.2">
      <c r="A51" s="84" t="str">
        <f t="shared" si="1"/>
        <v>2038–2043</v>
      </c>
      <c r="B51" s="100"/>
      <c r="C51" s="100"/>
      <c r="D51" s="264"/>
      <c r="E51" s="264"/>
      <c r="F51" s="264"/>
    </row>
    <row r="52" spans="1:6" ht="15" customHeight="1" x14ac:dyDescent="0.2">
      <c r="A52" s="84" t="str">
        <f t="shared" si="1"/>
        <v>2043–2048</v>
      </c>
      <c r="B52" s="100"/>
      <c r="C52" s="100"/>
      <c r="D52" s="265" t="str">
        <f>"If yes, record the dollar amount of any payments made for residual value guarantees below for fiscal year "&amp;$B$8&amp;":"</f>
        <v>If yes, record the dollar amount of any payments made for residual value guarantees below for fiscal year 2022–2023:</v>
      </c>
      <c r="E52" s="266"/>
      <c r="F52" s="266"/>
    </row>
    <row r="53" spans="1:6" x14ac:dyDescent="0.2">
      <c r="A53" s="84" t="str">
        <f t="shared" si="1"/>
        <v>2048–2053</v>
      </c>
      <c r="B53" s="100"/>
      <c r="C53" s="100"/>
      <c r="D53" s="265"/>
      <c r="E53" s="266"/>
      <c r="F53" s="266"/>
    </row>
    <row r="54" spans="1:6" x14ac:dyDescent="0.2">
      <c r="A54" s="84" t="str">
        <f t="shared" si="1"/>
        <v>2053–2058</v>
      </c>
      <c r="B54" s="100"/>
      <c r="C54" s="100"/>
      <c r="D54" s="264"/>
      <c r="E54" s="264"/>
      <c r="F54" s="264"/>
    </row>
    <row r="55" spans="1:6" ht="15" customHeight="1" x14ac:dyDescent="0.2">
      <c r="A55" s="84" t="str">
        <f t="shared" si="1"/>
        <v>2058–2063</v>
      </c>
      <c r="B55" s="100"/>
      <c r="C55" s="100"/>
      <c r="D55"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6"/>
      <c r="F55" s="266"/>
    </row>
    <row r="56" spans="1:6" ht="15" customHeight="1" x14ac:dyDescent="0.2">
      <c r="A56" s="84" t="str">
        <f t="shared" si="1"/>
        <v>2063–2068</v>
      </c>
      <c r="B56" s="100"/>
      <c r="C56" s="100"/>
      <c r="D56" s="265"/>
      <c r="E56" s="266"/>
      <c r="F56" s="266"/>
    </row>
    <row r="57" spans="1:6" x14ac:dyDescent="0.2">
      <c r="A57" s="84" t="str">
        <f t="shared" si="1"/>
        <v>2068–2073</v>
      </c>
      <c r="B57" s="100"/>
      <c r="C57" s="100"/>
      <c r="D57" s="264"/>
      <c r="E57" s="264"/>
      <c r="F57" s="264"/>
    </row>
    <row r="58" spans="1:6" x14ac:dyDescent="0.2">
      <c r="A58" s="84" t="str">
        <f t="shared" si="1"/>
        <v>2073–2078</v>
      </c>
      <c r="B58" s="100"/>
      <c r="C58" s="100"/>
      <c r="D58"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8"/>
      <c r="F58" s="268"/>
    </row>
    <row r="59" spans="1:6" x14ac:dyDescent="0.2">
      <c r="A59" s="84" t="str">
        <f t="shared" si="1"/>
        <v>2078–2083</v>
      </c>
      <c r="B59" s="100"/>
      <c r="C59" s="100"/>
      <c r="D59" s="267"/>
      <c r="E59" s="268"/>
      <c r="F59" s="268"/>
    </row>
    <row r="60" spans="1:6" ht="15" customHeight="1" x14ac:dyDescent="0.2">
      <c r="A60" s="84" t="str">
        <f t="shared" si="1"/>
        <v>2083–2088</v>
      </c>
      <c r="B60" s="100"/>
      <c r="C60" s="100"/>
      <c r="D60" s="264"/>
      <c r="E60" s="264"/>
      <c r="F60" s="264"/>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4"/>
      <c r="E62" s="264"/>
      <c r="F62" s="264"/>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4"/>
      <c r="E64" s="264"/>
      <c r="F64" s="264"/>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70" t="str">
        <f>B8</f>
        <v>2022–2023</v>
      </c>
      <c r="C70" s="270"/>
    </row>
    <row r="71" spans="1:13" ht="15.75" x14ac:dyDescent="0.25">
      <c r="A71" s="12" t="s">
        <v>210</v>
      </c>
      <c r="B71" s="272">
        <f>B9</f>
        <v>6100</v>
      </c>
      <c r="C71" s="272"/>
    </row>
    <row r="72" spans="1:13" ht="15.75" x14ac:dyDescent="0.25">
      <c r="A72" s="12" t="s">
        <v>209</v>
      </c>
      <c r="B72" s="270" t="str">
        <f>B10</f>
        <v>Department of Education</v>
      </c>
      <c r="C72" s="270"/>
    </row>
    <row r="73" spans="1:13" ht="32.25" customHeight="1" x14ac:dyDescent="0.25">
      <c r="A73" s="269" t="s">
        <v>10</v>
      </c>
      <c r="B73" s="269"/>
      <c r="C73" s="269"/>
      <c r="D73" s="5"/>
      <c r="E73" s="5"/>
      <c r="F73" s="5"/>
      <c r="G73" s="57"/>
      <c r="H73" s="57"/>
      <c r="I73" s="57"/>
      <c r="J73" s="57"/>
      <c r="K73" s="57"/>
      <c r="L73" s="57"/>
      <c r="M73" s="57"/>
    </row>
    <row r="74" spans="1:13" ht="15.75" x14ac:dyDescent="0.25">
      <c r="A74" s="84"/>
      <c r="B74" s="85" t="s">
        <v>11</v>
      </c>
      <c r="C74" s="85" t="s">
        <v>12</v>
      </c>
      <c r="D74" s="271" t="str">
        <f>"All of the below questions are for Fiscal Year "&amp;$B$8&amp;":"</f>
        <v>All of the below questions are for Fiscal Year 2022–2023:</v>
      </c>
      <c r="E74" s="271"/>
      <c r="F74" s="271"/>
    </row>
    <row r="75" spans="1:13" ht="15" customHeight="1" x14ac:dyDescent="0.2">
      <c r="A75" s="84" t="str">
        <f>RIGHT(B70,4)&amp;"–"&amp;RIGHT(B70,4)+1</f>
        <v>2023–2024</v>
      </c>
      <c r="B75" s="100">
        <v>980002</v>
      </c>
      <c r="C75" s="100">
        <f>38201-6626</f>
        <v>31575</v>
      </c>
      <c r="D75" s="267" t="s">
        <v>6</v>
      </c>
      <c r="E75" s="268"/>
      <c r="F75" s="268"/>
    </row>
    <row r="76" spans="1:13" x14ac:dyDescent="0.2">
      <c r="A76" s="84" t="str">
        <f>LEFT(A75,4)+1&amp;"–"&amp;RIGHT(A75,4)+1</f>
        <v>2024–2025</v>
      </c>
      <c r="B76" s="100">
        <v>1209752</v>
      </c>
      <c r="C76" s="100">
        <v>35821</v>
      </c>
      <c r="D76" s="267"/>
      <c r="E76" s="268"/>
      <c r="F76" s="268"/>
    </row>
    <row r="77" spans="1:13" x14ac:dyDescent="0.2">
      <c r="A77" s="84" t="str">
        <f>LEFT(A76,4)+1&amp;"–"&amp;RIGHT(A76,4)+1</f>
        <v>2025–2026</v>
      </c>
      <c r="B77" s="100">
        <v>1246459</v>
      </c>
      <c r="C77" s="100">
        <v>33368</v>
      </c>
      <c r="D77" s="264" t="s">
        <v>131</v>
      </c>
      <c r="E77" s="264"/>
      <c r="F77" s="264"/>
    </row>
    <row r="78" spans="1:13" ht="15" customHeight="1" x14ac:dyDescent="0.2">
      <c r="A78" s="84" t="str">
        <f>LEFT(A77,4)+1&amp;"–"&amp;RIGHT(A77,4)+1</f>
        <v>2026–2027</v>
      </c>
      <c r="B78" s="100">
        <v>1284183</v>
      </c>
      <c r="C78" s="100">
        <v>30840</v>
      </c>
      <c r="D78" s="266" t="str">
        <f>"If yes, record the dollar amount of variable payments below for fiscal year "&amp;$B$8&amp;":"</f>
        <v>If yes, record the dollar amount of variable payments below for fiscal year 2022–2023:</v>
      </c>
      <c r="E78" s="266"/>
      <c r="F78" s="266"/>
    </row>
    <row r="79" spans="1:13" x14ac:dyDescent="0.2">
      <c r="A79" s="84" t="str">
        <f>LEFT(A78,4)+1&amp;"–"&amp;RIGHT(A78,4)+1</f>
        <v>2027–2028</v>
      </c>
      <c r="B79" s="100">
        <v>1322948</v>
      </c>
      <c r="C79" s="100">
        <v>28237</v>
      </c>
      <c r="D79" s="264"/>
      <c r="E79" s="264"/>
      <c r="F79" s="264"/>
    </row>
    <row r="80" spans="1:13" ht="15" customHeight="1" x14ac:dyDescent="0.2">
      <c r="A80" s="84" t="str">
        <f>LEFT(A79,4)+1&amp;"–"&amp;RIGHT(A79,4)+5</f>
        <v>2028–2033</v>
      </c>
      <c r="B80" s="100">
        <v>7234847</v>
      </c>
      <c r="C80" s="100">
        <v>99304</v>
      </c>
      <c r="D80" s="267" t="s">
        <v>8</v>
      </c>
      <c r="E80" s="268"/>
      <c r="F80" s="268"/>
    </row>
    <row r="81" spans="1:6" x14ac:dyDescent="0.2">
      <c r="A81" s="84" t="str">
        <f t="shared" ref="A81:A94" si="2">LEFT(A80,4)+5&amp;"–"&amp;RIGHT(A80,4)+5</f>
        <v>2033–2038</v>
      </c>
      <c r="B81" s="100">
        <v>6163245</v>
      </c>
      <c r="C81" s="100">
        <v>24035</v>
      </c>
      <c r="D81" s="267"/>
      <c r="E81" s="268"/>
      <c r="F81" s="268"/>
    </row>
    <row r="82" spans="1:6" x14ac:dyDescent="0.2">
      <c r="A82" s="84" t="str">
        <f t="shared" si="2"/>
        <v>2038–2043</v>
      </c>
      <c r="B82" s="100"/>
      <c r="C82" s="100"/>
      <c r="D82" s="264" t="s">
        <v>131</v>
      </c>
      <c r="E82" s="264"/>
      <c r="F82" s="264"/>
    </row>
    <row r="83" spans="1:6" ht="15" customHeight="1" x14ac:dyDescent="0.2">
      <c r="A83" s="84" t="str">
        <f t="shared" si="2"/>
        <v>2043–2048</v>
      </c>
      <c r="B83" s="100"/>
      <c r="C83" s="100"/>
      <c r="D83" s="265" t="str">
        <f>"If yes, record the dollar amount of any payments made for residual value guarantees below for fiscal year "&amp;$B$8&amp;":"</f>
        <v>If yes, record the dollar amount of any payments made for residual value guarantees below for fiscal year 2022–2023:</v>
      </c>
      <c r="E83" s="266"/>
      <c r="F83" s="266"/>
    </row>
    <row r="84" spans="1:6" x14ac:dyDescent="0.2">
      <c r="A84" s="84" t="str">
        <f t="shared" si="2"/>
        <v>2048–2053</v>
      </c>
      <c r="B84" s="100"/>
      <c r="C84" s="100"/>
      <c r="D84" s="265"/>
      <c r="E84" s="266"/>
      <c r="F84" s="266"/>
    </row>
    <row r="85" spans="1:6" x14ac:dyDescent="0.2">
      <c r="A85" s="84" t="str">
        <f t="shared" si="2"/>
        <v>2053–2058</v>
      </c>
      <c r="B85" s="100"/>
      <c r="C85" s="100"/>
      <c r="D85" s="264"/>
      <c r="E85" s="264"/>
      <c r="F85" s="264"/>
    </row>
    <row r="86" spans="1:6" ht="15" customHeight="1" x14ac:dyDescent="0.2">
      <c r="A86" s="84" t="str">
        <f t="shared" si="2"/>
        <v>2058–2063</v>
      </c>
      <c r="B86" s="100"/>
      <c r="C86" s="100"/>
      <c r="D86"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6"/>
      <c r="F86" s="266"/>
    </row>
    <row r="87" spans="1:6" x14ac:dyDescent="0.2">
      <c r="A87" s="84" t="str">
        <f t="shared" si="2"/>
        <v>2063–2068</v>
      </c>
      <c r="B87" s="100"/>
      <c r="C87" s="100"/>
      <c r="D87" s="265"/>
      <c r="E87" s="266"/>
      <c r="F87" s="266"/>
    </row>
    <row r="88" spans="1:6" x14ac:dyDescent="0.2">
      <c r="A88" s="84" t="str">
        <f t="shared" si="2"/>
        <v>2068–2073</v>
      </c>
      <c r="B88" s="100"/>
      <c r="C88" s="100"/>
      <c r="D88" s="264"/>
      <c r="E88" s="264"/>
      <c r="F88" s="264"/>
    </row>
    <row r="89" spans="1:6" x14ac:dyDescent="0.2">
      <c r="A89" s="84" t="str">
        <f t="shared" si="2"/>
        <v>2073–2078</v>
      </c>
      <c r="B89" s="100"/>
      <c r="C89" s="100"/>
      <c r="D89"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8"/>
      <c r="F89" s="268"/>
    </row>
    <row r="90" spans="1:6" x14ac:dyDescent="0.2">
      <c r="A90" s="84" t="str">
        <f t="shared" si="2"/>
        <v>2078–2083</v>
      </c>
      <c r="B90" s="100"/>
      <c r="C90" s="100"/>
      <c r="D90" s="267"/>
      <c r="E90" s="268"/>
      <c r="F90" s="268"/>
    </row>
    <row r="91" spans="1:6" ht="15" customHeight="1" x14ac:dyDescent="0.2">
      <c r="A91" s="84" t="str">
        <f t="shared" si="2"/>
        <v>2083–2088</v>
      </c>
      <c r="B91" s="100"/>
      <c r="C91" s="100"/>
      <c r="D91" s="264" t="s">
        <v>131</v>
      </c>
      <c r="E91" s="264"/>
      <c r="F91" s="264"/>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4" t="s">
        <v>131</v>
      </c>
      <c r="E93" s="264"/>
      <c r="F93" s="264"/>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4"/>
      <c r="E95" s="264"/>
      <c r="F95" s="264"/>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S11" sqref="S11"/>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6100 - Department of Education</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3986277</v>
      </c>
      <c r="G10" s="103"/>
      <c r="H10" s="107"/>
      <c r="I10" s="103"/>
      <c r="J10" s="107">
        <v>714446</v>
      </c>
      <c r="K10" s="103"/>
      <c r="L10" s="109">
        <f>SUM(F10+H10-J10)</f>
        <v>3271831</v>
      </c>
      <c r="M10" s="103"/>
      <c r="N10" s="107">
        <v>738541</v>
      </c>
      <c r="O10" s="103"/>
      <c r="P10" s="109">
        <f>L10-N10</f>
        <v>2533290</v>
      </c>
      <c r="Q10" s="71"/>
    </row>
    <row r="11" spans="2:17" ht="19.5" thickTop="1" thickBot="1" x14ac:dyDescent="0.3">
      <c r="B11" s="69"/>
      <c r="C11" s="73" t="s">
        <v>22</v>
      </c>
      <c r="F11" s="108">
        <f>SUM(F10:F10)</f>
        <v>3986277</v>
      </c>
      <c r="G11" s="103"/>
      <c r="H11" s="108">
        <f>SUM(H10:H10)</f>
        <v>0</v>
      </c>
      <c r="I11" s="103"/>
      <c r="J11" s="108">
        <f>SUM(J10:J10)</f>
        <v>714446</v>
      </c>
      <c r="K11" s="103"/>
      <c r="L11" s="108">
        <f>SUM(L10:L10)</f>
        <v>3271831</v>
      </c>
      <c r="M11" s="103"/>
      <c r="N11" s="108">
        <f>SUM(N10:N10)</f>
        <v>738541</v>
      </c>
      <c r="O11" s="103"/>
      <c r="P11" s="108">
        <f>SUM(P10:P10)</f>
        <v>2533290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v>1014695</v>
      </c>
      <c r="G18" s="103"/>
      <c r="H18" s="107">
        <v>19733659</v>
      </c>
      <c r="I18" s="103"/>
      <c r="J18" s="107">
        <f>+'LS-Fund 0687 Journal Entrie'!K69</f>
        <v>1306918</v>
      </c>
      <c r="K18" s="103"/>
      <c r="L18" s="109">
        <f>SUM(F18+H18-J18)</f>
        <v>19441436</v>
      </c>
      <c r="M18" s="103"/>
      <c r="N18" s="107">
        <f>+'LS-Fund 0687 Journal Entrie'!K76</f>
        <v>980002</v>
      </c>
      <c r="O18" s="103"/>
      <c r="P18" s="109">
        <f>L18-N18</f>
        <v>18461434</v>
      </c>
      <c r="Q18" s="71"/>
    </row>
    <row r="19" spans="2:17" ht="19.5" thickTop="1" thickBot="1" x14ac:dyDescent="0.3">
      <c r="B19" s="69"/>
      <c r="C19" s="73" t="s">
        <v>147</v>
      </c>
      <c r="F19" s="108">
        <f>SUM(F18:F18)</f>
        <v>1014695</v>
      </c>
      <c r="G19" s="103"/>
      <c r="H19" s="108">
        <f>SUM(H18:H18)</f>
        <v>19733659</v>
      </c>
      <c r="I19" s="103"/>
      <c r="J19" s="108">
        <f>SUM(J18:J18)</f>
        <v>1306918</v>
      </c>
      <c r="K19" s="103"/>
      <c r="L19" s="108">
        <f>SUM(L18:L18)</f>
        <v>19441436</v>
      </c>
      <c r="M19" s="103"/>
      <c r="N19" s="108">
        <f>SUM(N18:N18)</f>
        <v>980002</v>
      </c>
      <c r="O19" s="103"/>
      <c r="P19" s="108">
        <f>SUM(P18:P18)</f>
        <v>18461434</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3" zoomScaleNormal="100" workbookViewId="0">
      <selection activeCell="N24" sqref="N23:N24"/>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0" t="s">
        <v>164</v>
      </c>
      <c r="B5" s="280"/>
      <c r="C5" s="280"/>
      <c r="D5" s="280"/>
      <c r="E5" s="280"/>
      <c r="F5" s="280"/>
      <c r="G5" s="280"/>
      <c r="H5" s="280"/>
      <c r="I5" s="280"/>
      <c r="J5" s="280"/>
      <c r="K5" s="280"/>
      <c r="L5" s="280"/>
      <c r="M5" s="280"/>
      <c r="N5" s="280"/>
      <c r="O5" s="280"/>
      <c r="P5" s="280"/>
      <c r="Q5" s="280"/>
    </row>
    <row r="6" spans="1:17" ht="15" customHeight="1" x14ac:dyDescent="0.25">
      <c r="A6" s="280"/>
      <c r="B6" s="280"/>
      <c r="C6" s="280"/>
      <c r="D6" s="280"/>
      <c r="E6" s="280"/>
      <c r="F6" s="280"/>
      <c r="G6" s="280"/>
      <c r="H6" s="280"/>
      <c r="I6" s="280"/>
      <c r="J6" s="280"/>
      <c r="K6" s="280"/>
      <c r="L6" s="280"/>
      <c r="M6" s="280"/>
      <c r="N6" s="280"/>
      <c r="O6" s="280"/>
      <c r="P6" s="280"/>
      <c r="Q6" s="280"/>
    </row>
    <row r="7" spans="1:17" x14ac:dyDescent="0.25">
      <c r="A7" s="280"/>
      <c r="B7" s="280"/>
      <c r="C7" s="280"/>
      <c r="D7" s="280"/>
      <c r="E7" s="280"/>
      <c r="F7" s="280"/>
      <c r="G7" s="280"/>
      <c r="H7" s="280"/>
      <c r="I7" s="280"/>
      <c r="J7" s="280"/>
      <c r="K7" s="280"/>
      <c r="L7" s="280"/>
      <c r="M7" s="280"/>
      <c r="N7" s="280"/>
      <c r="O7" s="280"/>
      <c r="P7" s="280"/>
      <c r="Q7" s="280"/>
    </row>
    <row r="8" spans="1:17" ht="15" customHeight="1" x14ac:dyDescent="0.25">
      <c r="A8" s="281" t="s">
        <v>1660</v>
      </c>
      <c r="B8" s="281"/>
      <c r="C8" s="281"/>
      <c r="D8" s="281"/>
      <c r="E8" s="281"/>
      <c r="F8" s="281"/>
      <c r="G8" s="281"/>
      <c r="H8" s="281"/>
      <c r="I8" s="281"/>
      <c r="J8" s="281"/>
      <c r="K8" s="281"/>
      <c r="L8" s="281"/>
      <c r="M8" s="281"/>
      <c r="N8" s="281"/>
      <c r="O8" s="281"/>
      <c r="P8" s="281"/>
      <c r="Q8" s="281"/>
    </row>
    <row r="9" spans="1:17" x14ac:dyDescent="0.25">
      <c r="A9" s="281"/>
      <c r="B9" s="281"/>
      <c r="C9" s="281"/>
      <c r="D9" s="281"/>
      <c r="E9" s="281"/>
      <c r="F9" s="281"/>
      <c r="G9" s="281"/>
      <c r="H9" s="281"/>
      <c r="I9" s="281"/>
      <c r="J9" s="281"/>
      <c r="K9" s="281"/>
      <c r="L9" s="281"/>
      <c r="M9" s="281"/>
      <c r="N9" s="281"/>
      <c r="O9" s="281"/>
      <c r="P9" s="281"/>
      <c r="Q9" s="281"/>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+'LS-Fund 0001 Journal Entries'!K23+'LS-Fund 0044 Journal Entrie'!K23+'LS-Fund 0890 Journal Entrie '!K23</f>
        <v>3986277</v>
      </c>
      <c r="C16" s="168" t="s">
        <v>156</v>
      </c>
      <c r="D16" s="130">
        <f>IF('LS-Fund 0001 Journal Entries'!$F$8="Governmental Fund",'LS-Fund 0001 Journal Entries'!$K$48,0)</f>
        <v>0</v>
      </c>
      <c r="E16" s="170" t="s">
        <v>157</v>
      </c>
      <c r="F16" s="130">
        <f>+'LS-Fund 0001 Journal Entries'!K69+'LS-Fund 0044 Journal Entrie'!K69+'LS-Fund 0890 Journal Entrie '!K69</f>
        <v>714446</v>
      </c>
      <c r="G16" s="169" t="s">
        <v>157</v>
      </c>
      <c r="H16" s="130">
        <f>IF('LS-Fund 0001 Journal Entries'!$F$8="Governmental Fund",'LS-Fund 0001 Journal Entries'!$J$96,0)</f>
        <v>0</v>
      </c>
      <c r="I16" s="169" t="s">
        <v>156</v>
      </c>
      <c r="J16" s="130">
        <f>IF('LS-Fund 0001 Journal Entries'!$F$8="Governmental Fund",'LS-Fund 0001 Journal Entries'!$K$113,0)</f>
        <v>0</v>
      </c>
      <c r="K16" s="170" t="s">
        <v>160</v>
      </c>
      <c r="L16" s="133">
        <f>+B16+D16-F16-H16+J16</f>
        <v>3271831</v>
      </c>
      <c r="M16" s="132"/>
      <c r="N16" s="134">
        <f>SUM('LS-Department Note Disclosure'!B13:B36)</f>
        <v>3271831</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0001 Journal Entries'!$F$8="Proprietary - Internal Service Fund",'LS-Fund 0001 Journal Entries'!$K$23,0)</f>
        <v>0</v>
      </c>
      <c r="C24" s="168" t="s">
        <v>156</v>
      </c>
      <c r="D24" s="130">
        <f>IF('LS-Fund 0001 Journal Entries'!$F$8="Proprietary - Internal Service Fund",'LS-Fund 0001 Journal Entries'!$K$48,0)</f>
        <v>0</v>
      </c>
      <c r="E24" s="170" t="s">
        <v>157</v>
      </c>
      <c r="F24" s="130">
        <f>IF('LS-Fund 0001 Journal Entries'!$F$8="Proprietary - Internal Service Fund",'LS-Fund 0001 Journal Entries'!$J$68,0)</f>
        <v>0</v>
      </c>
      <c r="G24" s="169" t="s">
        <v>157</v>
      </c>
      <c r="H24" s="130">
        <f>IF('LS-Fund 0001 Journal Entries'!$F$8="Proprietary - Internal Service Fund",'LS-Fund 0001 Journal Entries'!$J$96,0)</f>
        <v>0</v>
      </c>
      <c r="I24" s="169" t="s">
        <v>156</v>
      </c>
      <c r="J24" s="130">
        <f>IF('LS-Fund 0001 Journal Entries'!$F$8="Proprietary - Internal Service Fund",'LS-Fund 0001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+'LS-Fund 0687 Journal Entrie'!K23</f>
        <v>1014695</v>
      </c>
      <c r="C33" s="168" t="s">
        <v>156</v>
      </c>
      <c r="D33" s="130">
        <f>+'LS-Fund 0687 Journal Entrie'!J47</f>
        <v>19733659</v>
      </c>
      <c r="E33" s="170" t="s">
        <v>157</v>
      </c>
      <c r="F33" s="130">
        <f>+'LS-Fund 0687 Journal Entrie'!K69</f>
        <v>1306918</v>
      </c>
      <c r="G33" s="169" t="s">
        <v>157</v>
      </c>
      <c r="H33" s="130">
        <f>IF('LS-Fund 0001 Journal Entries'!$F$8="Proprietary - Enterprise Fund",'LS-Fund 0001 Journal Entries'!$J$96,0)</f>
        <v>0</v>
      </c>
      <c r="I33" s="169" t="s">
        <v>156</v>
      </c>
      <c r="J33" s="130">
        <f>IF('LS-Fund 0001 Journal Entries'!$F$8="Proprietary - Enterprise Fund",'LS-Fund 0001 Journal Entries'!$K$113,0)</f>
        <v>0</v>
      </c>
      <c r="K33" s="170" t="s">
        <v>160</v>
      </c>
      <c r="L33" s="133">
        <f>+B33+D33-F33-H33+J33</f>
        <v>19441436</v>
      </c>
      <c r="M33" s="132"/>
      <c r="N33" s="134">
        <f>SUM('LS-Department Note Disclosure'!B75:B98)</f>
        <v>19441436</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+'LS-Fund 0001 Journal Entries'!J75+'LS-Fund 0044 Journal Entrie'!J75+'LS-Fund 0890 Journal Entrie '!J75</f>
        <v>738541</v>
      </c>
      <c r="C42" s="138"/>
      <c r="E42" s="138"/>
      <c r="G42" s="167"/>
      <c r="H42" s="167"/>
      <c r="I42" s="167"/>
      <c r="J42" s="167"/>
      <c r="K42" s="138"/>
      <c r="L42" s="138"/>
      <c r="M42" s="139"/>
      <c r="N42" s="134">
        <f>'LS-Department Note Disclosure'!B13</f>
        <v>738541</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+'LS-Fund 0687 Journal Entrie'!J75</f>
        <v>980002</v>
      </c>
      <c r="C57" s="138"/>
      <c r="E57" s="138"/>
      <c r="G57" s="167"/>
      <c r="H57" s="167"/>
      <c r="I57" s="167"/>
      <c r="J57" s="167"/>
      <c r="K57" s="138"/>
      <c r="L57" s="138"/>
      <c r="M57" s="139"/>
      <c r="N57" s="134">
        <f>'LS-Department Note Disclosure'!B75</f>
        <v>980002</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3" t="s">
        <v>153</v>
      </c>
      <c r="C64" s="283"/>
      <c r="D64" s="283"/>
      <c r="E64" s="283"/>
      <c r="F64" s="283"/>
      <c r="G64" s="283"/>
      <c r="H64" s="283"/>
      <c r="I64" s="141"/>
      <c r="J64" s="123" t="s">
        <v>1659</v>
      </c>
      <c r="K64" s="141"/>
      <c r="L64" s="283" t="s">
        <v>14</v>
      </c>
      <c r="M64" s="283"/>
      <c r="N64" s="283"/>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3986277</v>
      </c>
      <c r="J66" s="143">
        <f>SUM(D66)</f>
        <v>3986277</v>
      </c>
      <c r="L66" s="144" t="str">
        <f>CONCATENATE("Balance July 1, ",LEFT('LS-Department Note Disclosure'!$B$8,4))</f>
        <v>Balance July 1, 2022</v>
      </c>
      <c r="N66" s="143">
        <f>'LS-Lease Liabilities'!F10</f>
        <v>3986277</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714446</v>
      </c>
      <c r="E68" s="171" t="s">
        <v>156</v>
      </c>
      <c r="F68" s="125" t="s">
        <v>1868</v>
      </c>
      <c r="H68" s="143">
        <f>$H$16</f>
        <v>0</v>
      </c>
      <c r="J68" s="143">
        <f>SUM(D68,H68)</f>
        <v>714446</v>
      </c>
      <c r="L68" s="144" t="s">
        <v>16</v>
      </c>
      <c r="N68" s="143">
        <f>'LS-Lease Liabilities'!J10</f>
        <v>714446</v>
      </c>
      <c r="P68" s="135">
        <f t="shared" si="0"/>
        <v>0</v>
      </c>
    </row>
    <row r="69" spans="1:17" x14ac:dyDescent="0.25">
      <c r="B69" s="125" t="s">
        <v>166</v>
      </c>
      <c r="D69" s="143">
        <f>$B$42</f>
        <v>738541</v>
      </c>
      <c r="J69" s="143">
        <f>SUM(D69)</f>
        <v>738541</v>
      </c>
      <c r="L69" s="144" t="s">
        <v>17</v>
      </c>
      <c r="N69" s="143">
        <f>'LS-Lease Liabilities'!N10</f>
        <v>738541</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3" t="s">
        <v>153</v>
      </c>
      <c r="C75" s="283"/>
      <c r="D75" s="283"/>
      <c r="E75" s="283"/>
      <c r="F75" s="283"/>
      <c r="G75" s="283"/>
      <c r="H75" s="283"/>
      <c r="I75" s="141"/>
      <c r="J75" s="123" t="s">
        <v>1659</v>
      </c>
      <c r="K75" s="141"/>
      <c r="L75" s="283" t="s">
        <v>14</v>
      </c>
      <c r="M75" s="283"/>
      <c r="N75" s="283"/>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3" t="s">
        <v>153</v>
      </c>
      <c r="C86" s="283"/>
      <c r="D86" s="283"/>
      <c r="E86" s="283"/>
      <c r="F86" s="283"/>
      <c r="G86" s="283"/>
      <c r="H86" s="283"/>
      <c r="I86" s="141"/>
      <c r="J86" s="123" t="s">
        <v>1659</v>
      </c>
      <c r="K86" s="141"/>
      <c r="L86" s="283" t="s">
        <v>14</v>
      </c>
      <c r="M86" s="283"/>
      <c r="N86" s="283"/>
    </row>
    <row r="87" spans="2:16" x14ac:dyDescent="0.25">
      <c r="L87" s="121"/>
      <c r="M87" s="121"/>
      <c r="N87" s="121"/>
      <c r="O87" s="121"/>
      <c r="P87" s="128" t="s">
        <v>159</v>
      </c>
    </row>
    <row r="88" spans="2:16" x14ac:dyDescent="0.25">
      <c r="B88" s="125" t="s">
        <v>155</v>
      </c>
      <c r="D88" s="143">
        <f>B33</f>
        <v>1014695</v>
      </c>
      <c r="J88" s="143">
        <f>SUM(D88)</f>
        <v>1014695</v>
      </c>
      <c r="L88" s="144" t="str">
        <f>CONCATENATE("Balance July 1, ",LEFT('LS-Department Note Disclosure'!$B$8,4))</f>
        <v>Balance July 1, 2022</v>
      </c>
      <c r="N88" s="143">
        <f>'LS-Lease Liabilities'!F18</f>
        <v>1014695</v>
      </c>
      <c r="P88" s="135">
        <f>J88-N88</f>
        <v>0</v>
      </c>
    </row>
    <row r="89" spans="2:16" x14ac:dyDescent="0.25">
      <c r="B89" s="125" t="s">
        <v>167</v>
      </c>
      <c r="D89" s="143">
        <f>D33</f>
        <v>19733659</v>
      </c>
      <c r="E89" s="171" t="s">
        <v>156</v>
      </c>
      <c r="F89" s="125" t="s">
        <v>1871</v>
      </c>
      <c r="H89" s="143">
        <f>$J$33</f>
        <v>0</v>
      </c>
      <c r="J89" s="143">
        <f>SUM(D89,H89)</f>
        <v>19733659</v>
      </c>
      <c r="L89" s="144" t="s">
        <v>15</v>
      </c>
      <c r="N89" s="143">
        <f>'LS-Lease Liabilities'!H18</f>
        <v>19733659</v>
      </c>
      <c r="P89" s="135">
        <f t="shared" ref="P89:P91" si="2">J89-N89</f>
        <v>0</v>
      </c>
    </row>
    <row r="90" spans="2:16" x14ac:dyDescent="0.25">
      <c r="B90" s="125" t="s">
        <v>162</v>
      </c>
      <c r="D90" s="143">
        <f>F33</f>
        <v>1306918</v>
      </c>
      <c r="E90" s="171" t="s">
        <v>156</v>
      </c>
      <c r="F90" s="125" t="s">
        <v>1868</v>
      </c>
      <c r="H90" s="143">
        <f>$H$33</f>
        <v>0</v>
      </c>
      <c r="J90" s="143">
        <f>SUM(D90,H90)</f>
        <v>1306918</v>
      </c>
      <c r="L90" s="144" t="s">
        <v>16</v>
      </c>
      <c r="N90" s="143">
        <f>'LS-Lease Liabilities'!J18</f>
        <v>1306918</v>
      </c>
      <c r="P90" s="135">
        <f t="shared" si="2"/>
        <v>0</v>
      </c>
    </row>
    <row r="91" spans="2:16" x14ac:dyDescent="0.25">
      <c r="B91" s="125" t="s">
        <v>166</v>
      </c>
      <c r="D91" s="143">
        <f>B57</f>
        <v>980002</v>
      </c>
      <c r="J91" s="143">
        <f>SUM(D91)</f>
        <v>980002</v>
      </c>
      <c r="L91" s="144" t="s">
        <v>17</v>
      </c>
      <c r="N91" s="143">
        <f>'LS-Lease Liabilities'!N18</f>
        <v>980002</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L15" sqref="L15"/>
      <selection pane="bottomLeft" activeCell="L15" sqref="L1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49" t="s">
        <v>1809</v>
      </c>
      <c r="B1" s="250"/>
      <c r="C1" s="250"/>
      <c r="D1" s="250"/>
      <c r="E1" s="250"/>
      <c r="F1" s="251"/>
    </row>
    <row r="2" spans="1:6" x14ac:dyDescent="0.25">
      <c r="A2" s="252"/>
      <c r="B2" s="253"/>
      <c r="C2" s="253"/>
      <c r="D2" s="253"/>
      <c r="E2" s="253"/>
      <c r="F2" s="254"/>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L15" sqref="L15"/>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8" t="s">
        <v>1667</v>
      </c>
      <c r="B1" s="258"/>
      <c r="C1" s="258"/>
      <c r="D1" s="258"/>
      <c r="E1" s="258"/>
      <c r="F1" s="258"/>
      <c r="G1" s="258"/>
      <c r="H1" s="258"/>
      <c r="I1" s="258"/>
      <c r="J1" s="258"/>
      <c r="K1" s="258"/>
      <c r="L1" s="5"/>
      <c r="M1" s="5"/>
      <c r="N1" s="5"/>
      <c r="O1" s="5"/>
      <c r="P1" s="5"/>
      <c r="Q1" s="5"/>
      <c r="R1" s="5"/>
      <c r="S1" s="5"/>
    </row>
    <row r="2" spans="1:19" ht="17.45" customHeight="1" x14ac:dyDescent="0.25">
      <c r="A2" s="288" t="s">
        <v>0</v>
      </c>
      <c r="B2" s="288"/>
      <c r="C2" s="288"/>
      <c r="D2" s="288"/>
      <c r="E2" s="288"/>
      <c r="F2" s="288"/>
      <c r="G2" s="288"/>
      <c r="H2" s="288"/>
      <c r="I2" s="288"/>
      <c r="J2" s="36"/>
      <c r="L2" s="5"/>
      <c r="M2" s="5"/>
      <c r="N2" s="5"/>
      <c r="O2" s="5"/>
      <c r="P2" s="5"/>
      <c r="Q2" s="5"/>
      <c r="R2" s="5"/>
      <c r="S2" s="5"/>
    </row>
    <row r="3" spans="1:19" ht="17.45" customHeight="1" x14ac:dyDescent="0.25">
      <c r="A3" s="287" t="s">
        <v>1</v>
      </c>
      <c r="B3" s="287"/>
      <c r="C3" s="287"/>
      <c r="D3" s="287"/>
      <c r="E3" s="95"/>
      <c r="H3" s="7"/>
      <c r="I3" s="7"/>
      <c r="J3" s="7"/>
      <c r="K3" s="7"/>
      <c r="L3" s="7"/>
      <c r="M3" s="7"/>
      <c r="N3" s="7"/>
      <c r="O3" s="7"/>
      <c r="P3" s="7"/>
      <c r="Q3" s="7"/>
      <c r="R3" s="7"/>
    </row>
    <row r="4" spans="1:19" ht="17.45" customHeight="1" x14ac:dyDescent="0.25">
      <c r="A4" s="287" t="s">
        <v>209</v>
      </c>
      <c r="B4" s="287"/>
      <c r="C4" s="287"/>
      <c r="D4" s="287"/>
      <c r="E4" s="97"/>
      <c r="H4" s="7"/>
      <c r="I4" s="7"/>
      <c r="J4" s="7"/>
      <c r="K4" s="7"/>
      <c r="L4" s="7"/>
      <c r="M4" s="7"/>
      <c r="N4" s="7"/>
      <c r="O4" s="7"/>
      <c r="P4" s="7"/>
      <c r="Q4" s="7"/>
      <c r="R4" s="7"/>
    </row>
    <row r="5" spans="1:19" ht="17.45" customHeight="1" x14ac:dyDescent="0.25">
      <c r="A5" s="287" t="s">
        <v>1684</v>
      </c>
      <c r="B5" s="287"/>
      <c r="C5" s="287"/>
      <c r="D5" s="287"/>
      <c r="E5" s="161"/>
      <c r="H5" s="7"/>
      <c r="I5" s="7"/>
      <c r="J5" s="8"/>
      <c r="K5" s="8"/>
      <c r="L5" s="8"/>
      <c r="M5" s="8"/>
      <c r="N5" s="8"/>
      <c r="O5" s="8"/>
      <c r="P5" s="8"/>
      <c r="Q5" s="7"/>
      <c r="R5" s="7"/>
    </row>
    <row r="6" spans="1:19" ht="17.45" customHeight="1" x14ac:dyDescent="0.25">
      <c r="A6" s="287" t="s">
        <v>1685</v>
      </c>
      <c r="B6" s="287"/>
      <c r="C6" s="287"/>
      <c r="D6" s="287"/>
      <c r="E6" s="97"/>
      <c r="G6" s="8"/>
      <c r="H6" s="8"/>
      <c r="I6" s="8"/>
      <c r="J6" s="8"/>
      <c r="K6" s="8"/>
      <c r="L6" s="8"/>
      <c r="M6" s="8"/>
      <c r="N6" s="8"/>
      <c r="O6" s="8"/>
      <c r="P6" s="8"/>
      <c r="Q6" s="7"/>
      <c r="R6" s="7"/>
    </row>
    <row r="7" spans="1:19" ht="17.45" customHeight="1" x14ac:dyDescent="0.25">
      <c r="A7" s="287" t="s">
        <v>3</v>
      </c>
      <c r="B7" s="287"/>
      <c r="C7" s="287"/>
      <c r="D7" s="287"/>
      <c r="E7" s="35"/>
      <c r="G7" s="8"/>
      <c r="H7" s="8"/>
      <c r="I7" s="8"/>
      <c r="J7" s="8"/>
      <c r="K7" s="8"/>
      <c r="L7" s="8"/>
      <c r="M7" s="8"/>
      <c r="N7" s="8"/>
      <c r="O7" s="8"/>
      <c r="P7" s="8"/>
      <c r="Q7" s="7"/>
      <c r="R7" s="7"/>
    </row>
    <row r="8" spans="1:19" ht="17.45" customHeight="1" x14ac:dyDescent="0.25">
      <c r="A8" s="287" t="s">
        <v>1641</v>
      </c>
      <c r="B8" s="287"/>
      <c r="C8" s="287"/>
      <c r="D8" s="287"/>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5" t="s">
        <v>1672</v>
      </c>
      <c r="N13" s="256"/>
      <c r="O13" s="188"/>
      <c r="P13" s="255" t="s">
        <v>1668</v>
      </c>
      <c r="Q13" s="256"/>
      <c r="R13" s="188"/>
      <c r="S13" s="222" t="s">
        <v>1669</v>
      </c>
    </row>
    <row r="14" spans="1:19" ht="17.45" customHeight="1" x14ac:dyDescent="0.2">
      <c r="B14" s="20" t="s">
        <v>213</v>
      </c>
      <c r="C14" s="151"/>
      <c r="D14" s="151"/>
      <c r="E14" s="151"/>
      <c r="F14" s="151"/>
      <c r="G14" s="151"/>
      <c r="H14" s="151"/>
      <c r="I14" s="151"/>
      <c r="J14" s="247">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7">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7">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7">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7">
        <f>Q18</f>
        <v>0</v>
      </c>
      <c r="L18" s="37"/>
      <c r="M18" s="37"/>
      <c r="N18" s="196"/>
      <c r="O18" s="37"/>
      <c r="P18" s="224"/>
      <c r="Q18" s="221">
        <f>IF(SUM($Q$21:$Q$23)&lt;SUM($P$15:$P$17),-SUM($Q$21:$Q$23)+SUM($P$15:$P$17),0)</f>
        <v>0</v>
      </c>
      <c r="R18" s="37"/>
      <c r="S18" s="223">
        <f t="shared" si="0"/>
        <v>0</v>
      </c>
    </row>
    <row r="19" spans="1:22" ht="17.45" customHeight="1" x14ac:dyDescent="0.2">
      <c r="A19" s="15"/>
      <c r="B19" s="151"/>
      <c r="C19" s="20" t="s">
        <v>180</v>
      </c>
      <c r="D19" s="151"/>
      <c r="E19" s="151"/>
      <c r="F19" s="151"/>
      <c r="G19" s="151"/>
      <c r="H19" s="151"/>
      <c r="I19" s="151"/>
      <c r="J19" s="20"/>
      <c r="K19" s="247">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4"/>
      <c r="P29" s="284"/>
      <c r="Q29" s="284"/>
      <c r="R29" s="284"/>
      <c r="S29" s="284"/>
      <c r="T29" s="284"/>
      <c r="U29" s="284"/>
      <c r="V29" s="284"/>
    </row>
    <row r="30" spans="1:22" ht="17.45" customHeight="1" x14ac:dyDescent="0.2">
      <c r="B30" s="285" t="str">
        <f>IF($E$7="Governmental","Dr: Acct 0775 - OTHER INCOME","Dr: Acct 0755 - SALES &amp; SERVICES")</f>
        <v>Dr: Acct 0755 - SALES &amp; SERVICES</v>
      </c>
      <c r="C30" s="285"/>
      <c r="D30" s="285"/>
      <c r="E30" s="285"/>
      <c r="F30" s="285"/>
      <c r="G30" s="285"/>
      <c r="H30" s="285"/>
      <c r="I30" s="285"/>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70" t="s">
        <v>216</v>
      </c>
      <c r="C36" s="270" t="s">
        <v>214</v>
      </c>
      <c r="D36" s="270" t="s">
        <v>214</v>
      </c>
      <c r="E36" s="270"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70" t="s">
        <v>217</v>
      </c>
      <c r="C41" s="270"/>
      <c r="D41" s="270"/>
      <c r="E41" s="270"/>
      <c r="F41" s="20"/>
      <c r="G41" s="20"/>
      <c r="H41" s="20"/>
      <c r="I41" s="20"/>
      <c r="J41" s="196"/>
      <c r="K41" s="32"/>
      <c r="L41" s="9"/>
      <c r="R41" s="9"/>
      <c r="S41" s="9"/>
      <c r="T41" s="9"/>
      <c r="U41" s="9"/>
      <c r="V41" s="9"/>
    </row>
    <row r="42" spans="1:22" ht="17.45" customHeight="1" x14ac:dyDescent="0.2">
      <c r="A42" s="15"/>
      <c r="B42" s="20"/>
      <c r="C42" s="270" t="s">
        <v>215</v>
      </c>
      <c r="D42" s="270" t="s">
        <v>218</v>
      </c>
      <c r="E42" s="270" t="s">
        <v>218</v>
      </c>
      <c r="F42" s="20"/>
      <c r="G42" s="20"/>
      <c r="H42" s="20"/>
      <c r="I42" s="20"/>
      <c r="J42" s="32"/>
      <c r="K42" s="196"/>
      <c r="O42" s="9"/>
      <c r="P42" s="9"/>
      <c r="Q42" s="9"/>
      <c r="R42" s="9"/>
      <c r="S42" s="9"/>
      <c r="T42" s="9"/>
      <c r="U42" s="9"/>
      <c r="V42" s="9"/>
    </row>
    <row r="43" spans="1:22" ht="17.45" customHeight="1" x14ac:dyDescent="0.2">
      <c r="A43" s="15"/>
      <c r="B43" s="286" t="s">
        <v>1842</v>
      </c>
      <c r="C43" s="286"/>
      <c r="D43" s="286"/>
      <c r="E43" s="286"/>
      <c r="F43" s="286"/>
      <c r="G43" s="286"/>
      <c r="H43" s="286"/>
      <c r="I43" s="286"/>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6"/>
      <c r="C44" s="286"/>
      <c r="D44" s="286"/>
      <c r="E44" s="286"/>
      <c r="F44" s="286"/>
      <c r="G44" s="286"/>
      <c r="H44" s="286"/>
      <c r="I44" s="286"/>
      <c r="K44" s="27"/>
      <c r="L44" s="9"/>
      <c r="M44" s="19"/>
      <c r="O44" s="28"/>
    </row>
    <row r="45" spans="1:22" ht="17.45" customHeight="1" x14ac:dyDescent="0.25">
      <c r="A45" s="15"/>
      <c r="B45" s="286"/>
      <c r="C45" s="286"/>
      <c r="D45" s="286"/>
      <c r="E45" s="286"/>
      <c r="F45" s="286"/>
      <c r="G45" s="286"/>
      <c r="H45" s="286"/>
      <c r="I45" s="286"/>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70" t="s">
        <v>1656</v>
      </c>
      <c r="C51" s="270" t="s">
        <v>1655</v>
      </c>
      <c r="D51" s="270"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ZIiRXEHSGQz9wrciEpDqW4SJi9rimalxSjUppeZKCPC8AeNHdqiN1XJZdlFUJPFGP8WXGHhdADRHw8Ntspi84A==" saltValue="zh4G7o6cvkYoX4MbsRsp0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L15" sqref="L15"/>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2" t="s">
        <v>212</v>
      </c>
      <c r="B3" s="292"/>
      <c r="C3" s="292"/>
      <c r="E3" s="57"/>
      <c r="F3" s="57"/>
      <c r="G3" s="57"/>
      <c r="H3" s="57"/>
      <c r="I3" s="57"/>
      <c r="J3" s="57"/>
      <c r="K3" s="57"/>
      <c r="L3" s="57"/>
      <c r="M3" s="57"/>
      <c r="N3" s="57"/>
      <c r="O3" s="57"/>
      <c r="P3" s="6"/>
      <c r="Q3" s="6"/>
      <c r="R3" s="6"/>
      <c r="S3" s="6"/>
    </row>
    <row r="4" spans="1:19" ht="31.15" customHeight="1" x14ac:dyDescent="0.25">
      <c r="A4" s="279" t="s">
        <v>7</v>
      </c>
      <c r="B4" s="279"/>
      <c r="C4" s="279"/>
      <c r="E4" s="57"/>
      <c r="F4" s="57"/>
      <c r="G4" s="57"/>
      <c r="H4" s="57"/>
      <c r="I4" s="57"/>
      <c r="J4" s="57"/>
      <c r="K4" s="57"/>
      <c r="L4" s="57"/>
      <c r="M4" s="57"/>
      <c r="N4" s="57"/>
      <c r="O4" s="57"/>
      <c r="P4" s="6"/>
      <c r="Q4" s="6"/>
      <c r="R4" s="6"/>
      <c r="S4" s="6"/>
    </row>
    <row r="5" spans="1:19" ht="30.6" customHeight="1" x14ac:dyDescent="0.25">
      <c r="A5" s="279" t="s">
        <v>9</v>
      </c>
      <c r="B5" s="279"/>
      <c r="C5" s="279"/>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c r="C10" s="291"/>
      <c r="D10" s="82"/>
      <c r="F10" s="38"/>
      <c r="G10" s="38"/>
      <c r="H10" s="38"/>
      <c r="I10" s="38"/>
      <c r="J10" s="38"/>
      <c r="K10" s="38"/>
      <c r="L10" s="38"/>
      <c r="M10" s="38"/>
      <c r="N10" s="38"/>
      <c r="O10" s="38"/>
      <c r="P10" s="6"/>
      <c r="Q10" s="6"/>
      <c r="R10" s="6"/>
      <c r="S10" s="6"/>
    </row>
    <row r="11" spans="1:19" ht="15.75" x14ac:dyDescent="0.25">
      <c r="A11" s="12" t="s">
        <v>209</v>
      </c>
      <c r="B11" s="290"/>
      <c r="C11" s="290"/>
      <c r="D11" s="82"/>
      <c r="F11" s="5"/>
      <c r="G11" s="5"/>
      <c r="H11" s="5"/>
      <c r="I11" s="5"/>
      <c r="J11" s="5"/>
      <c r="K11" s="5"/>
      <c r="L11" s="5"/>
      <c r="M11" s="5"/>
      <c r="N11" s="5"/>
      <c r="O11" s="5"/>
      <c r="P11" s="5"/>
      <c r="Q11" s="5"/>
      <c r="R11" s="5"/>
      <c r="S11" s="5"/>
    </row>
    <row r="12" spans="1:19" ht="30" customHeight="1" x14ac:dyDescent="0.25">
      <c r="A12" s="289" t="s">
        <v>10</v>
      </c>
      <c r="B12" s="289"/>
      <c r="C12" s="289"/>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6"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6"/>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6"/>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6"/>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6"/>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70" t="str">
        <f>B9</f>
        <v>2022–2023</v>
      </c>
      <c r="C40" s="270"/>
      <c r="D40" s="20"/>
      <c r="F40" s="89"/>
      <c r="G40" s="89"/>
      <c r="H40" s="89"/>
      <c r="I40" s="89"/>
    </row>
    <row r="41" spans="1:19" ht="15.75" x14ac:dyDescent="0.25">
      <c r="A41" s="12" t="s">
        <v>210</v>
      </c>
      <c r="B41" s="272">
        <f>B10</f>
        <v>0</v>
      </c>
      <c r="C41" s="272"/>
      <c r="D41" s="91"/>
    </row>
    <row r="42" spans="1:19" ht="15.75" x14ac:dyDescent="0.25">
      <c r="A42" s="12" t="s">
        <v>209</v>
      </c>
      <c r="B42" s="270">
        <f>B11</f>
        <v>0</v>
      </c>
      <c r="C42" s="270"/>
      <c r="D42" s="55"/>
    </row>
    <row r="43" spans="1:19" ht="30" customHeight="1" x14ac:dyDescent="0.25">
      <c r="A43" s="289" t="s">
        <v>10</v>
      </c>
      <c r="B43" s="289"/>
      <c r="C43" s="289"/>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6" t="s">
        <v>219</v>
      </c>
    </row>
    <row r="46" spans="1:19" x14ac:dyDescent="0.2">
      <c r="A46" s="84" t="str">
        <f>LEFT(A45,4)+1&amp;"–"&amp;RIGHT(A45,4)+1</f>
        <v>2024–2025</v>
      </c>
      <c r="B46" s="2"/>
      <c r="C46" s="2"/>
      <c r="D46" s="62"/>
      <c r="E46" s="266"/>
    </row>
    <row r="47" spans="1:19" x14ac:dyDescent="0.2">
      <c r="A47" s="84" t="str">
        <f>LEFT(A46,4)+1&amp;"–"&amp;RIGHT(A46,4)+1</f>
        <v>2025–2026</v>
      </c>
      <c r="B47" s="2"/>
      <c r="C47" s="2"/>
      <c r="D47" s="62"/>
      <c r="E47" s="266"/>
    </row>
    <row r="48" spans="1:19" ht="15" customHeight="1" x14ac:dyDescent="0.2">
      <c r="A48" s="84" t="str">
        <f>LEFT(A47,4)+1&amp;"–"&amp;RIGHT(A47,4)+1</f>
        <v>2026–2027</v>
      </c>
      <c r="B48" s="2"/>
      <c r="C48" s="2"/>
      <c r="D48" s="87"/>
      <c r="E48" s="266"/>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6"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6"/>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70" t="str">
        <f>B40</f>
        <v>2022–2023</v>
      </c>
      <c r="C71" s="270"/>
      <c r="D71" s="20"/>
    </row>
    <row r="72" spans="1:19" ht="15.75" x14ac:dyDescent="0.25">
      <c r="A72" s="12" t="s">
        <v>210</v>
      </c>
      <c r="B72" s="272">
        <f>B41</f>
        <v>0</v>
      </c>
      <c r="C72" s="272"/>
      <c r="D72" s="91"/>
    </row>
    <row r="73" spans="1:19" ht="15.75" x14ac:dyDescent="0.25">
      <c r="A73" s="12" t="s">
        <v>209</v>
      </c>
      <c r="B73" s="270">
        <f>B42</f>
        <v>0</v>
      </c>
      <c r="C73" s="270"/>
      <c r="D73" s="55"/>
    </row>
    <row r="74" spans="1:19" ht="30" customHeight="1" x14ac:dyDescent="0.25">
      <c r="A74" s="289" t="s">
        <v>10</v>
      </c>
      <c r="B74" s="289"/>
      <c r="C74" s="289"/>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6" t="s">
        <v>219</v>
      </c>
    </row>
    <row r="77" spans="1:19" x14ac:dyDescent="0.2">
      <c r="A77" s="84" t="str">
        <f>LEFT(A76,4)+1&amp;"–"&amp;RIGHT(A76,4)+1</f>
        <v>2024–2025</v>
      </c>
      <c r="B77" s="2"/>
      <c r="C77" s="2"/>
      <c r="D77" s="62"/>
      <c r="E77" s="266"/>
    </row>
    <row r="78" spans="1:19" x14ac:dyDescent="0.2">
      <c r="A78" s="84" t="str">
        <f>LEFT(A77,4)+1&amp;"–"&amp;RIGHT(A77,4)+1</f>
        <v>2025–2026</v>
      </c>
      <c r="B78" s="2"/>
      <c r="C78" s="2"/>
      <c r="D78" s="62"/>
      <c r="E78" s="266"/>
    </row>
    <row r="79" spans="1:19" x14ac:dyDescent="0.2">
      <c r="A79" s="84" t="str">
        <f>LEFT(A78,4)+1&amp;"–"&amp;RIGHT(A78,4)+1</f>
        <v>2026–2027</v>
      </c>
      <c r="B79" s="2"/>
      <c r="C79" s="2"/>
      <c r="D79" s="87"/>
      <c r="E79" s="266"/>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6"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6"/>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L15" sqref="L15"/>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0" t="s">
        <v>1675</v>
      </c>
      <c r="B5" s="280"/>
      <c r="C5" s="280"/>
      <c r="D5" s="280"/>
      <c r="E5" s="280"/>
      <c r="F5" s="280"/>
      <c r="G5" s="280"/>
      <c r="H5" s="280"/>
      <c r="I5" s="280"/>
      <c r="J5" s="280"/>
      <c r="K5" s="280"/>
      <c r="L5" s="280"/>
      <c r="M5" s="280"/>
      <c r="N5" s="280"/>
      <c r="O5" s="280"/>
      <c r="P5" s="280"/>
      <c r="Q5" s="280"/>
    </row>
    <row r="6" spans="1:17" ht="15" customHeight="1" x14ac:dyDescent="0.25">
      <c r="A6" s="280"/>
      <c r="B6" s="280"/>
      <c r="C6" s="280"/>
      <c r="D6" s="280"/>
      <c r="E6" s="280"/>
      <c r="F6" s="280"/>
      <c r="G6" s="280"/>
      <c r="H6" s="280"/>
      <c r="I6" s="280"/>
      <c r="J6" s="280"/>
      <c r="K6" s="280"/>
      <c r="L6" s="280"/>
      <c r="M6" s="280"/>
      <c r="N6" s="280"/>
      <c r="O6" s="280"/>
      <c r="P6" s="280"/>
      <c r="Q6" s="280"/>
    </row>
    <row r="7" spans="1:17" x14ac:dyDescent="0.25">
      <c r="A7" s="280"/>
      <c r="B7" s="280"/>
      <c r="C7" s="280"/>
      <c r="D7" s="280"/>
      <c r="E7" s="280"/>
      <c r="F7" s="280"/>
      <c r="G7" s="280"/>
      <c r="H7" s="280"/>
      <c r="I7" s="280"/>
      <c r="J7" s="280"/>
      <c r="K7" s="280"/>
      <c r="L7" s="280"/>
      <c r="M7" s="280"/>
      <c r="N7" s="280"/>
      <c r="O7" s="280"/>
      <c r="P7" s="280"/>
      <c r="Q7" s="280"/>
    </row>
    <row r="8" spans="1:17" ht="15" customHeight="1" x14ac:dyDescent="0.25">
      <c r="A8" s="281" t="s">
        <v>1660</v>
      </c>
      <c r="B8" s="281"/>
      <c r="C8" s="281"/>
      <c r="D8" s="281"/>
      <c r="E8" s="281"/>
      <c r="F8" s="281"/>
      <c r="G8" s="281"/>
      <c r="H8" s="281"/>
      <c r="I8" s="281"/>
      <c r="J8" s="281"/>
      <c r="K8" s="281"/>
      <c r="L8" s="281"/>
      <c r="M8" s="281"/>
      <c r="N8" s="281"/>
      <c r="O8" s="281"/>
      <c r="P8" s="281"/>
      <c r="Q8" s="281"/>
    </row>
    <row r="9" spans="1:17" x14ac:dyDescent="0.25">
      <c r="A9" s="281"/>
      <c r="B9" s="281"/>
      <c r="C9" s="281"/>
      <c r="D9" s="281"/>
      <c r="E9" s="281"/>
      <c r="F9" s="281"/>
      <c r="G9" s="281"/>
      <c r="H9" s="281"/>
      <c r="I9" s="281"/>
      <c r="J9" s="281"/>
      <c r="K9" s="281"/>
      <c r="L9" s="281"/>
      <c r="M9" s="281"/>
      <c r="N9" s="281"/>
      <c r="O9" s="281"/>
      <c r="P9" s="281"/>
      <c r="Q9" s="281"/>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c r="C16" s="168" t="s">
        <v>156</v>
      </c>
      <c r="D16" s="130"/>
      <c r="E16" s="170" t="s">
        <v>157</v>
      </c>
      <c r="F16" s="130"/>
      <c r="G16" s="169" t="s">
        <v>157</v>
      </c>
      <c r="H16" s="130"/>
      <c r="I16" s="169" t="s">
        <v>156</v>
      </c>
      <c r="J16" s="130"/>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c r="C24" s="168" t="s">
        <v>156</v>
      </c>
      <c r="D24" s="130"/>
      <c r="E24" s="170" t="s">
        <v>157</v>
      </c>
      <c r="F24" s="130"/>
      <c r="G24" s="169" t="s">
        <v>157</v>
      </c>
      <c r="H24" s="130"/>
      <c r="I24" s="169" t="s">
        <v>156</v>
      </c>
      <c r="J24" s="130"/>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c r="C33" s="168" t="s">
        <v>156</v>
      </c>
      <c r="D33" s="130"/>
      <c r="E33" s="170" t="s">
        <v>157</v>
      </c>
      <c r="F33" s="130"/>
      <c r="G33" s="169" t="s">
        <v>157</v>
      </c>
      <c r="H33" s="130"/>
      <c r="I33" s="169" t="s">
        <v>156</v>
      </c>
      <c r="J33" s="130"/>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25">
      <c r="A41" s="121"/>
      <c r="B41" s="125" t="s">
        <v>1682</v>
      </c>
      <c r="C41" s="121"/>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25">
      <c r="A48" s="121"/>
      <c r="B48" s="125" t="s">
        <v>1682</v>
      </c>
      <c r="C48" s="121"/>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25">
      <c r="A56" s="121"/>
      <c r="B56" s="125" t="s">
        <v>1682</v>
      </c>
      <c r="C56" s="121"/>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4s3JA7hGa2yxyNEkIz/mKtWQC+FM6+A7TQZBy4BzJQvu7EVNGozdwkgVMsd8+xVYF0Ugr5x1fYVKDBFmDQBpMw==" saltValue="lgWXsu+olH3zBh4e5uhPt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L15" sqref="L15"/>
      <selection pane="bottomLeft" activeCell="L15" sqref="L15"/>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49" t="s">
        <v>1805</v>
      </c>
      <c r="B1" s="250"/>
      <c r="C1" s="250"/>
      <c r="D1" s="250"/>
      <c r="E1" s="250"/>
      <c r="F1" s="251"/>
    </row>
    <row r="2" spans="1:6" x14ac:dyDescent="0.25">
      <c r="A2" s="252"/>
      <c r="B2" s="253"/>
      <c r="C2" s="253"/>
      <c r="D2" s="253"/>
      <c r="E2" s="253"/>
      <c r="F2" s="254"/>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28.25"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activeCell="L15" sqref="L15"/>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8" t="s">
        <v>1666</v>
      </c>
      <c r="B1" s="258"/>
      <c r="C1" s="258"/>
      <c r="D1" s="258"/>
      <c r="E1" s="258"/>
      <c r="F1" s="258"/>
      <c r="G1" s="258"/>
      <c r="H1" s="258"/>
      <c r="I1" s="258"/>
      <c r="J1" s="258"/>
      <c r="K1" s="258"/>
      <c r="L1" s="151"/>
      <c r="M1" s="151"/>
      <c r="N1" s="151"/>
      <c r="O1" s="151"/>
    </row>
    <row r="2" spans="1:19" ht="15" customHeight="1" x14ac:dyDescent="0.25">
      <c r="A2" s="288" t="s">
        <v>0</v>
      </c>
      <c r="B2" s="288"/>
      <c r="C2" s="288"/>
      <c r="D2" s="288"/>
      <c r="E2" s="288"/>
      <c r="F2" s="288"/>
      <c r="G2" s="288"/>
      <c r="H2" s="288"/>
      <c r="I2" s="288"/>
      <c r="J2" s="288"/>
      <c r="K2" s="288"/>
      <c r="L2" s="165"/>
      <c r="M2" s="165"/>
      <c r="N2" s="165"/>
      <c r="O2" s="165"/>
    </row>
    <row r="3" spans="1:19" ht="15.75" x14ac:dyDescent="0.25">
      <c r="A3" s="259" t="s">
        <v>13</v>
      </c>
      <c r="B3" s="259"/>
      <c r="C3" s="259"/>
      <c r="D3" s="259"/>
      <c r="E3" s="259"/>
      <c r="F3" s="260" t="s">
        <v>24</v>
      </c>
      <c r="G3" s="260"/>
      <c r="H3" s="260"/>
      <c r="I3" s="260"/>
    </row>
    <row r="4" spans="1:19" ht="15.75" x14ac:dyDescent="0.2">
      <c r="A4" s="259" t="s">
        <v>209</v>
      </c>
      <c r="B4" s="259"/>
      <c r="C4" s="259"/>
      <c r="D4" s="259"/>
      <c r="E4" s="259"/>
      <c r="F4" s="261"/>
      <c r="G4" s="261"/>
      <c r="H4" s="261"/>
      <c r="I4" s="261"/>
      <c r="L4" s="39"/>
      <c r="M4" s="39"/>
      <c r="N4" s="39"/>
      <c r="O4" s="39"/>
      <c r="P4" s="39"/>
      <c r="Q4" s="39"/>
    </row>
    <row r="5" spans="1:19" ht="15.75" x14ac:dyDescent="0.2">
      <c r="A5" s="259" t="s">
        <v>1640</v>
      </c>
      <c r="B5" s="259"/>
      <c r="C5" s="259"/>
      <c r="D5" s="259"/>
      <c r="E5" s="259"/>
      <c r="F5" s="261"/>
      <c r="G5" s="261"/>
      <c r="H5" s="261"/>
      <c r="I5" s="261"/>
      <c r="L5" s="40"/>
      <c r="M5" s="40"/>
      <c r="N5" s="40"/>
      <c r="O5" s="40"/>
      <c r="P5" s="39"/>
      <c r="Q5" s="39"/>
    </row>
    <row r="6" spans="1:19" ht="18" x14ac:dyDescent="0.25">
      <c r="A6" s="259" t="s">
        <v>2</v>
      </c>
      <c r="B6" s="259"/>
      <c r="C6" s="259"/>
      <c r="D6" s="259"/>
      <c r="E6" s="259"/>
      <c r="F6" s="262"/>
      <c r="G6" s="262"/>
      <c r="H6" s="262"/>
      <c r="I6" s="262"/>
      <c r="K6" s="96"/>
      <c r="L6" s="40"/>
      <c r="M6" s="40"/>
      <c r="N6" s="40"/>
      <c r="O6" s="40"/>
      <c r="P6" s="39"/>
      <c r="Q6" s="39"/>
    </row>
    <row r="7" spans="1:19" ht="18" x14ac:dyDescent="0.25">
      <c r="A7" s="259" t="s">
        <v>3</v>
      </c>
      <c r="B7" s="259"/>
      <c r="C7" s="259"/>
      <c r="D7" s="259"/>
      <c r="E7" s="259"/>
      <c r="F7" s="262"/>
      <c r="G7" s="262"/>
      <c r="H7" s="262"/>
      <c r="I7" s="262"/>
      <c r="K7" s="96"/>
      <c r="L7" s="40"/>
      <c r="M7" s="40"/>
      <c r="N7" s="40"/>
      <c r="O7" s="40"/>
      <c r="P7" s="39"/>
      <c r="Q7" s="39"/>
    </row>
    <row r="8" spans="1:19" ht="18" x14ac:dyDescent="0.25">
      <c r="A8" s="259" t="s">
        <v>1641</v>
      </c>
      <c r="B8" s="259"/>
      <c r="C8" s="259"/>
      <c r="D8" s="259"/>
      <c r="E8" s="259"/>
      <c r="F8" s="262"/>
      <c r="G8" s="262"/>
      <c r="H8" s="262"/>
      <c r="I8" s="262"/>
      <c r="K8" s="96"/>
      <c r="L8" s="40"/>
      <c r="M8" s="40"/>
      <c r="N8" s="40"/>
      <c r="O8" s="40"/>
      <c r="P8" s="39"/>
      <c r="Q8" s="39"/>
    </row>
    <row r="9" spans="1:19" ht="15.75" x14ac:dyDescent="0.25">
      <c r="A9" s="259" t="s">
        <v>1639</v>
      </c>
      <c r="B9" s="259"/>
      <c r="C9" s="259"/>
      <c r="D9" s="259"/>
      <c r="E9" s="259"/>
      <c r="F9" s="263" t="str">
        <f>IFERROR(IF(F7="Proprietary","Proprietary Fund",VLOOKUP(F5,qryIndex02a!$A$2:$K$654,4,FALSE)),"Unidentified")</f>
        <v>Unidentified</v>
      </c>
      <c r="G9" s="263"/>
      <c r="H9" s="263"/>
      <c r="I9" s="263"/>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5" t="s">
        <v>1671</v>
      </c>
      <c r="N14" s="256"/>
      <c r="P14" s="255" t="s">
        <v>1668</v>
      </c>
      <c r="Q14" s="256"/>
      <c r="S14" s="222" t="s">
        <v>1669</v>
      </c>
    </row>
    <row r="15" spans="1:19" ht="16.5" customHeight="1" x14ac:dyDescent="0.25">
      <c r="B15" s="26" t="s">
        <v>194</v>
      </c>
      <c r="C15" s="193"/>
      <c r="D15" s="193"/>
      <c r="E15" s="193"/>
      <c r="F15" s="194"/>
      <c r="G15" s="194"/>
      <c r="H15" s="195"/>
      <c r="I15" s="195"/>
      <c r="J15" s="247">
        <f>M15</f>
        <v>0</v>
      </c>
      <c r="M15" s="196"/>
      <c r="P15" s="196"/>
      <c r="Q15" s="224"/>
      <c r="S15" s="223">
        <f>P15-M15</f>
        <v>0</v>
      </c>
    </row>
    <row r="16" spans="1:19" ht="16.5" customHeight="1" x14ac:dyDescent="0.25">
      <c r="A16" s="99"/>
      <c r="B16" s="26" t="s">
        <v>195</v>
      </c>
      <c r="C16" s="193"/>
      <c r="D16" s="193"/>
      <c r="E16" s="193"/>
      <c r="F16" s="194"/>
      <c r="G16" s="194"/>
      <c r="H16" s="195"/>
      <c r="I16" s="195"/>
      <c r="J16" s="247">
        <f>M16</f>
        <v>0</v>
      </c>
      <c r="M16" s="196"/>
      <c r="P16" s="196"/>
      <c r="Q16" s="224"/>
      <c r="S16" s="223">
        <f>P16-M16</f>
        <v>0</v>
      </c>
    </row>
    <row r="17" spans="1:19" ht="16.5" customHeight="1" x14ac:dyDescent="0.25">
      <c r="A17" s="99"/>
      <c r="B17" s="26" t="s">
        <v>196</v>
      </c>
      <c r="C17" s="193"/>
      <c r="D17" s="193"/>
      <c r="E17" s="193"/>
      <c r="F17" s="194"/>
      <c r="G17" s="194"/>
      <c r="H17" s="195"/>
      <c r="I17" s="195"/>
      <c r="J17" s="247">
        <f>M17</f>
        <v>0</v>
      </c>
      <c r="M17" s="196"/>
      <c r="P17" s="196"/>
      <c r="Q17" s="224"/>
      <c r="S17" s="223">
        <f>P17-M17</f>
        <v>0</v>
      </c>
    </row>
    <row r="18" spans="1:19" ht="16.5" customHeight="1" x14ac:dyDescent="0.25">
      <c r="A18" s="99"/>
      <c r="B18" s="26" t="s">
        <v>179</v>
      </c>
      <c r="C18" s="193"/>
      <c r="D18" s="193"/>
      <c r="E18" s="193"/>
      <c r="F18" s="194"/>
      <c r="G18" s="194"/>
      <c r="H18" s="195"/>
      <c r="I18" s="195"/>
      <c r="J18" s="247">
        <f>P18</f>
        <v>0</v>
      </c>
      <c r="M18" s="196"/>
      <c r="P18" s="221">
        <f>IF(SUM($Q$21:$Q$23)&gt;SUM($P$15:$P$17),SUM($Q$21:$Q$23)-SUM($P$15:$P$17),0)</f>
        <v>0</v>
      </c>
      <c r="Q18" s="224"/>
      <c r="S18" s="223">
        <f>P18-M18</f>
        <v>0</v>
      </c>
    </row>
    <row r="19" spans="1:19" ht="16.5" customHeight="1" x14ac:dyDescent="0.25">
      <c r="A19" s="99"/>
      <c r="B19" s="26" t="s">
        <v>180</v>
      </c>
      <c r="C19" s="193"/>
      <c r="D19" s="193"/>
      <c r="E19" s="193"/>
      <c r="F19" s="194"/>
      <c r="G19" s="194"/>
      <c r="H19" s="195"/>
      <c r="I19" s="195"/>
      <c r="J19" s="247">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8"/>
      <c r="P20" s="224"/>
      <c r="Q20" s="224"/>
    </row>
    <row r="21" spans="1:19" ht="16.5" customHeight="1" x14ac:dyDescent="0.25">
      <c r="A21" s="99"/>
      <c r="B21" s="217"/>
      <c r="C21" s="26" t="s">
        <v>193</v>
      </c>
      <c r="D21" s="193"/>
      <c r="E21" s="193"/>
      <c r="F21" s="218"/>
      <c r="G21" s="218"/>
      <c r="H21" s="195"/>
      <c r="I21" s="195"/>
      <c r="J21" s="213"/>
      <c r="K21" s="247">
        <f>N21</f>
        <v>0</v>
      </c>
      <c r="N21" s="196"/>
      <c r="P21" s="224"/>
      <c r="Q21" s="196"/>
      <c r="S21" s="223">
        <f>Q21-N21</f>
        <v>0</v>
      </c>
    </row>
    <row r="22" spans="1:19" ht="16.5" customHeight="1" x14ac:dyDescent="0.25">
      <c r="A22" s="99"/>
      <c r="B22" s="217"/>
      <c r="C22" s="26" t="s">
        <v>190</v>
      </c>
      <c r="D22" s="193"/>
      <c r="E22" s="193"/>
      <c r="F22" s="218"/>
      <c r="G22" s="218"/>
      <c r="H22" s="195"/>
      <c r="I22" s="195"/>
      <c r="J22" s="213"/>
      <c r="K22" s="247">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7">
        <f>N23</f>
        <v>0</v>
      </c>
      <c r="N23" s="196"/>
      <c r="P23" s="224"/>
      <c r="Q23" s="196"/>
      <c r="S23" s="223">
        <f t="shared" si="0"/>
        <v>0</v>
      </c>
    </row>
    <row r="24" spans="1:19" ht="16.5" customHeight="1" x14ac:dyDescent="0.25">
      <c r="A24" s="99"/>
      <c r="B24" s="217"/>
      <c r="C24" s="26" t="s">
        <v>186</v>
      </c>
      <c r="D24" s="193"/>
      <c r="E24" s="193"/>
      <c r="F24" s="218"/>
      <c r="G24" s="218"/>
      <c r="H24" s="195"/>
      <c r="I24" s="195"/>
      <c r="J24" s="213"/>
      <c r="K24" s="247">
        <f>Q24</f>
        <v>0</v>
      </c>
      <c r="N24" s="196"/>
      <c r="P24" s="224"/>
      <c r="Q24" s="221">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7">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3" t="s">
        <v>1841</v>
      </c>
      <c r="C69" s="293"/>
      <c r="D69" s="293"/>
      <c r="E69" s="293"/>
      <c r="F69" s="293"/>
      <c r="G69" s="293"/>
      <c r="H69" s="293"/>
      <c r="I69" s="293"/>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3"/>
      <c r="C70" s="293"/>
      <c r="D70" s="293"/>
      <c r="E70" s="293"/>
      <c r="F70" s="293"/>
      <c r="G70" s="293"/>
      <c r="H70" s="293"/>
      <c r="I70" s="293"/>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FyEK255QjLc2+Epj3lGOBN+hRukBiqPRs3dGVtJNo/mHhqaqVog2bJcn4fL6KNl447BmufTswh1TKUrdl9YBSw==" saltValue="V5kE5TJeOFnQoVleOkV1H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8CA9E1D-D212-4592-9AE7-E410C4F633E8}"/>
</file>

<file path=customXml/itemProps2.xml><?xml version="1.0" encoding="utf-8"?>
<ds:datastoreItem xmlns:ds="http://schemas.openxmlformats.org/officeDocument/2006/customXml" ds:itemID="{F23B14C2-65CF-4DDF-81C8-A5A50989D26F}"/>
</file>

<file path=customXml/itemProps3.xml><?xml version="1.0" encoding="utf-8"?>
<ds:datastoreItem xmlns:ds="http://schemas.openxmlformats.org/officeDocument/2006/customXml" ds:itemID="{7D1CEB9C-0BBA-4FF2-ACF3-7A71881003D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10</vt:i4>
      </vt:variant>
    </vt:vector>
  </HeadingPairs>
  <TitlesOfParts>
    <vt:vector size="27" baseType="lpstr">
      <vt:lpstr>Drop Down Menus</vt:lpstr>
      <vt:lpstr>qryIndex02a</vt:lpstr>
      <vt:lpstr>LS-Version Changes</vt:lpstr>
      <vt:lpstr>LS-Fund 0001 Journal Entries</vt:lpstr>
      <vt:lpstr>LS-Fund 0044 Journal Entrie</vt:lpstr>
      <vt:lpstr>LS-Fund 0687 Journal Entrie</vt:lpstr>
      <vt:lpstr>LS-Fund 0890 Journal Entrie </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'LS-Fund 0044 Journal Entrie'!Print_Area</vt:lpstr>
      <vt:lpstr>'LS-Fund 0687 Journal Entrie'!Print_Area</vt:lpstr>
      <vt:lpstr>'LS-Fund 0890 Journal Entrie '!Print_Area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2024-06-27T18:24:05Z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