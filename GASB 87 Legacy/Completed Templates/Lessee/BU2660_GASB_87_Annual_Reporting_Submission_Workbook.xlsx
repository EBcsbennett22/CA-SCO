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sconet\data\SARD\Users\slam\Data\Desktop\"/>
    </mc:Choice>
  </mc:AlternateContent>
  <xr:revisionPtr revIDLastSave="0" documentId="13_ncr:1_{265038A1-4378-4B96-ACA2-A318F0BD859C}" xr6:coauthVersionLast="47" xr6:coauthVersionMax="47" xr10:uidLastSave="{00000000-0000-0000-0000-000000000000}"/>
  <bookViews>
    <workbookView xWindow="20370" yWindow="-120" windowWidth="38640" windowHeight="15840" tabRatio="928" xr2:uid="{7DBBF11A-19A4-49EE-A7AA-3FEEB711F9E7}"/>
  </bookViews>
  <sheets>
    <sheet name="LS-Fund 0042 Journal Entries" sheetId="1" r:id="rId1"/>
    <sheet name="LS-Fund 0046 Journal Entrie" sheetId="2" r:id="rId2"/>
    <sheet name="LS-Fund 3290 Journal Entrie" sheetId="3" r:id="rId3"/>
    <sheet name="LS-Fund 3291 Journal Entrie" sheetId="4" r:id="rId4"/>
    <sheet name="LS-Fund 6072 Journal Entrie " sheetId="5" r:id="rId5"/>
    <sheet name="LS-Department Note Disclosure" sheetId="6" r:id="rId6"/>
    <sheet name="LS-Lease Liabilities" sheetId="7" r:id="rId7"/>
    <sheet name="LS-Check Figures  " sheetId="8" r:id="rId8"/>
  </sheets>
  <externalReferences>
    <externalReference r:id="rId9"/>
    <externalReference r:id="rId10"/>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setClasses">'[2]Drop-down menus'!#REF!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ITEM_CAPCOST">#REF!</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Disclosure'!$A$1:$C$85</definedName>
    <definedName name="_xlnm.Print_Area" localSheetId="0">'LS-Fund 0042 Journal Entries'!$A$1:$J$9</definedName>
    <definedName name="_xlnm.Print_Area" localSheetId="1">'LS-Fund 0046 Journal Entrie'!$A$1:$J$9</definedName>
    <definedName name="_xlnm.Print_Area" localSheetId="2">'LS-Fund 3290 Journal Entrie'!$A$1:$J$9</definedName>
    <definedName name="_xlnm.Print_Area" localSheetId="3">'LS-Fund 3291 Journal Entrie'!$A$1:$J$9</definedName>
    <definedName name="_xlnm.Print_Area" localSheetId="4">'LS-Fund 6072 Journal Entrie '!$A$1:$J$9</definedName>
    <definedName name="_xlnm.Print_Area" localSheetId="6">'LS-Lease Liabilities'!$B$2:$Q$17</definedName>
    <definedName name="Print_Area_MI">#REF!</definedName>
    <definedName name="ProjDisc?">[1]DeveloperInfo!$D$65</definedName>
    <definedName name="ProValResults">#REF!</definedName>
    <definedName name="ProValResults1">#REF!</definedName>
    <definedName name="Report_18_Analysis">#REF!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8" l="1"/>
  <c r="B18" i="6"/>
  <c r="N10" i="7"/>
  <c r="B42" i="8"/>
  <c r="J10" i="7"/>
  <c r="H10" i="7"/>
  <c r="D16" i="8"/>
  <c r="F10" i="7"/>
  <c r="K90" i="3"/>
  <c r="K57" i="2"/>
  <c r="J40" i="2"/>
  <c r="K42" i="2"/>
  <c r="K76" i="2"/>
  <c r="K76" i="3"/>
  <c r="K76" i="4"/>
  <c r="K76" i="5"/>
  <c r="K76" i="1"/>
  <c r="K69" i="2"/>
  <c r="K69" i="3"/>
  <c r="K69" i="5"/>
  <c r="K69" i="1"/>
  <c r="J68" i="2"/>
  <c r="J68" i="3"/>
  <c r="J68" i="4"/>
  <c r="K69" i="4" s="1"/>
  <c r="J68" i="5"/>
  <c r="J68" i="1"/>
  <c r="K64" i="2"/>
  <c r="K64" i="3"/>
  <c r="K64" i="4"/>
  <c r="K64" i="5"/>
  <c r="K64" i="1"/>
  <c r="K58" i="3"/>
  <c r="K58" i="4"/>
  <c r="K58" i="5"/>
  <c r="K58" i="1"/>
  <c r="K48" i="4"/>
  <c r="K48" i="5"/>
  <c r="K48" i="1"/>
  <c r="J47" i="4"/>
  <c r="J47" i="5"/>
  <c r="J47" i="1"/>
  <c r="K42" i="4"/>
  <c r="K42" i="5"/>
  <c r="K42" i="1"/>
  <c r="J41" i="4"/>
  <c r="J41" i="5"/>
  <c r="J41" i="1"/>
  <c r="K34" i="2"/>
  <c r="J47" i="2" s="1"/>
  <c r="K48" i="2" s="1"/>
  <c r="K34" i="3"/>
  <c r="J41" i="3" s="1"/>
  <c r="K42" i="3" s="1"/>
  <c r="K34" i="4"/>
  <c r="K34" i="5"/>
  <c r="K34" i="1"/>
  <c r="J47" i="3" l="1"/>
  <c r="K48" i="3" s="1"/>
  <c r="N91" i="8" l="1"/>
  <c r="N90" i="8"/>
  <c r="N89" i="8"/>
  <c r="N88" i="8"/>
  <c r="L88" i="8"/>
  <c r="N80" i="8"/>
  <c r="N79" i="8"/>
  <c r="N78" i="8"/>
  <c r="N77" i="8"/>
  <c r="L77" i="8"/>
  <c r="N69" i="8"/>
  <c r="D69" i="8"/>
  <c r="J69" i="8" s="1"/>
  <c r="N68" i="8"/>
  <c r="H68" i="8"/>
  <c r="D68" i="8"/>
  <c r="N67" i="8"/>
  <c r="H67" i="8"/>
  <c r="D67" i="8"/>
  <c r="J67" i="8" s="1"/>
  <c r="N66" i="8"/>
  <c r="L66" i="8"/>
  <c r="N57" i="8"/>
  <c r="B57" i="8"/>
  <c r="D91" i="8" s="1"/>
  <c r="J91" i="8" s="1"/>
  <c r="P91" i="8" s="1"/>
  <c r="P49" i="8"/>
  <c r="D51" i="8" s="1"/>
  <c r="N49" i="8"/>
  <c r="D80" i="8"/>
  <c r="J80" i="8" s="1"/>
  <c r="P80" i="8" s="1"/>
  <c r="N42" i="8"/>
  <c r="P42" i="8" s="1"/>
  <c r="D44" i="8" s="1"/>
  <c r="N41" i="8"/>
  <c r="N33" i="8"/>
  <c r="J33" i="8"/>
  <c r="H89" i="8" s="1"/>
  <c r="H33" i="8"/>
  <c r="H90" i="8" s="1"/>
  <c r="F33" i="8"/>
  <c r="D90" i="8" s="1"/>
  <c r="J90" i="8" s="1"/>
  <c r="P90" i="8" s="1"/>
  <c r="D33" i="8"/>
  <c r="D89" i="8" s="1"/>
  <c r="J89" i="8" s="1"/>
  <c r="P89" i="8" s="1"/>
  <c r="B33" i="8"/>
  <c r="D88" i="8" s="1"/>
  <c r="J88" i="8" s="1"/>
  <c r="P88" i="8" s="1"/>
  <c r="N24" i="8"/>
  <c r="J24" i="8"/>
  <c r="H78" i="8" s="1"/>
  <c r="H79" i="8"/>
  <c r="D79" i="8"/>
  <c r="D24" i="8"/>
  <c r="N16" i="8"/>
  <c r="N19" i="7"/>
  <c r="L19" i="7"/>
  <c r="J19" i="7"/>
  <c r="H19" i="7"/>
  <c r="F19" i="7"/>
  <c r="L18" i="7"/>
  <c r="P18" i="7" s="1"/>
  <c r="P19" i="7" s="1"/>
  <c r="N15" i="7"/>
  <c r="J15" i="7"/>
  <c r="H15" i="7"/>
  <c r="F15" i="7"/>
  <c r="L14" i="7"/>
  <c r="P14" i="7" s="1"/>
  <c r="P15" i="7" s="1"/>
  <c r="N11" i="7"/>
  <c r="J11" i="7"/>
  <c r="H11" i="7"/>
  <c r="F11" i="7"/>
  <c r="L10" i="7"/>
  <c r="P10" i="7" s="1"/>
  <c r="P11" i="7" s="1"/>
  <c r="F7" i="7"/>
  <c r="J5" i="7"/>
  <c r="J4" i="7"/>
  <c r="L7" i="7" s="1"/>
  <c r="D92" i="6"/>
  <c r="D89" i="6"/>
  <c r="D86" i="6"/>
  <c r="D83" i="6"/>
  <c r="D78" i="6"/>
  <c r="A75" i="6"/>
  <c r="D74" i="6"/>
  <c r="B72" i="6"/>
  <c r="B71" i="6"/>
  <c r="B70" i="6"/>
  <c r="D58" i="6"/>
  <c r="D55" i="6"/>
  <c r="D52" i="6"/>
  <c r="D47" i="6"/>
  <c r="D43" i="6"/>
  <c r="B41" i="6"/>
  <c r="B40" i="6"/>
  <c r="B39" i="6"/>
  <c r="A44" i="6" s="1"/>
  <c r="D32" i="6"/>
  <c r="D30" i="6"/>
  <c r="D27" i="6"/>
  <c r="D24" i="6"/>
  <c r="D21" i="6"/>
  <c r="D16"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13" i="6"/>
  <c r="D12" i="6"/>
  <c r="K129" i="5"/>
  <c r="K127" i="5"/>
  <c r="K124" i="5"/>
  <c r="K114" i="5"/>
  <c r="J114" i="5"/>
  <c r="L114" i="5" s="1"/>
  <c r="L105" i="5"/>
  <c r="K105" i="5"/>
  <c r="J105" i="5"/>
  <c r="K91" i="5"/>
  <c r="J91" i="5"/>
  <c r="L91" i="5" s="1"/>
  <c r="K77" i="5"/>
  <c r="L77" i="5" s="1"/>
  <c r="J77" i="5"/>
  <c r="K70" i="5"/>
  <c r="J70" i="5"/>
  <c r="L70" i="5" s="1"/>
  <c r="K65" i="5"/>
  <c r="J65" i="5"/>
  <c r="B63" i="5"/>
  <c r="K59" i="5"/>
  <c r="J59" i="5"/>
  <c r="L59" i="5" s="1"/>
  <c r="K49" i="5"/>
  <c r="J49" i="5"/>
  <c r="K43" i="5"/>
  <c r="L43" i="5" s="1"/>
  <c r="J43" i="5"/>
  <c r="K36" i="5"/>
  <c r="L36" i="5" s="1"/>
  <c r="J36" i="5"/>
  <c r="S25" i="5"/>
  <c r="S24" i="5"/>
  <c r="Q24" i="5"/>
  <c r="K24" i="5"/>
  <c r="S23" i="5"/>
  <c r="K23" i="5"/>
  <c r="K128" i="5" s="1"/>
  <c r="S22" i="5"/>
  <c r="K22" i="5"/>
  <c r="S21" i="5"/>
  <c r="K21" i="5"/>
  <c r="J19" i="5" s="1"/>
  <c r="S20" i="5"/>
  <c r="K20" i="5"/>
  <c r="K125" i="5" s="1"/>
  <c r="S19" i="5"/>
  <c r="S18" i="5"/>
  <c r="P18" i="5"/>
  <c r="J18" i="5"/>
  <c r="S17" i="5"/>
  <c r="J17" i="5"/>
  <c r="S16" i="5"/>
  <c r="J16" i="5"/>
  <c r="K123" i="5" s="1"/>
  <c r="S15" i="5"/>
  <c r="J15" i="5"/>
  <c r="F9" i="5"/>
  <c r="C64" i="5" s="1"/>
  <c r="K129" i="4"/>
  <c r="K126" i="4"/>
  <c r="K125" i="4"/>
  <c r="K122" i="4"/>
  <c r="K114" i="4"/>
  <c r="L114" i="4" s="1"/>
  <c r="J114" i="4"/>
  <c r="L105" i="4"/>
  <c r="K105" i="4"/>
  <c r="J105" i="4"/>
  <c r="K91" i="4"/>
  <c r="L91" i="4" s="1"/>
  <c r="J91" i="4"/>
  <c r="K77" i="4"/>
  <c r="J77" i="4"/>
  <c r="K70" i="4"/>
  <c r="J70" i="4"/>
  <c r="K65" i="4"/>
  <c r="J65" i="4"/>
  <c r="B63" i="4"/>
  <c r="K59" i="4"/>
  <c r="J59" i="4"/>
  <c r="K49" i="4"/>
  <c r="J49" i="4"/>
  <c r="K43" i="4"/>
  <c r="J43" i="4"/>
  <c r="K36" i="4"/>
  <c r="L36" i="4" s="1"/>
  <c r="J36" i="4"/>
  <c r="S25" i="4"/>
  <c r="Q24" i="4"/>
  <c r="S24" i="4" s="1"/>
  <c r="S23" i="4"/>
  <c r="K23" i="4"/>
  <c r="K128" i="4" s="1"/>
  <c r="S22" i="4"/>
  <c r="K22" i="4"/>
  <c r="K127" i="4" s="1"/>
  <c r="S21" i="4"/>
  <c r="K21" i="4"/>
  <c r="S20" i="4"/>
  <c r="K20" i="4"/>
  <c r="S19" i="4"/>
  <c r="P18" i="4"/>
  <c r="S18" i="4" s="1"/>
  <c r="J18" i="4"/>
  <c r="S17" i="4"/>
  <c r="J17" i="4"/>
  <c r="K124" i="4" s="1"/>
  <c r="S16" i="4"/>
  <c r="J16" i="4"/>
  <c r="K123" i="4" s="1"/>
  <c r="S15" i="4"/>
  <c r="J15" i="4"/>
  <c r="F9" i="4"/>
  <c r="C104" i="4" s="1"/>
  <c r="K129" i="3"/>
  <c r="K125" i="3"/>
  <c r="K123" i="3"/>
  <c r="K122" i="3"/>
  <c r="L114" i="3"/>
  <c r="K114" i="3"/>
  <c r="J114" i="3"/>
  <c r="K105" i="3"/>
  <c r="J105" i="3"/>
  <c r="L105" i="3" s="1"/>
  <c r="K91" i="3"/>
  <c r="J91" i="3"/>
  <c r="K77" i="3"/>
  <c r="J77" i="3"/>
  <c r="K70" i="3"/>
  <c r="J70" i="3"/>
  <c r="K65" i="3"/>
  <c r="J65" i="3"/>
  <c r="B63" i="3"/>
  <c r="K59" i="3"/>
  <c r="J59" i="3"/>
  <c r="K49" i="3"/>
  <c r="J49" i="3"/>
  <c r="K43" i="3"/>
  <c r="J43" i="3"/>
  <c r="K36" i="3"/>
  <c r="L36" i="3" s="1"/>
  <c r="J36" i="3"/>
  <c r="S25" i="3"/>
  <c r="S24" i="3"/>
  <c r="Q24" i="3"/>
  <c r="K24" i="3"/>
  <c r="S23" i="3"/>
  <c r="K23" i="3"/>
  <c r="S22" i="3"/>
  <c r="K22" i="3"/>
  <c r="K127" i="3" s="1"/>
  <c r="S21" i="3"/>
  <c r="K21" i="3"/>
  <c r="S20" i="3"/>
  <c r="K20" i="3"/>
  <c r="S19" i="3"/>
  <c r="S18" i="3"/>
  <c r="P18" i="3"/>
  <c r="J18" i="3"/>
  <c r="S17" i="3"/>
  <c r="J17" i="3"/>
  <c r="K124" i="3" s="1"/>
  <c r="S16" i="3"/>
  <c r="J16" i="3"/>
  <c r="S15" i="3"/>
  <c r="J15" i="3"/>
  <c r="F9" i="3"/>
  <c r="C104" i="3" s="1"/>
  <c r="K129" i="2"/>
  <c r="K128" i="2"/>
  <c r="K123" i="2"/>
  <c r="K122" i="2"/>
  <c r="K114" i="2"/>
  <c r="L114" i="2" s="1"/>
  <c r="J114" i="2"/>
  <c r="K105" i="2"/>
  <c r="J105" i="2"/>
  <c r="L105" i="2" s="1"/>
  <c r="K91" i="2"/>
  <c r="L91" i="2" s="1"/>
  <c r="J91" i="2"/>
  <c r="K77" i="2"/>
  <c r="J77" i="2"/>
  <c r="L77" i="2" s="1"/>
  <c r="K70" i="2"/>
  <c r="J70" i="2"/>
  <c r="K65" i="2"/>
  <c r="J65" i="2"/>
  <c r="B63" i="2"/>
  <c r="K59" i="2"/>
  <c r="J59" i="2"/>
  <c r="K49" i="2"/>
  <c r="J49" i="2"/>
  <c r="K43" i="2"/>
  <c r="J43" i="2"/>
  <c r="K36" i="2"/>
  <c r="J36" i="2"/>
  <c r="S25" i="2"/>
  <c r="Q24" i="2"/>
  <c r="K24" i="2" s="1"/>
  <c r="S23" i="2"/>
  <c r="K23" i="2"/>
  <c r="S22" i="2"/>
  <c r="K22" i="2"/>
  <c r="K127" i="2" s="1"/>
  <c r="S21" i="2"/>
  <c r="K21" i="2"/>
  <c r="K126" i="2" s="1"/>
  <c r="S20" i="2"/>
  <c r="K20" i="2"/>
  <c r="K125" i="2" s="1"/>
  <c r="S19" i="2"/>
  <c r="P18" i="2"/>
  <c r="S18" i="2" s="1"/>
  <c r="J18" i="2"/>
  <c r="S17" i="2"/>
  <c r="J17" i="2"/>
  <c r="K124" i="2" s="1"/>
  <c r="S16" i="2"/>
  <c r="J16" i="2"/>
  <c r="S15" i="2"/>
  <c r="J15" i="2"/>
  <c r="F9" i="2"/>
  <c r="C35" i="2" s="1"/>
  <c r="K129" i="1"/>
  <c r="K128" i="1"/>
  <c r="K123" i="1"/>
  <c r="K122" i="1"/>
  <c r="K114" i="1"/>
  <c r="J114" i="1"/>
  <c r="L114" i="1" s="1"/>
  <c r="K105" i="1"/>
  <c r="L105" i="1" s="1"/>
  <c r="J105" i="1"/>
  <c r="K91" i="1"/>
  <c r="J91" i="1"/>
  <c r="L91" i="1" s="1"/>
  <c r="K77" i="1"/>
  <c r="J77" i="1"/>
  <c r="K70" i="1"/>
  <c r="J70" i="1"/>
  <c r="K65" i="1"/>
  <c r="J65" i="1"/>
  <c r="B63" i="1"/>
  <c r="K59" i="1"/>
  <c r="J59" i="1"/>
  <c r="K49" i="1"/>
  <c r="J49" i="1"/>
  <c r="K43" i="1"/>
  <c r="J43" i="1"/>
  <c r="K36" i="1"/>
  <c r="J36" i="1"/>
  <c r="L36" i="1" s="1"/>
  <c r="S25" i="1"/>
  <c r="Q24" i="1"/>
  <c r="S24" i="1" s="1"/>
  <c r="K24" i="1"/>
  <c r="S23" i="1"/>
  <c r="K23" i="1"/>
  <c r="B16" i="8" s="1"/>
  <c r="D66" i="8" s="1"/>
  <c r="J66" i="8" s="1"/>
  <c r="S22" i="1"/>
  <c r="K22" i="1"/>
  <c r="K127" i="1" s="1"/>
  <c r="S21" i="1"/>
  <c r="K21" i="1"/>
  <c r="K126" i="1" s="1"/>
  <c r="S20" i="1"/>
  <c r="K20" i="1"/>
  <c r="K125" i="1" s="1"/>
  <c r="S19" i="1"/>
  <c r="P18" i="1"/>
  <c r="S18" i="1" s="1"/>
  <c r="J18" i="1"/>
  <c r="S17" i="1"/>
  <c r="J17" i="1"/>
  <c r="K124" i="1" s="1"/>
  <c r="S16" i="1"/>
  <c r="J16" i="1"/>
  <c r="S15" i="1"/>
  <c r="J15" i="1"/>
  <c r="F9" i="1"/>
  <c r="C64" i="1" s="1"/>
  <c r="J68" i="8" l="1"/>
  <c r="P69" i="8"/>
  <c r="P67" i="8"/>
  <c r="L77" i="4"/>
  <c r="L70" i="4"/>
  <c r="L65" i="4"/>
  <c r="L59" i="4"/>
  <c r="L91" i="3"/>
  <c r="L16" i="8"/>
  <c r="L65" i="2"/>
  <c r="L59" i="2"/>
  <c r="L49" i="2"/>
  <c r="L70" i="2"/>
  <c r="L77" i="1"/>
  <c r="L65" i="5"/>
  <c r="L59" i="1"/>
  <c r="L49" i="5"/>
  <c r="L49" i="4"/>
  <c r="L49" i="1"/>
  <c r="L49" i="3"/>
  <c r="L43" i="1"/>
  <c r="L43" i="4"/>
  <c r="L43" i="3"/>
  <c r="L43" i="2"/>
  <c r="L36" i="2"/>
  <c r="L77" i="3"/>
  <c r="L59" i="3"/>
  <c r="K128" i="3"/>
  <c r="D77" i="8"/>
  <c r="J77" i="8" s="1"/>
  <c r="P77" i="8" s="1"/>
  <c r="P68" i="8"/>
  <c r="P66" i="8"/>
  <c r="L70" i="1"/>
  <c r="P16" i="8"/>
  <c r="D18" i="8" s="1"/>
  <c r="L70" i="3"/>
  <c r="L65" i="3"/>
  <c r="K25" i="3"/>
  <c r="K26" i="3" s="1"/>
  <c r="L65" i="1"/>
  <c r="J26" i="5"/>
  <c r="L26" i="5" s="1"/>
  <c r="N48" i="8"/>
  <c r="D63" i="6"/>
  <c r="A45" i="6"/>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J79" i="8"/>
  <c r="P79" i="8" s="1"/>
  <c r="J26" i="2"/>
  <c r="D93" i="8"/>
  <c r="C104" i="2"/>
  <c r="C64" i="4"/>
  <c r="K126" i="5"/>
  <c r="L11" i="7"/>
  <c r="L15" i="7"/>
  <c r="D78" i="8"/>
  <c r="J78" i="8" s="1"/>
  <c r="P78" i="8" s="1"/>
  <c r="C35" i="1"/>
  <c r="B100" i="4"/>
  <c r="B100" i="1"/>
  <c r="J19" i="3"/>
  <c r="J26" i="3" s="1"/>
  <c r="C35" i="5"/>
  <c r="S24" i="2"/>
  <c r="K25" i="2"/>
  <c r="K26" i="2" s="1"/>
  <c r="B100" i="2"/>
  <c r="C104" i="1"/>
  <c r="J19" i="2"/>
  <c r="C64" i="2"/>
  <c r="K126" i="3"/>
  <c r="K24" i="4"/>
  <c r="C35" i="4"/>
  <c r="A76" i="6"/>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D94" i="6"/>
  <c r="N56" i="8"/>
  <c r="B100" i="3"/>
  <c r="K25" i="1"/>
  <c r="K26" i="1" s="1"/>
  <c r="C35" i="3"/>
  <c r="C64" i="3"/>
  <c r="J19" i="1"/>
  <c r="J26" i="1" s="1"/>
  <c r="K25" i="5"/>
  <c r="B100" i="5"/>
  <c r="K122" i="5"/>
  <c r="C104" i="5"/>
  <c r="D61" i="6"/>
  <c r="L33" i="8"/>
  <c r="P33" i="8" s="1"/>
  <c r="D35" i="8" s="1"/>
  <c r="P57" i="8"/>
  <c r="D59" i="8" s="1"/>
  <c r="K26" i="5"/>
  <c r="L26" i="1" l="1"/>
  <c r="D71" i="8"/>
  <c r="L24" i="8"/>
  <c r="P24" i="8" s="1"/>
  <c r="D26" i="8" s="1"/>
  <c r="L26" i="3"/>
  <c r="K25" i="4"/>
  <c r="K26" i="4" s="1"/>
  <c r="J19" i="4"/>
  <c r="J26" i="4" s="1"/>
  <c r="L26" i="2"/>
  <c r="L26" i="4" l="1"/>
</calcChain>
</file>

<file path=xl/sharedStrings.xml><?xml version="1.0" encoding="utf-8"?>
<sst xmlns="http://schemas.openxmlformats.org/spreadsheetml/2006/main" count="812" uniqueCount="140">
  <si>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</si>
  <si>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</si>
  <si>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</si>
  <si>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2022–2023</t>
  </si>
  <si>
    <t>Organization Name:</t>
  </si>
  <si>
    <t>Department of Transportation</t>
  </si>
  <si>
    <t>Organization Code (4-Digits):</t>
  </si>
  <si>
    <t>2660</t>
  </si>
  <si>
    <t>Fund Number (4-Digits):</t>
  </si>
  <si>
    <t>Fund Classification:</t>
  </si>
  <si>
    <t>Governmental</t>
  </si>
  <si>
    <t>Fund Type:</t>
  </si>
  <si>
    <t>Governmental Fund</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</si>
  <si>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</si>
  <si>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</si>
  <si>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</si>
  <si>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</si>
  <si>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</si>
  <si>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</si>
  <si>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</si>
  <si>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</si>
  <si>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</si>
  <si>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</si>
  <si>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</si>
  <si>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</si>
  <si>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</si>
  <si>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</si>
  <si>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</si>
  <si>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</si>
  <si>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</si>
  <si>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</si>
  <si>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</si>
  <si>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</si>
  <si>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</si>
  <si>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</si>
  <si>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</si>
  <si>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</si>
  <si>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</si>
  <si>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</si>
  <si>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</si>
  <si>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</si>
  <si>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</si>
  <si>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</si>
  <si>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</si>
  <si>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</si>
  <si>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</si>
  <si>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</si>
  <si>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</si>
  <si>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</si>
  <si>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</si>
  <si>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</si>
  <si>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</si>
  <si>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</si>
  <si>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</si>
  <si>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</si>
  <si>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</si>
  <si>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</si>
  <si>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</si>
  <si>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</si>
  <si>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</si>
  <si>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</si>
  <si>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</si>
  <si>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</si>
  <si>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</si>
  <si>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</si>
  <si>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</si>
  <si>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</si>
  <si>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</si>
  <si>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</si>
  <si>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</si>
  <si>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</si>
  <si>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</si>
  <si>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</si>
  <si>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</si>
  <si>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</si>
  <si>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</si>
  <si>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</si>
  <si>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</si>
  <si>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</si>
  <si>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</si>
  <si>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</si>
  <si>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</si>
  <si>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</si>
  <si>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</si>
  <si>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</si>
  <si>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</si>
  <si>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</si>
  <si>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</si>
  <si>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</si>
  <si>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</si>
  <si>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</si>
  <si>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No</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</si>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</sst>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1" x14ac:knownFonts="1">
    <font>
      <sz val="11"/>
      <color theme="1"/>
      <name val="Calibri"/>
      <family val="2"/>
      <scheme val="minor"/>
    </font>
    <font>
      <sz val="11"/>
      <color theme="1"/>
      <name val="Calibri"/>
      <family val="2"/>
      <scheme val="minor"/>
    </font>
    <font>
      <b/>
      <sz val="11"/>
      <color theme="1"/>
      <name val="Calibri"/>
      <family val="2"/>
      <scheme val="minor"/>
    </font>
    <font>
      <b/>
      <sz val="16"/>
      <name val="Arial"/>
      <family val="2"/>
    </font>
    <font>
      <sz val="16"/>
      <name val="Arial"/>
      <family val="2"/>
    </font>
    <font>
      <b/>
      <sz val="12"/>
      <name val="Arial"/>
      <family val="2"/>
    </font>
    <font>
      <sz val="12"/>
      <color theme="1"/>
      <name val="arial"/>
      <family val="2"/>
    </font>
    <font>
      <sz val="12"/>
      <color rgb="FFFF0000"/>
      <name val="arial"/>
      <family val="2"/>
    </font>
    <font>
      <sz val="10"/>
      <color rgb="FFFF0000"/>
      <name val="arial"/>
      <family val="2"/>
    </font>
    <font>
      <b/>
      <sz val="14"/>
      <color rgb="FF00B05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sz val="14"/>
      <color rgb="FFFF0000"/>
      <name val="Arial"/>
      <family val="2"/>
    </font>
    <font>
      <i/>
      <sz val="14"/>
      <color rgb="FFFF0000"/>
      <name val="Arial"/>
      <family val="2"/>
    </font>
    <font>
      <b/>
      <sz val="14"/>
      <color rgb="FFFF0000"/>
      <name val="Arial"/>
      <family val="2"/>
    </font>
    <font>
      <b/>
      <sz val="12"/>
      <color rgb="FF00B050"/>
      <name val="Arial"/>
      <family val="2"/>
    </font>
    <font>
      <i/>
      <sz val="12"/>
      <color rgb="FFFF0000"/>
      <name val="Arial"/>
      <family val="2"/>
    </font>
    <font>
      <sz val="12"/>
      <name val="Arial"/>
      <family val="2"/>
    </font>
    <font>
      <i/>
      <sz val="12"/>
      <name val="Arial"/>
      <family val="2"/>
    </font>
    <font>
      <b/>
      <sz val="12"/>
      <color theme="8" tint="-0.249977111117893"/>
      <name val="Arial"/>
      <family val="2"/>
    </font>
    <font>
      <b/>
      <sz val="12"/>
      <color rgb="FFFF0000"/>
      <name val="Arial"/>
      <family val="2"/>
    </font>
    <font>
      <b/>
      <sz val="14"/>
      <name val="Arial"/>
      <family val="2"/>
    </font>
    <font>
      <b/>
      <sz val="12"/>
      <color theme="1"/>
      <name val="arial"/>
      <family val="2"/>
    </font>
    <font>
      <sz val="12"/>
      <color theme="8" tint="-0.249977111117893"/>
      <name val="Arial"/>
      <family val="2"/>
    </font>
    <font>
      <b/>
      <sz val="16"/>
      <color theme="8" tint="-0.249977111117893"/>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s>
  <borders count="17">
    <border>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96">
    <xf numFmtId="0" fontId="0" fillId="0" borderId="0" xfId="0"/>
    <xf numFmtId="0" fontId="5" fillId="0" borderId="0" xfId="0" applyFont="1" applyAlignment="1">
      <alignment vertical="top" wrapText="1"/>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horizontal="left" vertical="top"/>
    </xf>
    <xf numFmtId="0" fontId="7" fillId="0" borderId="0" xfId="0" quotePrefix="1" applyFont="1" applyAlignment="1">
      <alignment horizontal="left" vertical="top"/>
    </xf>
    <xf numFmtId="0" fontId="9" fillId="0" borderId="0" xfId="0" applyFont="1" applyAlignment="1">
      <alignment vertical="center"/>
    </xf>
    <xf numFmtId="0" fontId="5" fillId="0" borderId="0" xfId="0" applyFont="1" applyAlignment="1">
      <alignment horizontal="left" vertical="top"/>
    </xf>
    <xf numFmtId="165" fontId="7" fillId="0" borderId="0" xfId="2" applyNumberFormat="1" applyFont="1" applyAlignment="1" applyProtection="1">
      <alignment horizontal="left" vertical="top"/>
    </xf>
    <xf numFmtId="0" fontId="10" fillId="3" borderId="0" xfId="0" applyFont="1" applyFill="1" applyAlignment="1">
      <alignment horizontal="left"/>
    </xf>
    <xf numFmtId="165" fontId="10" fillId="3" borderId="0" xfId="0" applyNumberFormat="1" applyFont="1" applyFill="1"/>
    <xf numFmtId="165" fontId="11" fillId="3" borderId="0" xfId="0" applyNumberFormat="1" applyFont="1" applyFill="1"/>
    <xf numFmtId="165" fontId="11" fillId="3" borderId="0" xfId="2" applyNumberFormat="1" applyFont="1" applyFill="1" applyProtection="1"/>
    <xf numFmtId="165" fontId="11" fillId="3" borderId="0" xfId="0" applyNumberFormat="1" applyFont="1" applyFill="1" applyAlignment="1">
      <alignment horizontal="left"/>
    </xf>
    <xf numFmtId="0" fontId="12" fillId="0" borderId="0" xfId="0" applyFont="1" applyAlignment="1">
      <alignment horizontal="left" vertical="top"/>
    </xf>
    <xf numFmtId="0" fontId="13" fillId="0" borderId="0" xfId="0" applyFont="1" applyAlignment="1">
      <alignment vertical="top"/>
    </xf>
    <xf numFmtId="0" fontId="14" fillId="0" borderId="1" xfId="0" applyFont="1" applyBorder="1" applyAlignment="1">
      <alignment horizontal="center" vertical="top" wrapText="1"/>
    </xf>
    <xf numFmtId="0" fontId="15" fillId="0" borderId="0" xfId="0" applyFont="1" applyAlignment="1">
      <alignment horizontal="left"/>
    </xf>
    <xf numFmtId="0" fontId="14" fillId="0" borderId="0" xfId="0" applyFont="1" applyAlignment="1">
      <alignment vertical="top"/>
    </xf>
    <xf numFmtId="165" fontId="16" fillId="0" borderId="0" xfId="0" applyNumberFormat="1" applyFont="1"/>
    <xf numFmtId="165" fontId="16" fillId="0" borderId="0" xfId="2" applyNumberFormat="1" applyFont="1" applyProtection="1"/>
    <xf numFmtId="165" fontId="16" fillId="0" borderId="0" xfId="0" applyNumberFormat="1" applyFont="1" applyAlignment="1">
      <alignment horizontal="left"/>
    </xf>
    <xf numFmtId="44" fontId="16" fillId="0" borderId="0" xfId="2" applyFont="1" applyProtection="1"/>
    <xf numFmtId="0" fontId="7" fillId="0" borderId="1" xfId="0" applyFont="1" applyBorder="1" applyAlignment="1">
      <alignment horizontal="center" vertical="top" wrapText="1"/>
    </xf>
    <xf numFmtId="165" fontId="15" fillId="0" borderId="0" xfId="0" applyNumberFormat="1" applyFont="1" applyAlignment="1">
      <alignment horizontal="left"/>
    </xf>
    <xf numFmtId="165" fontId="17" fillId="0" borderId="0" xfId="0" applyNumberFormat="1" applyFont="1"/>
    <xf numFmtId="165" fontId="17" fillId="0" borderId="0" xfId="2" applyNumberFormat="1" applyFont="1" applyProtection="1"/>
    <xf numFmtId="165" fontId="17" fillId="0" borderId="0" xfId="0" applyNumberFormat="1" applyFont="1" applyAlignment="1">
      <alignment horizontal="left"/>
    </xf>
    <xf numFmtId="0" fontId="14" fillId="0" borderId="4" xfId="0" applyFont="1" applyBorder="1" applyAlignment="1">
      <alignment horizontal="center" vertical="top"/>
    </xf>
    <xf numFmtId="0" fontId="18" fillId="0" borderId="0" xfId="0" applyFont="1" applyAlignment="1">
      <alignment horizontal="right" vertical="top"/>
    </xf>
    <xf numFmtId="165" fontId="19" fillId="0" borderId="0" xfId="0" applyNumberFormat="1" applyFont="1"/>
    <xf numFmtId="165" fontId="5" fillId="0" borderId="0" xfId="0" applyNumberFormat="1" applyFont="1"/>
    <xf numFmtId="165" fontId="5" fillId="0" borderId="0" xfId="2" applyNumberFormat="1" applyFont="1" applyProtection="1"/>
    <xf numFmtId="165" fontId="5" fillId="0" borderId="0" xfId="0" applyNumberFormat="1" applyFont="1" applyAlignment="1">
      <alignment horizontal="left"/>
    </xf>
    <xf numFmtId="166" fontId="19" fillId="3" borderId="0" xfId="1" applyNumberFormat="1" applyFont="1" applyFill="1" applyProtection="1"/>
    <xf numFmtId="166" fontId="19" fillId="2" borderId="0" xfId="1" applyNumberFormat="1" applyFont="1" applyFill="1" applyProtection="1">
      <protection locked="0"/>
    </xf>
    <xf numFmtId="166" fontId="6" fillId="0" borderId="0" xfId="1" applyNumberFormat="1" applyFont="1" applyFill="1" applyAlignment="1">
      <alignment vertical="top"/>
    </xf>
    <xf numFmtId="166" fontId="6" fillId="0" borderId="0" xfId="0" applyNumberFormat="1" applyFont="1" applyAlignment="1">
      <alignment vertical="top"/>
    </xf>
    <xf numFmtId="0" fontId="7" fillId="0" borderId="0" xfId="0" applyFont="1" applyAlignment="1">
      <alignment vertical="top" wrapText="1"/>
    </xf>
    <xf numFmtId="166" fontId="6" fillId="3" borderId="0" xfId="1" applyNumberFormat="1" applyFont="1" applyFill="1" applyAlignment="1">
      <alignment vertical="top"/>
    </xf>
    <xf numFmtId="44" fontId="19" fillId="0" borderId="0" xfId="2" applyFont="1" applyProtection="1"/>
    <xf numFmtId="0" fontId="20" fillId="0" borderId="0" xfId="0" applyFont="1" applyAlignment="1">
      <alignment horizontal="right" vertical="top" wrapText="1"/>
    </xf>
    <xf numFmtId="165" fontId="21" fillId="0" borderId="0" xfId="0" applyNumberFormat="1" applyFont="1"/>
    <xf numFmtId="165" fontId="21" fillId="0" borderId="0" xfId="2" applyNumberFormat="1" applyFont="1" applyFill="1" applyProtection="1"/>
    <xf numFmtId="165" fontId="21" fillId="0" borderId="0" xfId="0" applyNumberFormat="1" applyFont="1" applyAlignment="1">
      <alignment horizontal="left"/>
    </xf>
    <xf numFmtId="44" fontId="7" fillId="0" borderId="0" xfId="2" applyFont="1" applyProtection="1"/>
    <xf numFmtId="0" fontId="7" fillId="0" borderId="0" xfId="0" applyFont="1" applyAlignment="1">
      <alignment vertical="top"/>
    </xf>
    <xf numFmtId="0" fontId="6" fillId="0" borderId="0" xfId="0" applyFont="1"/>
    <xf numFmtId="165" fontId="19" fillId="0" borderId="0" xfId="0" applyNumberFormat="1" applyFont="1" applyAlignment="1">
      <alignment horizontal="left"/>
    </xf>
    <xf numFmtId="165" fontId="21" fillId="0" borderId="0" xfId="2" applyNumberFormat="1" applyFont="1" applyProtection="1"/>
    <xf numFmtId="44" fontId="22" fillId="0" borderId="0" xfId="2" applyFont="1" applyProtection="1"/>
    <xf numFmtId="165" fontId="23" fillId="0" borderId="0" xfId="0" applyNumberFormat="1" applyFont="1" applyAlignment="1">
      <alignment horizontal="left"/>
    </xf>
    <xf numFmtId="165" fontId="4" fillId="0" borderId="0" xfId="0" applyNumberFormat="1" applyFont="1" applyAlignment="1">
      <alignment horizontal="left"/>
    </xf>
    <xf numFmtId="166" fontId="19" fillId="0" borderId="0" xfId="1" applyNumberFormat="1" applyFont="1" applyProtection="1"/>
    <xf numFmtId="0" fontId="24" fillId="0" borderId="0" xfId="0" applyFont="1"/>
    <xf numFmtId="0" fontId="19" fillId="0" borderId="0" xfId="0" applyFont="1" applyAlignment="1">
      <alignment vertical="top"/>
    </xf>
    <xf numFmtId="166" fontId="19" fillId="0" borderId="0" xfId="1" applyNumberFormat="1" applyFont="1" applyFill="1" applyProtection="1"/>
    <xf numFmtId="166" fontId="19" fillId="2" borderId="0" xfId="1" applyNumberFormat="1" applyFont="1" applyFill="1" applyAlignment="1" applyProtection="1">
      <protection locked="0"/>
    </xf>
    <xf numFmtId="166" fontId="19" fillId="0" borderId="0" xfId="1" applyNumberFormat="1" applyFont="1"/>
    <xf numFmtId="165" fontId="14" fillId="0" borderId="0" xfId="2" applyNumberFormat="1" applyFont="1" applyAlignment="1" applyProtection="1">
      <alignment vertical="top"/>
    </xf>
    <xf numFmtId="166" fontId="19" fillId="0" borderId="0" xfId="1" applyNumberFormat="1" applyFont="1" applyAlignment="1">
      <alignment vertical="top"/>
    </xf>
    <xf numFmtId="44" fontId="7" fillId="0" borderId="0" xfId="2" applyFont="1" applyFill="1" applyProtection="1"/>
    <xf numFmtId="0" fontId="14" fillId="0" borderId="1" xfId="0" applyFont="1" applyBorder="1" applyAlignment="1">
      <alignment horizontal="center"/>
    </xf>
    <xf numFmtId="0" fontId="14" fillId="0" borderId="0" xfId="0" applyFont="1"/>
    <xf numFmtId="165" fontId="14" fillId="0" borderId="0" xfId="2" applyNumberFormat="1" applyFont="1" applyProtection="1"/>
    <xf numFmtId="0" fontId="19" fillId="0" borderId="0" xfId="0" applyFont="1"/>
    <xf numFmtId="165" fontId="19" fillId="0" borderId="0" xfId="2" applyNumberFormat="1" applyFont="1" applyProtection="1"/>
    <xf numFmtId="0" fontId="7" fillId="0" borderId="0" xfId="0" applyFont="1" applyAlignment="1">
      <alignment horizontal="center"/>
    </xf>
    <xf numFmtId="0" fontId="25" fillId="0" borderId="0" xfId="0" applyFont="1"/>
    <xf numFmtId="0" fontId="10" fillId="0" borderId="2" xfId="0" applyFont="1" applyBorder="1" applyAlignment="1">
      <alignment horizontal="left"/>
    </xf>
    <xf numFmtId="165" fontId="10" fillId="0" borderId="5" xfId="0" applyNumberFormat="1" applyFont="1" applyBorder="1"/>
    <xf numFmtId="165" fontId="11" fillId="0" borderId="5" xfId="0" applyNumberFormat="1" applyFont="1" applyBorder="1"/>
    <xf numFmtId="165" fontId="11" fillId="0" borderId="5" xfId="2" applyNumberFormat="1" applyFont="1" applyFill="1" applyBorder="1" applyProtection="1"/>
    <xf numFmtId="165" fontId="11" fillId="0" borderId="3" xfId="2" applyNumberFormat="1" applyFont="1" applyFill="1" applyBorder="1" applyProtection="1"/>
    <xf numFmtId="0" fontId="24" fillId="0" borderId="0" xfId="0" applyFont="1" applyAlignment="1">
      <alignment horizontal="center" vertical="top"/>
    </xf>
    <xf numFmtId="166" fontId="6" fillId="3" borderId="0" xfId="0" applyNumberFormat="1" applyFont="1" applyFill="1" applyAlignment="1">
      <alignment vertical="top"/>
    </xf>
    <xf numFmtId="165" fontId="7" fillId="0" borderId="0" xfId="2" applyNumberFormat="1" applyFont="1" applyAlignment="1" applyProtection="1">
      <alignment vertical="top"/>
    </xf>
    <xf numFmtId="0" fontId="5" fillId="0" borderId="0" xfId="0" applyFont="1" applyAlignment="1">
      <alignment horizontal="center"/>
    </xf>
    <xf numFmtId="0" fontId="7" fillId="0" borderId="0" xfId="0" applyFont="1" applyAlignment="1">
      <alignment horizontal="left" vertical="top" wrapText="1"/>
    </xf>
    <xf numFmtId="0" fontId="26" fillId="0" borderId="0" xfId="0" applyFont="1" applyAlignment="1">
      <alignment horizontal="left"/>
    </xf>
    <xf numFmtId="0" fontId="5" fillId="0" borderId="0" xfId="0" applyFont="1" applyAlignment="1">
      <alignment horizontal="left"/>
    </xf>
    <xf numFmtId="0" fontId="19" fillId="0" borderId="0" xfId="0" applyFont="1" applyAlignment="1">
      <alignment horizontal="left"/>
    </xf>
    <xf numFmtId="0" fontId="24" fillId="0" borderId="0" xfId="0" applyFont="1" applyAlignment="1">
      <alignment horizontal="left"/>
    </xf>
    <xf numFmtId="0" fontId="6" fillId="3" borderId="4" xfId="0" applyFont="1" applyFill="1" applyBorder="1"/>
    <xf numFmtId="0" fontId="24" fillId="3" borderId="4" xfId="0" applyFont="1" applyFill="1" applyBorder="1" applyAlignment="1">
      <alignment horizontal="center"/>
    </xf>
    <xf numFmtId="166" fontId="7" fillId="2" borderId="4" xfId="1" applyNumberFormat="1" applyFont="1" applyFill="1" applyBorder="1" applyProtection="1">
      <protection locked="0"/>
    </xf>
    <xf numFmtId="0" fontId="24" fillId="0" borderId="0" xfId="0" applyFont="1" applyAlignment="1">
      <alignment horizontal="left" vertical="top"/>
    </xf>
    <xf numFmtId="0" fontId="6" fillId="0" borderId="0" xfId="0" applyFont="1" applyAlignment="1">
      <alignment horizontal="left" vertical="top"/>
    </xf>
    <xf numFmtId="0" fontId="24" fillId="0" borderId="0" xfId="0" applyFont="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vertical="top"/>
    </xf>
    <xf numFmtId="0" fontId="6" fillId="0" borderId="0" xfId="0" applyFont="1" applyAlignment="1">
      <alignment vertical="top" wrapText="1"/>
    </xf>
    <xf numFmtId="0" fontId="7" fillId="0" borderId="0" xfId="0" applyFont="1" applyAlignment="1">
      <alignment horizontal="left"/>
    </xf>
    <xf numFmtId="165" fontId="7" fillId="0" borderId="0" xfId="2" applyNumberFormat="1" applyFont="1" applyFill="1" applyBorder="1" applyProtection="1"/>
    <xf numFmtId="0" fontId="28" fillId="4" borderId="0" xfId="0" applyFont="1" applyFill="1"/>
    <xf numFmtId="38" fontId="28" fillId="4" borderId="0" xfId="0" applyNumberFormat="1" applyFont="1" applyFill="1"/>
    <xf numFmtId="0" fontId="28" fillId="4" borderId="7" xfId="0" applyFont="1" applyFill="1" applyBorder="1"/>
    <xf numFmtId="0" fontId="28" fillId="4" borderId="8" xfId="0" applyFont="1" applyFill="1" applyBorder="1"/>
    <xf numFmtId="38" fontId="28" fillId="4" borderId="8" xfId="0" applyNumberFormat="1" applyFont="1" applyFill="1" applyBorder="1"/>
    <xf numFmtId="0" fontId="28" fillId="4" borderId="9" xfId="0" applyFont="1" applyFill="1" applyBorder="1"/>
    <xf numFmtId="0" fontId="28" fillId="4" borderId="10" xfId="0" applyFont="1" applyFill="1" applyBorder="1"/>
    <xf numFmtId="0" fontId="29" fillId="4" borderId="0" xfId="0" applyFont="1" applyFill="1"/>
    <xf numFmtId="0" fontId="29" fillId="4" borderId="0" xfId="0" applyFont="1" applyFill="1" applyAlignment="1">
      <alignment horizontal="center"/>
    </xf>
    <xf numFmtId="0" fontId="28" fillId="4" borderId="11" xfId="0" applyFont="1" applyFill="1" applyBorder="1"/>
    <xf numFmtId="0" fontId="29" fillId="0" borderId="0" xfId="0" applyFont="1" applyAlignment="1" applyProtection="1">
      <alignment horizontal="center"/>
      <protection locked="0"/>
    </xf>
    <xf numFmtId="38" fontId="30" fillId="4" borderId="12" xfId="0" applyNumberFormat="1" applyFont="1" applyFill="1" applyBorder="1" applyAlignment="1">
      <alignment horizontal="center" wrapText="1"/>
    </xf>
    <xf numFmtId="0" fontId="30" fillId="4" borderId="0" xfId="0" applyFont="1" applyFill="1"/>
    <xf numFmtId="38" fontId="30" fillId="4" borderId="12" xfId="0" applyNumberFormat="1" applyFont="1" applyFill="1" applyBorder="1" applyAlignment="1">
      <alignment horizontal="center"/>
    </xf>
    <xf numFmtId="38" fontId="31" fillId="4" borderId="0" xfId="0" applyNumberFormat="1" applyFont="1" applyFill="1" applyAlignment="1">
      <alignment horizontal="center" wrapText="1"/>
    </xf>
    <xf numFmtId="38" fontId="31" fillId="4" borderId="0" xfId="0" applyNumberFormat="1" applyFont="1" applyFill="1" applyAlignment="1">
      <alignment horizontal="center"/>
    </xf>
    <xf numFmtId="38" fontId="30" fillId="4" borderId="0" xfId="0" applyNumberFormat="1" applyFont="1" applyFill="1" applyAlignment="1">
      <alignment horizontal="center" wrapText="1"/>
    </xf>
    <xf numFmtId="165" fontId="28" fillId="2" borderId="0" xfId="2" applyNumberFormat="1" applyFont="1" applyFill="1" applyProtection="1">
      <protection locked="0"/>
    </xf>
    <xf numFmtId="166" fontId="28" fillId="4" borderId="0" xfId="1" applyNumberFormat="1" applyFont="1" applyFill="1"/>
    <xf numFmtId="165" fontId="28" fillId="4" borderId="0" xfId="2" applyNumberFormat="1" applyFont="1" applyFill="1"/>
    <xf numFmtId="165" fontId="28" fillId="4" borderId="13" xfId="2" applyNumberFormat="1" applyFont="1" applyFill="1" applyBorder="1"/>
    <xf numFmtId="166" fontId="28" fillId="4" borderId="0" xfId="1" quotePrefix="1" applyNumberFormat="1" applyFont="1" applyFill="1"/>
    <xf numFmtId="166" fontId="28" fillId="4" borderId="0" xfId="1" applyNumberFormat="1" applyFont="1" applyFill="1" applyBorder="1"/>
    <xf numFmtId="0" fontId="28" fillId="4" borderId="14" xfId="0" applyFont="1" applyFill="1" applyBorder="1"/>
    <xf numFmtId="0" fontId="28" fillId="4" borderId="12" xfId="0" applyFont="1" applyFill="1" applyBorder="1"/>
    <xf numFmtId="38" fontId="28" fillId="4" borderId="12" xfId="0" applyNumberFormat="1" applyFont="1" applyFill="1" applyBorder="1"/>
    <xf numFmtId="0" fontId="28" fillId="4" borderId="15" xfId="0" applyFont="1" applyFill="1" applyBorder="1"/>
    <xf numFmtId="0" fontId="32" fillId="5" borderId="0" xfId="3" applyFont="1" applyFill="1"/>
    <xf numFmtId="0" fontId="33" fillId="5" borderId="0" xfId="3" applyFont="1" applyFill="1"/>
    <xf numFmtId="0" fontId="33" fillId="5" borderId="0" xfId="3" applyFont="1" applyFill="1" applyAlignment="1">
      <alignment horizontal="center"/>
    </xf>
    <xf numFmtId="0" fontId="33" fillId="5" borderId="0" xfId="3" applyFont="1" applyFill="1" applyAlignment="1">
      <alignment wrapText="1"/>
    </xf>
    <xf numFmtId="0" fontId="33" fillId="5" borderId="0" xfId="3" applyFont="1" applyFill="1" applyAlignment="1">
      <alignment horizontal="center" wrapText="1"/>
    </xf>
    <xf numFmtId="0" fontId="33" fillId="0" borderId="0" xfId="3" applyFont="1"/>
    <xf numFmtId="0" fontId="33" fillId="0" borderId="0" xfId="3" applyFont="1" applyAlignment="1">
      <alignment horizontal="center"/>
    </xf>
    <xf numFmtId="0" fontId="2" fillId="6" borderId="0" xfId="3" applyFont="1" applyFill="1"/>
    <xf numFmtId="0" fontId="1" fillId="6" borderId="0" xfId="3" applyFill="1"/>
    <xf numFmtId="0" fontId="1" fillId="6" borderId="0" xfId="3" applyFill="1" applyAlignment="1">
      <alignment horizontal="center"/>
    </xf>
    <xf numFmtId="0" fontId="1" fillId="0" borderId="0" xfId="3"/>
    <xf numFmtId="0" fontId="34" fillId="0" borderId="0" xfId="3" applyFont="1" applyAlignment="1">
      <alignment horizontal="left" vertical="top" wrapText="1"/>
    </xf>
    <xf numFmtId="0" fontId="36" fillId="0" borderId="0" xfId="3" applyFont="1" applyAlignment="1">
      <alignment vertical="top"/>
    </xf>
    <xf numFmtId="0" fontId="34" fillId="0" borderId="0" xfId="3" applyFont="1" applyAlignment="1">
      <alignment horizontal="center" vertical="top" wrapText="1"/>
    </xf>
    <xf numFmtId="0" fontId="36" fillId="0" borderId="16" xfId="3" applyFont="1" applyBorder="1" applyAlignment="1">
      <alignment horizontal="center" vertical="top" wrapText="1"/>
    </xf>
    <xf numFmtId="0" fontId="36" fillId="0" borderId="0" xfId="3" applyFont="1" applyAlignment="1">
      <alignment vertical="top" wrapText="1"/>
    </xf>
    <xf numFmtId="0" fontId="36" fillId="0" borderId="0" xfId="3" applyFont="1" applyAlignment="1">
      <alignment horizontal="center" vertical="top"/>
    </xf>
    <xf numFmtId="0" fontId="36" fillId="0" borderId="0" xfId="3" applyFont="1" applyAlignment="1">
      <alignment horizontal="center" vertical="top" wrapText="1"/>
    </xf>
    <xf numFmtId="0" fontId="37" fillId="0" borderId="0" xfId="3" applyFont="1" applyAlignment="1">
      <alignment horizontal="center" vertical="top" wrapText="1"/>
    </xf>
    <xf numFmtId="0" fontId="37" fillId="0" borderId="0" xfId="3" quotePrefix="1" applyFont="1" applyAlignment="1">
      <alignment horizontal="center" vertical="top" wrapText="1"/>
    </xf>
    <xf numFmtId="0" fontId="38" fillId="0" borderId="0" xfId="3" applyFont="1" applyAlignment="1">
      <alignment horizontal="center" vertical="top" wrapText="1"/>
    </xf>
    <xf numFmtId="0" fontId="34" fillId="0" borderId="0" xfId="3" applyFont="1" applyAlignment="1">
      <alignment vertical="top"/>
    </xf>
    <xf numFmtId="166" fontId="34" fillId="2" borderId="4" xfId="1" applyNumberFormat="1" applyFont="1" applyFill="1" applyBorder="1" applyAlignment="1" applyProtection="1">
      <alignment vertical="top"/>
      <protection locked="0"/>
    </xf>
    <xf numFmtId="166" fontId="34" fillId="0" borderId="0" xfId="1" applyNumberFormat="1" applyFont="1" applyAlignment="1" applyProtection="1">
      <alignment horizontal="center" vertical="top"/>
    </xf>
    <xf numFmtId="166" fontId="34" fillId="0" borderId="0" xfId="1" quotePrefix="1" applyNumberFormat="1" applyFont="1" applyAlignment="1" applyProtection="1">
      <alignment horizontal="center" vertical="top"/>
    </xf>
    <xf numFmtId="166" fontId="34" fillId="0" borderId="0" xfId="1" quotePrefix="1" applyNumberFormat="1" applyFont="1" applyFill="1" applyBorder="1" applyAlignment="1" applyProtection="1">
      <alignment horizontal="center" vertical="top"/>
      <protection locked="0"/>
    </xf>
    <xf numFmtId="166" fontId="34" fillId="0" borderId="4" xfId="1" applyNumberFormat="1" applyFont="1" applyBorder="1" applyAlignment="1" applyProtection="1">
      <alignment vertical="top"/>
    </xf>
    <xf numFmtId="166" fontId="34" fillId="0" borderId="0" xfId="1" quotePrefix="1" applyNumberFormat="1" applyFont="1" applyAlignment="1" applyProtection="1">
      <alignment vertical="top"/>
    </xf>
    <xf numFmtId="166" fontId="34" fillId="0" borderId="4" xfId="1" applyNumberFormat="1" applyFont="1" applyFill="1" applyBorder="1" applyAlignment="1" applyProtection="1">
      <alignment vertical="top"/>
    </xf>
    <xf numFmtId="166" fontId="34" fillId="0" borderId="0" xfId="1" applyNumberFormat="1" applyFont="1" applyAlignment="1" applyProtection="1">
      <alignment vertical="top"/>
    </xf>
    <xf numFmtId="166" fontId="39" fillId="0" borderId="4" xfId="1" applyNumberFormat="1" applyFont="1" applyBorder="1" applyAlignment="1" applyProtection="1">
      <alignment vertical="top"/>
    </xf>
    <xf numFmtId="0" fontId="34" fillId="0" borderId="0" xfId="3" applyFont="1" applyAlignment="1">
      <alignment horizontal="center" vertical="top"/>
    </xf>
    <xf numFmtId="0" fontId="40" fillId="0" borderId="0" xfId="3" applyFont="1" applyAlignment="1">
      <alignment vertical="top"/>
    </xf>
    <xf numFmtId="0" fontId="34" fillId="0" borderId="0" xfId="3" applyFont="1" applyAlignment="1">
      <alignment vertical="top" wrapText="1"/>
    </xf>
    <xf numFmtId="0" fontId="36" fillId="0" borderId="0" xfId="3" applyFont="1" applyAlignment="1">
      <alignment horizontal="left" vertical="top"/>
    </xf>
    <xf numFmtId="166" fontId="34" fillId="0" borderId="0" xfId="1" applyNumberFormat="1" applyFont="1" applyFill="1" applyBorder="1" applyAlignment="1" applyProtection="1">
      <alignment vertical="top"/>
      <protection locked="0"/>
    </xf>
    <xf numFmtId="43" fontId="34" fillId="0" borderId="0" xfId="1" quotePrefix="1" applyFont="1" applyAlignment="1" applyProtection="1">
      <alignment vertical="top"/>
    </xf>
    <xf numFmtId="43" fontId="34" fillId="0" borderId="0" xfId="1" applyFont="1" applyAlignment="1" applyProtection="1">
      <alignment vertical="top"/>
    </xf>
    <xf numFmtId="0" fontId="36" fillId="0" borderId="0" xfId="3" applyFont="1" applyAlignment="1">
      <alignment horizontal="left" vertical="top" wrapText="1"/>
    </xf>
    <xf numFmtId="0" fontId="1" fillId="0" borderId="0" xfId="3" applyAlignment="1">
      <alignment horizontal="center"/>
    </xf>
    <xf numFmtId="166" fontId="1" fillId="0" borderId="4" xfId="1" applyNumberFormat="1" applyBorder="1" applyProtection="1"/>
    <xf numFmtId="0" fontId="38" fillId="0" borderId="0" xfId="3" applyFont="1"/>
    <xf numFmtId="0" fontId="37" fillId="0" borderId="0" xfId="3" applyFont="1" applyAlignment="1">
      <alignment horizontal="right" vertical="top" wrapText="1"/>
    </xf>
    <xf numFmtId="0" fontId="39" fillId="0" borderId="0" xfId="3" applyFont="1" applyAlignment="1">
      <alignment vertical="top"/>
    </xf>
    <xf numFmtId="0" fontId="2" fillId="0" borderId="0" xfId="3" applyFont="1"/>
    <xf numFmtId="0" fontId="5" fillId="0" borderId="0" xfId="0" applyFont="1" applyAlignment="1">
      <alignment horizontal="left" vertical="top"/>
    </xf>
    <xf numFmtId="49" fontId="7" fillId="2" borderId="0" xfId="1" applyNumberFormat="1" applyFont="1" applyFill="1" applyBorder="1" applyAlignment="1" applyProtection="1">
      <alignment horizontal="left"/>
      <protection locked="0"/>
    </xf>
    <xf numFmtId="0" fontId="3" fillId="0" borderId="0" xfId="0" applyFont="1" applyAlignment="1">
      <alignment horizontal="center" vertical="top" wrapText="1"/>
    </xf>
    <xf numFmtId="0" fontId="7" fillId="2" borderId="0" xfId="0" applyFont="1" applyFill="1" applyAlignment="1" applyProtection="1">
      <alignment horizontal="left" vertical="top"/>
      <protection locked="0"/>
    </xf>
    <xf numFmtId="164" fontId="7" fillId="2" borderId="0" xfId="0" quotePrefix="1" applyNumberFormat="1" applyFont="1" applyFill="1" applyAlignment="1" applyProtection="1">
      <alignment horizontal="left" vertical="top"/>
      <protection locked="0"/>
    </xf>
    <xf numFmtId="0" fontId="7" fillId="0" borderId="0" xfId="0" applyFont="1" applyAlignment="1">
      <alignment horizontal="left" vertical="top"/>
    </xf>
    <xf numFmtId="0" fontId="14" fillId="0" borderId="2" xfId="0" applyFont="1" applyBorder="1" applyAlignment="1">
      <alignment horizontal="center" vertical="top"/>
    </xf>
    <xf numFmtId="0" fontId="14" fillId="0" borderId="3" xfId="0" applyFont="1" applyBorder="1" applyAlignment="1">
      <alignment horizontal="center" vertical="top"/>
    </xf>
    <xf numFmtId="165" fontId="15" fillId="0" borderId="0" xfId="0" applyNumberFormat="1" applyFont="1" applyAlignment="1">
      <alignment horizontal="left" vertical="top" wrapText="1"/>
    </xf>
    <xf numFmtId="0" fontId="19" fillId="2" borderId="0" xfId="0" applyFont="1" applyFill="1" applyProtection="1">
      <protection locked="0"/>
    </xf>
    <xf numFmtId="0" fontId="3" fillId="0" borderId="0" xfId="0" applyFont="1" applyAlignment="1">
      <alignment horizontal="center" vertical="center" wrapText="1"/>
    </xf>
    <xf numFmtId="0" fontId="12" fillId="0" borderId="0" xfId="0" applyFont="1" applyAlignment="1">
      <alignment horizontal="left" vertical="top" wrapText="1"/>
    </xf>
    <xf numFmtId="0" fontId="19" fillId="0" borderId="0" xfId="0" applyFont="1" applyAlignment="1">
      <alignment vertical="top" wrapText="1"/>
    </xf>
    <xf numFmtId="0" fontId="19" fillId="0" borderId="0" xfId="0" applyFont="1" applyAlignment="1">
      <alignment horizontal="left" wrapText="1"/>
    </xf>
    <xf numFmtId="44" fontId="7" fillId="2" borderId="0" xfId="2" applyFont="1" applyFill="1" applyAlignment="1" applyProtection="1">
      <alignment horizontal="left" vertical="top"/>
      <protection locked="0"/>
    </xf>
    <xf numFmtId="164" fontId="19" fillId="2" borderId="0" xfId="0" applyNumberFormat="1" applyFont="1" applyFill="1" applyAlignment="1" applyProtection="1">
      <alignment horizontal="left"/>
      <protection locked="0"/>
    </xf>
    <xf numFmtId="0" fontId="19" fillId="2" borderId="0" xfId="0" applyFont="1" applyFill="1" applyAlignment="1" applyProtection="1">
      <alignment horizontal="left"/>
      <protection locked="0"/>
    </xf>
    <xf numFmtId="0" fontId="27" fillId="0" borderId="0" xfId="0" applyFont="1" applyAlignment="1">
      <alignment horizontal="center"/>
    </xf>
    <xf numFmtId="0" fontId="24" fillId="0" borderId="0" xfId="0" applyFont="1" applyAlignment="1">
      <alignment horizontal="left"/>
    </xf>
    <xf numFmtId="0" fontId="6" fillId="0" borderId="6" xfId="0" applyFont="1" applyBorder="1" applyAlignment="1">
      <alignment horizontal="left" wrapText="1"/>
    </xf>
    <xf numFmtId="0" fontId="6" fillId="0" borderId="0" xfId="0" applyFont="1" applyAlignment="1">
      <alignment horizontal="left"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19" fillId="0" borderId="0" xfId="0" applyFont="1" applyAlignment="1">
      <alignment horizontal="left"/>
    </xf>
    <xf numFmtId="164" fontId="19" fillId="0" borderId="0" xfId="0" applyNumberFormat="1" applyFont="1" applyAlignment="1">
      <alignment horizontal="left"/>
    </xf>
    <xf numFmtId="0" fontId="36" fillId="0" borderId="16" xfId="3" applyFont="1" applyBorder="1" applyAlignment="1">
      <alignment horizontal="center" vertical="top"/>
    </xf>
    <xf numFmtId="0" fontId="34" fillId="0" borderId="0" xfId="3" applyFont="1" applyAlignment="1">
      <alignment horizontal="left" vertical="top" wrapText="1"/>
    </xf>
    <xf numFmtId="0" fontId="35" fillId="2" borderId="0" xfId="3" applyFont="1" applyFill="1" applyAlignment="1">
      <alignment horizontal="left" vertical="top" wrapText="1"/>
    </xf>
    <xf numFmtId="0" fontId="36" fillId="0" borderId="16" xfId="3" applyFont="1" applyBorder="1" applyAlignment="1">
      <alignment horizontal="center" vertical="top" wrapText="1"/>
    </xf>
  </cellXfs>
  <cellStyles count="4">
    <cellStyle name="Comma" xfId="1" builtinId="3"/>
    <cellStyle name="Currency" xfId="2" builtinId="4"/>
    <cellStyle name="Normal" xfId="0" builtinId="0"/>
    <cellStyle name="Normal 2" xfId="3" xr:uid="{177F9C8D-B9C3-4794-9C62-B663DB3BB202}"/>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R:\GASB%2087%20-%20Leases\GASB%2087%20Leases%20FY23\FY23%20GASB%2087%20SCO%20Submission%20doc\DOT%20Copy\0046%20GASB_87_Lessee_FP_Template_V2.xlsx" TargetMode="External"/><Relationship Id="rId1" Type="http://schemas.openxmlformats.org/officeDocument/2006/relationships/externalLinkPath" Target="file:///R:\GASB%2087%20-%20Leases\GASB%2087%20Leases%20FY23\FY23%20GASB%2087%20SCO%20Submission%20doc\DOT%20Copy\0046%20GASB_87_Lessee_FP_Template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GASB%2087%20-%20Leases\GASB%2087%20Leases%20FY23\FY23%20GASB%2087%20SCO%20Submission%20doc\DOT%20Copy\DOT%20GASB_87_Annual_Reporting_Submission_Workbook_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down menus"/>
      <sheetName val="Version Changes"/>
      <sheetName val="Example 1 Input"/>
      <sheetName val="Example 1 Output"/>
      <sheetName val="Example 2 Input"/>
      <sheetName val="Example 2 Output"/>
      <sheetName val="D75 Locomotive Input"/>
      <sheetName val="D75 Locomotive Output"/>
      <sheetName val="FP-Version Changes"/>
      <sheetName val="FP-Fund 0046Journal Entries"/>
      <sheetName val="FP-Lease Liabilities"/>
      <sheetName val="Contract 2 Input"/>
      <sheetName val="Contract 2 Output"/>
      <sheetName val="qryIndex0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LS-Fund 0042 Journal Entries"/>
      <sheetName val="LS-Fund 0046 Journal Entrie"/>
      <sheetName val="LS-Fund 3290 Journal Entrie"/>
      <sheetName val="LS-Fund 3291 Journal Entrie"/>
      <sheetName val="LS-Fund 6072 Journal Entrie "/>
      <sheetName val="LS-Department Note Disclosure"/>
      <sheetName val="LS-Lease Liabilities"/>
      <sheetName val="LS-Check Figures  "/>
      <sheetName val="LR-Version Changes"/>
      <sheetName val="LR-Fund 0042 Journal Entries"/>
      <sheetName val="LR-Department Note Disclosure"/>
      <sheetName val="LR-Check Figures"/>
      <sheetName val="Need to Post JVA"/>
      <sheetName val="Fund 3290"/>
      <sheetName val="0042"/>
      <sheetName val="0046"/>
      <sheetName val="3290"/>
      <sheetName val="3291"/>
      <sheetName val="6072"/>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AED9-85AA-4A18-96DC-0FE9A49E4B8B}">
  <sheetPr>
    <tabColor theme="9" tint="0.59999389629810485"/>
    <pageSetUpPr fitToPage="1"/>
  </sheetPr>
  <dimension ref="A1:S193"/>
  <sheetViews>
    <sheetView tabSelected="1" zoomScale="70" zoomScaleNormal="70" workbookViewId="0">
      <selection activeCell="K34" sqref="K3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69" t="s">
        <v>0</v>
      </c>
      <c r="B1" s="169"/>
      <c r="C1" s="169"/>
      <c r="D1" s="169"/>
      <c r="E1" s="169"/>
      <c r="F1" s="169"/>
      <c r="G1" s="169"/>
      <c r="H1" s="169"/>
      <c r="I1" s="169"/>
      <c r="J1" s="169"/>
      <c r="K1" s="169"/>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7" t="s">
        <v>2</v>
      </c>
      <c r="B3" s="167"/>
      <c r="C3" s="167"/>
      <c r="D3" s="167"/>
      <c r="E3" s="167"/>
      <c r="F3" s="170" t="s">
        <v>3</v>
      </c>
      <c r="G3" s="170"/>
      <c r="H3" s="170"/>
      <c r="I3" s="170"/>
    </row>
    <row r="4" spans="1:19" ht="16.5" customHeight="1" x14ac:dyDescent="0.2">
      <c r="A4" s="167" t="s">
        <v>4</v>
      </c>
      <c r="B4" s="167"/>
      <c r="C4" s="167"/>
      <c r="D4" s="167"/>
      <c r="E4" s="167"/>
      <c r="F4" s="168" t="s">
        <v>5</v>
      </c>
      <c r="G4" s="168"/>
      <c r="H4" s="168"/>
      <c r="I4" s="168"/>
    </row>
    <row r="5" spans="1:19" ht="16.5" customHeight="1" x14ac:dyDescent="0.2">
      <c r="A5" s="167" t="s">
        <v>6</v>
      </c>
      <c r="B5" s="167"/>
      <c r="C5" s="167"/>
      <c r="D5" s="167"/>
      <c r="E5" s="167"/>
      <c r="F5" s="168" t="s">
        <v>7</v>
      </c>
      <c r="G5" s="168"/>
      <c r="H5" s="168"/>
      <c r="I5" s="168"/>
      <c r="L5" s="5"/>
      <c r="M5" s="5"/>
      <c r="N5" s="5"/>
      <c r="O5" s="5"/>
      <c r="P5" s="5"/>
      <c r="Q5" s="5"/>
    </row>
    <row r="6" spans="1:19" ht="16.5" customHeight="1" x14ac:dyDescent="0.25">
      <c r="A6" s="167" t="s">
        <v>8</v>
      </c>
      <c r="B6" s="167"/>
      <c r="C6" s="167"/>
      <c r="D6" s="167"/>
      <c r="E6" s="167"/>
      <c r="F6" s="171">
        <v>42</v>
      </c>
      <c r="G6" s="171"/>
      <c r="H6" s="171"/>
      <c r="I6" s="171"/>
      <c r="L6" s="6"/>
      <c r="M6" s="6"/>
      <c r="N6" s="6"/>
      <c r="O6" s="6"/>
      <c r="P6" s="5"/>
      <c r="Q6" s="5"/>
    </row>
    <row r="7" spans="1:19" ht="16.5" customHeight="1" x14ac:dyDescent="0.25">
      <c r="A7" s="167" t="s">
        <v>9</v>
      </c>
      <c r="B7" s="167"/>
      <c r="C7" s="167"/>
      <c r="D7" s="167"/>
      <c r="E7" s="167"/>
      <c r="F7" s="171" t="s">
        <v>10</v>
      </c>
      <c r="G7" s="171"/>
      <c r="H7" s="171"/>
      <c r="I7" s="171"/>
      <c r="K7" s="7"/>
      <c r="L7" s="6"/>
      <c r="M7" s="6"/>
      <c r="N7" s="6"/>
      <c r="O7" s="6"/>
      <c r="P7" s="5"/>
      <c r="Q7" s="5"/>
    </row>
    <row r="8" spans="1:19" ht="16.5" customHeight="1" x14ac:dyDescent="0.25">
      <c r="A8" s="167" t="s">
        <v>11</v>
      </c>
      <c r="B8" s="167"/>
      <c r="C8" s="167"/>
      <c r="D8" s="167"/>
      <c r="E8" s="167"/>
      <c r="F8" s="171" t="s">
        <v>12</v>
      </c>
      <c r="G8" s="171"/>
      <c r="H8" s="171"/>
      <c r="I8" s="171"/>
      <c r="K8" s="7"/>
      <c r="L8" s="6"/>
      <c r="M8" s="6"/>
      <c r="N8" s="6"/>
      <c r="O8" s="6"/>
      <c r="P8" s="5"/>
      <c r="Q8" s="5"/>
    </row>
    <row r="9" spans="1:19" ht="16.5" customHeight="1" x14ac:dyDescent="0.25">
      <c r="A9" s="167" t="s">
        <v>13</v>
      </c>
      <c r="B9" s="167"/>
      <c r="C9" s="167"/>
      <c r="D9" s="167"/>
      <c r="E9" s="167"/>
      <c r="F9" s="172" t="str">
        <f>IFERROR(IF(F7="Proprietary","Proprietary Fund",VLOOKUP(F5,[3]qryIndex02a!$A$2:$K$654,4,FALSE)),"Unidentified")</f>
        <v>TRANSPORTATION</v>
      </c>
      <c r="G9" s="172"/>
      <c r="H9" s="172"/>
      <c r="I9" s="172"/>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3" t="s">
        <v>17</v>
      </c>
      <c r="N14" s="174"/>
      <c r="O14" s="19"/>
      <c r="P14" s="173" t="s">
        <v>18</v>
      </c>
      <c r="Q14" s="174"/>
      <c r="R14" s="19"/>
      <c r="S14" s="29" t="s">
        <v>19</v>
      </c>
    </row>
    <row r="15" spans="1:19" ht="16.5" customHeight="1" x14ac:dyDescent="0.25">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v>0</v>
      </c>
      <c r="Q16" s="37"/>
      <c r="S16" s="38">
        <f t="shared" si="0"/>
        <v>0</v>
      </c>
    </row>
    <row r="17" spans="1:19" ht="16.5" customHeight="1" x14ac:dyDescent="0.25">
      <c r="A17" s="30" t="s">
        <v>20</v>
      </c>
      <c r="B17" s="31" t="s">
        <v>23</v>
      </c>
      <c r="C17" s="31"/>
      <c r="D17" s="31"/>
      <c r="E17" s="32"/>
      <c r="F17" s="33"/>
      <c r="G17" s="33"/>
      <c r="H17" s="34"/>
      <c r="I17" s="34"/>
      <c r="J17" s="35">
        <f>M17</f>
        <v>88282279</v>
      </c>
      <c r="M17" s="36">
        <v>88282279</v>
      </c>
      <c r="P17" s="36">
        <v>88282279</v>
      </c>
      <c r="Q17" s="37"/>
      <c r="S17" s="38">
        <f t="shared" si="0"/>
        <v>0</v>
      </c>
    </row>
    <row r="18" spans="1:19" ht="16.5" customHeight="1" x14ac:dyDescent="0.25">
      <c r="A18" s="39"/>
      <c r="B18" s="31" t="s">
        <v>24</v>
      </c>
      <c r="C18" s="31"/>
      <c r="D18" s="31"/>
      <c r="E18" s="32"/>
      <c r="F18" s="33"/>
      <c r="G18" s="33"/>
      <c r="H18" s="34"/>
      <c r="I18" s="34"/>
      <c r="J18" s="35">
        <f>P18</f>
        <v>295241</v>
      </c>
      <c r="M18" s="36">
        <v>361780</v>
      </c>
      <c r="P18" s="40">
        <f>IF(SUM($Q$21:$Q$23)&gt;SUM($P$15:$P$17),SUM($Q$21:$Q$23)-SUM($P$15:$P$17),0)</f>
        <v>295241</v>
      </c>
      <c r="Q18" s="37"/>
      <c r="S18" s="38">
        <f t="shared" si="0"/>
        <v>-66539</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v>0</v>
      </c>
      <c r="S20" s="38">
        <f t="shared" si="0"/>
        <v>0</v>
      </c>
    </row>
    <row r="21" spans="1:19" ht="16.5" customHeight="1" x14ac:dyDescent="0.25">
      <c r="A21" s="39"/>
      <c r="B21" s="31"/>
      <c r="C21" s="31" t="s">
        <v>27</v>
      </c>
      <c r="D21" s="31"/>
      <c r="E21" s="32"/>
      <c r="F21" s="33"/>
      <c r="G21" s="33"/>
      <c r="H21" s="34"/>
      <c r="I21" s="34"/>
      <c r="J21" s="41"/>
      <c r="K21" s="35">
        <f>N21</f>
        <v>0</v>
      </c>
      <c r="N21" s="36"/>
      <c r="P21" s="37"/>
      <c r="Q21" s="36">
        <v>0</v>
      </c>
      <c r="S21" s="38">
        <f>Q21-N21</f>
        <v>0</v>
      </c>
    </row>
    <row r="22" spans="1:19" ht="16.5" customHeight="1" x14ac:dyDescent="0.25">
      <c r="A22" s="39"/>
      <c r="B22" s="31"/>
      <c r="C22" s="31" t="s">
        <v>28</v>
      </c>
      <c r="D22" s="31"/>
      <c r="E22" s="32"/>
      <c r="F22" s="33"/>
      <c r="G22" s="33"/>
      <c r="H22" s="34"/>
      <c r="I22" s="34"/>
      <c r="J22" s="41"/>
      <c r="K22" s="35">
        <f>N22</f>
        <v>18684623</v>
      </c>
      <c r="N22" s="36">
        <v>18684623</v>
      </c>
      <c r="P22" s="37"/>
      <c r="Q22" s="36">
        <v>18684623</v>
      </c>
      <c r="S22" s="38">
        <f t="shared" ref="S22:S25" si="1">Q22-N22</f>
        <v>0</v>
      </c>
    </row>
    <row r="23" spans="1:19" ht="16.5" customHeight="1" x14ac:dyDescent="0.25">
      <c r="A23" s="42" t="s">
        <v>29</v>
      </c>
      <c r="B23" s="31"/>
      <c r="C23" s="31" t="s">
        <v>30</v>
      </c>
      <c r="D23" s="31"/>
      <c r="E23" s="32"/>
      <c r="F23" s="33"/>
      <c r="G23" s="33"/>
      <c r="H23" s="34"/>
      <c r="I23" s="34"/>
      <c r="J23" s="41"/>
      <c r="K23" s="35">
        <f>N23</f>
        <v>69892896</v>
      </c>
      <c r="N23" s="36">
        <v>69892896</v>
      </c>
      <c r="P23" s="37"/>
      <c r="Q23" s="36">
        <v>69892897</v>
      </c>
      <c r="S23" s="38">
        <f t="shared" si="1"/>
        <v>1</v>
      </c>
    </row>
    <row r="24" spans="1:19" ht="16.5" customHeight="1" x14ac:dyDescent="0.25">
      <c r="A24" s="39"/>
      <c r="B24" s="31"/>
      <c r="C24" s="31" t="s">
        <v>31</v>
      </c>
      <c r="D24" s="31"/>
      <c r="E24" s="32"/>
      <c r="F24" s="33"/>
      <c r="G24" s="33"/>
      <c r="H24" s="34"/>
      <c r="I24" s="34"/>
      <c r="J24" s="41"/>
      <c r="K24" s="35">
        <f>Q24</f>
        <v>0</v>
      </c>
      <c r="N24" s="36">
        <v>66540</v>
      </c>
      <c r="P24" s="37"/>
      <c r="Q24" s="40">
        <f>IF(SUM($Q$39:$Q$41)&lt;SUM($P$33:$P$35),-SUM($Q$39:$Q$41)+SUM($P$33:$P$35),0)</f>
        <v>0</v>
      </c>
      <c r="S24" s="38">
        <f t="shared" si="1"/>
        <v>-66540</v>
      </c>
    </row>
    <row r="25" spans="1:19" ht="16.5" customHeight="1" x14ac:dyDescent="0.25">
      <c r="A25" s="39"/>
      <c r="B25" s="31"/>
      <c r="C25" s="31" t="s">
        <v>32</v>
      </c>
      <c r="D25" s="31"/>
      <c r="E25" s="32"/>
      <c r="F25" s="33"/>
      <c r="G25" s="33"/>
      <c r="H25" s="34"/>
      <c r="I25" s="34"/>
      <c r="J25" s="41"/>
      <c r="K25" s="35">
        <f>IF(SUM($K$21:$K$24)&lt;SUM($J$15:$J$18),-SUM($K$21:$K$24)+SUM($J$15:$J$18),0)</f>
        <v>1</v>
      </c>
      <c r="N25" s="36"/>
      <c r="P25" s="37"/>
      <c r="Q25" s="37"/>
      <c r="S25" s="38">
        <f t="shared" si="1"/>
        <v>0</v>
      </c>
    </row>
    <row r="26" spans="1:19" ht="16.5" customHeight="1" x14ac:dyDescent="0.25">
      <c r="A26" s="39"/>
      <c r="C26" s="43"/>
      <c r="D26" s="43"/>
      <c r="E26" s="43"/>
      <c r="F26" s="44"/>
      <c r="G26" s="44"/>
      <c r="H26" s="45"/>
      <c r="I26" s="45"/>
      <c r="J26" s="46">
        <f>SUM(J15:J25)</f>
        <v>88577520</v>
      </c>
      <c r="K26" s="46">
        <f>SUM(K15:K25)</f>
        <v>88577520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4233406</v>
      </c>
      <c r="K33" s="54"/>
    </row>
    <row r="34" spans="1:12" ht="16.5" customHeight="1" x14ac:dyDescent="0.25">
      <c r="A34" s="39"/>
      <c r="B34" s="31"/>
      <c r="C34" s="31" t="s">
        <v>38</v>
      </c>
      <c r="D34" s="32"/>
      <c r="E34" s="32"/>
      <c r="F34" s="33"/>
      <c r="G34" s="33"/>
      <c r="H34" s="34"/>
      <c r="I34" s="34"/>
      <c r="J34" s="54"/>
      <c r="K34" s="36">
        <f>J33</f>
        <v>4233406</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row>
    <row r="36" spans="1:12" ht="16.5" customHeight="1" x14ac:dyDescent="0.25">
      <c r="A36" s="39"/>
      <c r="C36" s="26"/>
      <c r="D36" s="26"/>
      <c r="E36" s="26"/>
      <c r="F36" s="27"/>
      <c r="G36" s="27"/>
      <c r="H36" s="28"/>
      <c r="I36" s="28"/>
      <c r="J36" s="46">
        <f>SUM(J33:J35)</f>
        <v>4233406</v>
      </c>
      <c r="K36" s="46">
        <f>SUM(K33:K35)</f>
        <v>4233406</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f>K34</f>
        <v>4233406</v>
      </c>
      <c r="K41" s="54"/>
    </row>
    <row r="42" spans="1:12" ht="16.5" customHeight="1" x14ac:dyDescent="0.25">
      <c r="A42" s="39"/>
      <c r="B42" s="31"/>
      <c r="C42" s="31" t="s">
        <v>40</v>
      </c>
      <c r="D42" s="32"/>
      <c r="E42" s="32"/>
      <c r="F42" s="33"/>
      <c r="G42" s="33"/>
      <c r="H42" s="34"/>
      <c r="I42" s="34"/>
      <c r="J42" s="54"/>
      <c r="K42" s="36">
        <f>J41</f>
        <v>4233406</v>
      </c>
    </row>
    <row r="43" spans="1:12" ht="16.5" customHeight="1" x14ac:dyDescent="0.25">
      <c r="A43" s="39"/>
      <c r="B43" s="22" t="s">
        <v>41</v>
      </c>
      <c r="C43" s="26"/>
      <c r="D43" s="26"/>
      <c r="E43" s="26"/>
      <c r="F43" s="27"/>
      <c r="G43" s="27"/>
      <c r="H43" s="28"/>
      <c r="I43" s="28"/>
      <c r="J43" s="46">
        <f>SUM(J39:J42)</f>
        <v>4233406</v>
      </c>
      <c r="K43" s="46">
        <f>SUM(K39:K42)</f>
        <v>4233406</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f>K34</f>
        <v>4233406</v>
      </c>
      <c r="K47" s="54"/>
    </row>
    <row r="48" spans="1:12" ht="16.5" customHeight="1" x14ac:dyDescent="0.25">
      <c r="A48" s="42" t="s">
        <v>29</v>
      </c>
      <c r="B48" s="31"/>
      <c r="C48" s="31" t="s">
        <v>30</v>
      </c>
      <c r="D48" s="32"/>
      <c r="E48" s="32"/>
      <c r="F48" s="33"/>
      <c r="G48" s="33"/>
      <c r="H48" s="34"/>
      <c r="I48" s="34"/>
      <c r="J48" s="54"/>
      <c r="K48" s="36">
        <f>J47</f>
        <v>4233406</v>
      </c>
    </row>
    <row r="49" spans="1:16" ht="16.5" customHeight="1" x14ac:dyDescent="0.25">
      <c r="A49" s="39"/>
      <c r="C49" s="26"/>
      <c r="D49" s="26"/>
      <c r="E49" s="26"/>
      <c r="F49" s="27"/>
      <c r="G49" s="27"/>
      <c r="H49" s="28"/>
      <c r="I49" s="28"/>
      <c r="J49" s="46">
        <f>SUM(J47:J48)</f>
        <v>4233406</v>
      </c>
      <c r="K49" s="46">
        <f>SUM(K47:K48)</f>
        <v>4233406</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19679605</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19679605</v>
      </c>
    </row>
    <row r="59" spans="1:16" ht="16.5" customHeight="1" x14ac:dyDescent="0.25">
      <c r="A59" s="39"/>
      <c r="C59" s="26"/>
      <c r="D59" s="26"/>
      <c r="E59" s="26"/>
      <c r="F59" s="27"/>
      <c r="G59" s="27"/>
      <c r="H59" s="28"/>
      <c r="I59" s="28"/>
      <c r="J59" s="46">
        <f>SUM(J55:J58)</f>
        <v>19679605</v>
      </c>
      <c r="K59" s="46">
        <f>SUM(K55:K58)</f>
        <v>19679605</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19625300</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229547</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f>J62+J63</f>
        <v>19854847</v>
      </c>
    </row>
    <row r="65" spans="1:12" ht="16.5" customHeight="1" x14ac:dyDescent="0.25">
      <c r="A65" s="39"/>
      <c r="C65" s="26"/>
      <c r="D65" s="26"/>
      <c r="E65" s="26"/>
      <c r="F65" s="27"/>
      <c r="G65" s="27"/>
      <c r="H65" s="28"/>
      <c r="I65" s="28"/>
      <c r="J65" s="46">
        <f>SUM(J62:J64)</f>
        <v>19854847</v>
      </c>
      <c r="K65" s="46">
        <f>SUM(K62:K64)</f>
        <v>19854847</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f>J62</f>
        <v>19625300</v>
      </c>
      <c r="K68" s="54"/>
    </row>
    <row r="69" spans="1:12" ht="16.5" customHeight="1" x14ac:dyDescent="0.25">
      <c r="A69" s="39"/>
      <c r="B69" s="31"/>
      <c r="C69" s="31" t="s">
        <v>52</v>
      </c>
      <c r="D69" s="32"/>
      <c r="E69" s="32"/>
      <c r="F69" s="33"/>
      <c r="G69" s="33"/>
      <c r="H69" s="34"/>
      <c r="I69" s="34"/>
      <c r="J69" s="54"/>
      <c r="K69" s="36">
        <f>J68</f>
        <v>19625300</v>
      </c>
    </row>
    <row r="70" spans="1:12" ht="16.5" customHeight="1" x14ac:dyDescent="0.25">
      <c r="A70" s="39"/>
      <c r="C70" s="26"/>
      <c r="D70" s="26"/>
      <c r="E70" s="26"/>
      <c r="F70" s="27"/>
      <c r="G70" s="27"/>
      <c r="H70" s="28"/>
      <c r="I70" s="28"/>
      <c r="J70" s="46">
        <f>SUM(J68:J69)</f>
        <v>19625300</v>
      </c>
      <c r="K70" s="46">
        <f>SUM(K68:K69)</f>
        <v>19625300</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18982995</v>
      </c>
      <c r="K75" s="54"/>
    </row>
    <row r="76" spans="1:12" ht="16.5" customHeight="1" x14ac:dyDescent="0.25">
      <c r="A76" s="39"/>
      <c r="B76" s="31"/>
      <c r="C76" s="31" t="s">
        <v>55</v>
      </c>
      <c r="D76" s="32"/>
      <c r="E76" s="32"/>
      <c r="F76" s="33"/>
      <c r="G76" s="33"/>
      <c r="H76" s="34"/>
      <c r="I76" s="34"/>
      <c r="J76" s="54"/>
      <c r="K76" s="36">
        <f>J75</f>
        <v>18982995</v>
      </c>
    </row>
    <row r="77" spans="1:12" ht="16.5" customHeight="1" x14ac:dyDescent="0.2">
      <c r="A77" s="39"/>
      <c r="B77" s="175" t="s">
        <v>56</v>
      </c>
      <c r="C77" s="175"/>
      <c r="D77" s="175"/>
      <c r="E77" s="175"/>
      <c r="F77" s="175"/>
      <c r="G77" s="175"/>
      <c r="H77" s="175"/>
      <c r="I77" s="175"/>
      <c r="J77" s="46">
        <f>SUM(J75:J76)</f>
        <v>18982995</v>
      </c>
      <c r="K77" s="46">
        <f>SUM(K75:K76)</f>
        <v>18982995</v>
      </c>
      <c r="L77" s="47" t="str">
        <f>IF(J77=K77,"&lt;- Debits and Credits equal each other.","&lt;- Debits and Credits do not equal each other.")</f>
        <v>&lt;- Debits and Credits equal each other.</v>
      </c>
    </row>
    <row r="78" spans="1:12" ht="16.5" customHeight="1" x14ac:dyDescent="0.2">
      <c r="A78" s="39"/>
      <c r="B78" s="175"/>
      <c r="C78" s="175"/>
      <c r="D78" s="175"/>
      <c r="E78" s="175"/>
      <c r="F78" s="175"/>
      <c r="G78" s="175"/>
      <c r="H78" s="175"/>
      <c r="I78" s="175"/>
      <c r="J78" s="46"/>
      <c r="K78" s="46"/>
      <c r="L78" s="47"/>
    </row>
    <row r="79" spans="1:12" ht="24.6" customHeight="1" x14ac:dyDescent="0.2">
      <c r="A79" s="39"/>
      <c r="B79" s="175"/>
      <c r="C79" s="175"/>
      <c r="D79" s="175"/>
      <c r="E79" s="175"/>
      <c r="F79" s="175"/>
      <c r="G79" s="175"/>
      <c r="H79" s="175"/>
      <c r="I79" s="175"/>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999180.00000000012</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999180.00000000012</v>
      </c>
    </row>
    <row r="91" spans="1:16" ht="16.5" customHeight="1" x14ac:dyDescent="0.25">
      <c r="B91" s="22" t="s">
        <v>66</v>
      </c>
      <c r="H91" s="2"/>
      <c r="J91" s="62">
        <f>SUM(J85:J90)</f>
        <v>999180.00000000012</v>
      </c>
      <c r="K91" s="62">
        <f>SUM(K85:K90)</f>
        <v>999180.00000000012</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91516505</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-37365048</v>
      </c>
    </row>
    <row r="128" spans="1:12" ht="16.5" customHeight="1" x14ac:dyDescent="0.25">
      <c r="D128" s="32" t="s">
        <v>78</v>
      </c>
      <c r="H128" s="2"/>
      <c r="K128" s="76">
        <f>-K23-K48+J68+J75+J96-K113</f>
        <v>-35518007</v>
      </c>
    </row>
    <row r="129" spans="4:11" ht="16.5" customHeight="1" x14ac:dyDescent="0.25">
      <c r="D129" s="32" t="s">
        <v>79</v>
      </c>
      <c r="H129" s="2"/>
      <c r="K129" s="76">
        <f>-K76</f>
        <v>-18982995</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v689lmMkMJkbJ/YyVRaZgXg5bgN+U0G5t+De/Gb6vKHCVPRrHyAzt7iQU5+Bk1AHQt214XBWx+1ermrOEJoxtg==" saltValue="GDNm1HJQZy4b2Q/NyuW5i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29D0CAE-F892-4B64-945A-39B067E3489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BA313F3-82B6-4179-89E7-909AA3146E2D}">
      <formula1>0</formula1>
    </dataValidation>
    <dataValidation operator="lessThan" allowBlank="1" showInputMessage="1" showErrorMessage="1" sqref="A3:A8" xr:uid="{9CCFD9A9-DE30-49D1-9EF3-228FC4B8B2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CDC8-A486-4094-B223-FFAB21DEEC4C}">
  <sheetPr>
    <tabColor theme="9" tint="0.59999389629810485"/>
    <pageSetUpPr fitToPage="1"/>
  </sheetPr>
  <dimension ref="A1:S193"/>
  <sheetViews>
    <sheetView topLeftCell="A61" zoomScale="70" zoomScaleNormal="70" workbookViewId="0">
      <selection activeCell="J96" sqref="J96"/>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69" t="s">
        <v>0</v>
      </c>
      <c r="B1" s="169"/>
      <c r="C1" s="169"/>
      <c r="D1" s="169"/>
      <c r="E1" s="169"/>
      <c r="F1" s="169"/>
      <c r="G1" s="169"/>
      <c r="H1" s="169"/>
      <c r="I1" s="169"/>
      <c r="J1" s="169"/>
      <c r="K1" s="169"/>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7" t="s">
        <v>2</v>
      </c>
      <c r="B3" s="167"/>
      <c r="C3" s="167"/>
      <c r="D3" s="167"/>
      <c r="E3" s="167"/>
      <c r="F3" s="170" t="s">
        <v>3</v>
      </c>
      <c r="G3" s="170"/>
      <c r="H3" s="170"/>
      <c r="I3" s="170"/>
    </row>
    <row r="4" spans="1:19" ht="16.5" customHeight="1" x14ac:dyDescent="0.2">
      <c r="A4" s="167" t="s">
        <v>4</v>
      </c>
      <c r="B4" s="167"/>
      <c r="C4" s="167"/>
      <c r="D4" s="167"/>
      <c r="E4" s="167"/>
      <c r="F4" s="168" t="s">
        <v>5</v>
      </c>
      <c r="G4" s="168"/>
      <c r="H4" s="168"/>
      <c r="I4" s="168"/>
    </row>
    <row r="5" spans="1:19" ht="16.5" customHeight="1" x14ac:dyDescent="0.2">
      <c r="A5" s="167" t="s">
        <v>6</v>
      </c>
      <c r="B5" s="167"/>
      <c r="C5" s="167"/>
      <c r="D5" s="167"/>
      <c r="E5" s="167"/>
      <c r="F5" s="168" t="s">
        <v>7</v>
      </c>
      <c r="G5" s="168"/>
      <c r="H5" s="168"/>
      <c r="I5" s="168"/>
      <c r="L5" s="5"/>
      <c r="M5" s="5"/>
      <c r="N5" s="5"/>
      <c r="O5" s="5"/>
      <c r="P5" s="5"/>
      <c r="Q5" s="5"/>
    </row>
    <row r="6" spans="1:19" ht="16.5" customHeight="1" x14ac:dyDescent="0.25">
      <c r="A6" s="167" t="s">
        <v>8</v>
      </c>
      <c r="B6" s="167"/>
      <c r="C6" s="167"/>
      <c r="D6" s="167"/>
      <c r="E6" s="167"/>
      <c r="F6" s="171">
        <v>46</v>
      </c>
      <c r="G6" s="171"/>
      <c r="H6" s="171"/>
      <c r="I6" s="171"/>
      <c r="L6" s="6"/>
      <c r="M6" s="6"/>
      <c r="N6" s="6"/>
      <c r="O6" s="6"/>
      <c r="P6" s="5"/>
      <c r="Q6" s="5"/>
    </row>
    <row r="7" spans="1:19" ht="16.5" customHeight="1" x14ac:dyDescent="0.25">
      <c r="A7" s="167" t="s">
        <v>9</v>
      </c>
      <c r="B7" s="167"/>
      <c r="C7" s="167"/>
      <c r="D7" s="167"/>
      <c r="E7" s="167"/>
      <c r="F7" s="171" t="s">
        <v>10</v>
      </c>
      <c r="G7" s="171"/>
      <c r="H7" s="171"/>
      <c r="I7" s="171"/>
      <c r="K7" s="7"/>
      <c r="L7" s="6"/>
      <c r="M7" s="6"/>
      <c r="N7" s="6"/>
      <c r="O7" s="6"/>
      <c r="P7" s="5"/>
      <c r="Q7" s="5"/>
    </row>
    <row r="8" spans="1:19" ht="16.5" customHeight="1" x14ac:dyDescent="0.25">
      <c r="A8" s="167" t="s">
        <v>11</v>
      </c>
      <c r="B8" s="167"/>
      <c r="C8" s="167"/>
      <c r="D8" s="167"/>
      <c r="E8" s="167"/>
      <c r="F8" s="171" t="s">
        <v>12</v>
      </c>
      <c r="G8" s="171"/>
      <c r="H8" s="171"/>
      <c r="I8" s="171"/>
      <c r="K8" s="7"/>
      <c r="L8" s="6"/>
      <c r="M8" s="6"/>
      <c r="N8" s="6"/>
      <c r="O8" s="6"/>
      <c r="P8" s="5"/>
      <c r="Q8" s="5"/>
    </row>
    <row r="9" spans="1:19" ht="16.5" customHeight="1" x14ac:dyDescent="0.25">
      <c r="A9" s="167" t="s">
        <v>13</v>
      </c>
      <c r="B9" s="167"/>
      <c r="C9" s="167"/>
      <c r="D9" s="167"/>
      <c r="E9" s="167"/>
      <c r="F9" s="172" t="str">
        <f>IFERROR(IF(F7="Proprietary","Proprietary Fund",VLOOKUP(F5,[3]qryIndex02a!$A$2:$K$654,4,FALSE)),"Unidentified")</f>
        <v>TRANSPORTATION</v>
      </c>
      <c r="G9" s="172"/>
      <c r="H9" s="172"/>
      <c r="I9" s="172"/>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3" t="s">
        <v>17</v>
      </c>
      <c r="N14" s="174"/>
      <c r="O14" s="19"/>
      <c r="P14" s="173" t="s">
        <v>18</v>
      </c>
      <c r="Q14" s="174"/>
      <c r="R14" s="19"/>
      <c r="S14" s="29" t="s">
        <v>19</v>
      </c>
    </row>
    <row r="15" spans="1:19" ht="16.5" customHeight="1" x14ac:dyDescent="0.25">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v>0</v>
      </c>
      <c r="P16" s="36">
        <v>0</v>
      </c>
      <c r="Q16" s="37"/>
      <c r="S16" s="38">
        <f t="shared" si="0"/>
        <v>0</v>
      </c>
    </row>
    <row r="17" spans="1:19" ht="16.5" customHeight="1" x14ac:dyDescent="0.25">
      <c r="A17" s="30" t="s">
        <v>20</v>
      </c>
      <c r="B17" s="31" t="s">
        <v>23</v>
      </c>
      <c r="C17" s="31"/>
      <c r="D17" s="31"/>
      <c r="E17" s="32"/>
      <c r="F17" s="33"/>
      <c r="G17" s="33"/>
      <c r="H17" s="34"/>
      <c r="I17" s="34"/>
      <c r="J17" s="35">
        <f>M17</f>
        <v>0</v>
      </c>
      <c r="M17" s="36"/>
      <c r="P17" s="36">
        <v>0</v>
      </c>
      <c r="Q17" s="37"/>
      <c r="S17" s="38">
        <f t="shared" si="0"/>
        <v>0</v>
      </c>
    </row>
    <row r="18" spans="1:19" ht="16.5" customHeight="1" x14ac:dyDescent="0.25">
      <c r="A18" s="39"/>
      <c r="B18" s="31" t="s">
        <v>24</v>
      </c>
      <c r="C18" s="31"/>
      <c r="D18" s="31"/>
      <c r="E18" s="32"/>
      <c r="F18" s="33"/>
      <c r="G18" s="33"/>
      <c r="H18" s="34"/>
      <c r="I18" s="34"/>
      <c r="J18" s="35">
        <f>P18</f>
        <v>0</v>
      </c>
      <c r="M18" s="36">
        <v>0</v>
      </c>
      <c r="P18" s="40">
        <f>IF(SUM($Q$21:$Q$23)&gt;SUM($P$15:$P$17),SUM($Q$21:$Q$23)-SUM($P$15:$P$17),0)</f>
        <v>0</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v>0</v>
      </c>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v>0</v>
      </c>
      <c r="S20" s="38">
        <f t="shared" si="0"/>
        <v>0</v>
      </c>
    </row>
    <row r="21" spans="1:19" ht="16.5" customHeight="1" x14ac:dyDescent="0.25">
      <c r="A21" s="39"/>
      <c r="B21" s="31"/>
      <c r="C21" s="31" t="s">
        <v>27</v>
      </c>
      <c r="D21" s="31"/>
      <c r="E21" s="32"/>
      <c r="F21" s="33"/>
      <c r="G21" s="33"/>
      <c r="H21" s="34"/>
      <c r="I21" s="34"/>
      <c r="J21" s="41"/>
      <c r="K21" s="35">
        <f>N21</f>
        <v>0</v>
      </c>
      <c r="N21" s="36">
        <v>0</v>
      </c>
      <c r="P21" s="37"/>
      <c r="Q21" s="36">
        <v>0</v>
      </c>
      <c r="S21" s="38">
        <f>Q21-N21</f>
        <v>0</v>
      </c>
    </row>
    <row r="22" spans="1:19" ht="16.5" customHeight="1" x14ac:dyDescent="0.25">
      <c r="A22" s="39"/>
      <c r="B22" s="31"/>
      <c r="C22" s="31" t="s">
        <v>28</v>
      </c>
      <c r="D22" s="31"/>
      <c r="E22" s="32"/>
      <c r="F22" s="33"/>
      <c r="G22" s="33"/>
      <c r="H22" s="34"/>
      <c r="I22" s="34"/>
      <c r="J22" s="41"/>
      <c r="K22" s="35">
        <f>N22</f>
        <v>0</v>
      </c>
      <c r="N22" s="36"/>
      <c r="P22" s="37"/>
      <c r="Q22" s="36">
        <v>0</v>
      </c>
      <c r="S22" s="38">
        <f t="shared" ref="S22:S25" si="1">Q22-N22</f>
        <v>0</v>
      </c>
    </row>
    <row r="23" spans="1:19" ht="16.5" customHeight="1" x14ac:dyDescent="0.25">
      <c r="A23" s="42" t="s">
        <v>29</v>
      </c>
      <c r="B23" s="31"/>
      <c r="C23" s="31" t="s">
        <v>30</v>
      </c>
      <c r="D23" s="31"/>
      <c r="E23" s="32"/>
      <c r="F23" s="33"/>
      <c r="G23" s="33"/>
      <c r="H23" s="34"/>
      <c r="I23" s="34"/>
      <c r="J23" s="41"/>
      <c r="K23" s="35">
        <f>N23</f>
        <v>0</v>
      </c>
      <c r="N23" s="36">
        <v>0</v>
      </c>
      <c r="P23" s="37"/>
      <c r="Q23" s="36">
        <v>0</v>
      </c>
      <c r="S23" s="38">
        <f t="shared" si="1"/>
        <v>0</v>
      </c>
    </row>
    <row r="24" spans="1:19" ht="16.5" customHeight="1" x14ac:dyDescent="0.25">
      <c r="A24" s="39"/>
      <c r="B24" s="31"/>
      <c r="C24" s="31" t="s">
        <v>31</v>
      </c>
      <c r="D24" s="31"/>
      <c r="E24" s="32"/>
      <c r="F24" s="33"/>
      <c r="G24" s="33"/>
      <c r="H24" s="34"/>
      <c r="I24" s="34"/>
      <c r="J24" s="41"/>
      <c r="K24" s="35">
        <f>Q24</f>
        <v>0</v>
      </c>
      <c r="N24" s="36">
        <v>0</v>
      </c>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v>0</v>
      </c>
      <c r="P25" s="37"/>
      <c r="Q25" s="37"/>
      <c r="S25" s="38">
        <f t="shared" si="1"/>
        <v>0</v>
      </c>
    </row>
    <row r="26" spans="1:19" ht="16.5" customHeight="1" x14ac:dyDescent="0.25">
      <c r="A26" s="39"/>
      <c r="C26" s="43"/>
      <c r="D26" s="43"/>
      <c r="E26" s="43"/>
      <c r="F26" s="44"/>
      <c r="G26" s="44"/>
      <c r="H26" s="45"/>
      <c r="I26" s="45"/>
      <c r="J26" s="46">
        <f>SUM(J15:J25)</f>
        <v>0</v>
      </c>
      <c r="K26" s="46">
        <f>SUM(K15:K25)</f>
        <v>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17089708</v>
      </c>
      <c r="K33" s="54"/>
    </row>
    <row r="34" spans="1:12" ht="16.5" customHeight="1" x14ac:dyDescent="0.25">
      <c r="A34" s="39"/>
      <c r="B34" s="31"/>
      <c r="C34" s="31" t="s">
        <v>38</v>
      </c>
      <c r="D34" s="32"/>
      <c r="E34" s="32"/>
      <c r="F34" s="33"/>
      <c r="G34" s="33"/>
      <c r="H34" s="34"/>
      <c r="I34" s="34"/>
      <c r="J34" s="54"/>
      <c r="K34" s="36">
        <f>J33</f>
        <v>17089708</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row>
    <row r="36" spans="1:12" ht="16.5" customHeight="1" x14ac:dyDescent="0.25">
      <c r="A36" s="39"/>
      <c r="C36" s="26"/>
      <c r="D36" s="26"/>
      <c r="E36" s="26"/>
      <c r="F36" s="27"/>
      <c r="G36" s="27"/>
      <c r="H36" s="28"/>
      <c r="I36" s="28"/>
      <c r="J36" s="46">
        <f>SUM(J33:J35)</f>
        <v>17089708</v>
      </c>
      <c r="K36" s="46">
        <f>SUM(K33:K35)</f>
        <v>17089708</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f>K42</f>
        <v>17089708</v>
      </c>
      <c r="K40" s="54"/>
    </row>
    <row r="41" spans="1:12" ht="16.5" customHeight="1" x14ac:dyDescent="0.25">
      <c r="A41" s="30" t="s">
        <v>20</v>
      </c>
      <c r="B41" s="31" t="s">
        <v>23</v>
      </c>
      <c r="C41" s="31"/>
      <c r="D41" s="32"/>
      <c r="E41" s="32"/>
      <c r="F41" s="33"/>
      <c r="G41" s="33"/>
      <c r="H41" s="34"/>
      <c r="I41" s="34"/>
      <c r="J41" s="36"/>
      <c r="K41" s="54"/>
    </row>
    <row r="42" spans="1:12" ht="16.5" customHeight="1" x14ac:dyDescent="0.25">
      <c r="A42" s="39"/>
      <c r="B42" s="31"/>
      <c r="C42" s="31" t="s">
        <v>40</v>
      </c>
      <c r="D42" s="32"/>
      <c r="E42" s="32"/>
      <c r="F42" s="33"/>
      <c r="G42" s="33"/>
      <c r="H42" s="34"/>
      <c r="I42" s="34"/>
      <c r="J42" s="54"/>
      <c r="K42" s="36">
        <f>J33</f>
        <v>17089708</v>
      </c>
    </row>
    <row r="43" spans="1:12" ht="16.5" customHeight="1" x14ac:dyDescent="0.25">
      <c r="A43" s="39"/>
      <c r="B43" s="22" t="s">
        <v>41</v>
      </c>
      <c r="C43" s="26"/>
      <c r="D43" s="26"/>
      <c r="E43" s="26"/>
      <c r="F43" s="27"/>
      <c r="G43" s="27"/>
      <c r="H43" s="28"/>
      <c r="I43" s="28"/>
      <c r="J43" s="46">
        <f>SUM(J39:J42)</f>
        <v>17089708</v>
      </c>
      <c r="K43" s="46">
        <f>SUM(K39:K42)</f>
        <v>17089708</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f>K34</f>
        <v>17089708</v>
      </c>
      <c r="K47" s="54"/>
    </row>
    <row r="48" spans="1:12" ht="16.5" customHeight="1" x14ac:dyDescent="0.25">
      <c r="A48" s="42" t="s">
        <v>29</v>
      </c>
      <c r="B48" s="31"/>
      <c r="C48" s="31" t="s">
        <v>30</v>
      </c>
      <c r="D48" s="32"/>
      <c r="E48" s="32"/>
      <c r="F48" s="33"/>
      <c r="G48" s="33"/>
      <c r="H48" s="34"/>
      <c r="I48" s="34"/>
      <c r="J48" s="54"/>
      <c r="K48" s="36">
        <f>J47</f>
        <v>17089708</v>
      </c>
    </row>
    <row r="49" spans="1:16" ht="16.5" customHeight="1" x14ac:dyDescent="0.25">
      <c r="A49" s="39"/>
      <c r="C49" s="26"/>
      <c r="D49" s="26"/>
      <c r="E49" s="26"/>
      <c r="F49" s="27"/>
      <c r="G49" s="27"/>
      <c r="H49" s="28"/>
      <c r="I49" s="28"/>
      <c r="J49" s="46">
        <f>SUM(J47:J48)</f>
        <v>17089708</v>
      </c>
      <c r="K49" s="46">
        <f>SUM(K47:K48)</f>
        <v>17089708</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2010554</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f>J55</f>
        <v>2010554</v>
      </c>
    </row>
    <row r="58" spans="1:16" ht="16.5" customHeight="1" x14ac:dyDescent="0.25">
      <c r="A58" s="39"/>
      <c r="B58" s="31"/>
      <c r="C58" s="31" t="s">
        <v>28</v>
      </c>
      <c r="D58" s="32"/>
      <c r="E58" s="32"/>
      <c r="F58" s="33"/>
      <c r="G58" s="33"/>
      <c r="H58" s="34"/>
      <c r="I58" s="34"/>
      <c r="J58" s="54"/>
      <c r="K58" s="36"/>
    </row>
    <row r="59" spans="1:16" ht="16.5" customHeight="1" x14ac:dyDescent="0.25">
      <c r="A59" s="39"/>
      <c r="C59" s="26"/>
      <c r="D59" s="26"/>
      <c r="E59" s="26"/>
      <c r="F59" s="27"/>
      <c r="G59" s="27"/>
      <c r="H59" s="28"/>
      <c r="I59" s="28"/>
      <c r="J59" s="46">
        <f>SUM(J55:J58)</f>
        <v>2010554</v>
      </c>
      <c r="K59" s="46">
        <f>SUM(K55:K58)</f>
        <v>2010554</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2010555</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3217</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f>J62+J63</f>
        <v>2013772</v>
      </c>
    </row>
    <row r="65" spans="1:12" ht="16.5" customHeight="1" x14ac:dyDescent="0.25">
      <c r="A65" s="39"/>
      <c r="C65" s="26"/>
      <c r="D65" s="26"/>
      <c r="E65" s="26"/>
      <c r="F65" s="27"/>
      <c r="G65" s="27"/>
      <c r="H65" s="28"/>
      <c r="I65" s="28"/>
      <c r="J65" s="46">
        <f>SUM(J62:J64)</f>
        <v>2013772</v>
      </c>
      <c r="K65" s="46">
        <f>SUM(K62:K64)</f>
        <v>2013772</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f>J62</f>
        <v>2010555</v>
      </c>
      <c r="K68" s="54"/>
    </row>
    <row r="69" spans="1:12" ht="16.5" customHeight="1" x14ac:dyDescent="0.25">
      <c r="A69" s="39"/>
      <c r="B69" s="31"/>
      <c r="C69" s="31" t="s">
        <v>52</v>
      </c>
      <c r="D69" s="32"/>
      <c r="E69" s="32"/>
      <c r="F69" s="33"/>
      <c r="G69" s="33"/>
      <c r="H69" s="34"/>
      <c r="I69" s="34"/>
      <c r="J69" s="54"/>
      <c r="K69" s="36">
        <f>J68</f>
        <v>2010555</v>
      </c>
    </row>
    <row r="70" spans="1:12" ht="16.5" customHeight="1" x14ac:dyDescent="0.25">
      <c r="A70" s="39"/>
      <c r="C70" s="26"/>
      <c r="D70" s="26"/>
      <c r="E70" s="26"/>
      <c r="F70" s="27"/>
      <c r="G70" s="27"/>
      <c r="H70" s="28"/>
      <c r="I70" s="28"/>
      <c r="J70" s="46">
        <f>SUM(J68:J69)</f>
        <v>2010555</v>
      </c>
      <c r="K70" s="46">
        <f>SUM(K68:K69)</f>
        <v>2010555</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12059702</v>
      </c>
      <c r="K75" s="54"/>
    </row>
    <row r="76" spans="1:12" ht="16.5" customHeight="1" x14ac:dyDescent="0.25">
      <c r="A76" s="39"/>
      <c r="B76" s="31"/>
      <c r="C76" s="31" t="s">
        <v>55</v>
      </c>
      <c r="D76" s="32"/>
      <c r="E76" s="32"/>
      <c r="F76" s="33"/>
      <c r="G76" s="33"/>
      <c r="H76" s="34"/>
      <c r="I76" s="34"/>
      <c r="J76" s="54"/>
      <c r="K76" s="36">
        <f>J75</f>
        <v>12059702</v>
      </c>
    </row>
    <row r="77" spans="1:12" ht="16.5" customHeight="1" x14ac:dyDescent="0.2">
      <c r="A77" s="39"/>
      <c r="B77" s="175" t="s">
        <v>56</v>
      </c>
      <c r="C77" s="175"/>
      <c r="D77" s="175"/>
      <c r="E77" s="175"/>
      <c r="F77" s="175"/>
      <c r="G77" s="175"/>
      <c r="H77" s="175"/>
      <c r="I77" s="175"/>
      <c r="J77" s="46">
        <f>SUM(J75:J76)</f>
        <v>12059702</v>
      </c>
      <c r="K77" s="46">
        <f>SUM(K75:K76)</f>
        <v>12059702</v>
      </c>
      <c r="L77" s="47" t="str">
        <f>IF(J77=K77,"&lt;- Debits and Credits equal each other.","&lt;- Debits and Credits do not equal each other.")</f>
        <v>&lt;- Debits and Credits equal each other.</v>
      </c>
    </row>
    <row r="78" spans="1:12" ht="16.5" customHeight="1" x14ac:dyDescent="0.2">
      <c r="A78" s="39"/>
      <c r="B78" s="175"/>
      <c r="C78" s="175"/>
      <c r="D78" s="175"/>
      <c r="E78" s="175"/>
      <c r="F78" s="175"/>
      <c r="G78" s="175"/>
      <c r="H78" s="175"/>
      <c r="I78" s="175"/>
      <c r="J78" s="46"/>
      <c r="K78" s="46"/>
      <c r="L78" s="47"/>
    </row>
    <row r="79" spans="1:12" ht="24.6" customHeight="1" x14ac:dyDescent="0.2">
      <c r="A79" s="39"/>
      <c r="B79" s="175"/>
      <c r="C79" s="175"/>
      <c r="D79" s="175"/>
      <c r="E79" s="175"/>
      <c r="F79" s="175"/>
      <c r="G79" s="175"/>
      <c r="H79" s="175"/>
      <c r="I79" s="175"/>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v>0</v>
      </c>
      <c r="K86" s="61"/>
    </row>
    <row r="87" spans="1:16" ht="16.5" customHeight="1" x14ac:dyDescent="0.2">
      <c r="A87" s="39"/>
      <c r="B87" s="31" t="s">
        <v>62</v>
      </c>
      <c r="C87" s="56"/>
      <c r="D87" s="56"/>
      <c r="E87" s="56"/>
      <c r="F87" s="56"/>
      <c r="G87" s="56"/>
      <c r="H87" s="56"/>
      <c r="I87" s="56"/>
      <c r="J87" s="36"/>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v>0</v>
      </c>
    </row>
    <row r="90" spans="1:16" ht="16.5" customHeight="1" x14ac:dyDescent="0.2">
      <c r="A90" s="30" t="s">
        <v>20</v>
      </c>
      <c r="B90" s="56"/>
      <c r="C90" s="31" t="s">
        <v>65</v>
      </c>
      <c r="D90" s="56"/>
      <c r="E90" s="56"/>
      <c r="F90" s="56"/>
      <c r="G90" s="56"/>
      <c r="H90" s="56"/>
      <c r="I90" s="56"/>
      <c r="J90" s="61"/>
      <c r="K90" s="36"/>
    </row>
    <row r="91" spans="1:16" ht="16.5" customHeight="1" x14ac:dyDescent="0.25">
      <c r="B91" s="22" t="s">
        <v>66</v>
      </c>
      <c r="H91" s="2"/>
      <c r="J91" s="62">
        <f>SUM(J85:J90)</f>
        <v>0</v>
      </c>
      <c r="K91" s="62">
        <f>SUM(K85:K90)</f>
        <v>0</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17089708</v>
      </c>
    </row>
    <row r="124" spans="1:12" ht="16.5" customHeight="1" x14ac:dyDescent="0.25">
      <c r="D124" s="32" t="s">
        <v>74</v>
      </c>
      <c r="H124" s="2"/>
      <c r="K124" s="76">
        <f>J17+J41-K90-K103+J112</f>
        <v>0</v>
      </c>
    </row>
    <row r="125" spans="1:12" ht="16.5" customHeight="1" x14ac:dyDescent="0.25">
      <c r="D125" s="32" t="s">
        <v>75</v>
      </c>
      <c r="H125" s="2"/>
      <c r="K125" s="76">
        <f>-K20-K56+J85+J97</f>
        <v>0</v>
      </c>
    </row>
    <row r="126" spans="1:12" ht="16.5" customHeight="1" x14ac:dyDescent="0.25">
      <c r="D126" s="32" t="s">
        <v>76</v>
      </c>
      <c r="H126" s="2"/>
      <c r="K126" s="76">
        <f>-K21-K57+J86+J98</f>
        <v>-2010554</v>
      </c>
    </row>
    <row r="127" spans="1:12" ht="16.5" customHeight="1" x14ac:dyDescent="0.25">
      <c r="D127" s="32" t="s">
        <v>77</v>
      </c>
      <c r="H127" s="2"/>
      <c r="K127" s="76">
        <f>-K22-K58+J87+J99</f>
        <v>0</v>
      </c>
    </row>
    <row r="128" spans="1:12" ht="16.5" customHeight="1" x14ac:dyDescent="0.25">
      <c r="D128" s="32" t="s">
        <v>78</v>
      </c>
      <c r="H128" s="2"/>
      <c r="K128" s="76">
        <f>-K23-K48+J68+J75+J96-K113</f>
        <v>-3019451</v>
      </c>
    </row>
    <row r="129" spans="4:11" ht="16.5" customHeight="1" x14ac:dyDescent="0.25">
      <c r="D129" s="32" t="s">
        <v>79</v>
      </c>
      <c r="H129" s="2"/>
      <c r="K129" s="76">
        <f>-K76</f>
        <v>-12059702</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jHHVO3ACkKu4UgtTSo1FrW68FSKFozPSff+iARrCKJ33vnoLvEkEInoBGhBVqspIHeA2fx+W6UbeHju1PYfMNw==" saltValue="mxd7AR/xrkY+EIZYJ5OA7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64F9B6D6-A796-461E-ACEC-E3A99190F4F1}"/>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677D9BC-6C4F-481B-8593-A72E91B527FA}">
      <formula1>0</formula1>
    </dataValidation>
    <dataValidation type="textLength" operator="equal" allowBlank="1" showInputMessage="1" showErrorMessage="1" errorTitle="4-Digit Org Code" error="Enter the Org Code/BU as 4 digits." sqref="F5" xr:uid="{2FD11D75-84C6-45B1-AF41-59D1123C2314}">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A177-543A-442B-BB5D-5FC0815B2927}">
  <sheetPr>
    <tabColor theme="9" tint="0.59999389629810485"/>
    <pageSetUpPr fitToPage="1"/>
  </sheetPr>
  <dimension ref="A1:S193"/>
  <sheetViews>
    <sheetView zoomScale="60" zoomScaleNormal="60" workbookViewId="0">
      <selection activeCell="K91" sqref="K91"/>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69" t="s">
        <v>0</v>
      </c>
      <c r="B1" s="169"/>
      <c r="C1" s="169"/>
      <c r="D1" s="169"/>
      <c r="E1" s="169"/>
      <c r="F1" s="169"/>
      <c r="G1" s="169"/>
      <c r="H1" s="169"/>
      <c r="I1" s="169"/>
      <c r="J1" s="169"/>
      <c r="K1" s="169"/>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7" t="s">
        <v>2</v>
      </c>
      <c r="B3" s="167"/>
      <c r="C3" s="167"/>
      <c r="D3" s="167"/>
      <c r="E3" s="167"/>
      <c r="F3" s="170" t="s">
        <v>3</v>
      </c>
      <c r="G3" s="170"/>
      <c r="H3" s="170"/>
      <c r="I3" s="170"/>
    </row>
    <row r="4" spans="1:19" ht="16.5" customHeight="1" x14ac:dyDescent="0.2">
      <c r="A4" s="167" t="s">
        <v>4</v>
      </c>
      <c r="B4" s="167"/>
      <c r="C4" s="167"/>
      <c r="D4" s="167"/>
      <c r="E4" s="167"/>
      <c r="F4" s="168" t="s">
        <v>5</v>
      </c>
      <c r="G4" s="168"/>
      <c r="H4" s="168"/>
      <c r="I4" s="168"/>
    </row>
    <row r="5" spans="1:19" ht="16.5" customHeight="1" x14ac:dyDescent="0.2">
      <c r="A5" s="167" t="s">
        <v>6</v>
      </c>
      <c r="B5" s="167"/>
      <c r="C5" s="167"/>
      <c r="D5" s="167"/>
      <c r="E5" s="167"/>
      <c r="F5" s="168" t="s">
        <v>7</v>
      </c>
      <c r="G5" s="168"/>
      <c r="H5" s="168"/>
      <c r="I5" s="168"/>
      <c r="L5" s="5"/>
      <c r="M5" s="5"/>
      <c r="N5" s="5"/>
      <c r="O5" s="5"/>
      <c r="P5" s="5"/>
      <c r="Q5" s="5"/>
    </row>
    <row r="6" spans="1:19" ht="16.5" customHeight="1" x14ac:dyDescent="0.25">
      <c r="A6" s="167" t="s">
        <v>8</v>
      </c>
      <c r="B6" s="167"/>
      <c r="C6" s="167"/>
      <c r="D6" s="167"/>
      <c r="E6" s="167"/>
      <c r="F6" s="171">
        <v>3290</v>
      </c>
      <c r="G6" s="171"/>
      <c r="H6" s="171"/>
      <c r="I6" s="171"/>
      <c r="L6" s="6"/>
      <c r="M6" s="6"/>
      <c r="N6" s="6"/>
      <c r="O6" s="6"/>
      <c r="P6" s="5"/>
      <c r="Q6" s="5"/>
    </row>
    <row r="7" spans="1:19" ht="16.5" customHeight="1" x14ac:dyDescent="0.25">
      <c r="A7" s="167" t="s">
        <v>9</v>
      </c>
      <c r="B7" s="167"/>
      <c r="C7" s="167"/>
      <c r="D7" s="167"/>
      <c r="E7" s="167"/>
      <c r="F7" s="171" t="s">
        <v>10</v>
      </c>
      <c r="G7" s="171"/>
      <c r="H7" s="171"/>
      <c r="I7" s="171"/>
      <c r="K7" s="7"/>
      <c r="L7" s="6"/>
      <c r="M7" s="6"/>
      <c r="N7" s="6"/>
      <c r="O7" s="6"/>
      <c r="P7" s="5"/>
      <c r="Q7" s="5"/>
    </row>
    <row r="8" spans="1:19" ht="16.5" customHeight="1" x14ac:dyDescent="0.25">
      <c r="A8" s="167" t="s">
        <v>11</v>
      </c>
      <c r="B8" s="167"/>
      <c r="C8" s="167"/>
      <c r="D8" s="167"/>
      <c r="E8" s="167"/>
      <c r="F8" s="171" t="s">
        <v>12</v>
      </c>
      <c r="G8" s="171"/>
      <c r="H8" s="171"/>
      <c r="I8" s="171"/>
      <c r="K8" s="7"/>
      <c r="L8" s="6"/>
      <c r="M8" s="6"/>
      <c r="N8" s="6"/>
      <c r="O8" s="6"/>
      <c r="P8" s="5"/>
      <c r="Q8" s="5"/>
    </row>
    <row r="9" spans="1:19" ht="16.5" customHeight="1" x14ac:dyDescent="0.25">
      <c r="A9" s="167" t="s">
        <v>13</v>
      </c>
      <c r="B9" s="167"/>
      <c r="C9" s="167"/>
      <c r="D9" s="167"/>
      <c r="E9" s="167"/>
      <c r="F9" s="172" t="str">
        <f>IFERROR(IF(F7="Proprietary","Proprietary Fund",VLOOKUP(F5,[3]qryIndex02a!$A$2:$K$654,4,FALSE)),"Unidentified")</f>
        <v>TRANSPORTATION</v>
      </c>
      <c r="G9" s="172"/>
      <c r="H9" s="172"/>
      <c r="I9" s="172"/>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3" t="s">
        <v>17</v>
      </c>
      <c r="N14" s="174"/>
      <c r="O14" s="19"/>
      <c r="P14" s="173" t="s">
        <v>18</v>
      </c>
      <c r="Q14" s="174"/>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4195765</v>
      </c>
      <c r="M17" s="36">
        <v>4195765</v>
      </c>
      <c r="P17" s="36">
        <v>3763842</v>
      </c>
      <c r="Q17" s="37"/>
      <c r="S17" s="38">
        <f t="shared" si="0"/>
        <v>-431923</v>
      </c>
    </row>
    <row r="18" spans="1:19" ht="16.5" customHeight="1" x14ac:dyDescent="0.25">
      <c r="A18" s="39"/>
      <c r="B18" s="31" t="s">
        <v>24</v>
      </c>
      <c r="C18" s="31"/>
      <c r="D18" s="31"/>
      <c r="E18" s="32"/>
      <c r="F18" s="33"/>
      <c r="G18" s="33"/>
      <c r="H18" s="34"/>
      <c r="I18" s="34"/>
      <c r="J18" s="35">
        <f>P18</f>
        <v>17601</v>
      </c>
      <c r="M18" s="36">
        <v>17601</v>
      </c>
      <c r="P18" s="40">
        <f>IF(SUM($Q$21:$Q$23)&gt;SUM($P$15:$P$17),SUM($Q$21:$Q$23)-SUM($P$15:$P$17),0)</f>
        <v>17601</v>
      </c>
      <c r="Q18" s="37"/>
      <c r="S18" s="38">
        <f t="shared" si="0"/>
        <v>0</v>
      </c>
    </row>
    <row r="19" spans="1:19" ht="16.5" customHeight="1" x14ac:dyDescent="0.25">
      <c r="A19" s="39"/>
      <c r="B19" s="31" t="s">
        <v>25</v>
      </c>
      <c r="C19" s="31"/>
      <c r="D19" s="31"/>
      <c r="E19" s="32"/>
      <c r="F19" s="33"/>
      <c r="G19" s="33"/>
      <c r="H19" s="34"/>
      <c r="I19" s="34"/>
      <c r="J19" s="35">
        <f>IF(SUM($K$21:$K$24)&gt;SUM($J$15:$J$18),SUM($K$21:$K$24)-SUM($J$15:$J$18),0)</f>
        <v>296</v>
      </c>
      <c r="M19" s="36">
        <v>295</v>
      </c>
      <c r="P19" s="37"/>
      <c r="Q19" s="37"/>
      <c r="S19" s="38">
        <f t="shared" si="0"/>
        <v>-295</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1187192</v>
      </c>
      <c r="N22" s="36">
        <v>1187192</v>
      </c>
      <c r="P22" s="37"/>
      <c r="Q22" s="36">
        <v>1050795</v>
      </c>
      <c r="S22" s="38">
        <f t="shared" ref="S22:S25" si="1">Q22-N22</f>
        <v>-136397</v>
      </c>
    </row>
    <row r="23" spans="1:19" ht="16.5" customHeight="1" x14ac:dyDescent="0.25">
      <c r="A23" s="42" t="s">
        <v>29</v>
      </c>
      <c r="B23" s="31"/>
      <c r="C23" s="31" t="s">
        <v>30</v>
      </c>
      <c r="D23" s="31"/>
      <c r="E23" s="32"/>
      <c r="F23" s="33"/>
      <c r="G23" s="33"/>
      <c r="H23" s="34"/>
      <c r="I23" s="34"/>
      <c r="J23" s="41"/>
      <c r="K23" s="35">
        <f>N23</f>
        <v>3026470</v>
      </c>
      <c r="N23" s="36">
        <v>3026470</v>
      </c>
      <c r="P23" s="37"/>
      <c r="Q23" s="36">
        <v>2730648</v>
      </c>
      <c r="S23" s="38">
        <f t="shared" si="1"/>
        <v>-295822</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25">
      <c r="A26" s="39"/>
      <c r="C26" s="43"/>
      <c r="D26" s="43"/>
      <c r="E26" s="43"/>
      <c r="F26" s="44"/>
      <c r="G26" s="44"/>
      <c r="H26" s="45"/>
      <c r="I26" s="45"/>
      <c r="J26" s="46">
        <f>SUM(J15:J25)</f>
        <v>4213662</v>
      </c>
      <c r="K26" s="46">
        <f>SUM(K15:K25)</f>
        <v>4213662</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5740523</v>
      </c>
      <c r="K33" s="54"/>
    </row>
    <row r="34" spans="1:12" ht="16.5" customHeight="1" x14ac:dyDescent="0.25">
      <c r="A34" s="39"/>
      <c r="B34" s="31"/>
      <c r="C34" s="31" t="s">
        <v>38</v>
      </c>
      <c r="D34" s="32"/>
      <c r="E34" s="32"/>
      <c r="F34" s="33"/>
      <c r="G34" s="33"/>
      <c r="H34" s="34"/>
      <c r="I34" s="34"/>
      <c r="J34" s="54"/>
      <c r="K34" s="36">
        <f>J33</f>
        <v>5740523</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row>
    <row r="36" spans="1:12" ht="16.5" customHeight="1" x14ac:dyDescent="0.25">
      <c r="A36" s="39"/>
      <c r="C36" s="26"/>
      <c r="D36" s="26"/>
      <c r="E36" s="26"/>
      <c r="F36" s="27"/>
      <c r="G36" s="27"/>
      <c r="H36" s="28"/>
      <c r="I36" s="28"/>
      <c r="J36" s="46">
        <f>SUM(J33:J35)</f>
        <v>5740523</v>
      </c>
      <c r="K36" s="46">
        <f>SUM(K33:K35)</f>
        <v>5740523</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f>K34</f>
        <v>5740523</v>
      </c>
      <c r="K41" s="54"/>
    </row>
    <row r="42" spans="1:12" ht="16.5" customHeight="1" x14ac:dyDescent="0.25">
      <c r="A42" s="39"/>
      <c r="B42" s="31"/>
      <c r="C42" s="31" t="s">
        <v>40</v>
      </c>
      <c r="D42" s="32"/>
      <c r="E42" s="32"/>
      <c r="F42" s="33"/>
      <c r="G42" s="33"/>
      <c r="H42" s="34"/>
      <c r="I42" s="34"/>
      <c r="J42" s="54"/>
      <c r="K42" s="36">
        <f>J41</f>
        <v>5740523</v>
      </c>
    </row>
    <row r="43" spans="1:12" ht="16.5" customHeight="1" x14ac:dyDescent="0.25">
      <c r="A43" s="39"/>
      <c r="B43" s="22" t="s">
        <v>41</v>
      </c>
      <c r="C43" s="26"/>
      <c r="D43" s="26"/>
      <c r="E43" s="26"/>
      <c r="F43" s="27"/>
      <c r="G43" s="27"/>
      <c r="H43" s="28"/>
      <c r="I43" s="28"/>
      <c r="J43" s="46">
        <f>SUM(J39:J42)</f>
        <v>5740523</v>
      </c>
      <c r="K43" s="46">
        <f>SUM(K39:K42)</f>
        <v>5740523</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f>K34</f>
        <v>5740523</v>
      </c>
      <c r="K47" s="54"/>
    </row>
    <row r="48" spans="1:12" ht="16.5" customHeight="1" x14ac:dyDescent="0.25">
      <c r="A48" s="42" t="s">
        <v>29</v>
      </c>
      <c r="B48" s="31"/>
      <c r="C48" s="31" t="s">
        <v>30</v>
      </c>
      <c r="D48" s="32"/>
      <c r="E48" s="32"/>
      <c r="F48" s="33"/>
      <c r="G48" s="33"/>
      <c r="H48" s="34"/>
      <c r="I48" s="34"/>
      <c r="J48" s="54"/>
      <c r="K48" s="36">
        <f>J47</f>
        <v>5740523</v>
      </c>
    </row>
    <row r="49" spans="1:16" ht="16.5" customHeight="1" x14ac:dyDescent="0.25">
      <c r="A49" s="39"/>
      <c r="C49" s="26"/>
      <c r="D49" s="26"/>
      <c r="E49" s="26"/>
      <c r="F49" s="27"/>
      <c r="G49" s="27"/>
      <c r="H49" s="28"/>
      <c r="I49" s="28"/>
      <c r="J49" s="46">
        <f>SUM(J47:J48)</f>
        <v>5740523</v>
      </c>
      <c r="K49" s="46">
        <f>SUM(K47:K48)</f>
        <v>5740523</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1700646</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1700646</v>
      </c>
    </row>
    <row r="59" spans="1:16" ht="16.5" customHeight="1" x14ac:dyDescent="0.25">
      <c r="A59" s="39"/>
      <c r="C59" s="26"/>
      <c r="D59" s="26"/>
      <c r="E59" s="26"/>
      <c r="F59" s="27"/>
      <c r="G59" s="27"/>
      <c r="H59" s="28"/>
      <c r="I59" s="28"/>
      <c r="J59" s="46">
        <f>SUM(J55:J58)</f>
        <v>1700646</v>
      </c>
      <c r="K59" s="46">
        <f>SUM(K55:K58)</f>
        <v>1700646</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1691777</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9487</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f>J62+J63</f>
        <v>1701264</v>
      </c>
    </row>
    <row r="65" spans="1:12" ht="16.5" customHeight="1" x14ac:dyDescent="0.25">
      <c r="A65" s="39"/>
      <c r="C65" s="26"/>
      <c r="D65" s="26"/>
      <c r="E65" s="26"/>
      <c r="F65" s="27"/>
      <c r="G65" s="27"/>
      <c r="H65" s="28"/>
      <c r="I65" s="28"/>
      <c r="J65" s="46">
        <f>SUM(J62:J64)</f>
        <v>1701264</v>
      </c>
      <c r="K65" s="46">
        <f>SUM(K62:K64)</f>
        <v>1701264</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f>J62</f>
        <v>1691777</v>
      </c>
      <c r="K68" s="54"/>
    </row>
    <row r="69" spans="1:12" ht="16.5" customHeight="1" x14ac:dyDescent="0.25">
      <c r="A69" s="39"/>
      <c r="B69" s="31"/>
      <c r="C69" s="31" t="s">
        <v>52</v>
      </c>
      <c r="D69" s="32"/>
      <c r="E69" s="32"/>
      <c r="F69" s="33"/>
      <c r="G69" s="33"/>
      <c r="H69" s="34"/>
      <c r="I69" s="34"/>
      <c r="J69" s="54"/>
      <c r="K69" s="36">
        <f>J68</f>
        <v>1691777</v>
      </c>
    </row>
    <row r="70" spans="1:12" ht="16.5" customHeight="1" x14ac:dyDescent="0.25">
      <c r="A70" s="39"/>
      <c r="C70" s="26"/>
      <c r="D70" s="26"/>
      <c r="E70" s="26"/>
      <c r="F70" s="27"/>
      <c r="G70" s="27"/>
      <c r="H70" s="28"/>
      <c r="I70" s="28"/>
      <c r="J70" s="46">
        <f>SUM(J68:J69)</f>
        <v>1691777</v>
      </c>
      <c r="K70" s="46">
        <f>SUM(K68:K69)</f>
        <v>1691777</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2393111</v>
      </c>
      <c r="K75" s="54"/>
    </row>
    <row r="76" spans="1:12" ht="16.5" customHeight="1" x14ac:dyDescent="0.25">
      <c r="A76" s="39"/>
      <c r="B76" s="31"/>
      <c r="C76" s="31" t="s">
        <v>55</v>
      </c>
      <c r="D76" s="32"/>
      <c r="E76" s="32"/>
      <c r="F76" s="33"/>
      <c r="G76" s="33"/>
      <c r="H76" s="34"/>
      <c r="I76" s="34"/>
      <c r="J76" s="54"/>
      <c r="K76" s="36">
        <f>J75</f>
        <v>2393111</v>
      </c>
    </row>
    <row r="77" spans="1:12" ht="16.5" customHeight="1" x14ac:dyDescent="0.2">
      <c r="A77" s="39"/>
      <c r="B77" s="175" t="s">
        <v>56</v>
      </c>
      <c r="C77" s="175"/>
      <c r="D77" s="175"/>
      <c r="E77" s="175"/>
      <c r="F77" s="175"/>
      <c r="G77" s="175"/>
      <c r="H77" s="175"/>
      <c r="I77" s="175"/>
      <c r="J77" s="46">
        <f>SUM(J75:J76)</f>
        <v>2393111</v>
      </c>
      <c r="K77" s="46">
        <f>SUM(K75:K76)</f>
        <v>2393111</v>
      </c>
      <c r="L77" s="47" t="str">
        <f>IF(J77=K77,"&lt;- Debits and Credits equal each other.","&lt;- Debits and Credits do not equal each other.")</f>
        <v>&lt;- Debits and Credits equal each other.</v>
      </c>
    </row>
    <row r="78" spans="1:12" ht="16.5" customHeight="1" x14ac:dyDescent="0.2">
      <c r="A78" s="39"/>
      <c r="B78" s="175"/>
      <c r="C78" s="175"/>
      <c r="D78" s="175"/>
      <c r="E78" s="175"/>
      <c r="F78" s="175"/>
      <c r="G78" s="175"/>
      <c r="H78" s="175"/>
      <c r="I78" s="175"/>
      <c r="J78" s="46"/>
      <c r="K78" s="46"/>
      <c r="L78" s="47"/>
    </row>
    <row r="79" spans="1:12" ht="24.6" customHeight="1" x14ac:dyDescent="0.2">
      <c r="A79" s="39"/>
      <c r="B79" s="175"/>
      <c r="C79" s="175"/>
      <c r="D79" s="175"/>
      <c r="E79" s="175"/>
      <c r="F79" s="175"/>
      <c r="G79" s="175"/>
      <c r="H79" s="175"/>
      <c r="I79" s="175"/>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281672</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f>J87</f>
        <v>281672</v>
      </c>
    </row>
    <row r="91" spans="1:16" ht="16.5" customHeight="1" x14ac:dyDescent="0.25">
      <c r="B91" s="22" t="s">
        <v>66</v>
      </c>
      <c r="H91" s="2"/>
      <c r="J91" s="62">
        <f>SUM(J85:J90)</f>
        <v>281672</v>
      </c>
      <c r="K91" s="62">
        <f>SUM(K85:K90)</f>
        <v>281672</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9654616</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-2606166</v>
      </c>
    </row>
    <row r="128" spans="1:12" ht="16.5" customHeight="1" x14ac:dyDescent="0.25">
      <c r="D128" s="32" t="s">
        <v>78</v>
      </c>
      <c r="H128" s="2"/>
      <c r="K128" s="76">
        <f>-K23-K48+J68+J75+J96-K113</f>
        <v>-4682105</v>
      </c>
    </row>
    <row r="129" spans="4:11" ht="16.5" customHeight="1" x14ac:dyDescent="0.25">
      <c r="D129" s="32" t="s">
        <v>79</v>
      </c>
      <c r="H129" s="2"/>
      <c r="K129" s="76">
        <f>-K76</f>
        <v>-2393111</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KhDT6Ysi2+6YHA1n0pVMUPcYJ2piO7JwgMNqELsZDB5r+km/RhVMqDKmFdZl7+PqhKBS3zhLvwyluYElig5xTw==" saltValue="Zg4xD5MDQuFwbN1EV4Tll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5281888-41E9-44CD-A9A1-3E4A9C5CD6D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4A6EF8E-30CD-44F9-BCF7-7EA927A13CA8}">
      <formula1>0</formula1>
    </dataValidation>
    <dataValidation operator="lessThan" allowBlank="1" showInputMessage="1" showErrorMessage="1" sqref="A3:A8" xr:uid="{56103FB3-DA97-4355-943A-DF3E9A01D25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07E2-0756-477A-B800-91489265155D}">
  <sheetPr>
    <tabColor theme="9" tint="0.59999389629810485"/>
    <pageSetUpPr fitToPage="1"/>
  </sheetPr>
  <dimension ref="A1:S193"/>
  <sheetViews>
    <sheetView zoomScale="70" zoomScaleNormal="70" workbookViewId="0">
      <selection activeCell="K58" sqref="K58"/>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69" t="s">
        <v>0</v>
      </c>
      <c r="B1" s="169"/>
      <c r="C1" s="169"/>
      <c r="D1" s="169"/>
      <c r="E1" s="169"/>
      <c r="F1" s="169"/>
      <c r="G1" s="169"/>
      <c r="H1" s="169"/>
      <c r="I1" s="169"/>
      <c r="J1" s="169"/>
      <c r="K1" s="169"/>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7" t="s">
        <v>2</v>
      </c>
      <c r="B3" s="167"/>
      <c r="C3" s="167"/>
      <c r="D3" s="167"/>
      <c r="E3" s="167"/>
      <c r="F3" s="170" t="s">
        <v>3</v>
      </c>
      <c r="G3" s="170"/>
      <c r="H3" s="170"/>
      <c r="I3" s="170"/>
    </row>
    <row r="4" spans="1:19" ht="16.5" customHeight="1" x14ac:dyDescent="0.2">
      <c r="A4" s="167" t="s">
        <v>4</v>
      </c>
      <c r="B4" s="167"/>
      <c r="C4" s="167"/>
      <c r="D4" s="167"/>
      <c r="E4" s="167"/>
      <c r="F4" s="168" t="s">
        <v>5</v>
      </c>
      <c r="G4" s="168"/>
      <c r="H4" s="168"/>
      <c r="I4" s="168"/>
    </row>
    <row r="5" spans="1:19" ht="16.5" customHeight="1" x14ac:dyDescent="0.2">
      <c r="A5" s="167" t="s">
        <v>6</v>
      </c>
      <c r="B5" s="167"/>
      <c r="C5" s="167"/>
      <c r="D5" s="167"/>
      <c r="E5" s="167"/>
      <c r="F5" s="168" t="s">
        <v>7</v>
      </c>
      <c r="G5" s="168"/>
      <c r="H5" s="168"/>
      <c r="I5" s="168"/>
      <c r="L5" s="5"/>
      <c r="M5" s="5"/>
      <c r="N5" s="5"/>
      <c r="O5" s="5"/>
      <c r="P5" s="5"/>
      <c r="Q5" s="5"/>
    </row>
    <row r="6" spans="1:19" ht="16.5" customHeight="1" x14ac:dyDescent="0.25">
      <c r="A6" s="167" t="s">
        <v>8</v>
      </c>
      <c r="B6" s="167"/>
      <c r="C6" s="167"/>
      <c r="D6" s="167"/>
      <c r="E6" s="167"/>
      <c r="F6" s="171">
        <v>3291</v>
      </c>
      <c r="G6" s="171"/>
      <c r="H6" s="171"/>
      <c r="I6" s="171"/>
      <c r="L6" s="6"/>
      <c r="M6" s="6"/>
      <c r="N6" s="6"/>
      <c r="O6" s="6"/>
      <c r="P6" s="5"/>
      <c r="Q6" s="5"/>
    </row>
    <row r="7" spans="1:19" ht="16.5" customHeight="1" x14ac:dyDescent="0.25">
      <c r="A7" s="167" t="s">
        <v>9</v>
      </c>
      <c r="B7" s="167"/>
      <c r="C7" s="167"/>
      <c r="D7" s="167"/>
      <c r="E7" s="167"/>
      <c r="F7" s="171" t="s">
        <v>10</v>
      </c>
      <c r="G7" s="171"/>
      <c r="H7" s="171"/>
      <c r="I7" s="171"/>
      <c r="K7" s="7"/>
      <c r="L7" s="6"/>
      <c r="M7" s="6"/>
      <c r="N7" s="6"/>
      <c r="O7" s="6"/>
      <c r="P7" s="5"/>
      <c r="Q7" s="5"/>
    </row>
    <row r="8" spans="1:19" ht="16.5" customHeight="1" x14ac:dyDescent="0.25">
      <c r="A8" s="167" t="s">
        <v>11</v>
      </c>
      <c r="B8" s="167"/>
      <c r="C8" s="167"/>
      <c r="D8" s="167"/>
      <c r="E8" s="167"/>
      <c r="F8" s="171" t="s">
        <v>12</v>
      </c>
      <c r="G8" s="171"/>
      <c r="H8" s="171"/>
      <c r="I8" s="171"/>
      <c r="K8" s="7"/>
      <c r="L8" s="6"/>
      <c r="M8" s="6"/>
      <c r="N8" s="6"/>
      <c r="O8" s="6"/>
      <c r="P8" s="5"/>
      <c r="Q8" s="5"/>
    </row>
    <row r="9" spans="1:19" ht="16.5" customHeight="1" x14ac:dyDescent="0.25">
      <c r="A9" s="167" t="s">
        <v>13</v>
      </c>
      <c r="B9" s="167"/>
      <c r="C9" s="167"/>
      <c r="D9" s="167"/>
      <c r="E9" s="167"/>
      <c r="F9" s="172" t="str">
        <f>IFERROR(IF(F7="Proprietary","Proprietary Fund",VLOOKUP(F5,[3]qryIndex02a!$A$2:$K$654,4,FALSE)),"Unidentified")</f>
        <v>TRANSPORTATION</v>
      </c>
      <c r="G9" s="172"/>
      <c r="H9" s="172"/>
      <c r="I9" s="172"/>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3" t="s">
        <v>17</v>
      </c>
      <c r="N14" s="174"/>
      <c r="O14" s="19"/>
      <c r="P14" s="173" t="s">
        <v>18</v>
      </c>
      <c r="Q14" s="174"/>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83839</v>
      </c>
      <c r="M17" s="36">
        <v>83839</v>
      </c>
      <c r="P17" s="36">
        <v>83839</v>
      </c>
      <c r="Q17" s="37"/>
      <c r="S17" s="38">
        <f t="shared" si="0"/>
        <v>0</v>
      </c>
    </row>
    <row r="18" spans="1:19" ht="16.5" customHeight="1" x14ac:dyDescent="0.25">
      <c r="A18" s="39"/>
      <c r="B18" s="31" t="s">
        <v>24</v>
      </c>
      <c r="C18" s="31"/>
      <c r="D18" s="31"/>
      <c r="E18" s="32"/>
      <c r="F18" s="33"/>
      <c r="G18" s="33"/>
      <c r="H18" s="34"/>
      <c r="I18" s="34"/>
      <c r="J18" s="35">
        <f>P18</f>
        <v>151</v>
      </c>
      <c r="M18" s="36">
        <v>150</v>
      </c>
      <c r="P18" s="40">
        <f>IF(SUM($Q$21:$Q$23)&gt;SUM($P$15:$P$17),SUM($Q$21:$Q$23)-SUM($P$15:$P$17),0)</f>
        <v>151</v>
      </c>
      <c r="Q18" s="37"/>
      <c r="S18" s="38">
        <f t="shared" si="0"/>
        <v>1</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4658</v>
      </c>
      <c r="N22" s="36">
        <v>4658</v>
      </c>
      <c r="P22" s="37"/>
      <c r="Q22" s="36">
        <v>4658</v>
      </c>
      <c r="S22" s="38">
        <f t="shared" ref="S22:S25" si="1">Q22-N22</f>
        <v>0</v>
      </c>
    </row>
    <row r="23" spans="1:19" ht="16.5" customHeight="1" x14ac:dyDescent="0.25">
      <c r="A23" s="42" t="s">
        <v>29</v>
      </c>
      <c r="B23" s="31"/>
      <c r="C23" s="31" t="s">
        <v>30</v>
      </c>
      <c r="D23" s="31"/>
      <c r="E23" s="32"/>
      <c r="F23" s="33"/>
      <c r="G23" s="33"/>
      <c r="H23" s="34"/>
      <c r="I23" s="34"/>
      <c r="J23" s="41"/>
      <c r="K23" s="35">
        <f>N23</f>
        <v>79332</v>
      </c>
      <c r="N23" s="36">
        <v>79332</v>
      </c>
      <c r="P23" s="37"/>
      <c r="Q23" s="36">
        <v>79332</v>
      </c>
      <c r="S23" s="38">
        <f t="shared" si="1"/>
        <v>0</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25">
      <c r="A26" s="39"/>
      <c r="C26" s="43"/>
      <c r="D26" s="43"/>
      <c r="E26" s="43"/>
      <c r="F26" s="44"/>
      <c r="G26" s="44"/>
      <c r="H26" s="45"/>
      <c r="I26" s="45"/>
      <c r="J26" s="46">
        <f>SUM(J15:J25)</f>
        <v>83990</v>
      </c>
      <c r="K26" s="46">
        <f>SUM(K15:K25)</f>
        <v>83990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0</v>
      </c>
      <c r="K33" s="54"/>
    </row>
    <row r="34" spans="1:12" ht="16.5" customHeight="1" x14ac:dyDescent="0.25">
      <c r="A34" s="39"/>
      <c r="B34" s="31"/>
      <c r="C34" s="31" t="s">
        <v>38</v>
      </c>
      <c r="D34" s="32"/>
      <c r="E34" s="32"/>
      <c r="F34" s="33"/>
      <c r="G34" s="33"/>
      <c r="H34" s="34"/>
      <c r="I34" s="34"/>
      <c r="J34" s="54"/>
      <c r="K34" s="36">
        <f>J33</f>
        <v>0</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v>0</v>
      </c>
    </row>
    <row r="36" spans="1:12" ht="16.5" customHeight="1" x14ac:dyDescent="0.25">
      <c r="A36" s="39"/>
      <c r="C36" s="26"/>
      <c r="D36" s="26"/>
      <c r="E36" s="26"/>
      <c r="F36" s="27"/>
      <c r="G36" s="27"/>
      <c r="H36" s="28"/>
      <c r="I36" s="28"/>
      <c r="J36" s="46">
        <f>SUM(J33:J35)</f>
        <v>0</v>
      </c>
      <c r="K36" s="46">
        <f>SUM(K33:K35)</f>
        <v>0</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v>0</v>
      </c>
      <c r="K39" s="54"/>
    </row>
    <row r="40" spans="1:12" ht="16.5" customHeight="1" x14ac:dyDescent="0.25">
      <c r="A40" s="30" t="s">
        <v>20</v>
      </c>
      <c r="B40" s="31" t="s">
        <v>22</v>
      </c>
      <c r="C40" s="31"/>
      <c r="D40" s="32"/>
      <c r="E40" s="32"/>
      <c r="F40" s="33"/>
      <c r="G40" s="33"/>
      <c r="H40" s="34"/>
      <c r="I40" s="34"/>
      <c r="J40" s="36">
        <v>0</v>
      </c>
      <c r="K40" s="54"/>
    </row>
    <row r="41" spans="1:12" ht="16.5" customHeight="1" x14ac:dyDescent="0.25">
      <c r="A41" s="30" t="s">
        <v>20</v>
      </c>
      <c r="B41" s="31" t="s">
        <v>23</v>
      </c>
      <c r="C41" s="31"/>
      <c r="D41" s="32"/>
      <c r="E41" s="32"/>
      <c r="F41" s="33"/>
      <c r="G41" s="33"/>
      <c r="H41" s="34"/>
      <c r="I41" s="34"/>
      <c r="J41" s="36">
        <f>K34</f>
        <v>0</v>
      </c>
      <c r="K41" s="54"/>
    </row>
    <row r="42" spans="1:12" ht="16.5" customHeight="1" x14ac:dyDescent="0.25">
      <c r="A42" s="39"/>
      <c r="B42" s="31"/>
      <c r="C42" s="31" t="s">
        <v>40</v>
      </c>
      <c r="D42" s="32"/>
      <c r="E42" s="32"/>
      <c r="F42" s="33"/>
      <c r="G42" s="33"/>
      <c r="H42" s="34"/>
      <c r="I42" s="34"/>
      <c r="J42" s="54"/>
      <c r="K42" s="36">
        <f>J41</f>
        <v>0</v>
      </c>
    </row>
    <row r="43" spans="1:12" ht="16.5" customHeight="1" x14ac:dyDescent="0.25">
      <c r="A43" s="39"/>
      <c r="B43" s="22" t="s">
        <v>41</v>
      </c>
      <c r="C43" s="26"/>
      <c r="D43" s="26"/>
      <c r="E43" s="26"/>
      <c r="F43" s="27"/>
      <c r="G43" s="27"/>
      <c r="H43" s="28"/>
      <c r="I43" s="28"/>
      <c r="J43" s="46">
        <f>SUM(J39:J42)</f>
        <v>0</v>
      </c>
      <c r="K43" s="46">
        <f>SUM(K39:K42)</f>
        <v>0</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f>K34</f>
        <v>0</v>
      </c>
      <c r="K47" s="54"/>
    </row>
    <row r="48" spans="1:12" ht="16.5" customHeight="1" x14ac:dyDescent="0.25">
      <c r="A48" s="42" t="s">
        <v>29</v>
      </c>
      <c r="B48" s="31"/>
      <c r="C48" s="31" t="s">
        <v>30</v>
      </c>
      <c r="D48" s="32"/>
      <c r="E48" s="32"/>
      <c r="F48" s="33"/>
      <c r="G48" s="33"/>
      <c r="H48" s="34"/>
      <c r="I48" s="34"/>
      <c r="J48" s="54"/>
      <c r="K48" s="36">
        <f>J47</f>
        <v>0</v>
      </c>
    </row>
    <row r="49" spans="1:16" ht="16.5" customHeight="1" x14ac:dyDescent="0.25">
      <c r="A49" s="39"/>
      <c r="C49" s="26"/>
      <c r="D49" s="26"/>
      <c r="E49" s="26"/>
      <c r="F49" s="27"/>
      <c r="G49" s="27"/>
      <c r="H49" s="28"/>
      <c r="I49" s="28"/>
      <c r="J49" s="46">
        <f>SUM(J47:J48)</f>
        <v>0</v>
      </c>
      <c r="K49" s="46">
        <f>SUM(K47:K48)</f>
        <v>0</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27946</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27946</v>
      </c>
    </row>
    <row r="59" spans="1:16" ht="16.5" customHeight="1" x14ac:dyDescent="0.25">
      <c r="A59" s="39"/>
      <c r="C59" s="26"/>
      <c r="D59" s="26"/>
      <c r="E59" s="26"/>
      <c r="F59" s="27"/>
      <c r="G59" s="27"/>
      <c r="H59" s="28"/>
      <c r="I59" s="28"/>
      <c r="J59" s="46">
        <f>SUM(J55:J58)</f>
        <v>27946</v>
      </c>
      <c r="K59" s="46">
        <f>SUM(K55:K58)</f>
        <v>27946</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27212</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134</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f>J62+J63</f>
        <v>27346</v>
      </c>
    </row>
    <row r="65" spans="1:12" ht="16.5" customHeight="1" x14ac:dyDescent="0.25">
      <c r="A65" s="39"/>
      <c r="C65" s="26"/>
      <c r="D65" s="26"/>
      <c r="E65" s="26"/>
      <c r="F65" s="27"/>
      <c r="G65" s="27"/>
      <c r="H65" s="28"/>
      <c r="I65" s="28"/>
      <c r="J65" s="46">
        <f>SUM(J62:J64)</f>
        <v>27346</v>
      </c>
      <c r="K65" s="46">
        <f>SUM(K62:K64)</f>
        <v>27346</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f>J62</f>
        <v>27212</v>
      </c>
      <c r="K68" s="54"/>
    </row>
    <row r="69" spans="1:12" ht="16.5" customHeight="1" x14ac:dyDescent="0.25">
      <c r="A69" s="39"/>
      <c r="B69" s="31"/>
      <c r="C69" s="31" t="s">
        <v>52</v>
      </c>
      <c r="D69" s="32"/>
      <c r="E69" s="32"/>
      <c r="F69" s="33"/>
      <c r="G69" s="33"/>
      <c r="H69" s="34"/>
      <c r="I69" s="34"/>
      <c r="J69" s="54"/>
      <c r="K69" s="36">
        <f>J68</f>
        <v>27212</v>
      </c>
    </row>
    <row r="70" spans="1:12" ht="16.5" customHeight="1" x14ac:dyDescent="0.25">
      <c r="A70" s="39"/>
      <c r="C70" s="26"/>
      <c r="D70" s="26"/>
      <c r="E70" s="26"/>
      <c r="F70" s="27"/>
      <c r="G70" s="27"/>
      <c r="H70" s="28"/>
      <c r="I70" s="28"/>
      <c r="J70" s="46">
        <f>SUM(J68:J69)</f>
        <v>27212</v>
      </c>
      <c r="K70" s="46">
        <f>SUM(K68:K69)</f>
        <v>27212</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28087</v>
      </c>
      <c r="K75" s="54"/>
    </row>
    <row r="76" spans="1:12" ht="16.5" customHeight="1" x14ac:dyDescent="0.25">
      <c r="A76" s="39"/>
      <c r="B76" s="31"/>
      <c r="C76" s="31" t="s">
        <v>55</v>
      </c>
      <c r="D76" s="32"/>
      <c r="E76" s="32"/>
      <c r="F76" s="33"/>
      <c r="G76" s="33"/>
      <c r="H76" s="34"/>
      <c r="I76" s="34"/>
      <c r="J76" s="54"/>
      <c r="K76" s="36">
        <f>J75</f>
        <v>28087</v>
      </c>
    </row>
    <row r="77" spans="1:12" ht="16.5" customHeight="1" x14ac:dyDescent="0.2">
      <c r="A77" s="39"/>
      <c r="B77" s="175" t="s">
        <v>56</v>
      </c>
      <c r="C77" s="175"/>
      <c r="D77" s="175"/>
      <c r="E77" s="175"/>
      <c r="F77" s="175"/>
      <c r="G77" s="175"/>
      <c r="H77" s="175"/>
      <c r="I77" s="175"/>
      <c r="J77" s="46">
        <f>SUM(J75:J76)</f>
        <v>28087</v>
      </c>
      <c r="K77" s="46">
        <f>SUM(K75:K76)</f>
        <v>28087</v>
      </c>
      <c r="L77" s="47" t="str">
        <f>IF(J77=K77,"&lt;- Debits and Credits equal each other.","&lt;- Debits and Credits do not equal each other.")</f>
        <v>&lt;- Debits and Credits equal each other.</v>
      </c>
    </row>
    <row r="78" spans="1:12" ht="16.5" customHeight="1" x14ac:dyDescent="0.2">
      <c r="A78" s="39"/>
      <c r="B78" s="175"/>
      <c r="C78" s="175"/>
      <c r="D78" s="175"/>
      <c r="E78" s="175"/>
      <c r="F78" s="175"/>
      <c r="G78" s="175"/>
      <c r="H78" s="175"/>
      <c r="I78" s="175"/>
      <c r="J78" s="46"/>
      <c r="K78" s="46"/>
      <c r="L78" s="47"/>
    </row>
    <row r="79" spans="1:12" ht="24.6" customHeight="1" x14ac:dyDescent="0.2">
      <c r="A79" s="39"/>
      <c r="B79" s="175"/>
      <c r="C79" s="175"/>
      <c r="D79" s="175"/>
      <c r="E79" s="175"/>
      <c r="F79" s="175"/>
      <c r="G79" s="175"/>
      <c r="H79" s="175"/>
      <c r="I79" s="175"/>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0</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0</v>
      </c>
    </row>
    <row r="91" spans="1:16" ht="16.5" customHeight="1" x14ac:dyDescent="0.25">
      <c r="B91" s="22" t="s">
        <v>66</v>
      </c>
      <c r="H91" s="2"/>
      <c r="J91" s="62">
        <f>SUM(J85:J90)</f>
        <v>0</v>
      </c>
      <c r="K91" s="62">
        <f>SUM(K85:K90)</f>
        <v>0</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83839</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-32604</v>
      </c>
    </row>
    <row r="128" spans="1:12" ht="16.5" customHeight="1" x14ac:dyDescent="0.25">
      <c r="D128" s="32" t="s">
        <v>78</v>
      </c>
      <c r="H128" s="2"/>
      <c r="K128" s="76">
        <f>-K23-K48+J68+J75+J96-K113</f>
        <v>-24033</v>
      </c>
    </row>
    <row r="129" spans="4:11" ht="16.5" customHeight="1" x14ac:dyDescent="0.25">
      <c r="D129" s="32" t="s">
        <v>79</v>
      </c>
      <c r="H129" s="2"/>
      <c r="K129" s="76">
        <f>-K76</f>
        <v>-28087</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LMROar+6FH5u3d1jEemuQ0MmEc4NixdivN32QaVa5SfZAgjEb/gmNbpQc6RNmpLQ9WMVm8lyMCoHCY/VYwiskg==" saltValue="og4RIXEKpuuzIk6FPBqg/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12130D00-2C5C-422E-B0D8-483F2BFCE41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F60F131-ECF2-4FED-AFC4-B1184E2E0E6D}">
      <formula1>0</formula1>
    </dataValidation>
    <dataValidation type="textLength" operator="equal" allowBlank="1" showInputMessage="1" showErrorMessage="1" errorTitle="4-Digit Org Code" error="Enter the Org Code/BU as 4 digits." sqref="F5" xr:uid="{4B134052-69E0-495E-B570-0D7FF5139C5C}">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2A09-FCAD-446A-B868-D2D482DFCE80}">
  <sheetPr>
    <tabColor theme="9" tint="0.59999389629810485"/>
    <pageSetUpPr fitToPage="1"/>
  </sheetPr>
  <dimension ref="A1:S193"/>
  <sheetViews>
    <sheetView zoomScale="70" zoomScaleNormal="70" workbookViewId="0">
      <selection activeCell="J87" sqref="J87"/>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69" t="s">
        <v>0</v>
      </c>
      <c r="B1" s="169"/>
      <c r="C1" s="169"/>
      <c r="D1" s="169"/>
      <c r="E1" s="169"/>
      <c r="F1" s="169"/>
      <c r="G1" s="169"/>
      <c r="H1" s="169"/>
      <c r="I1" s="169"/>
      <c r="J1" s="169"/>
      <c r="K1" s="169"/>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7" t="s">
        <v>2</v>
      </c>
      <c r="B3" s="167"/>
      <c r="C3" s="167"/>
      <c r="D3" s="167"/>
      <c r="E3" s="167"/>
      <c r="F3" s="170" t="s">
        <v>3</v>
      </c>
      <c r="G3" s="170"/>
      <c r="H3" s="170"/>
      <c r="I3" s="170"/>
    </row>
    <row r="4" spans="1:19" ht="16.5" customHeight="1" x14ac:dyDescent="0.2">
      <c r="A4" s="167" t="s">
        <v>4</v>
      </c>
      <c r="B4" s="167"/>
      <c r="C4" s="167"/>
      <c r="D4" s="167"/>
      <c r="E4" s="167"/>
      <c r="F4" s="168" t="s">
        <v>5</v>
      </c>
      <c r="G4" s="168"/>
      <c r="H4" s="168"/>
      <c r="I4" s="168"/>
    </row>
    <row r="5" spans="1:19" ht="16.5" customHeight="1" x14ac:dyDescent="0.2">
      <c r="A5" s="167" t="s">
        <v>6</v>
      </c>
      <c r="B5" s="167"/>
      <c r="C5" s="167"/>
      <c r="D5" s="167"/>
      <c r="E5" s="167"/>
      <c r="F5" s="168" t="s">
        <v>7</v>
      </c>
      <c r="G5" s="168"/>
      <c r="H5" s="168"/>
      <c r="I5" s="168"/>
      <c r="L5" s="5"/>
      <c r="M5" s="5"/>
      <c r="N5" s="5"/>
      <c r="O5" s="5"/>
      <c r="P5" s="5"/>
      <c r="Q5" s="5"/>
    </row>
    <row r="6" spans="1:19" ht="16.5" customHeight="1" x14ac:dyDescent="0.25">
      <c r="A6" s="167" t="s">
        <v>8</v>
      </c>
      <c r="B6" s="167"/>
      <c r="C6" s="167"/>
      <c r="D6" s="167"/>
      <c r="E6" s="167"/>
      <c r="F6" s="171">
        <v>6072</v>
      </c>
      <c r="G6" s="171"/>
      <c r="H6" s="171"/>
      <c r="I6" s="171"/>
      <c r="L6" s="6"/>
      <c r="M6" s="6"/>
      <c r="N6" s="6"/>
      <c r="O6" s="6"/>
      <c r="P6" s="5"/>
      <c r="Q6" s="5"/>
    </row>
    <row r="7" spans="1:19" ht="16.5" customHeight="1" x14ac:dyDescent="0.25">
      <c r="A7" s="167" t="s">
        <v>9</v>
      </c>
      <c r="B7" s="167"/>
      <c r="C7" s="167"/>
      <c r="D7" s="167"/>
      <c r="E7" s="167"/>
      <c r="F7" s="171" t="s">
        <v>10</v>
      </c>
      <c r="G7" s="171"/>
      <c r="H7" s="171"/>
      <c r="I7" s="171"/>
      <c r="K7" s="7"/>
      <c r="L7" s="6"/>
      <c r="M7" s="6"/>
      <c r="N7" s="6"/>
      <c r="O7" s="6"/>
      <c r="P7" s="5"/>
      <c r="Q7" s="5"/>
    </row>
    <row r="8" spans="1:19" ht="16.5" customHeight="1" x14ac:dyDescent="0.25">
      <c r="A8" s="167" t="s">
        <v>11</v>
      </c>
      <c r="B8" s="167"/>
      <c r="C8" s="167"/>
      <c r="D8" s="167"/>
      <c r="E8" s="167"/>
      <c r="F8" s="171" t="s">
        <v>12</v>
      </c>
      <c r="G8" s="171"/>
      <c r="H8" s="171"/>
      <c r="I8" s="171"/>
      <c r="K8" s="7"/>
      <c r="L8" s="6"/>
      <c r="M8" s="6"/>
      <c r="N8" s="6"/>
      <c r="O8" s="6"/>
      <c r="P8" s="5"/>
      <c r="Q8" s="5"/>
    </row>
    <row r="9" spans="1:19" ht="16.5" customHeight="1" x14ac:dyDescent="0.25">
      <c r="A9" s="167" t="s">
        <v>13</v>
      </c>
      <c r="B9" s="167"/>
      <c r="C9" s="167"/>
      <c r="D9" s="167"/>
      <c r="E9" s="167"/>
      <c r="F9" s="172" t="str">
        <f>IFERROR(IF(F7="Proprietary","Proprietary Fund",VLOOKUP(F5,[3]qryIndex02a!$A$2:$K$654,4,FALSE)),"Unidentified")</f>
        <v>TRANSPORTATION</v>
      </c>
      <c r="G9" s="172"/>
      <c r="H9" s="172"/>
      <c r="I9" s="172"/>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3" t="s">
        <v>17</v>
      </c>
      <c r="N14" s="174"/>
      <c r="O14" s="19"/>
      <c r="P14" s="173" t="s">
        <v>18</v>
      </c>
      <c r="Q14" s="174"/>
      <c r="R14" s="19"/>
      <c r="S14" s="29" t="s">
        <v>19</v>
      </c>
    </row>
    <row r="15" spans="1:19" ht="16.5" customHeight="1" x14ac:dyDescent="0.25">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v>0</v>
      </c>
      <c r="Q16" s="37"/>
      <c r="S16" s="38">
        <f t="shared" si="0"/>
        <v>0</v>
      </c>
    </row>
    <row r="17" spans="1:19" ht="16.5" customHeight="1" x14ac:dyDescent="0.25">
      <c r="A17" s="30" t="s">
        <v>20</v>
      </c>
      <c r="B17" s="31" t="s">
        <v>23</v>
      </c>
      <c r="C17" s="31"/>
      <c r="D17" s="31"/>
      <c r="E17" s="32"/>
      <c r="F17" s="33"/>
      <c r="G17" s="33"/>
      <c r="H17" s="34"/>
      <c r="I17" s="34"/>
      <c r="J17" s="35">
        <f>M17</f>
        <v>127178</v>
      </c>
      <c r="M17" s="36">
        <v>127178</v>
      </c>
      <c r="P17" s="36">
        <v>127178</v>
      </c>
      <c r="Q17" s="37"/>
      <c r="S17" s="38">
        <f t="shared" si="0"/>
        <v>0</v>
      </c>
    </row>
    <row r="18" spans="1:19" ht="16.5" customHeight="1" x14ac:dyDescent="0.25">
      <c r="A18" s="39"/>
      <c r="B18" s="31" t="s">
        <v>24</v>
      </c>
      <c r="C18" s="31"/>
      <c r="D18" s="31"/>
      <c r="E18" s="32"/>
      <c r="F18" s="33"/>
      <c r="G18" s="33"/>
      <c r="H18" s="34"/>
      <c r="I18" s="34"/>
      <c r="J18" s="35">
        <f>P18</f>
        <v>32</v>
      </c>
      <c r="M18" s="36">
        <v>32</v>
      </c>
      <c r="P18" s="40">
        <f>IF(SUM($Q$21:$Q$23)&gt;SUM($P$15:$P$17),SUM($Q$21:$Q$23)-SUM($P$15:$P$17),0)</f>
        <v>32</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95383</v>
      </c>
      <c r="N22" s="36">
        <v>95383</v>
      </c>
      <c r="P22" s="37"/>
      <c r="Q22" s="36">
        <v>95383</v>
      </c>
      <c r="S22" s="38">
        <f t="shared" ref="S22:S25" si="1">Q22-N22</f>
        <v>0</v>
      </c>
    </row>
    <row r="23" spans="1:19" ht="16.5" customHeight="1" x14ac:dyDescent="0.25">
      <c r="A23" s="42" t="s">
        <v>29</v>
      </c>
      <c r="B23" s="31"/>
      <c r="C23" s="31" t="s">
        <v>30</v>
      </c>
      <c r="D23" s="31"/>
      <c r="E23" s="32"/>
      <c r="F23" s="33"/>
      <c r="G23" s="33"/>
      <c r="H23" s="34"/>
      <c r="I23" s="34"/>
      <c r="J23" s="41"/>
      <c r="K23" s="35">
        <f>N23</f>
        <v>31826</v>
      </c>
      <c r="N23" s="36">
        <v>31826</v>
      </c>
      <c r="P23" s="37"/>
      <c r="Q23" s="36">
        <v>31827</v>
      </c>
      <c r="S23" s="38">
        <f t="shared" si="1"/>
        <v>1</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1</v>
      </c>
      <c r="N25" s="36"/>
      <c r="P25" s="37"/>
      <c r="Q25" s="37"/>
      <c r="S25" s="38">
        <f t="shared" si="1"/>
        <v>0</v>
      </c>
    </row>
    <row r="26" spans="1:19" ht="16.5" customHeight="1" x14ac:dyDescent="0.25">
      <c r="A26" s="39"/>
      <c r="C26" s="43"/>
      <c r="D26" s="43"/>
      <c r="E26" s="43"/>
      <c r="F26" s="44"/>
      <c r="G26" s="44"/>
      <c r="H26" s="45"/>
      <c r="I26" s="45"/>
      <c r="J26" s="46">
        <f>SUM(J15:J25)</f>
        <v>127210</v>
      </c>
      <c r="K26" s="46">
        <f>SUM(K15:K25)</f>
        <v>127210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0</v>
      </c>
      <c r="K33" s="54"/>
    </row>
    <row r="34" spans="1:12" ht="16.5" customHeight="1" x14ac:dyDescent="0.25">
      <c r="A34" s="39"/>
      <c r="B34" s="31"/>
      <c r="C34" s="31" t="s">
        <v>38</v>
      </c>
      <c r="D34" s="32"/>
      <c r="E34" s="32"/>
      <c r="F34" s="33"/>
      <c r="G34" s="33"/>
      <c r="H34" s="34"/>
      <c r="I34" s="34"/>
      <c r="J34" s="54"/>
      <c r="K34" s="36">
        <f>J33</f>
        <v>0</v>
      </c>
    </row>
    <row r="35" spans="1:12" ht="16.5" customHeight="1" x14ac:dyDescent="0.25">
      <c r="A35" s="39"/>
      <c r="B35" s="31"/>
      <c r="C35" s="31" t="str">
        <f>IF($F$7="Proprietary","Cr: Acct 0870 - SERVICES &amp; CHARGES (MG ADJ)",VLOOKUP($F$9,'[3]Drop Down Menus'!$F$2:$G$10,2,FALSE))</f>
        <v>Cr: Acct 0830 - TRANSPORTATION (GAAP ADJ)</v>
      </c>
      <c r="D35" s="32"/>
      <c r="E35" s="32"/>
      <c r="F35" s="33"/>
      <c r="G35" s="33"/>
      <c r="H35" s="34"/>
      <c r="I35" s="34"/>
      <c r="J35" s="54"/>
      <c r="K35" s="36">
        <v>0</v>
      </c>
    </row>
    <row r="36" spans="1:12" ht="16.5" customHeight="1" x14ac:dyDescent="0.25">
      <c r="A36" s="39"/>
      <c r="C36" s="26"/>
      <c r="D36" s="26"/>
      <c r="E36" s="26"/>
      <c r="F36" s="27"/>
      <c r="G36" s="27"/>
      <c r="H36" s="28"/>
      <c r="I36" s="28"/>
      <c r="J36" s="46">
        <f>SUM(J33:J35)</f>
        <v>0</v>
      </c>
      <c r="K36" s="46">
        <f>SUM(K33:K35)</f>
        <v>0</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v>0</v>
      </c>
      <c r="K39" s="54"/>
    </row>
    <row r="40" spans="1:12" ht="16.5" customHeight="1" x14ac:dyDescent="0.25">
      <c r="A40" s="30" t="s">
        <v>20</v>
      </c>
      <c r="B40" s="31" t="s">
        <v>22</v>
      </c>
      <c r="C40" s="31"/>
      <c r="D40" s="32"/>
      <c r="E40" s="32"/>
      <c r="F40" s="33"/>
      <c r="G40" s="33"/>
      <c r="H40" s="34"/>
      <c r="I40" s="34"/>
      <c r="J40" s="36">
        <v>0</v>
      </c>
      <c r="K40" s="54"/>
    </row>
    <row r="41" spans="1:12" ht="16.5" customHeight="1" x14ac:dyDescent="0.25">
      <c r="A41" s="30" t="s">
        <v>20</v>
      </c>
      <c r="B41" s="31" t="s">
        <v>23</v>
      </c>
      <c r="C41" s="31"/>
      <c r="D41" s="32"/>
      <c r="E41" s="32"/>
      <c r="F41" s="33"/>
      <c r="G41" s="33"/>
      <c r="H41" s="34"/>
      <c r="I41" s="34"/>
      <c r="J41" s="36">
        <f>K34</f>
        <v>0</v>
      </c>
      <c r="K41" s="54"/>
    </row>
    <row r="42" spans="1:12" ht="16.5" customHeight="1" x14ac:dyDescent="0.25">
      <c r="A42" s="39"/>
      <c r="B42" s="31"/>
      <c r="C42" s="31" t="s">
        <v>40</v>
      </c>
      <c r="D42" s="32"/>
      <c r="E42" s="32"/>
      <c r="F42" s="33"/>
      <c r="G42" s="33"/>
      <c r="H42" s="34"/>
      <c r="I42" s="34"/>
      <c r="J42" s="54"/>
      <c r="K42" s="36">
        <f>J41</f>
        <v>0</v>
      </c>
    </row>
    <row r="43" spans="1:12" ht="16.5" customHeight="1" x14ac:dyDescent="0.25">
      <c r="A43" s="39"/>
      <c r="B43" s="22" t="s">
        <v>41</v>
      </c>
      <c r="C43" s="26"/>
      <c r="D43" s="26"/>
      <c r="E43" s="26"/>
      <c r="F43" s="27"/>
      <c r="G43" s="27"/>
      <c r="H43" s="28"/>
      <c r="I43" s="28"/>
      <c r="J43" s="46">
        <f>SUM(J39:J42)</f>
        <v>0</v>
      </c>
      <c r="K43" s="46">
        <f>SUM(K39:K42)</f>
        <v>0</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f>K34</f>
        <v>0</v>
      </c>
      <c r="K47" s="54"/>
    </row>
    <row r="48" spans="1:12" ht="16.5" customHeight="1" x14ac:dyDescent="0.25">
      <c r="A48" s="42" t="s">
        <v>29</v>
      </c>
      <c r="B48" s="31"/>
      <c r="C48" s="31" t="s">
        <v>30</v>
      </c>
      <c r="D48" s="32"/>
      <c r="E48" s="32"/>
      <c r="F48" s="33"/>
      <c r="G48" s="33"/>
      <c r="H48" s="34"/>
      <c r="I48" s="34"/>
      <c r="J48" s="54"/>
      <c r="K48" s="36">
        <f>J47</f>
        <v>0</v>
      </c>
    </row>
    <row r="49" spans="1:16" ht="16.5" customHeight="1" x14ac:dyDescent="0.25">
      <c r="A49" s="39"/>
      <c r="C49" s="26"/>
      <c r="D49" s="26"/>
      <c r="E49" s="26"/>
      <c r="F49" s="27"/>
      <c r="G49" s="27"/>
      <c r="H49" s="28"/>
      <c r="I49" s="28"/>
      <c r="J49" s="46">
        <f>SUM(J47:J48)</f>
        <v>0</v>
      </c>
      <c r="K49" s="46">
        <f>SUM(K47:K48)</f>
        <v>0</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31794</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31794</v>
      </c>
    </row>
    <row r="59" spans="1:16" ht="16.5" customHeight="1" x14ac:dyDescent="0.25">
      <c r="A59" s="39"/>
      <c r="C59" s="26"/>
      <c r="D59" s="26"/>
      <c r="E59" s="26"/>
      <c r="F59" s="27"/>
      <c r="G59" s="27"/>
      <c r="H59" s="28"/>
      <c r="I59" s="28"/>
      <c r="J59" s="46">
        <f>SUM(J55:J58)</f>
        <v>31794</v>
      </c>
      <c r="K59" s="46">
        <f>SUM(K55:K58)</f>
        <v>31794</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31826</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13</v>
      </c>
      <c r="K63" s="59"/>
    </row>
    <row r="64" spans="1:16" ht="16.5" customHeight="1" x14ac:dyDescent="0.25">
      <c r="A64" s="39"/>
      <c r="B64" s="31"/>
      <c r="C64" s="31" t="str">
        <f>IF($F$7="Proprietary","Cr: Acct 0870 - SERVICES &amp; CHARGES (MG ADJ)",VLOOKUP($F$9,'[3]Drop Down Menus'!$F$2:$G$10,2,FALSE))</f>
        <v>Cr: Acct 0830 - TRANSPORTATION (GAAP ADJ)</v>
      </c>
      <c r="D64" s="32"/>
      <c r="E64" s="32"/>
      <c r="F64" s="33"/>
      <c r="G64" s="33"/>
      <c r="H64" s="34"/>
      <c r="I64" s="34"/>
      <c r="J64" s="59"/>
      <c r="K64" s="36">
        <f>J62+J63</f>
        <v>31839</v>
      </c>
    </row>
    <row r="65" spans="1:12" ht="16.5" customHeight="1" x14ac:dyDescent="0.25">
      <c r="A65" s="39"/>
      <c r="C65" s="26"/>
      <c r="D65" s="26"/>
      <c r="E65" s="26"/>
      <c r="F65" s="27"/>
      <c r="G65" s="27"/>
      <c r="H65" s="28"/>
      <c r="I65" s="28"/>
      <c r="J65" s="46">
        <f>SUM(J62:J64)</f>
        <v>31839</v>
      </c>
      <c r="K65" s="46">
        <f>SUM(K62:K64)</f>
        <v>31839</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f>J62</f>
        <v>31826</v>
      </c>
      <c r="K68" s="54"/>
    </row>
    <row r="69" spans="1:12" ht="16.5" customHeight="1" x14ac:dyDescent="0.25">
      <c r="A69" s="39"/>
      <c r="B69" s="31"/>
      <c r="C69" s="31" t="s">
        <v>52</v>
      </c>
      <c r="D69" s="32"/>
      <c r="E69" s="32"/>
      <c r="F69" s="33"/>
      <c r="G69" s="33"/>
      <c r="H69" s="34"/>
      <c r="I69" s="34"/>
      <c r="J69" s="54"/>
      <c r="K69" s="36">
        <f>J68</f>
        <v>31826</v>
      </c>
    </row>
    <row r="70" spans="1:12" ht="16.5" customHeight="1" x14ac:dyDescent="0.25">
      <c r="A70" s="39"/>
      <c r="C70" s="26"/>
      <c r="D70" s="26"/>
      <c r="E70" s="26"/>
      <c r="F70" s="27"/>
      <c r="G70" s="27"/>
      <c r="H70" s="28"/>
      <c r="I70" s="28"/>
      <c r="J70" s="46">
        <f>SUM(J68:J69)</f>
        <v>31826</v>
      </c>
      <c r="K70" s="46">
        <f>SUM(K68:K69)</f>
        <v>31826</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0</v>
      </c>
      <c r="K75" s="54"/>
    </row>
    <row r="76" spans="1:12" ht="16.5" customHeight="1" x14ac:dyDescent="0.25">
      <c r="A76" s="39"/>
      <c r="B76" s="31"/>
      <c r="C76" s="31" t="s">
        <v>55</v>
      </c>
      <c r="D76" s="32"/>
      <c r="E76" s="32"/>
      <c r="F76" s="33"/>
      <c r="G76" s="33"/>
      <c r="H76" s="34"/>
      <c r="I76" s="34"/>
      <c r="J76" s="54"/>
      <c r="K76" s="36">
        <f>J75</f>
        <v>0</v>
      </c>
    </row>
    <row r="77" spans="1:12" ht="16.5" customHeight="1" x14ac:dyDescent="0.2">
      <c r="A77" s="39"/>
      <c r="B77" s="175" t="s">
        <v>56</v>
      </c>
      <c r="C77" s="175"/>
      <c r="D77" s="175"/>
      <c r="E77" s="175"/>
      <c r="F77" s="175"/>
      <c r="G77" s="175"/>
      <c r="H77" s="175"/>
      <c r="I77" s="175"/>
      <c r="J77" s="46">
        <f>SUM(J75:J76)</f>
        <v>0</v>
      </c>
      <c r="K77" s="46">
        <f>SUM(K75:K76)</f>
        <v>0</v>
      </c>
      <c r="L77" s="47" t="str">
        <f>IF(J77=K77,"&lt;- Debits and Credits equal each other.","&lt;- Debits and Credits do not equal each other.")</f>
        <v>&lt;- Debits and Credits equal each other.</v>
      </c>
    </row>
    <row r="78" spans="1:12" ht="16.5" customHeight="1" x14ac:dyDescent="0.2">
      <c r="A78" s="39"/>
      <c r="B78" s="175"/>
      <c r="C78" s="175"/>
      <c r="D78" s="175"/>
      <c r="E78" s="175"/>
      <c r="F78" s="175"/>
      <c r="G78" s="175"/>
      <c r="H78" s="175"/>
      <c r="I78" s="175"/>
      <c r="J78" s="46"/>
      <c r="K78" s="46"/>
      <c r="L78" s="47"/>
    </row>
    <row r="79" spans="1:12" ht="24.6" customHeight="1" x14ac:dyDescent="0.2">
      <c r="A79" s="39"/>
      <c r="B79" s="175"/>
      <c r="C79" s="175"/>
      <c r="D79" s="175"/>
      <c r="E79" s="175"/>
      <c r="F79" s="175"/>
      <c r="G79" s="175"/>
      <c r="H79" s="175"/>
      <c r="I79" s="175"/>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127178</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127178</v>
      </c>
    </row>
    <row r="91" spans="1:16" ht="16.5" customHeight="1" x14ac:dyDescent="0.25">
      <c r="B91" s="22" t="s">
        <v>66</v>
      </c>
      <c r="H91" s="2"/>
      <c r="J91" s="62">
        <f>SUM(J85:J90)</f>
        <v>127178</v>
      </c>
      <c r="K91" s="62">
        <f>SUM(K85:K90)</f>
        <v>127178</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0830 - TRANSPORTATION (GAAP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0830 - TRANSPORTATION (GAAP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0</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1</v>
      </c>
    </row>
    <row r="128" spans="1:12" ht="16.5" customHeight="1" x14ac:dyDescent="0.25">
      <c r="D128" s="32" t="s">
        <v>78</v>
      </c>
      <c r="H128" s="2"/>
      <c r="K128" s="76">
        <f>-K23-K48+J68+J75+J96-K113</f>
        <v>0</v>
      </c>
    </row>
    <row r="129" spans="4:11" ht="16.5" customHeight="1" x14ac:dyDescent="0.25">
      <c r="D129" s="32" t="s">
        <v>79</v>
      </c>
      <c r="H129" s="2"/>
      <c r="K129" s="76">
        <f>-K76</f>
        <v>0</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dlBIYg5psysq8XvuETpZ+OzCcDUaVuN2I0aY1VXXMRpSv+TVPuDT46Bpo2NP6yRbtfRfkFG3bVOJqnPByHufhw==" saltValue="OR2O/yNGz0r3OeX+UPZ3P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0AA0B42-7874-437E-901E-D3045736C28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387408F-21F8-4059-B66B-5A95D6C68B51}">
      <formula1>0</formula1>
    </dataValidation>
    <dataValidation operator="lessThan" allowBlank="1" showInputMessage="1" showErrorMessage="1" sqref="A3:A8" xr:uid="{EAF887CC-E5D4-4526-9D4D-B6C5E3687CA1}"/>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4EA1-0B3B-4739-A187-9D1D43940747}">
  <sheetPr>
    <tabColor theme="9" tint="0.59999389629810485"/>
  </sheetPr>
  <dimension ref="A1:M98"/>
  <sheetViews>
    <sheetView zoomScale="70" zoomScaleNormal="70" workbookViewId="0">
      <selection activeCell="B19" sqref="B19"/>
    </sheetView>
  </sheetViews>
  <sheetFormatPr defaultColWidth="9.140625" defaultRowHeight="15" x14ac:dyDescent="0.2"/>
  <cols>
    <col min="1" max="1" width="37.42578125" style="48" customWidth="1"/>
    <col min="2" max="3" width="33.28515625" style="48" customWidth="1"/>
    <col min="4" max="4" width="86.85546875" style="48" customWidth="1"/>
    <col min="5" max="5" width="9.140625" style="48"/>
    <col min="6" max="6" width="19.28515625" style="48" customWidth="1"/>
    <col min="7" max="16384" width="9.140625" style="48"/>
  </cols>
  <sheetData>
    <row r="1" spans="1:13" ht="30" customHeight="1" x14ac:dyDescent="0.25">
      <c r="A1" s="177" t="s">
        <v>80</v>
      </c>
      <c r="B1" s="177"/>
      <c r="C1" s="177"/>
      <c r="D1" s="177"/>
      <c r="E1" s="177"/>
      <c r="F1" s="177"/>
      <c r="G1" s="78"/>
      <c r="H1" s="78"/>
      <c r="I1" s="78"/>
      <c r="J1" s="78"/>
      <c r="K1" s="78"/>
      <c r="L1" s="78"/>
      <c r="M1" s="78"/>
    </row>
    <row r="2" spans="1:13" ht="64.150000000000006" customHeight="1" x14ac:dyDescent="0.25">
      <c r="A2" s="178" t="s">
        <v>81</v>
      </c>
      <c r="B2" s="178"/>
      <c r="C2" s="178"/>
      <c r="D2" s="178"/>
      <c r="E2" s="178"/>
      <c r="F2" s="178"/>
      <c r="G2" s="78"/>
      <c r="H2" s="78"/>
      <c r="I2" s="78"/>
      <c r="J2" s="78"/>
      <c r="K2" s="78"/>
      <c r="L2" s="78"/>
      <c r="M2" s="78"/>
    </row>
    <row r="3" spans="1:13" ht="31.9" customHeight="1" x14ac:dyDescent="0.25">
      <c r="A3" s="179" t="s">
        <v>82</v>
      </c>
      <c r="B3" s="179"/>
      <c r="C3" s="179"/>
      <c r="D3" s="79"/>
      <c r="E3" s="78"/>
      <c r="F3" s="78"/>
      <c r="G3" s="78"/>
      <c r="H3" s="78"/>
      <c r="I3" s="78"/>
      <c r="J3" s="78"/>
      <c r="K3" s="78"/>
      <c r="L3" s="78"/>
      <c r="M3" s="78"/>
    </row>
    <row r="4" spans="1:13" ht="31.15" customHeight="1" x14ac:dyDescent="0.25">
      <c r="A4" s="180" t="s">
        <v>83</v>
      </c>
      <c r="B4" s="180"/>
      <c r="C4" s="180"/>
      <c r="D4" s="79"/>
      <c r="E4" s="78"/>
      <c r="F4" s="78"/>
      <c r="G4" s="78"/>
      <c r="H4" s="78"/>
      <c r="I4" s="78"/>
      <c r="J4" s="78"/>
      <c r="K4" s="78"/>
      <c r="L4" s="78"/>
      <c r="M4" s="78"/>
    </row>
    <row r="5" spans="1:13" ht="31.15" customHeight="1" x14ac:dyDescent="0.25">
      <c r="A5" s="180" t="s">
        <v>84</v>
      </c>
      <c r="B5" s="180"/>
      <c r="C5" s="180"/>
      <c r="D5" s="79"/>
      <c r="E5" s="78"/>
      <c r="F5" s="78"/>
      <c r="G5" s="78"/>
      <c r="H5" s="78"/>
      <c r="I5" s="78"/>
      <c r="J5" s="78"/>
      <c r="K5" s="78"/>
      <c r="L5" s="78"/>
      <c r="M5" s="78"/>
    </row>
    <row r="6" spans="1:13" ht="15.75" x14ac:dyDescent="0.25">
      <c r="A6" s="79"/>
      <c r="B6" s="79"/>
      <c r="C6" s="79"/>
      <c r="D6" s="79"/>
      <c r="E6" s="78"/>
      <c r="F6" s="78"/>
      <c r="G6" s="78"/>
      <c r="H6" s="78"/>
      <c r="I6" s="78"/>
      <c r="J6" s="78"/>
      <c r="K6" s="78"/>
      <c r="L6" s="78"/>
      <c r="M6" s="78"/>
    </row>
    <row r="7" spans="1:13" ht="20.25" x14ac:dyDescent="0.3">
      <c r="A7" s="80" t="s">
        <v>85</v>
      </c>
      <c r="B7" s="78"/>
      <c r="C7" s="78"/>
      <c r="D7" s="78"/>
      <c r="E7" s="78"/>
      <c r="F7" s="78"/>
      <c r="G7" s="78"/>
      <c r="H7" s="78"/>
      <c r="I7" s="78"/>
      <c r="J7" s="78"/>
      <c r="K7" s="78"/>
      <c r="L7" s="78"/>
      <c r="M7" s="78"/>
    </row>
    <row r="8" spans="1:13" ht="15.75" x14ac:dyDescent="0.25">
      <c r="A8" s="81" t="s">
        <v>2</v>
      </c>
      <c r="B8" s="176" t="s">
        <v>3</v>
      </c>
      <c r="C8" s="176"/>
      <c r="D8" s="78"/>
      <c r="E8" s="78"/>
      <c r="F8" s="78"/>
    </row>
    <row r="9" spans="1:13" ht="15.75" x14ac:dyDescent="0.25">
      <c r="A9" s="81" t="s">
        <v>86</v>
      </c>
      <c r="B9" s="182">
        <v>2660</v>
      </c>
      <c r="C9" s="182"/>
      <c r="D9" s="78"/>
      <c r="E9" s="78"/>
      <c r="F9" s="78"/>
    </row>
    <row r="10" spans="1:13" ht="15.75" x14ac:dyDescent="0.25">
      <c r="A10" s="81" t="s">
        <v>4</v>
      </c>
      <c r="B10" s="183" t="s">
        <v>5</v>
      </c>
      <c r="C10" s="183"/>
      <c r="D10" s="78"/>
      <c r="E10" s="78"/>
      <c r="F10" s="78"/>
      <c r="G10" s="82"/>
      <c r="H10" s="82"/>
      <c r="I10" s="82"/>
      <c r="J10" s="82"/>
      <c r="K10" s="82"/>
      <c r="L10" s="82"/>
      <c r="M10" s="82"/>
    </row>
    <row r="11" spans="1:13" ht="32.25" customHeight="1" x14ac:dyDescent="0.25">
      <c r="A11" s="184" t="s">
        <v>87</v>
      </c>
      <c r="B11" s="184"/>
      <c r="C11" s="184"/>
      <c r="D11" s="78"/>
      <c r="E11" s="78"/>
      <c r="F11" s="78"/>
      <c r="G11" s="83"/>
      <c r="H11" s="83"/>
      <c r="I11" s="83"/>
      <c r="J11" s="83"/>
      <c r="K11" s="83"/>
      <c r="L11" s="83"/>
      <c r="M11" s="83"/>
    </row>
    <row r="12" spans="1:13" ht="15" customHeight="1" x14ac:dyDescent="0.25">
      <c r="A12" s="84"/>
      <c r="B12" s="85" t="s">
        <v>88</v>
      </c>
      <c r="C12" s="85" t="s">
        <v>89</v>
      </c>
      <c r="D12" s="185" t="str">
        <f>"All of the below questions are for Fiscal Year "&amp;$B$8&amp;":"</f>
        <v>All of the below questions are for Fiscal Year 2022–2023:</v>
      </c>
      <c r="E12" s="185"/>
      <c r="F12" s="185"/>
      <c r="G12" s="83"/>
      <c r="H12" s="83"/>
      <c r="I12" s="83"/>
      <c r="J12" s="83"/>
      <c r="K12" s="83"/>
      <c r="L12" s="83"/>
      <c r="M12" s="83"/>
    </row>
    <row r="13" spans="1:13" ht="15.6" customHeight="1" x14ac:dyDescent="0.25">
      <c r="A13" s="84" t="str">
        <f>RIGHT(B8,4)&amp;"–"&amp;RIGHT(B8,4)+1</f>
        <v>2023–2024</v>
      </c>
      <c r="B13" s="86">
        <v>33463895</v>
      </c>
      <c r="C13" s="86">
        <v>205806</v>
      </c>
      <c r="D13" s="186" t="s">
        <v>90</v>
      </c>
      <c r="E13" s="187"/>
      <c r="F13" s="187"/>
      <c r="G13" s="83"/>
      <c r="H13" s="83"/>
      <c r="I13" s="83"/>
      <c r="J13" s="83"/>
      <c r="K13" s="83"/>
      <c r="L13" s="83"/>
      <c r="M13" s="83"/>
    </row>
    <row r="14" spans="1:13" x14ac:dyDescent="0.2">
      <c r="A14" s="84" t="str">
        <f>LEFT(A13,4)+1&amp;"–"&amp;RIGHT(A13,4)+1</f>
        <v>2024–2025</v>
      </c>
      <c r="B14" s="86">
        <v>21928739</v>
      </c>
      <c r="C14" s="86">
        <v>117697</v>
      </c>
      <c r="D14" s="186"/>
      <c r="E14" s="187"/>
      <c r="F14" s="187"/>
    </row>
    <row r="15" spans="1:13" ht="15.75" x14ac:dyDescent="0.2">
      <c r="A15" s="84" t="str">
        <f>LEFT(A14,4)+1&amp;"–"&amp;RIGHT(A14,4)+1</f>
        <v>2025–2026</v>
      </c>
      <c r="B15" s="86">
        <v>15979935</v>
      </c>
      <c r="C15" s="86">
        <v>60154</v>
      </c>
      <c r="D15" s="181" t="s">
        <v>91</v>
      </c>
      <c r="E15" s="181"/>
      <c r="F15" s="181"/>
      <c r="G15" s="87"/>
      <c r="H15" s="87"/>
      <c r="I15" s="87"/>
      <c r="J15" s="87"/>
      <c r="K15" s="87"/>
      <c r="L15" s="87"/>
      <c r="M15" s="87"/>
    </row>
    <row r="16" spans="1:13" x14ac:dyDescent="0.2">
      <c r="A16" s="84" t="str">
        <f>LEFT(A15,4)+1&amp;"–"&amp;RIGHT(A15,4)+1</f>
        <v>2026–2027</v>
      </c>
      <c r="B16" s="86">
        <v>4063074</v>
      </c>
      <c r="C16" s="86">
        <v>19847</v>
      </c>
      <c r="D16" s="188" t="str">
        <f>"If yes, record the dollar amount of variable payments below for fiscal year "&amp;$B$8&amp;":"</f>
        <v>If yes, record the dollar amount of variable payments below for fiscal year 2022–2023:</v>
      </c>
      <c r="E16" s="188"/>
      <c r="F16" s="188"/>
      <c r="G16" s="88"/>
      <c r="H16" s="88"/>
      <c r="I16" s="88"/>
      <c r="J16" s="88"/>
      <c r="K16" s="88"/>
    </row>
    <row r="17" spans="1:13" ht="15" customHeight="1" x14ac:dyDescent="0.2">
      <c r="A17" s="84" t="str">
        <f>LEFT(A16,4)+1&amp;"–"&amp;RIGHT(A16,4)+1</f>
        <v>2027–2028</v>
      </c>
      <c r="B17" s="86">
        <v>983008</v>
      </c>
      <c r="C17" s="86">
        <v>6987</v>
      </c>
      <c r="D17" s="181"/>
      <c r="E17" s="181"/>
      <c r="F17" s="181"/>
      <c r="G17" s="88"/>
      <c r="H17" s="88"/>
      <c r="I17" s="88"/>
      <c r="J17" s="88"/>
      <c r="K17" s="88"/>
    </row>
    <row r="18" spans="1:13" ht="15" customHeight="1" x14ac:dyDescent="0.25">
      <c r="A18" s="84" t="str">
        <f>LEFT(A17,4)+1&amp;"–"&amp;RIGHT(A17,4)+5</f>
        <v>2028–2033</v>
      </c>
      <c r="B18" s="86">
        <f>288839+1</f>
        <v>288840</v>
      </c>
      <c r="C18" s="86">
        <v>542</v>
      </c>
      <c r="D18" s="186" t="s">
        <v>92</v>
      </c>
      <c r="E18" s="187"/>
      <c r="F18" s="187"/>
      <c r="G18" s="83"/>
      <c r="H18" s="83"/>
      <c r="I18" s="83"/>
      <c r="J18" s="83"/>
      <c r="K18" s="83"/>
      <c r="L18" s="83"/>
      <c r="M18" s="83"/>
    </row>
    <row r="19" spans="1:13" x14ac:dyDescent="0.2">
      <c r="A19" s="84" t="str">
        <f t="shared" ref="A19:A32" si="0">LEFT(A18,4)+5&amp;"–"&amp;RIGHT(A18,4)+5</f>
        <v>2033–2038</v>
      </c>
      <c r="B19" s="86">
        <v>0</v>
      </c>
      <c r="C19" s="86">
        <v>0</v>
      </c>
      <c r="D19" s="186"/>
      <c r="E19" s="187"/>
      <c r="F19" s="187"/>
    </row>
    <row r="20" spans="1:13" ht="15.75" x14ac:dyDescent="0.2">
      <c r="A20" s="84" t="str">
        <f t="shared" si="0"/>
        <v>2038–2043</v>
      </c>
      <c r="B20" s="86">
        <v>0</v>
      </c>
      <c r="C20" s="86">
        <v>0</v>
      </c>
      <c r="D20" s="181" t="s">
        <v>91</v>
      </c>
      <c r="E20" s="181"/>
      <c r="F20" s="181"/>
      <c r="G20" s="87"/>
      <c r="H20" s="87"/>
      <c r="I20" s="87"/>
      <c r="J20" s="87"/>
      <c r="K20" s="87"/>
      <c r="L20" s="87"/>
      <c r="M20" s="87"/>
    </row>
    <row r="21" spans="1:13" ht="15" customHeight="1" x14ac:dyDescent="0.2">
      <c r="A21" s="84" t="str">
        <f t="shared" si="0"/>
        <v>2043–2048</v>
      </c>
      <c r="B21" s="86"/>
      <c r="C21" s="86"/>
      <c r="D21" s="189" t="str">
        <f>"If yes, record the dollar amount of any payments made for residual value guarantees below for fiscal year "&amp;$B$8&amp;":"</f>
        <v>If yes, record the dollar amount of any payments made for residual value guarantees below for fiscal year 2022–2023:</v>
      </c>
      <c r="E21" s="188"/>
      <c r="F21" s="188"/>
    </row>
    <row r="22" spans="1:13" x14ac:dyDescent="0.2">
      <c r="A22" s="84" t="str">
        <f t="shared" si="0"/>
        <v>2048–2053</v>
      </c>
      <c r="B22" s="86"/>
      <c r="C22" s="86"/>
      <c r="D22" s="189"/>
      <c r="E22" s="188"/>
      <c r="F22" s="188"/>
    </row>
    <row r="23" spans="1:13" x14ac:dyDescent="0.2">
      <c r="A23" s="84" t="str">
        <f t="shared" si="0"/>
        <v>2053–2058</v>
      </c>
      <c r="B23" s="86"/>
      <c r="C23" s="86"/>
      <c r="D23" s="181"/>
      <c r="E23" s="181"/>
      <c r="F23" s="181"/>
    </row>
    <row r="24" spans="1:13" x14ac:dyDescent="0.2">
      <c r="A24" s="84" t="str">
        <f t="shared" si="0"/>
        <v>2058–2063</v>
      </c>
      <c r="B24" s="86"/>
      <c r="C24" s="86"/>
      <c r="D24" s="18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88"/>
      <c r="F24" s="188"/>
    </row>
    <row r="25" spans="1:13" ht="15" customHeight="1" x14ac:dyDescent="0.2">
      <c r="A25" s="84" t="str">
        <f t="shared" si="0"/>
        <v>2063–2068</v>
      </c>
      <c r="B25" s="86"/>
      <c r="C25" s="86"/>
      <c r="D25" s="189"/>
      <c r="E25" s="188"/>
      <c r="F25" s="188"/>
    </row>
    <row r="26" spans="1:13" x14ac:dyDescent="0.2">
      <c r="A26" s="84" t="str">
        <f t="shared" si="0"/>
        <v>2068–2073</v>
      </c>
      <c r="B26" s="86"/>
      <c r="C26" s="86"/>
      <c r="D26" s="181">
        <v>0</v>
      </c>
      <c r="E26" s="181"/>
      <c r="F26" s="181"/>
    </row>
    <row r="27" spans="1:13" ht="15" customHeight="1" x14ac:dyDescent="0.2">
      <c r="A27" s="84" t="str">
        <f t="shared" si="0"/>
        <v>2073–2078</v>
      </c>
      <c r="B27" s="86"/>
      <c r="C27" s="86"/>
      <c r="D27"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87"/>
      <c r="F27" s="187"/>
    </row>
    <row r="28" spans="1:13" ht="15.75" x14ac:dyDescent="0.2">
      <c r="A28" s="84" t="str">
        <f t="shared" si="0"/>
        <v>2078–2083</v>
      </c>
      <c r="B28" s="86"/>
      <c r="C28" s="86"/>
      <c r="D28" s="186"/>
      <c r="E28" s="187"/>
      <c r="F28" s="187"/>
      <c r="G28" s="89"/>
      <c r="H28" s="89"/>
      <c r="I28" s="89"/>
      <c r="J28" s="89"/>
      <c r="K28" s="89"/>
      <c r="L28" s="89"/>
      <c r="M28" s="89"/>
    </row>
    <row r="29" spans="1:13" ht="15.75" x14ac:dyDescent="0.2">
      <c r="A29" s="84" t="str">
        <f t="shared" si="0"/>
        <v>2083–2088</v>
      </c>
      <c r="B29" s="86"/>
      <c r="C29" s="86"/>
      <c r="D29" s="181" t="s">
        <v>91</v>
      </c>
      <c r="E29" s="181"/>
      <c r="F29" s="181"/>
      <c r="G29" s="89"/>
      <c r="H29" s="89"/>
      <c r="I29" s="89"/>
      <c r="J29" s="89"/>
      <c r="K29" s="89"/>
      <c r="L29" s="89"/>
      <c r="M29" s="89"/>
    </row>
    <row r="30" spans="1:13" ht="15.75" x14ac:dyDescent="0.2">
      <c r="A30" s="84" t="str">
        <f t="shared" si="0"/>
        <v>2088–2093</v>
      </c>
      <c r="B30" s="86"/>
      <c r="C30" s="86"/>
      <c r="D30" s="48" t="str">
        <f>CONCATENATE("5. Are there any lease commitments known that have yet to commence as of June 30, ",RIGHT(B8,4),"?")</f>
        <v>5. Are there any lease commitments known that have yet to commence as of June 30, 2023?</v>
      </c>
      <c r="E30" s="90"/>
      <c r="F30" s="90"/>
      <c r="G30" s="89"/>
      <c r="H30" s="89"/>
      <c r="I30" s="89"/>
      <c r="J30" s="89"/>
      <c r="K30" s="89"/>
      <c r="L30" s="89"/>
      <c r="M30" s="89"/>
    </row>
    <row r="31" spans="1:13" ht="15" customHeight="1" x14ac:dyDescent="0.2">
      <c r="A31" s="84" t="str">
        <f t="shared" si="0"/>
        <v>2093–2098</v>
      </c>
      <c r="B31" s="86"/>
      <c r="C31" s="86"/>
      <c r="D31" s="181" t="s">
        <v>91</v>
      </c>
      <c r="E31" s="181"/>
      <c r="F31" s="181"/>
    </row>
    <row r="32" spans="1:13" x14ac:dyDescent="0.2">
      <c r="A32" s="84" t="str">
        <f t="shared" si="0"/>
        <v>2098–2103</v>
      </c>
      <c r="B32" s="86"/>
      <c r="C32" s="86"/>
      <c r="D32" s="91" t="str">
        <f>"If yes, record the dollar amount of any lease commitments not commenced below for fiscal year "&amp;A13&amp;"."</f>
        <v>If yes, record the dollar amount of any lease commitments not commenced below for fiscal year 2023–2024.</v>
      </c>
      <c r="E32" s="92"/>
      <c r="F32" s="92"/>
    </row>
    <row r="33" spans="1:13" x14ac:dyDescent="0.2">
      <c r="A33" s="84" t="str">
        <f>LEFT(A32,4)+5&amp;"–"&amp;RIGHT(A32,4)+5</f>
        <v>2103–2108</v>
      </c>
      <c r="B33" s="86"/>
      <c r="C33" s="86"/>
      <c r="D33" s="181"/>
      <c r="E33" s="181"/>
      <c r="F33" s="181"/>
    </row>
    <row r="34" spans="1:13" ht="15" customHeight="1" x14ac:dyDescent="0.2">
      <c r="A34" s="84" t="str">
        <f>LEFT(A33,4)+5&amp;"–"&amp;RIGHT(A33,4)+5</f>
        <v>2108–2113</v>
      </c>
      <c r="B34" s="86"/>
      <c r="C34" s="86"/>
      <c r="G34" s="82"/>
      <c r="H34" s="82"/>
      <c r="I34" s="82"/>
      <c r="J34" s="82"/>
      <c r="K34" s="82"/>
      <c r="L34" s="82"/>
      <c r="M34" s="82"/>
    </row>
    <row r="35" spans="1:13" ht="16.5" customHeight="1" x14ac:dyDescent="0.2">
      <c r="A35" s="84" t="str">
        <f>LEFT(A34,4)+5&amp;"–"&amp;RIGHT(A34,4)+5</f>
        <v>2113–2118</v>
      </c>
      <c r="B35" s="86"/>
      <c r="C35" s="86"/>
      <c r="G35" s="93"/>
      <c r="H35" s="93"/>
      <c r="I35" s="93"/>
      <c r="J35" s="93"/>
      <c r="K35" s="93"/>
      <c r="L35" s="93"/>
      <c r="M35" s="93"/>
    </row>
    <row r="36" spans="1:13" ht="15" customHeight="1" x14ac:dyDescent="0.2">
      <c r="A36" s="84" t="str">
        <f>LEFT(A35,4)+5&amp;"–"&amp;RIGHT(A35,4)+5</f>
        <v>2118–2123</v>
      </c>
      <c r="B36" s="86"/>
      <c r="C36" s="86"/>
      <c r="G36" s="93"/>
      <c r="H36" s="93"/>
      <c r="I36" s="93"/>
      <c r="J36" s="93"/>
      <c r="K36" s="93"/>
      <c r="L36" s="93"/>
      <c r="M36" s="93"/>
    </row>
    <row r="37" spans="1:13" ht="15.75" x14ac:dyDescent="0.2">
      <c r="B37" s="94"/>
      <c r="C37" s="94"/>
      <c r="F37" s="89"/>
    </row>
    <row r="38" spans="1:13" ht="20.25" x14ac:dyDescent="0.3">
      <c r="A38" s="80" t="s">
        <v>93</v>
      </c>
      <c r="F38" s="89"/>
    </row>
    <row r="39" spans="1:13" ht="15.75" x14ac:dyDescent="0.25">
      <c r="A39" s="81" t="s">
        <v>2</v>
      </c>
      <c r="B39" s="190" t="str">
        <f>B8</f>
        <v>2022–2023</v>
      </c>
      <c r="C39" s="190"/>
      <c r="E39" s="90"/>
    </row>
    <row r="40" spans="1:13" ht="15.6" customHeight="1" x14ac:dyDescent="0.25">
      <c r="A40" s="81" t="s">
        <v>86</v>
      </c>
      <c r="B40" s="191">
        <f>B9</f>
        <v>2660</v>
      </c>
      <c r="C40" s="191"/>
      <c r="E40" s="90"/>
    </row>
    <row r="41" spans="1:13" ht="15.75" x14ac:dyDescent="0.25">
      <c r="A41" s="81" t="s">
        <v>4</v>
      </c>
      <c r="B41" s="190" t="str">
        <f>B10</f>
        <v>Department of Transportation</v>
      </c>
      <c r="C41" s="190"/>
      <c r="E41" s="90"/>
    </row>
    <row r="42" spans="1:13" ht="32.25" customHeight="1" x14ac:dyDescent="0.25">
      <c r="A42" s="184" t="s">
        <v>87</v>
      </c>
      <c r="B42" s="184"/>
      <c r="C42" s="184"/>
      <c r="D42" s="78"/>
      <c r="E42" s="78"/>
      <c r="F42" s="78"/>
      <c r="G42" s="83"/>
      <c r="H42" s="83"/>
      <c r="I42" s="83"/>
      <c r="J42" s="83"/>
      <c r="K42" s="83"/>
      <c r="L42" s="83"/>
      <c r="M42" s="83"/>
    </row>
    <row r="43" spans="1:13" ht="15" customHeight="1" x14ac:dyDescent="0.25">
      <c r="A43" s="84"/>
      <c r="B43" s="85" t="s">
        <v>88</v>
      </c>
      <c r="C43" s="85" t="s">
        <v>89</v>
      </c>
      <c r="D43" s="185" t="str">
        <f>"All of the below questions are for Fiscal Year "&amp;$B$8&amp;":"</f>
        <v>All of the below questions are for Fiscal Year 2022–2023:</v>
      </c>
      <c r="E43" s="185"/>
      <c r="F43" s="185"/>
    </row>
    <row r="44" spans="1:13" ht="15" customHeight="1" x14ac:dyDescent="0.2">
      <c r="A44" s="84" t="str">
        <f>RIGHT(B39,4)&amp;"–"&amp;RIGHT(B39,4)+1</f>
        <v>2023–2024</v>
      </c>
      <c r="B44" s="86"/>
      <c r="C44" s="86"/>
      <c r="D44" s="186" t="s">
        <v>90</v>
      </c>
      <c r="E44" s="187"/>
      <c r="F44" s="187"/>
    </row>
    <row r="45" spans="1:13" ht="15" customHeight="1" x14ac:dyDescent="0.2">
      <c r="A45" s="84" t="str">
        <f>LEFT(A44,4)+1&amp;"–"&amp;RIGHT(A44,4)+1</f>
        <v>2024–2025</v>
      </c>
      <c r="B45" s="86"/>
      <c r="C45" s="86"/>
      <c r="D45" s="186"/>
      <c r="E45" s="187"/>
      <c r="F45" s="187"/>
    </row>
    <row r="46" spans="1:13" x14ac:dyDescent="0.2">
      <c r="A46" s="84" t="str">
        <f>LEFT(A45,4)+1&amp;"–"&amp;RIGHT(A45,4)+1</f>
        <v>2025–2026</v>
      </c>
      <c r="B46" s="86"/>
      <c r="C46" s="86"/>
      <c r="D46" s="181"/>
      <c r="E46" s="181"/>
      <c r="F46" s="181"/>
    </row>
    <row r="47" spans="1:13" ht="15" customHeight="1" x14ac:dyDescent="0.2">
      <c r="A47" s="84" t="str">
        <f>LEFT(A46,4)+1&amp;"–"&amp;RIGHT(A46,4)+1</f>
        <v>2026–2027</v>
      </c>
      <c r="B47" s="86"/>
      <c r="C47" s="86"/>
      <c r="D47" s="188" t="str">
        <f>"If yes, record the dollar amount of variable payments below for fiscal year "&amp;$B$8&amp;":"</f>
        <v>If yes, record the dollar amount of variable payments below for fiscal year 2022–2023:</v>
      </c>
      <c r="E47" s="188"/>
      <c r="F47" s="188"/>
    </row>
    <row r="48" spans="1:13" ht="15" customHeight="1" x14ac:dyDescent="0.2">
      <c r="A48" s="84" t="str">
        <f>LEFT(A47,4)+1&amp;"–"&amp;RIGHT(A47,4)+1</f>
        <v>2027–2028</v>
      </c>
      <c r="B48" s="86"/>
      <c r="C48" s="86"/>
      <c r="D48" s="181"/>
      <c r="E48" s="181"/>
      <c r="F48" s="181"/>
    </row>
    <row r="49" spans="1:6" ht="15" customHeight="1" x14ac:dyDescent="0.2">
      <c r="A49" s="84" t="str">
        <f>LEFT(A48,4)+1&amp;"–"&amp;RIGHT(A48,4)+5</f>
        <v>2028–2033</v>
      </c>
      <c r="B49" s="86"/>
      <c r="C49" s="86"/>
      <c r="D49" s="186" t="s">
        <v>92</v>
      </c>
      <c r="E49" s="187"/>
      <c r="F49" s="187"/>
    </row>
    <row r="50" spans="1:6" x14ac:dyDescent="0.2">
      <c r="A50" s="84" t="str">
        <f t="shared" ref="A50:A63" si="1">LEFT(A49,4)+5&amp;"–"&amp;RIGHT(A49,4)+5</f>
        <v>2033–2038</v>
      </c>
      <c r="B50" s="86"/>
      <c r="C50" s="86"/>
      <c r="D50" s="186"/>
      <c r="E50" s="187"/>
      <c r="F50" s="187"/>
    </row>
    <row r="51" spans="1:6" ht="15" customHeight="1" x14ac:dyDescent="0.2">
      <c r="A51" s="84" t="str">
        <f t="shared" si="1"/>
        <v>2038–2043</v>
      </c>
      <c r="B51" s="86"/>
      <c r="C51" s="86"/>
      <c r="D51" s="181"/>
      <c r="E51" s="181"/>
      <c r="F51" s="181"/>
    </row>
    <row r="52" spans="1:6" ht="15" customHeight="1" x14ac:dyDescent="0.2">
      <c r="A52" s="84" t="str">
        <f t="shared" si="1"/>
        <v>2043–2048</v>
      </c>
      <c r="B52" s="86"/>
      <c r="C52" s="86"/>
      <c r="D52" s="189" t="str">
        <f>"If yes, record the dollar amount of any payments made for residual value guarantees below for fiscal year "&amp;$B$8&amp;":"</f>
        <v>If yes, record the dollar amount of any payments made for residual value guarantees below for fiscal year 2022–2023:</v>
      </c>
      <c r="E52" s="188"/>
      <c r="F52" s="188"/>
    </row>
    <row r="53" spans="1:6" x14ac:dyDescent="0.2">
      <c r="A53" s="84" t="str">
        <f t="shared" si="1"/>
        <v>2048–2053</v>
      </c>
      <c r="B53" s="86"/>
      <c r="C53" s="86"/>
      <c r="D53" s="189"/>
      <c r="E53" s="188"/>
      <c r="F53" s="188"/>
    </row>
    <row r="54" spans="1:6" x14ac:dyDescent="0.2">
      <c r="A54" s="84" t="str">
        <f t="shared" si="1"/>
        <v>2053–2058</v>
      </c>
      <c r="B54" s="86"/>
      <c r="C54" s="86"/>
      <c r="D54" s="181"/>
      <c r="E54" s="181"/>
      <c r="F54" s="181"/>
    </row>
    <row r="55" spans="1:6" ht="15" customHeight="1" x14ac:dyDescent="0.2">
      <c r="A55" s="84" t="str">
        <f t="shared" si="1"/>
        <v>2058–2063</v>
      </c>
      <c r="B55" s="86"/>
      <c r="C55" s="86"/>
      <c r="D55" s="18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88"/>
      <c r="F55" s="188"/>
    </row>
    <row r="56" spans="1:6" ht="15" customHeight="1" x14ac:dyDescent="0.2">
      <c r="A56" s="84" t="str">
        <f t="shared" si="1"/>
        <v>2063–2068</v>
      </c>
      <c r="B56" s="86"/>
      <c r="C56" s="86"/>
      <c r="D56" s="189"/>
      <c r="E56" s="188"/>
      <c r="F56" s="188"/>
    </row>
    <row r="57" spans="1:6" x14ac:dyDescent="0.2">
      <c r="A57" s="84" t="str">
        <f t="shared" si="1"/>
        <v>2068–2073</v>
      </c>
      <c r="B57" s="86"/>
      <c r="C57" s="86"/>
      <c r="D57" s="181"/>
      <c r="E57" s="181"/>
      <c r="F57" s="181"/>
    </row>
    <row r="58" spans="1:6" x14ac:dyDescent="0.2">
      <c r="A58" s="84" t="str">
        <f t="shared" si="1"/>
        <v>2073–2078</v>
      </c>
      <c r="B58" s="86"/>
      <c r="C58" s="86"/>
      <c r="D58"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87"/>
      <c r="F58" s="187"/>
    </row>
    <row r="59" spans="1:6" x14ac:dyDescent="0.2">
      <c r="A59" s="84" t="str">
        <f t="shared" si="1"/>
        <v>2078–2083</v>
      </c>
      <c r="B59" s="86"/>
      <c r="C59" s="86"/>
      <c r="D59" s="186"/>
      <c r="E59" s="187"/>
      <c r="F59" s="187"/>
    </row>
    <row r="60" spans="1:6" ht="15" customHeight="1" x14ac:dyDescent="0.2">
      <c r="A60" s="84" t="str">
        <f t="shared" si="1"/>
        <v>2083–2088</v>
      </c>
      <c r="B60" s="86"/>
      <c r="C60" s="86"/>
      <c r="D60" s="181"/>
      <c r="E60" s="181"/>
      <c r="F60" s="181"/>
    </row>
    <row r="61" spans="1:6" x14ac:dyDescent="0.2">
      <c r="A61" s="84" t="str">
        <f t="shared" si="1"/>
        <v>2088–2093</v>
      </c>
      <c r="B61" s="86"/>
      <c r="C61" s="86"/>
      <c r="D61" s="48" t="str">
        <f>CONCATENATE("5. Are there any lease commitments known that have yet to commence as of June 30, ",RIGHT(B39,4),"?")</f>
        <v>5. Are there any lease commitments known that have yet to commence as of June 30, 2023?</v>
      </c>
      <c r="E61" s="90"/>
      <c r="F61" s="90"/>
    </row>
    <row r="62" spans="1:6" x14ac:dyDescent="0.2">
      <c r="A62" s="84" t="str">
        <f t="shared" si="1"/>
        <v>2093–2098</v>
      </c>
      <c r="B62" s="86"/>
      <c r="C62" s="86"/>
      <c r="D62" s="181"/>
      <c r="E62" s="181"/>
      <c r="F62" s="181"/>
    </row>
    <row r="63" spans="1:6" x14ac:dyDescent="0.2">
      <c r="A63" s="84" t="str">
        <f t="shared" si="1"/>
        <v>2098–2103</v>
      </c>
      <c r="B63" s="86"/>
      <c r="C63" s="86"/>
      <c r="D63" s="91" t="str">
        <f>"If yes, record the dollar amount of any lease commitments not commenced below for fiscal year "&amp;A44&amp;"."</f>
        <v>If yes, record the dollar amount of any lease commitments not commenced below for fiscal year 2023–2024.</v>
      </c>
      <c r="E63" s="92"/>
      <c r="F63" s="92"/>
    </row>
    <row r="64" spans="1:6" x14ac:dyDescent="0.2">
      <c r="A64" s="84" t="str">
        <f>LEFT(A63,4)+5&amp;"–"&amp;RIGHT(A63,4)+5</f>
        <v>2103–2108</v>
      </c>
      <c r="B64" s="86"/>
      <c r="C64" s="86"/>
      <c r="D64" s="181"/>
      <c r="E64" s="181"/>
      <c r="F64" s="181"/>
    </row>
    <row r="65" spans="1:13" x14ac:dyDescent="0.2">
      <c r="A65" s="84" t="str">
        <f>LEFT(A64,4)+5&amp;"–"&amp;RIGHT(A64,4)+5</f>
        <v>2108–2113</v>
      </c>
      <c r="B65" s="86"/>
      <c r="C65" s="86"/>
    </row>
    <row r="66" spans="1:13" x14ac:dyDescent="0.2">
      <c r="A66" s="84" t="str">
        <f>LEFT(A65,4)+5&amp;"–"&amp;RIGHT(A65,4)+5</f>
        <v>2113–2118</v>
      </c>
      <c r="B66" s="86"/>
      <c r="C66" s="86"/>
    </row>
    <row r="67" spans="1:13" x14ac:dyDescent="0.2">
      <c r="A67" s="84" t="str">
        <f>LEFT(A66,4)+5&amp;"–"&amp;RIGHT(A66,4)+5</f>
        <v>2118–2123</v>
      </c>
      <c r="B67" s="86"/>
      <c r="C67" s="86"/>
    </row>
    <row r="69" spans="1:13" ht="20.25" x14ac:dyDescent="0.3">
      <c r="A69" s="80" t="s">
        <v>94</v>
      </c>
    </row>
    <row r="70" spans="1:13" ht="15.75" x14ac:dyDescent="0.25">
      <c r="A70" s="81" t="s">
        <v>2</v>
      </c>
      <c r="B70" s="190" t="str">
        <f>B8</f>
        <v>2022–2023</v>
      </c>
      <c r="C70" s="190"/>
    </row>
    <row r="71" spans="1:13" ht="15.75" x14ac:dyDescent="0.25">
      <c r="A71" s="81" t="s">
        <v>86</v>
      </c>
      <c r="B71" s="191">
        <f>B9</f>
        <v>2660</v>
      </c>
      <c r="C71" s="191"/>
    </row>
    <row r="72" spans="1:13" ht="15.75" x14ac:dyDescent="0.25">
      <c r="A72" s="81" t="s">
        <v>4</v>
      </c>
      <c r="B72" s="190" t="str">
        <f>B10</f>
        <v>Department of Transportation</v>
      </c>
      <c r="C72" s="190"/>
    </row>
    <row r="73" spans="1:13" ht="32.25" customHeight="1" x14ac:dyDescent="0.25">
      <c r="A73" s="184" t="s">
        <v>87</v>
      </c>
      <c r="B73" s="184"/>
      <c r="C73" s="184"/>
      <c r="D73" s="78"/>
      <c r="E73" s="78"/>
      <c r="F73" s="78"/>
      <c r="G73" s="83"/>
      <c r="H73" s="83"/>
      <c r="I73" s="83"/>
      <c r="J73" s="83"/>
      <c r="K73" s="83"/>
      <c r="L73" s="83"/>
      <c r="M73" s="83"/>
    </row>
    <row r="74" spans="1:13" ht="15.75" x14ac:dyDescent="0.25">
      <c r="A74" s="84"/>
      <c r="B74" s="85" t="s">
        <v>88</v>
      </c>
      <c r="C74" s="85" t="s">
        <v>89</v>
      </c>
      <c r="D74" s="185" t="str">
        <f>"All of the below questions are for Fiscal Year "&amp;$B$8&amp;":"</f>
        <v>All of the below questions are for Fiscal Year 2022–2023:</v>
      </c>
      <c r="E74" s="185"/>
      <c r="F74" s="185"/>
    </row>
    <row r="75" spans="1:13" ht="15" customHeight="1" x14ac:dyDescent="0.2">
      <c r="A75" s="84" t="str">
        <f>RIGHT(B70,4)&amp;"–"&amp;RIGHT(B70,4)+1</f>
        <v>2023–2024</v>
      </c>
      <c r="B75" s="86"/>
      <c r="C75" s="86"/>
      <c r="D75" s="186" t="s">
        <v>90</v>
      </c>
      <c r="E75" s="187"/>
      <c r="F75" s="187"/>
    </row>
    <row r="76" spans="1:13" x14ac:dyDescent="0.2">
      <c r="A76" s="84" t="str">
        <f>LEFT(A75,4)+1&amp;"–"&amp;RIGHT(A75,4)+1</f>
        <v>2024–2025</v>
      </c>
      <c r="B76" s="86"/>
      <c r="C76" s="86"/>
      <c r="D76" s="186"/>
      <c r="E76" s="187"/>
      <c r="F76" s="187"/>
    </row>
    <row r="77" spans="1:13" x14ac:dyDescent="0.2">
      <c r="A77" s="84" t="str">
        <f>LEFT(A76,4)+1&amp;"–"&amp;RIGHT(A76,4)+1</f>
        <v>2025–2026</v>
      </c>
      <c r="B77" s="86"/>
      <c r="C77" s="86"/>
      <c r="D77" s="181"/>
      <c r="E77" s="181"/>
      <c r="F77" s="181"/>
    </row>
    <row r="78" spans="1:13" ht="15" customHeight="1" x14ac:dyDescent="0.2">
      <c r="A78" s="84" t="str">
        <f>LEFT(A77,4)+1&amp;"–"&amp;RIGHT(A77,4)+1</f>
        <v>2026–2027</v>
      </c>
      <c r="B78" s="86"/>
      <c r="C78" s="86"/>
      <c r="D78" s="188" t="str">
        <f>"If yes, record the dollar amount of variable payments below for fiscal year "&amp;$B$8&amp;":"</f>
        <v>If yes, record the dollar amount of variable payments below for fiscal year 2022–2023:</v>
      </c>
      <c r="E78" s="188"/>
      <c r="F78" s="188"/>
    </row>
    <row r="79" spans="1:13" x14ac:dyDescent="0.2">
      <c r="A79" s="84" t="str">
        <f>LEFT(A78,4)+1&amp;"–"&amp;RIGHT(A78,4)+1</f>
        <v>2027–2028</v>
      </c>
      <c r="B79" s="86"/>
      <c r="C79" s="86"/>
      <c r="D79" s="181"/>
      <c r="E79" s="181"/>
      <c r="F79" s="181"/>
    </row>
    <row r="80" spans="1:13" ht="15" customHeight="1" x14ac:dyDescent="0.2">
      <c r="A80" s="84" t="str">
        <f>LEFT(A79,4)+1&amp;"–"&amp;RIGHT(A79,4)+5</f>
        <v>2028–2033</v>
      </c>
      <c r="B80" s="86"/>
      <c r="C80" s="86"/>
      <c r="D80" s="186" t="s">
        <v>92</v>
      </c>
      <c r="E80" s="187"/>
      <c r="F80" s="187"/>
    </row>
    <row r="81" spans="1:6" x14ac:dyDescent="0.2">
      <c r="A81" s="84" t="str">
        <f t="shared" ref="A81:A94" si="2">LEFT(A80,4)+5&amp;"–"&amp;RIGHT(A80,4)+5</f>
        <v>2033–2038</v>
      </c>
      <c r="B81" s="86"/>
      <c r="C81" s="86"/>
      <c r="D81" s="186"/>
      <c r="E81" s="187"/>
      <c r="F81" s="187"/>
    </row>
    <row r="82" spans="1:6" x14ac:dyDescent="0.2">
      <c r="A82" s="84" t="str">
        <f t="shared" si="2"/>
        <v>2038–2043</v>
      </c>
      <c r="B82" s="86"/>
      <c r="C82" s="86"/>
      <c r="D82" s="181"/>
      <c r="E82" s="181"/>
      <c r="F82" s="181"/>
    </row>
    <row r="83" spans="1:6" ht="15" customHeight="1" x14ac:dyDescent="0.2">
      <c r="A83" s="84" t="str">
        <f t="shared" si="2"/>
        <v>2043–2048</v>
      </c>
      <c r="B83" s="86"/>
      <c r="C83" s="86"/>
      <c r="D83" s="189" t="str">
        <f>"If yes, record the dollar amount of any payments made for residual value guarantees below for fiscal year "&amp;$B$8&amp;":"</f>
        <v>If yes, record the dollar amount of any payments made for residual value guarantees below for fiscal year 2022–2023:</v>
      </c>
      <c r="E83" s="188"/>
      <c r="F83" s="188"/>
    </row>
    <row r="84" spans="1:6" x14ac:dyDescent="0.2">
      <c r="A84" s="84" t="str">
        <f t="shared" si="2"/>
        <v>2048–2053</v>
      </c>
      <c r="B84" s="86"/>
      <c r="C84" s="86"/>
      <c r="D84" s="189"/>
      <c r="E84" s="188"/>
      <c r="F84" s="188"/>
    </row>
    <row r="85" spans="1:6" x14ac:dyDescent="0.2">
      <c r="A85" s="84" t="str">
        <f t="shared" si="2"/>
        <v>2053–2058</v>
      </c>
      <c r="B85" s="86"/>
      <c r="C85" s="86"/>
      <c r="D85" s="181"/>
      <c r="E85" s="181"/>
      <c r="F85" s="181"/>
    </row>
    <row r="86" spans="1:6" ht="15" customHeight="1" x14ac:dyDescent="0.2">
      <c r="A86" s="84" t="str">
        <f t="shared" si="2"/>
        <v>2058–2063</v>
      </c>
      <c r="B86" s="86"/>
      <c r="C86" s="86"/>
      <c r="D86" s="18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88"/>
      <c r="F86" s="188"/>
    </row>
    <row r="87" spans="1:6" x14ac:dyDescent="0.2">
      <c r="A87" s="84" t="str">
        <f t="shared" si="2"/>
        <v>2063–2068</v>
      </c>
      <c r="B87" s="86"/>
      <c r="C87" s="86"/>
      <c r="D87" s="189"/>
      <c r="E87" s="188"/>
      <c r="F87" s="188"/>
    </row>
    <row r="88" spans="1:6" x14ac:dyDescent="0.2">
      <c r="A88" s="84" t="str">
        <f t="shared" si="2"/>
        <v>2068–2073</v>
      </c>
      <c r="B88" s="86"/>
      <c r="C88" s="86"/>
      <c r="D88" s="181"/>
      <c r="E88" s="181"/>
      <c r="F88" s="181"/>
    </row>
    <row r="89" spans="1:6" x14ac:dyDescent="0.2">
      <c r="A89" s="84" t="str">
        <f t="shared" si="2"/>
        <v>2073–2078</v>
      </c>
      <c r="B89" s="86"/>
      <c r="C89" s="86"/>
      <c r="D89"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87"/>
      <c r="F89" s="187"/>
    </row>
    <row r="90" spans="1:6" x14ac:dyDescent="0.2">
      <c r="A90" s="84" t="str">
        <f t="shared" si="2"/>
        <v>2078–2083</v>
      </c>
      <c r="B90" s="86"/>
      <c r="C90" s="86"/>
      <c r="D90" s="186"/>
      <c r="E90" s="187"/>
      <c r="F90" s="187"/>
    </row>
    <row r="91" spans="1:6" ht="15" customHeight="1" x14ac:dyDescent="0.2">
      <c r="A91" s="84" t="str">
        <f t="shared" si="2"/>
        <v>2083–2088</v>
      </c>
      <c r="B91" s="86"/>
      <c r="C91" s="86"/>
      <c r="D91" s="181"/>
      <c r="E91" s="181"/>
      <c r="F91" s="181"/>
    </row>
    <row r="92" spans="1:6" x14ac:dyDescent="0.2">
      <c r="A92" s="84" t="str">
        <f t="shared" si="2"/>
        <v>2088–2093</v>
      </c>
      <c r="B92" s="86"/>
      <c r="C92" s="86"/>
      <c r="D92" s="48" t="str">
        <f>CONCATENATE("5. Are there any lease commitments known that have yet to commence as of June 30, ",RIGHT(B70,4),"?")</f>
        <v>5. Are there any lease commitments known that have yet to commence as of June 30, 2023?</v>
      </c>
      <c r="E92" s="90"/>
      <c r="F92" s="90"/>
    </row>
    <row r="93" spans="1:6" x14ac:dyDescent="0.2">
      <c r="A93" s="84" t="str">
        <f t="shared" si="2"/>
        <v>2093–2098</v>
      </c>
      <c r="B93" s="86"/>
      <c r="C93" s="86"/>
      <c r="D93" s="181"/>
      <c r="E93" s="181"/>
      <c r="F93" s="181"/>
    </row>
    <row r="94" spans="1:6" x14ac:dyDescent="0.2">
      <c r="A94" s="84" t="str">
        <f t="shared" si="2"/>
        <v>2098–2103</v>
      </c>
      <c r="B94" s="86"/>
      <c r="C94" s="86"/>
      <c r="D94" s="91" t="str">
        <f>"If yes, record the dollar amount of any lease commitments not commenced below for fiscal year "&amp;A75&amp;"."</f>
        <v>If yes, record the dollar amount of any lease commitments not commenced below for fiscal year 2023–2024.</v>
      </c>
      <c r="E94" s="92"/>
      <c r="F94" s="92"/>
    </row>
    <row r="95" spans="1:6" x14ac:dyDescent="0.2">
      <c r="A95" s="84" t="str">
        <f>LEFT(A94,4)+5&amp;"–"&amp;RIGHT(A94,4)+5</f>
        <v>2103–2108</v>
      </c>
      <c r="B95" s="86"/>
      <c r="C95" s="86"/>
      <c r="D95" s="181"/>
      <c r="E95" s="181"/>
      <c r="F95" s="181"/>
    </row>
    <row r="96" spans="1:6" x14ac:dyDescent="0.2">
      <c r="A96" s="84" t="str">
        <f>LEFT(A95,4)+5&amp;"–"&amp;RIGHT(A95,4)+5</f>
        <v>2108–2113</v>
      </c>
      <c r="B96" s="86"/>
      <c r="C96" s="86"/>
    </row>
    <row r="97" spans="1:3" x14ac:dyDescent="0.2">
      <c r="A97" s="84" t="str">
        <f>LEFT(A96,4)+5&amp;"–"&amp;RIGHT(A96,4)+5</f>
        <v>2113–2118</v>
      </c>
      <c r="B97" s="86"/>
      <c r="C97" s="86"/>
    </row>
    <row r="98" spans="1:3" x14ac:dyDescent="0.2">
      <c r="A98" s="84" t="str">
        <f>LEFT(A97,4)+5&amp;"–"&amp;RIGHT(A97,4)+5</f>
        <v>2118–2123</v>
      </c>
      <c r="B98" s="86"/>
      <c r="C98" s="86"/>
    </row>
  </sheetData>
  <sheetProtection algorithmName="SHA-512" hashValue="WAXkMQyLK1dpE5zvPOIq02pp1RWBqxdRo+H37xYBOQ2RDe/r7EFrrfB0giVlceEqQM2DWo75QCZdMhq6tzD03g==" saltValue="Q7a0NTXkO5Ddu8Qmg5FHfQ==" spinCount="100000" sheet="1" objects="1" scenarios="1"/>
  <mergeCells count="62">
    <mergeCell ref="D93:F93"/>
    <mergeCell ref="D95:F95"/>
    <mergeCell ref="D83:F84"/>
    <mergeCell ref="D85:F85"/>
    <mergeCell ref="D86:F87"/>
    <mergeCell ref="D88:F88"/>
    <mergeCell ref="D89:F90"/>
    <mergeCell ref="D91:F91"/>
    <mergeCell ref="D82:F82"/>
    <mergeCell ref="D64:F64"/>
    <mergeCell ref="B70:C70"/>
    <mergeCell ref="B71:C71"/>
    <mergeCell ref="B72:C72"/>
    <mergeCell ref="A73:C73"/>
    <mergeCell ref="D74:F74"/>
    <mergeCell ref="D75:F76"/>
    <mergeCell ref="D77:F77"/>
    <mergeCell ref="D78:F78"/>
    <mergeCell ref="D79:F79"/>
    <mergeCell ref="D80:F81"/>
    <mergeCell ref="D62:F62"/>
    <mergeCell ref="D46:F46"/>
    <mergeCell ref="D47:F47"/>
    <mergeCell ref="D48:F48"/>
    <mergeCell ref="D49:F50"/>
    <mergeCell ref="D51:F51"/>
    <mergeCell ref="D52:F53"/>
    <mergeCell ref="D54:F54"/>
    <mergeCell ref="D55:F56"/>
    <mergeCell ref="D57:F57"/>
    <mergeCell ref="D58:F59"/>
    <mergeCell ref="D60:F60"/>
    <mergeCell ref="B39:C39"/>
    <mergeCell ref="B40:C40"/>
    <mergeCell ref="B41:C41"/>
    <mergeCell ref="A42:C42"/>
    <mergeCell ref="D43:F43"/>
    <mergeCell ref="D44:F45"/>
    <mergeCell ref="D24:F25"/>
    <mergeCell ref="D26:F26"/>
    <mergeCell ref="D27:F28"/>
    <mergeCell ref="D29:F29"/>
    <mergeCell ref="D31:F31"/>
    <mergeCell ref="D33:F33"/>
    <mergeCell ref="D23:F23"/>
    <mergeCell ref="B9:C9"/>
    <mergeCell ref="B10:C10"/>
    <mergeCell ref="A11:C11"/>
    <mergeCell ref="D12:F12"/>
    <mergeCell ref="D13:F14"/>
    <mergeCell ref="D15:F15"/>
    <mergeCell ref="D16:F16"/>
    <mergeCell ref="D17:F17"/>
    <mergeCell ref="D18:F19"/>
    <mergeCell ref="D20:F20"/>
    <mergeCell ref="D21:F22"/>
    <mergeCell ref="B8:C8"/>
    <mergeCell ref="A1:F1"/>
    <mergeCell ref="A2:F2"/>
    <mergeCell ref="A3:C3"/>
    <mergeCell ref="A4:C4"/>
    <mergeCell ref="A5:C5"/>
  </mergeCells>
  <dataValidations count="1">
    <dataValidation type="whole" operator="greaterThanOrEqual" allowBlank="1" showErrorMessage="1" errorTitle="Whole Number Only" error="Enter amounts as whole numbers only." sqref="B13:C36 B44:C67 B75:C98" xr:uid="{9D675EEE-CBBD-4593-A727-231032DFE59A}">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412A-4569-4E78-A740-A4B21C399EB6}">
  <sheetPr>
    <tabColor theme="9" tint="0.59999389629810485"/>
  </sheetPr>
  <dimension ref="B1:Q20"/>
  <sheetViews>
    <sheetView zoomScale="90" zoomScaleNormal="90" workbookViewId="0">
      <selection activeCell="J10" sqref="J10"/>
    </sheetView>
  </sheetViews>
  <sheetFormatPr defaultColWidth="9.140625" defaultRowHeight="18" x14ac:dyDescent="0.25"/>
  <cols>
    <col min="1" max="1" width="9.140625" style="95"/>
    <col min="2" max="3" width="3.7109375" style="95" customWidth="1"/>
    <col min="4" max="4" width="35.7109375" style="95" customWidth="1"/>
    <col min="5" max="5" width="3.7109375" style="95" customWidth="1"/>
    <col min="6" max="6" width="16.85546875" style="96" customWidth="1"/>
    <col min="7" max="7" width="3.7109375" style="95" customWidth="1"/>
    <col min="8" max="8" width="16.85546875" style="96" customWidth="1"/>
    <col min="9" max="9" width="3.7109375" style="95" customWidth="1"/>
    <col min="10" max="10" width="16.85546875" style="96" customWidth="1"/>
    <col min="11" max="11" width="3.7109375" style="95" customWidth="1"/>
    <col min="12" max="12" width="16.85546875" style="96" customWidth="1"/>
    <col min="13" max="13" width="3.7109375" style="95" customWidth="1"/>
    <col min="14" max="14" width="16.85546875" style="96" customWidth="1"/>
    <col min="15" max="15" width="3.7109375" style="95" customWidth="1"/>
    <col min="16" max="16" width="17.7109375" style="96" bestFit="1" customWidth="1"/>
    <col min="17" max="17" width="3.7109375" style="95" customWidth="1"/>
    <col min="18" max="16384" width="9.140625" style="95"/>
  </cols>
  <sheetData>
    <row r="1" spans="2:17" ht="18.75" thickBot="1" x14ac:dyDescent="0.3"/>
    <row r="2" spans="2:17" x14ac:dyDescent="0.25">
      <c r="B2" s="97"/>
      <c r="C2" s="98"/>
      <c r="D2" s="98"/>
      <c r="E2" s="98"/>
      <c r="F2" s="99"/>
      <c r="G2" s="98"/>
      <c r="H2" s="99"/>
      <c r="I2" s="98"/>
      <c r="J2" s="99"/>
      <c r="K2" s="98"/>
      <c r="L2" s="99"/>
      <c r="M2" s="98"/>
      <c r="N2" s="99"/>
      <c r="O2" s="98"/>
      <c r="P2" s="99"/>
      <c r="Q2" s="100"/>
    </row>
    <row r="3" spans="2:17" ht="20.25" x14ac:dyDescent="0.3">
      <c r="B3" s="101"/>
      <c r="D3" s="102"/>
      <c r="E3" s="102"/>
      <c r="F3" s="102"/>
      <c r="G3" s="102"/>
      <c r="H3" s="102"/>
      <c r="I3" s="102"/>
      <c r="J3" s="103" t="s">
        <v>95</v>
      </c>
      <c r="K3" s="102"/>
      <c r="L3" s="102"/>
      <c r="M3" s="102"/>
      <c r="N3" s="102"/>
      <c r="O3" s="102"/>
      <c r="P3" s="102"/>
      <c r="Q3" s="104"/>
    </row>
    <row r="4" spans="2:17" ht="20.25" x14ac:dyDescent="0.3">
      <c r="B4" s="101"/>
      <c r="D4" s="102"/>
      <c r="E4" s="102"/>
      <c r="F4" s="102"/>
      <c r="G4" s="102"/>
      <c r="H4" s="102"/>
      <c r="I4" s="102"/>
      <c r="J4" s="103" t="str">
        <f>CONCATENATE("FY ",'LS-Fund 0042 Journal Entries'!F3)</f>
        <v>FY 2022–2023</v>
      </c>
      <c r="K4" s="102"/>
      <c r="L4" s="102"/>
      <c r="M4" s="102"/>
      <c r="N4" s="102"/>
      <c r="O4" s="102"/>
      <c r="P4" s="102"/>
      <c r="Q4" s="104"/>
    </row>
    <row r="5" spans="2:17" ht="20.25" x14ac:dyDescent="0.3">
      <c r="B5" s="101"/>
      <c r="D5" s="102"/>
      <c r="E5" s="102"/>
      <c r="F5" s="102"/>
      <c r="G5" s="102"/>
      <c r="H5" s="102"/>
      <c r="I5" s="102"/>
      <c r="J5" s="105" t="str">
        <f>CONCATENATE("Business Unit ",'LS-Department Note Disclosure'!B9," - ",'LS-Department Note Disclosure'!B10)</f>
        <v>Business Unit 2660 - Department of Transportation</v>
      </c>
      <c r="K5" s="102"/>
      <c r="L5" s="102"/>
      <c r="M5" s="102"/>
      <c r="N5" s="102"/>
      <c r="O5" s="102"/>
      <c r="P5" s="102"/>
      <c r="Q5" s="104"/>
    </row>
    <row r="6" spans="2:17" x14ac:dyDescent="0.25">
      <c r="B6" s="101"/>
      <c r="Q6" s="104"/>
    </row>
    <row r="7" spans="2:17" ht="36.75" thickBot="1" x14ac:dyDescent="0.3">
      <c r="B7" s="101"/>
      <c r="F7" s="106" t="str">
        <f>CONCATENATE("Balance          July 1, ",MID(J4,4,4))</f>
        <v>Balance          July 1, 2022</v>
      </c>
      <c r="G7" s="107"/>
      <c r="H7" s="108" t="s">
        <v>96</v>
      </c>
      <c r="I7" s="107"/>
      <c r="J7" s="108" t="s">
        <v>97</v>
      </c>
      <c r="K7" s="107"/>
      <c r="L7" s="106" t="str">
        <f>CONCATENATE("Balance        June 30, ",RIGHT(J4,4))</f>
        <v>Balance        June 30, 2023</v>
      </c>
      <c r="M7" s="107"/>
      <c r="N7" s="106" t="s">
        <v>98</v>
      </c>
      <c r="O7" s="107"/>
      <c r="P7" s="106" t="s">
        <v>99</v>
      </c>
      <c r="Q7" s="104"/>
    </row>
    <row r="8" spans="2:17" x14ac:dyDescent="0.25">
      <c r="B8" s="101"/>
      <c r="F8" s="109" t="s">
        <v>100</v>
      </c>
      <c r="G8" s="107"/>
      <c r="H8" s="110" t="s">
        <v>101</v>
      </c>
      <c r="I8" s="107"/>
      <c r="J8" s="110" t="s">
        <v>102</v>
      </c>
      <c r="K8" s="107"/>
      <c r="L8" s="110"/>
      <c r="M8" s="107"/>
      <c r="N8" s="110" t="s">
        <v>103</v>
      </c>
      <c r="O8" s="107"/>
      <c r="P8" s="111"/>
      <c r="Q8" s="104"/>
    </row>
    <row r="9" spans="2:17" x14ac:dyDescent="0.25">
      <c r="B9" s="101"/>
      <c r="C9" s="107" t="s">
        <v>104</v>
      </c>
      <c r="Q9" s="104"/>
    </row>
    <row r="10" spans="2:17" ht="18.75" thickBot="1" x14ac:dyDescent="0.3">
      <c r="B10" s="101"/>
      <c r="D10" s="95" t="s">
        <v>105</v>
      </c>
      <c r="F10" s="112">
        <f>'LS-Fund 0042 Journal Entries'!K23+'LS-Fund 0046 Journal Entrie'!K23+'LS-Fund 3290 Journal Entrie'!K23+'LS-Fund 3291 Journal Entrie'!K23+'LS-Fund 6072 Journal Entrie '!K23</f>
        <v>73030524</v>
      </c>
      <c r="G10" s="113"/>
      <c r="H10" s="112">
        <f>'LS-Fund 0042 Journal Entries'!K48+'LS-Fund 0046 Journal Entrie'!K48+'LS-Fund 3290 Journal Entrie'!K48+'LS-Fund 3291 Journal Entrie'!K48+'LS-Fund 6072 Journal Entrie '!K48</f>
        <v>27063637</v>
      </c>
      <c r="I10" s="113"/>
      <c r="J10" s="112">
        <f>'LS-Fund 0042 Journal Entries'!J68+'LS-Fund 0046 Journal Entrie'!J68+'LS-Fund 3290 Journal Entrie'!J68+'LS-Fund 3291 Journal Entrie'!J68+'LS-Fund 6072 Journal Entrie '!J68</f>
        <v>23386670</v>
      </c>
      <c r="K10" s="113"/>
      <c r="L10" s="114">
        <f>SUM(F10+H10-J10)</f>
        <v>76707491</v>
      </c>
      <c r="M10" s="113"/>
      <c r="N10" s="112">
        <f>'LS-Fund 0042 Journal Entries'!J75+'LS-Fund 0046 Journal Entrie'!J75+'LS-Fund 3290 Journal Entrie'!J75+'LS-Fund 3291 Journal Entrie'!J75+'LS-Fund 6072 Journal Entrie '!J75</f>
        <v>33463895</v>
      </c>
      <c r="O10" s="113"/>
      <c r="P10" s="114">
        <f>L10-N10</f>
        <v>43243596</v>
      </c>
      <c r="Q10" s="104"/>
    </row>
    <row r="11" spans="2:17" ht="19.5" thickTop="1" thickBot="1" x14ac:dyDescent="0.3">
      <c r="B11" s="101"/>
      <c r="C11" s="107" t="s">
        <v>106</v>
      </c>
      <c r="F11" s="115">
        <f>SUM(F10:F10)</f>
        <v>73030524</v>
      </c>
      <c r="G11" s="113"/>
      <c r="H11" s="115">
        <f>SUM(H10:H10)</f>
        <v>27063637</v>
      </c>
      <c r="I11" s="113"/>
      <c r="J11" s="115">
        <f>SUM(J10:J10)</f>
        <v>23386670</v>
      </c>
      <c r="K11" s="113"/>
      <c r="L11" s="115">
        <f>SUM(L10:L10)</f>
        <v>76707491</v>
      </c>
      <c r="M11" s="113"/>
      <c r="N11" s="115">
        <f>SUM(N10:N10)</f>
        <v>33463895</v>
      </c>
      <c r="O11" s="113"/>
      <c r="P11" s="115">
        <f>SUM(P10:P10)</f>
        <v>43243596</v>
      </c>
      <c r="Q11" s="104"/>
    </row>
    <row r="12" spans="2:17" ht="18.75" thickTop="1" x14ac:dyDescent="0.25">
      <c r="B12" s="101"/>
      <c r="F12" s="113"/>
      <c r="G12" s="116"/>
      <c r="H12" s="113"/>
      <c r="I12" s="113"/>
      <c r="J12" s="113"/>
      <c r="K12" s="113"/>
      <c r="L12" s="113"/>
      <c r="M12" s="113"/>
      <c r="N12" s="113"/>
      <c r="O12" s="113"/>
      <c r="P12" s="113"/>
      <c r="Q12" s="104"/>
    </row>
    <row r="13" spans="2:17" x14ac:dyDescent="0.25">
      <c r="B13" s="101"/>
      <c r="C13" s="107" t="s">
        <v>107</v>
      </c>
      <c r="F13" s="113"/>
      <c r="G13" s="113"/>
      <c r="H13" s="113"/>
      <c r="I13" s="113"/>
      <c r="J13" s="113"/>
      <c r="K13" s="113"/>
      <c r="L13" s="113"/>
      <c r="M13" s="113"/>
      <c r="N13" s="113"/>
      <c r="O13" s="113"/>
      <c r="P13" s="113"/>
      <c r="Q13" s="104"/>
    </row>
    <row r="14" spans="2:17" ht="18.75" thickBot="1" x14ac:dyDescent="0.3">
      <c r="B14" s="101"/>
      <c r="D14" s="95" t="s">
        <v>105</v>
      </c>
      <c r="F14" s="112"/>
      <c r="G14" s="113"/>
      <c r="H14" s="112"/>
      <c r="I14" s="113"/>
      <c r="J14" s="112"/>
      <c r="K14" s="113"/>
      <c r="L14" s="114">
        <f>SUM(F14+H14-J14)</f>
        <v>0</v>
      </c>
      <c r="M14" s="113"/>
      <c r="N14" s="112"/>
      <c r="O14" s="113"/>
      <c r="P14" s="114">
        <f>L14-N14</f>
        <v>0</v>
      </c>
      <c r="Q14" s="104"/>
    </row>
    <row r="15" spans="2:17" ht="19.5" thickTop="1" thickBot="1" x14ac:dyDescent="0.3">
      <c r="B15" s="101"/>
      <c r="C15" s="107" t="s">
        <v>108</v>
      </c>
      <c r="F15" s="115">
        <f>SUM(F14:F14)</f>
        <v>0</v>
      </c>
      <c r="G15" s="113"/>
      <c r="H15" s="115">
        <f>SUM(H14:H14)</f>
        <v>0</v>
      </c>
      <c r="I15" s="113"/>
      <c r="J15" s="115">
        <f>SUM(J14:J14)</f>
        <v>0</v>
      </c>
      <c r="K15" s="113"/>
      <c r="L15" s="115">
        <f>SUM(L14:L14)</f>
        <v>0</v>
      </c>
      <c r="M15" s="113"/>
      <c r="N15" s="115">
        <f>SUM(N14:N14)</f>
        <v>0</v>
      </c>
      <c r="O15" s="113"/>
      <c r="P15" s="115">
        <f>SUM(P14:P14)</f>
        <v>0</v>
      </c>
      <c r="Q15" s="104"/>
    </row>
    <row r="16" spans="2:17" ht="18.75" thickTop="1" x14ac:dyDescent="0.25">
      <c r="B16" s="101"/>
      <c r="C16" s="107"/>
      <c r="F16" s="117"/>
      <c r="G16" s="113"/>
      <c r="H16" s="117"/>
      <c r="I16" s="113"/>
      <c r="J16" s="117"/>
      <c r="K16" s="113"/>
      <c r="L16" s="117"/>
      <c r="M16" s="113"/>
      <c r="N16" s="117"/>
      <c r="O16" s="113"/>
      <c r="P16" s="117"/>
      <c r="Q16" s="104"/>
    </row>
    <row r="17" spans="2:17" x14ac:dyDescent="0.25">
      <c r="B17" s="101"/>
      <c r="C17" s="107" t="s">
        <v>109</v>
      </c>
      <c r="F17" s="113"/>
      <c r="G17" s="113"/>
      <c r="H17" s="113"/>
      <c r="I17" s="113"/>
      <c r="J17" s="113"/>
      <c r="K17" s="113"/>
      <c r="L17" s="113"/>
      <c r="M17" s="113"/>
      <c r="N17" s="113"/>
      <c r="O17" s="113"/>
      <c r="P17" s="113"/>
      <c r="Q17" s="104"/>
    </row>
    <row r="18" spans="2:17" ht="18.75" thickBot="1" x14ac:dyDescent="0.3">
      <c r="B18" s="101"/>
      <c r="D18" s="95" t="s">
        <v>105</v>
      </c>
      <c r="F18" s="112"/>
      <c r="G18" s="113"/>
      <c r="H18" s="112"/>
      <c r="I18" s="113"/>
      <c r="J18" s="112"/>
      <c r="K18" s="113"/>
      <c r="L18" s="114">
        <f>SUM(F18+H18-J18)</f>
        <v>0</v>
      </c>
      <c r="M18" s="113"/>
      <c r="N18" s="112"/>
      <c r="O18" s="113"/>
      <c r="P18" s="114">
        <f>L18-N18</f>
        <v>0</v>
      </c>
      <c r="Q18" s="104"/>
    </row>
    <row r="19" spans="2:17" ht="19.5" thickTop="1" thickBot="1" x14ac:dyDescent="0.3">
      <c r="B19" s="101"/>
      <c r="C19" s="107" t="s">
        <v>110</v>
      </c>
      <c r="F19" s="115">
        <f>SUM(F18:F18)</f>
        <v>0</v>
      </c>
      <c r="G19" s="113"/>
      <c r="H19" s="115">
        <f>SUM(H18:H18)</f>
        <v>0</v>
      </c>
      <c r="I19" s="113"/>
      <c r="J19" s="115">
        <f>SUM(J18:J18)</f>
        <v>0</v>
      </c>
      <c r="K19" s="113"/>
      <c r="L19" s="115">
        <f>SUM(L18:L18)</f>
        <v>0</v>
      </c>
      <c r="M19" s="113"/>
      <c r="N19" s="115">
        <f>SUM(N18:N18)</f>
        <v>0</v>
      </c>
      <c r="O19" s="113"/>
      <c r="P19" s="115">
        <f>SUM(P18:P18)</f>
        <v>0</v>
      </c>
      <c r="Q19" s="104"/>
    </row>
    <row r="20" spans="2:17" ht="19.5" thickTop="1" thickBot="1" x14ac:dyDescent="0.3">
      <c r="B20" s="118"/>
      <c r="C20" s="119"/>
      <c r="D20" s="119"/>
      <c r="E20" s="119"/>
      <c r="F20" s="120"/>
      <c r="G20" s="119"/>
      <c r="H20" s="120"/>
      <c r="I20" s="119"/>
      <c r="J20" s="120"/>
      <c r="K20" s="119"/>
      <c r="L20" s="120"/>
      <c r="M20" s="119"/>
      <c r="N20" s="120"/>
      <c r="O20" s="119"/>
      <c r="P20" s="120"/>
      <c r="Q20" s="121"/>
    </row>
  </sheetData>
  <sheetProtection algorithmName="SHA-512" hashValue="V9bUoMxZh1909NzY5hYazmCSz9dBo67gTebO8D+RSbaoVo1oFA999gRVIF5fZifU98Juf/X8q7LjSJPbsk5OEg==" saltValue="tOf6D0kO5FheCE6otS72AQ=="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EF78F6F1-4C9D-4161-B611-8A06F3BA8313}">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F2DF-678C-4D27-84CB-BEA539DC0849}">
  <sheetPr>
    <tabColor theme="9" tint="0.59999389629810485"/>
    <pageSetUpPr fitToPage="1"/>
  </sheetPr>
  <dimension ref="A1:S577"/>
  <sheetViews>
    <sheetView showGridLines="0" zoomScale="90" zoomScaleNormal="90" workbookViewId="0">
      <selection activeCell="D16" sqref="D16"/>
    </sheetView>
  </sheetViews>
  <sheetFormatPr defaultColWidth="0" defaultRowHeight="15" zeroHeight="1" x14ac:dyDescent="0.25"/>
  <cols>
    <col min="1" max="1" width="2.85546875" style="132" customWidth="1"/>
    <col min="2" max="2" width="13.85546875" style="132" customWidth="1"/>
    <col min="3" max="3" width="2.85546875" style="161" customWidth="1"/>
    <col min="4" max="4" width="13.85546875" style="132" customWidth="1"/>
    <col min="5" max="5" width="2.85546875" style="161" customWidth="1"/>
    <col min="6" max="6" width="13.85546875" style="132" customWidth="1"/>
    <col min="7" max="7" width="2.85546875" style="132" customWidth="1"/>
    <col min="8" max="8" width="13.85546875" style="132" customWidth="1"/>
    <col min="9" max="9" width="2.85546875" style="132" customWidth="1"/>
    <col min="10" max="10" width="13.85546875" style="132" customWidth="1"/>
    <col min="11" max="11" width="2.85546875" style="161" customWidth="1"/>
    <col min="12" max="12" width="19.140625" style="132" customWidth="1"/>
    <col min="13" max="13" width="2.85546875" style="161" customWidth="1"/>
    <col min="14" max="14" width="25.85546875" style="132" customWidth="1"/>
    <col min="15" max="15" width="2.85546875" style="132" customWidth="1"/>
    <col min="16" max="16" width="13.85546875" style="132" customWidth="1"/>
    <col min="17" max="17" width="2.85546875" style="132" customWidth="1"/>
    <col min="18" max="19" width="0" style="132" hidden="1" customWidth="1"/>
    <col min="20" max="16384" width="9.140625" style="132" hidden="1"/>
  </cols>
  <sheetData>
    <row r="1" spans="1:17" s="127" customFormat="1" ht="15.75" x14ac:dyDescent="0.25">
      <c r="A1" s="122" t="s">
        <v>111</v>
      </c>
      <c r="B1" s="123"/>
      <c r="C1" s="124"/>
      <c r="D1" s="123"/>
      <c r="E1" s="124"/>
      <c r="F1" s="125"/>
      <c r="G1" s="125"/>
      <c r="H1" s="125"/>
      <c r="I1" s="125"/>
      <c r="J1" s="125"/>
      <c r="K1" s="126"/>
      <c r="L1" s="125"/>
      <c r="M1" s="126"/>
      <c r="N1" s="123"/>
      <c r="O1" s="123"/>
      <c r="P1" s="123"/>
      <c r="Q1" s="123"/>
    </row>
    <row r="2" spans="1:17" s="127" customFormat="1" ht="15.75" x14ac:dyDescent="0.25">
      <c r="A2" s="122" t="s">
        <v>112</v>
      </c>
      <c r="B2" s="123"/>
      <c r="C2" s="124"/>
      <c r="D2" s="123"/>
      <c r="E2" s="124"/>
      <c r="F2" s="123"/>
      <c r="G2" s="123"/>
      <c r="H2" s="123"/>
      <c r="I2" s="123"/>
      <c r="J2" s="123"/>
      <c r="K2" s="124"/>
      <c r="L2" s="123"/>
      <c r="M2" s="124"/>
      <c r="N2" s="123"/>
      <c r="O2" s="123"/>
      <c r="P2" s="123"/>
      <c r="Q2" s="123"/>
    </row>
    <row r="3" spans="1:17" s="127" customFormat="1" ht="15.75" x14ac:dyDescent="0.25">
      <c r="C3" s="128"/>
      <c r="E3" s="128"/>
      <c r="K3" s="128"/>
      <c r="M3" s="128"/>
    </row>
    <row r="4" spans="1:17" x14ac:dyDescent="0.25">
      <c r="A4" s="129" t="s">
        <v>113</v>
      </c>
      <c r="B4" s="130"/>
      <c r="C4" s="131"/>
      <c r="D4" s="130"/>
      <c r="E4" s="131"/>
      <c r="F4" s="130"/>
      <c r="G4" s="130"/>
      <c r="H4" s="130"/>
      <c r="I4" s="130"/>
      <c r="J4" s="130"/>
      <c r="K4" s="131"/>
      <c r="L4" s="130"/>
      <c r="M4" s="131"/>
      <c r="N4" s="130"/>
      <c r="O4" s="130"/>
      <c r="P4" s="130"/>
      <c r="Q4" s="130"/>
    </row>
    <row r="5" spans="1:17" ht="15" customHeight="1" x14ac:dyDescent="0.25">
      <c r="A5" s="193" t="s">
        <v>114</v>
      </c>
      <c r="B5" s="193"/>
      <c r="C5" s="193"/>
      <c r="D5" s="193"/>
      <c r="E5" s="193"/>
      <c r="F5" s="193"/>
      <c r="G5" s="193"/>
      <c r="H5" s="193"/>
      <c r="I5" s="193"/>
      <c r="J5" s="193"/>
      <c r="K5" s="193"/>
      <c r="L5" s="193"/>
      <c r="M5" s="193"/>
      <c r="N5" s="193"/>
      <c r="O5" s="193"/>
      <c r="P5" s="193"/>
      <c r="Q5" s="193"/>
    </row>
    <row r="6" spans="1:17" ht="15" customHeight="1" x14ac:dyDescent="0.25">
      <c r="A6" s="193"/>
      <c r="B6" s="193"/>
      <c r="C6" s="193"/>
      <c r="D6" s="193"/>
      <c r="E6" s="193"/>
      <c r="F6" s="193"/>
      <c r="G6" s="193"/>
      <c r="H6" s="193"/>
      <c r="I6" s="193"/>
      <c r="J6" s="193"/>
      <c r="K6" s="193"/>
      <c r="L6" s="193"/>
      <c r="M6" s="193"/>
      <c r="N6" s="193"/>
      <c r="O6" s="193"/>
      <c r="P6" s="193"/>
      <c r="Q6" s="193"/>
    </row>
    <row r="7" spans="1:17" x14ac:dyDescent="0.25">
      <c r="A7" s="193"/>
      <c r="B7" s="193"/>
      <c r="C7" s="193"/>
      <c r="D7" s="193"/>
      <c r="E7" s="193"/>
      <c r="F7" s="193"/>
      <c r="G7" s="193"/>
      <c r="H7" s="193"/>
      <c r="I7" s="193"/>
      <c r="J7" s="193"/>
      <c r="K7" s="193"/>
      <c r="L7" s="193"/>
      <c r="M7" s="193"/>
      <c r="N7" s="193"/>
      <c r="O7" s="193"/>
      <c r="P7" s="193"/>
      <c r="Q7" s="193"/>
    </row>
    <row r="8" spans="1:17" ht="15" customHeight="1" x14ac:dyDescent="0.25">
      <c r="A8" s="194" t="s">
        <v>115</v>
      </c>
      <c r="B8" s="194"/>
      <c r="C8" s="194"/>
      <c r="D8" s="194"/>
      <c r="E8" s="194"/>
      <c r="F8" s="194"/>
      <c r="G8" s="194"/>
      <c r="H8" s="194"/>
      <c r="I8" s="194"/>
      <c r="J8" s="194"/>
      <c r="K8" s="194"/>
      <c r="L8" s="194"/>
      <c r="M8" s="194"/>
      <c r="N8" s="194"/>
      <c r="O8" s="194"/>
      <c r="P8" s="194"/>
      <c r="Q8" s="194"/>
    </row>
    <row r="9" spans="1:17" x14ac:dyDescent="0.25">
      <c r="A9" s="194"/>
      <c r="B9" s="194"/>
      <c r="C9" s="194"/>
      <c r="D9" s="194"/>
      <c r="E9" s="194"/>
      <c r="F9" s="194"/>
      <c r="G9" s="194"/>
      <c r="H9" s="194"/>
      <c r="I9" s="194"/>
      <c r="J9" s="194"/>
      <c r="K9" s="194"/>
      <c r="L9" s="194"/>
      <c r="M9" s="194"/>
      <c r="N9" s="194"/>
      <c r="O9" s="194"/>
      <c r="P9" s="194"/>
      <c r="Q9" s="194"/>
    </row>
    <row r="10" spans="1:17" x14ac:dyDescent="0.25">
      <c r="A10" s="129" t="s">
        <v>116</v>
      </c>
      <c r="B10" s="130"/>
      <c r="C10" s="131"/>
      <c r="D10" s="130"/>
      <c r="E10" s="131"/>
      <c r="F10" s="130"/>
      <c r="G10" s="130"/>
      <c r="H10" s="130"/>
      <c r="I10" s="130"/>
      <c r="J10" s="130"/>
      <c r="K10" s="131"/>
      <c r="L10" s="130"/>
      <c r="M10" s="131"/>
      <c r="N10" s="130"/>
      <c r="O10" s="130"/>
      <c r="P10" s="130"/>
      <c r="Q10" s="130"/>
    </row>
    <row r="11" spans="1:17" x14ac:dyDescent="0.25">
      <c r="A11" s="133"/>
      <c r="B11" s="134" t="s">
        <v>117</v>
      </c>
      <c r="C11" s="134"/>
      <c r="D11" s="133"/>
      <c r="E11" s="135"/>
      <c r="F11" s="133"/>
      <c r="G11" s="133"/>
      <c r="H11" s="133"/>
      <c r="I11" s="133"/>
      <c r="J11" s="133"/>
      <c r="K11" s="135"/>
      <c r="L11" s="133"/>
      <c r="M11" s="135"/>
      <c r="N11" s="133"/>
      <c r="O11" s="133"/>
      <c r="P11" s="133"/>
      <c r="Q11" s="133"/>
    </row>
    <row r="12" spans="1:17" ht="6.75" customHeight="1" x14ac:dyDescent="0.25">
      <c r="A12" s="133"/>
      <c r="B12" s="133"/>
      <c r="C12" s="135"/>
      <c r="D12" s="133"/>
      <c r="E12" s="135"/>
      <c r="F12" s="133"/>
      <c r="G12" s="133"/>
      <c r="H12" s="133"/>
      <c r="I12" s="133"/>
      <c r="J12" s="133"/>
      <c r="K12" s="135"/>
      <c r="L12" s="133"/>
      <c r="M12" s="135"/>
      <c r="N12" s="133"/>
      <c r="O12" s="133"/>
      <c r="P12" s="133"/>
      <c r="Q12" s="133"/>
    </row>
    <row r="13" spans="1:17" ht="15" customHeight="1" x14ac:dyDescent="0.25">
      <c r="A13" s="133"/>
      <c r="B13" s="192" t="s">
        <v>118</v>
      </c>
      <c r="C13" s="192"/>
      <c r="D13" s="192"/>
      <c r="E13" s="192"/>
      <c r="F13" s="192"/>
      <c r="G13" s="192"/>
      <c r="H13" s="192"/>
      <c r="I13" s="192"/>
      <c r="J13" s="192"/>
      <c r="K13" s="192"/>
      <c r="L13" s="192"/>
      <c r="M13" s="135"/>
      <c r="N13" s="136" t="s">
        <v>119</v>
      </c>
      <c r="O13" s="137"/>
      <c r="P13" s="137"/>
      <c r="Q13" s="133"/>
    </row>
    <row r="14" spans="1:17" ht="15" customHeight="1" x14ac:dyDescent="0.25">
      <c r="A14" s="133"/>
      <c r="B14" s="138" t="s">
        <v>120</v>
      </c>
      <c r="C14" s="138"/>
      <c r="D14" s="138" t="s">
        <v>96</v>
      </c>
      <c r="E14" s="138"/>
      <c r="F14" s="138" t="s">
        <v>97</v>
      </c>
      <c r="G14" s="138"/>
      <c r="H14" s="138" t="s">
        <v>121</v>
      </c>
      <c r="I14" s="138"/>
      <c r="J14" s="138" t="s">
        <v>122</v>
      </c>
      <c r="K14" s="138"/>
      <c r="L14" s="138"/>
      <c r="M14" s="135"/>
      <c r="N14" s="139"/>
      <c r="O14" s="137"/>
      <c r="P14" s="137"/>
      <c r="Q14" s="133"/>
    </row>
    <row r="15" spans="1:17" ht="15" customHeight="1" x14ac:dyDescent="0.25">
      <c r="A15" s="133"/>
      <c r="B15" s="140" t="s">
        <v>123</v>
      </c>
      <c r="C15" s="141" t="s">
        <v>124</v>
      </c>
      <c r="D15" s="140" t="s">
        <v>125</v>
      </c>
      <c r="E15" s="140" t="s">
        <v>126</v>
      </c>
      <c r="F15" s="140" t="s">
        <v>127</v>
      </c>
      <c r="G15" s="140" t="s">
        <v>126</v>
      </c>
      <c r="H15" s="140" t="s">
        <v>128</v>
      </c>
      <c r="I15" s="140" t="s">
        <v>124</v>
      </c>
      <c r="J15" s="140" t="s">
        <v>129</v>
      </c>
      <c r="K15" s="141"/>
      <c r="L15" s="140"/>
      <c r="M15" s="141"/>
      <c r="N15" s="142" t="s">
        <v>130</v>
      </c>
      <c r="O15" s="137"/>
      <c r="P15" s="139" t="s">
        <v>131</v>
      </c>
      <c r="Q15" s="133"/>
    </row>
    <row r="16" spans="1:17" ht="15" customHeight="1" x14ac:dyDescent="0.25">
      <c r="A16" s="143"/>
      <c r="B16" s="144">
        <f>'LS-Fund 0042 Journal Entries'!K23+'LS-Fund 0046 Journal Entrie'!K23+'LS-Fund 3290 Journal Entrie'!K23+'LS-Fund 3291 Journal Entrie'!K23+'LS-Fund 6072 Journal Entrie '!K23</f>
        <v>73030524</v>
      </c>
      <c r="C16" s="145" t="s">
        <v>124</v>
      </c>
      <c r="D16" s="144">
        <f>'LS-Fund 0042 Journal Entries'!K48+'LS-Fund 0046 Journal Entrie'!K48+'LS-Fund 3290 Journal Entrie'!K48+'LS-Fund 3291 Journal Entrie'!K48+'LS-Fund 6072 Journal Entrie '!K48</f>
        <v>27063637</v>
      </c>
      <c r="E16" s="146" t="s">
        <v>126</v>
      </c>
      <c r="F16" s="144">
        <f>'LS-Fund 0042 Journal Entries'!J68+'LS-Fund 0046 Journal Entrie'!J68+'LS-Fund 3290 Journal Entrie'!J68+'LS-Fund 3291 Journal Entrie'!J68+'LS-Fund 6072 Journal Entrie '!J68</f>
        <v>23386670</v>
      </c>
      <c r="G16" s="147" t="s">
        <v>126</v>
      </c>
      <c r="H16" s="144">
        <v>0</v>
      </c>
      <c r="I16" s="147" t="s">
        <v>124</v>
      </c>
      <c r="J16" s="144">
        <v>0</v>
      </c>
      <c r="K16" s="146" t="s">
        <v>132</v>
      </c>
      <c r="L16" s="148">
        <f>+B16+D16-F16-H16+J16</f>
        <v>76707491</v>
      </c>
      <c r="M16" s="149"/>
      <c r="N16" s="150">
        <f>SUM('LS-Department Note Disclosure'!B13:B36)</f>
        <v>76707491</v>
      </c>
      <c r="O16" s="151"/>
      <c r="P16" s="152">
        <f>L16-N16</f>
        <v>0</v>
      </c>
      <c r="Q16" s="133"/>
    </row>
    <row r="17" spans="1:17" ht="6" customHeight="1" x14ac:dyDescent="0.25">
      <c r="A17" s="143"/>
      <c r="B17" s="143"/>
      <c r="C17" s="153"/>
      <c r="D17" s="143"/>
      <c r="E17" s="153"/>
      <c r="F17" s="143"/>
      <c r="G17" s="143"/>
      <c r="H17" s="143"/>
      <c r="I17" s="143"/>
      <c r="J17" s="143"/>
      <c r="K17" s="153"/>
      <c r="L17" s="143"/>
      <c r="M17" s="153"/>
      <c r="N17" s="143"/>
      <c r="O17" s="143"/>
      <c r="P17" s="143"/>
      <c r="Q17" s="133"/>
    </row>
    <row r="18" spans="1:17" ht="15" customHeight="1" x14ac:dyDescent="0.25">
      <c r="A18" s="143"/>
      <c r="B18" s="143"/>
      <c r="C18" s="153"/>
      <c r="D18" s="154" t="str">
        <f>IF(OR(P16&gt;0, (P16&lt;0)), "Please review and correct the variance.","")</f>
        <v/>
      </c>
      <c r="E18" s="153"/>
      <c r="F18" s="143"/>
      <c r="G18" s="143"/>
      <c r="H18" s="143"/>
      <c r="I18" s="143"/>
      <c r="J18" s="143"/>
      <c r="K18" s="153"/>
      <c r="L18" s="143"/>
      <c r="M18" s="153"/>
      <c r="N18" s="143"/>
      <c r="O18" s="143"/>
      <c r="P18" s="143"/>
      <c r="Q18" s="133"/>
    </row>
    <row r="19" spans="1:17" x14ac:dyDescent="0.25">
      <c r="A19" s="133"/>
      <c r="B19" s="134" t="s">
        <v>133</v>
      </c>
      <c r="C19" s="134"/>
      <c r="D19" s="133"/>
      <c r="E19" s="135"/>
      <c r="F19" s="133"/>
      <c r="G19" s="133"/>
      <c r="H19" s="133"/>
      <c r="I19" s="133"/>
      <c r="J19" s="133"/>
      <c r="K19" s="135"/>
      <c r="L19" s="133"/>
      <c r="M19" s="135"/>
      <c r="N19" s="133"/>
      <c r="O19" s="133"/>
      <c r="P19" s="133"/>
      <c r="Q19" s="133"/>
    </row>
    <row r="20" spans="1:17" ht="6" customHeight="1" x14ac:dyDescent="0.25">
      <c r="A20" s="133"/>
      <c r="B20" s="133"/>
      <c r="C20" s="135"/>
      <c r="D20" s="133"/>
      <c r="E20" s="135"/>
      <c r="F20" s="133"/>
      <c r="G20" s="133"/>
      <c r="H20" s="133"/>
      <c r="I20" s="133"/>
      <c r="J20" s="133"/>
      <c r="K20" s="135"/>
      <c r="L20" s="133"/>
      <c r="M20" s="135"/>
      <c r="N20" s="133"/>
      <c r="O20" s="133"/>
      <c r="P20" s="133"/>
      <c r="Q20" s="133"/>
    </row>
    <row r="21" spans="1:17" ht="15" customHeight="1" x14ac:dyDescent="0.25">
      <c r="A21" s="133"/>
      <c r="B21" s="192" t="s">
        <v>118</v>
      </c>
      <c r="C21" s="192"/>
      <c r="D21" s="192"/>
      <c r="E21" s="192"/>
      <c r="F21" s="192"/>
      <c r="G21" s="192"/>
      <c r="H21" s="192"/>
      <c r="I21" s="192"/>
      <c r="J21" s="192"/>
      <c r="K21" s="192"/>
      <c r="L21" s="192"/>
      <c r="M21" s="135"/>
      <c r="N21" s="136" t="s">
        <v>119</v>
      </c>
      <c r="O21" s="137"/>
      <c r="P21" s="137"/>
      <c r="Q21" s="133"/>
    </row>
    <row r="22" spans="1:17" ht="15" customHeight="1" x14ac:dyDescent="0.25">
      <c r="A22" s="133"/>
      <c r="B22" s="138" t="s">
        <v>120</v>
      </c>
      <c r="C22" s="138"/>
      <c r="D22" s="138" t="s">
        <v>96</v>
      </c>
      <c r="E22" s="138"/>
      <c r="F22" s="138" t="s">
        <v>97</v>
      </c>
      <c r="G22" s="138"/>
      <c r="H22" s="138" t="s">
        <v>121</v>
      </c>
      <c r="I22" s="138"/>
      <c r="J22" s="138" t="s">
        <v>122</v>
      </c>
      <c r="K22" s="138"/>
      <c r="L22" s="138"/>
      <c r="M22" s="135"/>
      <c r="N22" s="139"/>
      <c r="O22" s="137"/>
      <c r="P22" s="137"/>
      <c r="Q22" s="133"/>
    </row>
    <row r="23" spans="1:17" ht="15" customHeight="1" x14ac:dyDescent="0.25">
      <c r="A23" s="133"/>
      <c r="B23" s="140" t="s">
        <v>123</v>
      </c>
      <c r="C23" s="141" t="s">
        <v>124</v>
      </c>
      <c r="D23" s="140" t="s">
        <v>125</v>
      </c>
      <c r="E23" s="140" t="s">
        <v>126</v>
      </c>
      <c r="F23" s="140" t="s">
        <v>127</v>
      </c>
      <c r="G23" s="140" t="s">
        <v>126</v>
      </c>
      <c r="H23" s="140" t="s">
        <v>128</v>
      </c>
      <c r="I23" s="140" t="s">
        <v>124</v>
      </c>
      <c r="J23" s="140" t="s">
        <v>129</v>
      </c>
      <c r="K23" s="141"/>
      <c r="L23" s="140"/>
      <c r="M23" s="141"/>
      <c r="N23" s="142" t="s">
        <v>130</v>
      </c>
      <c r="O23" s="137"/>
      <c r="P23" s="139" t="s">
        <v>131</v>
      </c>
      <c r="Q23" s="133"/>
    </row>
    <row r="24" spans="1:17" ht="15" customHeight="1" x14ac:dyDescent="0.25">
      <c r="A24" s="143"/>
      <c r="B24" s="144"/>
      <c r="C24" s="145" t="s">
        <v>124</v>
      </c>
      <c r="D24" s="144">
        <f>IF('LS-Fund 0042 Journal Entries'!$F$8="Proprietary - Internal Service Fund",'LS-Fund 0042 Journal Entries'!$K$48,0)</f>
        <v>0</v>
      </c>
      <c r="E24" s="146" t="s">
        <v>126</v>
      </c>
      <c r="F24" s="144"/>
      <c r="G24" s="147" t="s">
        <v>126</v>
      </c>
      <c r="H24" s="144"/>
      <c r="I24" s="147" t="s">
        <v>124</v>
      </c>
      <c r="J24" s="144">
        <f>IF('LS-Fund 0042 Journal Entries'!$F$8="Proprietary - Internal Service Fund",'LS-Fund 0042 Journal Entries'!$K$113,0)</f>
        <v>0</v>
      </c>
      <c r="K24" s="146" t="s">
        <v>132</v>
      </c>
      <c r="L24" s="148">
        <f>+B24+D24-F24-H24+J24</f>
        <v>0</v>
      </c>
      <c r="M24" s="149"/>
      <c r="N24" s="150">
        <f>SUM('LS-Department Note Disclosure'!B44:B67)</f>
        <v>0</v>
      </c>
      <c r="O24" s="151"/>
      <c r="P24" s="152">
        <f>L24-N24</f>
        <v>0</v>
      </c>
      <c r="Q24" s="133"/>
    </row>
    <row r="25" spans="1:17" ht="6" customHeight="1" x14ac:dyDescent="0.25">
      <c r="A25" s="143"/>
      <c r="B25" s="143"/>
      <c r="C25" s="153"/>
      <c r="D25" s="143"/>
      <c r="E25" s="153"/>
      <c r="F25" s="143"/>
      <c r="G25" s="143"/>
      <c r="H25" s="143"/>
      <c r="I25" s="143"/>
      <c r="J25" s="143"/>
      <c r="K25" s="153"/>
      <c r="L25" s="143"/>
      <c r="M25" s="153"/>
      <c r="N25" s="143"/>
      <c r="O25" s="143"/>
      <c r="P25" s="143"/>
      <c r="Q25" s="133"/>
    </row>
    <row r="26" spans="1:17" ht="15" customHeight="1" x14ac:dyDescent="0.25">
      <c r="A26" s="143"/>
      <c r="B26" s="143"/>
      <c r="C26" s="153"/>
      <c r="D26" s="154" t="str">
        <f>IF(OR(P24&gt;0, (P24&lt;0)), "Please review and correct the variance.","")</f>
        <v/>
      </c>
      <c r="E26" s="153"/>
      <c r="F26" s="143"/>
      <c r="G26" s="143"/>
      <c r="H26" s="143"/>
      <c r="I26" s="143"/>
      <c r="J26" s="143"/>
      <c r="K26" s="153"/>
      <c r="L26" s="143"/>
      <c r="M26" s="153"/>
      <c r="N26" s="143"/>
      <c r="O26" s="143"/>
      <c r="P26" s="143"/>
      <c r="Q26" s="133"/>
    </row>
    <row r="27" spans="1:17" ht="6" customHeight="1" x14ac:dyDescent="0.25">
      <c r="A27" s="133"/>
      <c r="B27" s="155"/>
      <c r="C27" s="135"/>
      <c r="D27" s="155"/>
      <c r="E27" s="135"/>
      <c r="F27" s="155"/>
      <c r="G27" s="155"/>
      <c r="H27" s="155"/>
      <c r="I27" s="155"/>
      <c r="J27" s="155"/>
      <c r="K27" s="135"/>
      <c r="L27" s="155"/>
      <c r="M27" s="135"/>
      <c r="N27" s="155"/>
      <c r="O27" s="155"/>
      <c r="P27" s="155"/>
      <c r="Q27" s="133"/>
    </row>
    <row r="28" spans="1:17" x14ac:dyDescent="0.25">
      <c r="A28" s="133"/>
      <c r="B28" s="134" t="s">
        <v>134</v>
      </c>
      <c r="C28" s="134"/>
      <c r="D28" s="133"/>
      <c r="E28" s="135"/>
      <c r="F28" s="133"/>
      <c r="G28" s="133"/>
      <c r="H28" s="133"/>
      <c r="I28" s="133"/>
      <c r="J28" s="133"/>
      <c r="K28" s="135"/>
      <c r="L28" s="133"/>
      <c r="M28" s="135"/>
      <c r="N28" s="133"/>
      <c r="O28" s="133"/>
      <c r="P28" s="133"/>
      <c r="Q28" s="133"/>
    </row>
    <row r="29" spans="1:17" ht="6" customHeight="1" x14ac:dyDescent="0.25">
      <c r="A29" s="133"/>
      <c r="B29" s="133"/>
      <c r="C29" s="135"/>
      <c r="D29" s="133"/>
      <c r="E29" s="135"/>
      <c r="F29" s="133"/>
      <c r="G29" s="133"/>
      <c r="H29" s="133"/>
      <c r="I29" s="133"/>
      <c r="J29" s="133"/>
      <c r="K29" s="135"/>
      <c r="L29" s="133"/>
      <c r="M29" s="135"/>
      <c r="N29" s="133"/>
      <c r="O29" s="133"/>
      <c r="P29" s="133"/>
      <c r="Q29" s="133"/>
    </row>
    <row r="30" spans="1:17" ht="15" customHeight="1" x14ac:dyDescent="0.25">
      <c r="A30" s="133"/>
      <c r="B30" s="192" t="s">
        <v>118</v>
      </c>
      <c r="C30" s="192"/>
      <c r="D30" s="192"/>
      <c r="E30" s="192"/>
      <c r="F30" s="192"/>
      <c r="G30" s="192"/>
      <c r="H30" s="192"/>
      <c r="I30" s="192"/>
      <c r="J30" s="192"/>
      <c r="K30" s="192"/>
      <c r="L30" s="192"/>
      <c r="M30" s="135"/>
      <c r="N30" s="136" t="s">
        <v>119</v>
      </c>
      <c r="O30" s="137"/>
      <c r="P30" s="137"/>
      <c r="Q30" s="133"/>
    </row>
    <row r="31" spans="1:17" ht="15" customHeight="1" x14ac:dyDescent="0.25">
      <c r="A31" s="133"/>
      <c r="B31" s="138" t="s">
        <v>120</v>
      </c>
      <c r="C31" s="138"/>
      <c r="D31" s="138" t="s">
        <v>96</v>
      </c>
      <c r="E31" s="138"/>
      <c r="F31" s="138" t="s">
        <v>97</v>
      </c>
      <c r="G31" s="138"/>
      <c r="H31" s="138" t="s">
        <v>121</v>
      </c>
      <c r="I31" s="138"/>
      <c r="J31" s="138" t="s">
        <v>122</v>
      </c>
      <c r="K31" s="138"/>
      <c r="L31" s="138"/>
      <c r="M31" s="135"/>
      <c r="N31" s="139"/>
      <c r="O31" s="137"/>
      <c r="P31" s="137"/>
      <c r="Q31" s="133"/>
    </row>
    <row r="32" spans="1:17" ht="15" customHeight="1" x14ac:dyDescent="0.25">
      <c r="A32" s="133"/>
      <c r="B32" s="140" t="s">
        <v>123</v>
      </c>
      <c r="C32" s="141" t="s">
        <v>124</v>
      </c>
      <c r="D32" s="140" t="s">
        <v>125</v>
      </c>
      <c r="E32" s="140" t="s">
        <v>126</v>
      </c>
      <c r="F32" s="140" t="s">
        <v>127</v>
      </c>
      <c r="G32" s="140" t="s">
        <v>126</v>
      </c>
      <c r="H32" s="140" t="s">
        <v>128</v>
      </c>
      <c r="I32" s="140" t="s">
        <v>124</v>
      </c>
      <c r="J32" s="140" t="s">
        <v>129</v>
      </c>
      <c r="K32" s="141"/>
      <c r="L32" s="140"/>
      <c r="M32" s="141"/>
      <c r="N32" s="142" t="s">
        <v>130</v>
      </c>
      <c r="O32" s="137"/>
      <c r="P32" s="139" t="s">
        <v>131</v>
      </c>
      <c r="Q32" s="133"/>
    </row>
    <row r="33" spans="1:17" ht="15" customHeight="1" x14ac:dyDescent="0.25">
      <c r="A33" s="143"/>
      <c r="B33" s="144">
        <f>IF('LS-Fund 0042 Journal Entries'!$F$8="Proprietary - Enterprise Fund",'LS-Fund 0042 Journal Entries'!$K$23,0)</f>
        <v>0</v>
      </c>
      <c r="C33" s="145" t="s">
        <v>124</v>
      </c>
      <c r="D33" s="144">
        <f>IF('LS-Fund 0042 Journal Entries'!$F$8="Proprietary - Enterprise Fund",'LS-Fund 0042 Journal Entries'!$K$48,0)</f>
        <v>0</v>
      </c>
      <c r="E33" s="146" t="s">
        <v>126</v>
      </c>
      <c r="F33" s="144">
        <f>IF('LS-Fund 0042 Journal Entries'!$F$8="Proprietary - Enterprise Fund",'LS-Fund 0042 Journal Entries'!$J$68,0)</f>
        <v>0</v>
      </c>
      <c r="G33" s="147" t="s">
        <v>126</v>
      </c>
      <c r="H33" s="144">
        <f>IF('LS-Fund 0042 Journal Entries'!$F$8="Proprietary - Enterprise Fund",'LS-Fund 0042 Journal Entries'!$J$96,0)</f>
        <v>0</v>
      </c>
      <c r="I33" s="147" t="s">
        <v>124</v>
      </c>
      <c r="J33" s="144">
        <f>IF('LS-Fund 0042 Journal Entries'!$F$8="Proprietary - Enterprise Fund",'LS-Fund 0042 Journal Entries'!$K$113,0)</f>
        <v>0</v>
      </c>
      <c r="K33" s="146" t="s">
        <v>132</v>
      </c>
      <c r="L33" s="148">
        <f>+B33+D33-F33-H33+J33</f>
        <v>0</v>
      </c>
      <c r="M33" s="149"/>
      <c r="N33" s="150">
        <f>SUM('LS-Department Note Disclosure'!B75:B98)</f>
        <v>0</v>
      </c>
      <c r="O33" s="151"/>
      <c r="P33" s="152">
        <f>L33-N33</f>
        <v>0</v>
      </c>
      <c r="Q33" s="133"/>
    </row>
    <row r="34" spans="1:17" ht="6" customHeight="1" x14ac:dyDescent="0.25">
      <c r="A34" s="143"/>
      <c r="B34" s="143"/>
      <c r="C34" s="153"/>
      <c r="D34" s="143"/>
      <c r="E34" s="153"/>
      <c r="F34" s="143"/>
      <c r="G34" s="143"/>
      <c r="H34" s="143"/>
      <c r="I34" s="143"/>
      <c r="J34" s="143"/>
      <c r="K34" s="153"/>
      <c r="L34" s="143"/>
      <c r="M34" s="153"/>
      <c r="N34" s="143"/>
      <c r="O34" s="143"/>
      <c r="P34" s="143"/>
      <c r="Q34" s="133"/>
    </row>
    <row r="35" spans="1:17" ht="15" customHeight="1" x14ac:dyDescent="0.25">
      <c r="A35" s="143"/>
      <c r="B35" s="143"/>
      <c r="C35" s="153"/>
      <c r="D35" s="154" t="str">
        <f>IF(OR(P33&gt;0, (P33&lt;0)), "Please review and correct the variance.","")</f>
        <v/>
      </c>
      <c r="E35" s="153"/>
      <c r="F35" s="143"/>
      <c r="G35" s="143"/>
      <c r="H35" s="143"/>
      <c r="I35" s="143"/>
      <c r="J35" s="143"/>
      <c r="K35" s="153"/>
      <c r="L35" s="143"/>
      <c r="M35" s="153"/>
      <c r="N35" s="143"/>
      <c r="O35" s="143"/>
      <c r="P35" s="143"/>
      <c r="Q35" s="133"/>
    </row>
    <row r="36" spans="1:17" ht="6" customHeight="1" x14ac:dyDescent="0.25">
      <c r="A36" s="133"/>
      <c r="B36" s="155"/>
      <c r="C36" s="135"/>
      <c r="D36" s="155"/>
      <c r="E36" s="135"/>
      <c r="F36" s="155"/>
      <c r="G36" s="155"/>
      <c r="H36" s="155"/>
      <c r="I36" s="155"/>
      <c r="J36" s="155"/>
      <c r="K36" s="135"/>
      <c r="L36" s="155"/>
      <c r="M36" s="135"/>
      <c r="N36" s="155"/>
      <c r="O36" s="155"/>
      <c r="P36" s="155"/>
      <c r="Q36" s="133"/>
    </row>
    <row r="37" spans="1:17" x14ac:dyDescent="0.25">
      <c r="A37" s="129" t="s">
        <v>135</v>
      </c>
      <c r="B37" s="130"/>
      <c r="C37" s="131"/>
      <c r="D37" s="130"/>
      <c r="E37" s="131"/>
      <c r="F37" s="130"/>
      <c r="G37" s="130"/>
      <c r="H37" s="130"/>
      <c r="I37" s="130"/>
      <c r="J37" s="130"/>
      <c r="K37" s="131"/>
      <c r="L37" s="130"/>
      <c r="M37" s="131"/>
      <c r="N37" s="130"/>
      <c r="O37" s="130"/>
      <c r="P37" s="130"/>
      <c r="Q37" s="130"/>
    </row>
    <row r="38" spans="1:17" ht="15" customHeight="1" x14ac:dyDescent="0.25">
      <c r="A38" s="133"/>
      <c r="B38" s="134" t="s">
        <v>117</v>
      </c>
      <c r="C38" s="134"/>
      <c r="D38" s="133"/>
      <c r="E38" s="135"/>
      <c r="F38" s="133"/>
      <c r="G38" s="133"/>
      <c r="H38" s="133"/>
      <c r="I38" s="133"/>
      <c r="J38" s="133"/>
      <c r="K38" s="135"/>
      <c r="L38" s="133"/>
      <c r="M38" s="135"/>
      <c r="N38" s="133"/>
      <c r="O38" s="133"/>
      <c r="P38" s="133"/>
      <c r="Q38" s="133"/>
    </row>
    <row r="39" spans="1:17" ht="6" customHeight="1" x14ac:dyDescent="0.25">
      <c r="A39" s="133"/>
      <c r="B39" s="133"/>
      <c r="C39" s="135"/>
      <c r="D39" s="133"/>
      <c r="E39" s="135"/>
      <c r="F39" s="133"/>
      <c r="G39" s="133"/>
      <c r="H39" s="133"/>
      <c r="I39" s="133"/>
      <c r="J39" s="133"/>
      <c r="K39" s="135"/>
      <c r="L39" s="133"/>
      <c r="M39" s="135"/>
      <c r="N39" s="133"/>
      <c r="O39" s="133"/>
      <c r="P39" s="133"/>
      <c r="Q39" s="133"/>
    </row>
    <row r="40" spans="1:17" ht="15" customHeight="1" x14ac:dyDescent="0.25">
      <c r="A40" s="133"/>
      <c r="B40" s="192" t="s">
        <v>118</v>
      </c>
      <c r="C40" s="192"/>
      <c r="D40" s="192"/>
      <c r="E40" s="134"/>
      <c r="F40" s="134"/>
      <c r="G40" s="134"/>
      <c r="H40" s="134"/>
      <c r="I40" s="134"/>
      <c r="J40" s="134"/>
      <c r="K40" s="134"/>
      <c r="L40" s="134"/>
      <c r="M40" s="135"/>
      <c r="N40" s="136" t="s">
        <v>119</v>
      </c>
      <c r="O40" s="137"/>
      <c r="P40" s="137"/>
      <c r="Q40" s="133"/>
    </row>
    <row r="41" spans="1:17" ht="15" customHeight="1" x14ac:dyDescent="0.25">
      <c r="A41" s="133"/>
      <c r="B41" s="140" t="s">
        <v>136</v>
      </c>
      <c r="C41" s="156" t="s">
        <v>137</v>
      </c>
      <c r="E41" s="133"/>
      <c r="G41" s="140"/>
      <c r="H41" s="140"/>
      <c r="I41" s="140"/>
      <c r="J41" s="140"/>
      <c r="K41" s="133"/>
      <c r="L41" s="133"/>
      <c r="M41" s="141"/>
      <c r="N41" s="142" t="str">
        <f>CONCATENATE('LS-Department Note Disclosure'!$A$13," Principal Payments")</f>
        <v>2023–2024 Principal Payments</v>
      </c>
      <c r="O41" s="137"/>
      <c r="P41" s="139" t="s">
        <v>131</v>
      </c>
      <c r="Q41" s="133"/>
    </row>
    <row r="42" spans="1:17" ht="15" customHeight="1" x14ac:dyDescent="0.25">
      <c r="A42" s="133"/>
      <c r="B42" s="144">
        <f>'LS-Fund 0042 Journal Entries'!J75+'LS-Fund 0046 Journal Entrie'!J75+'LS-Fund 3290 Journal Entrie'!J75+'LS-Fund 3291 Journal Entrie'!J75+'LS-Fund 6072 Journal Entrie '!J75</f>
        <v>33463895</v>
      </c>
      <c r="C42" s="155"/>
      <c r="E42" s="155"/>
      <c r="G42" s="157"/>
      <c r="H42" s="157"/>
      <c r="I42" s="157"/>
      <c r="J42" s="157"/>
      <c r="K42" s="155"/>
      <c r="L42" s="155"/>
      <c r="M42" s="158"/>
      <c r="N42" s="150">
        <f>'LS-Department Note Disclosure'!B13</f>
        <v>33463895</v>
      </c>
      <c r="O42" s="159"/>
      <c r="P42" s="152">
        <f>B42-N42</f>
        <v>0</v>
      </c>
      <c r="Q42" s="133"/>
    </row>
    <row r="43" spans="1:17" ht="6" customHeight="1" x14ac:dyDescent="0.25">
      <c r="A43" s="133"/>
      <c r="B43" s="143"/>
      <c r="C43" s="153"/>
      <c r="D43" s="143"/>
      <c r="E43" s="153"/>
      <c r="F43" s="143"/>
      <c r="G43" s="143"/>
      <c r="H43" s="143"/>
      <c r="I43" s="143"/>
      <c r="J43" s="143"/>
      <c r="K43" s="153"/>
      <c r="L43" s="143"/>
      <c r="M43" s="153"/>
      <c r="N43" s="143"/>
      <c r="O43" s="143"/>
      <c r="P43" s="143"/>
      <c r="Q43" s="133"/>
    </row>
    <row r="44" spans="1:17" ht="17.25" x14ac:dyDescent="0.25">
      <c r="A44" s="133"/>
      <c r="B44" s="143"/>
      <c r="C44" s="153"/>
      <c r="D44" s="154" t="str">
        <f>IF(OR(P42&gt;0, (P42&lt;0)), "Please review and correct the variance.","")</f>
        <v/>
      </c>
      <c r="E44" s="153"/>
      <c r="F44" s="143"/>
      <c r="G44" s="143"/>
      <c r="H44" s="143"/>
      <c r="I44" s="143"/>
      <c r="J44" s="143"/>
      <c r="K44" s="153"/>
      <c r="L44" s="143"/>
      <c r="M44" s="153"/>
      <c r="N44" s="143"/>
      <c r="O44" s="143"/>
      <c r="P44" s="143"/>
      <c r="Q44" s="133"/>
    </row>
    <row r="45" spans="1:17" x14ac:dyDescent="0.25">
      <c r="A45" s="133"/>
      <c r="B45" s="134" t="s">
        <v>133</v>
      </c>
      <c r="C45" s="134"/>
      <c r="D45" s="133"/>
      <c r="E45" s="135"/>
      <c r="F45" s="133"/>
      <c r="G45" s="133"/>
      <c r="H45" s="133"/>
      <c r="I45" s="133"/>
      <c r="J45" s="133"/>
      <c r="K45" s="135"/>
      <c r="L45" s="133"/>
      <c r="M45" s="135"/>
      <c r="N45" s="133"/>
      <c r="O45" s="133"/>
      <c r="P45" s="133"/>
      <c r="Q45" s="133"/>
    </row>
    <row r="46" spans="1:17" ht="6" customHeight="1" x14ac:dyDescent="0.25">
      <c r="A46" s="133"/>
      <c r="B46" s="133"/>
      <c r="C46" s="135"/>
      <c r="D46" s="133"/>
      <c r="E46" s="135"/>
      <c r="F46" s="133"/>
      <c r="G46" s="133"/>
      <c r="H46" s="133"/>
      <c r="I46" s="133"/>
      <c r="J46" s="133"/>
      <c r="K46" s="135"/>
      <c r="L46" s="133"/>
      <c r="M46" s="135"/>
      <c r="N46" s="133"/>
      <c r="O46" s="133"/>
      <c r="P46" s="133"/>
      <c r="Q46" s="133"/>
    </row>
    <row r="47" spans="1:17" ht="15" customHeight="1" x14ac:dyDescent="0.25">
      <c r="A47" s="133"/>
      <c r="B47" s="192" t="s">
        <v>118</v>
      </c>
      <c r="C47" s="192"/>
      <c r="D47" s="192"/>
      <c r="E47" s="134"/>
      <c r="F47" s="134"/>
      <c r="G47" s="134"/>
      <c r="H47" s="134"/>
      <c r="I47" s="134"/>
      <c r="J47" s="134"/>
      <c r="K47" s="134"/>
      <c r="L47" s="134"/>
      <c r="M47" s="135"/>
      <c r="N47" s="136" t="s">
        <v>119</v>
      </c>
      <c r="O47" s="137"/>
      <c r="P47" s="137"/>
      <c r="Q47" s="133"/>
    </row>
    <row r="48" spans="1:17" ht="15" customHeight="1" x14ac:dyDescent="0.25">
      <c r="A48" s="133"/>
      <c r="B48" s="140" t="s">
        <v>136</v>
      </c>
      <c r="C48" s="156" t="s">
        <v>137</v>
      </c>
      <c r="E48" s="133"/>
      <c r="G48" s="140"/>
      <c r="H48" s="140"/>
      <c r="I48" s="140"/>
      <c r="J48" s="140"/>
      <c r="K48" s="133"/>
      <c r="L48" s="133"/>
      <c r="M48" s="141"/>
      <c r="N48" s="142" t="str">
        <f>CONCATENATE('LS-Department Note Disclosure'!$A$44," Principal Payments")</f>
        <v>2023–2024 Principal Payments</v>
      </c>
      <c r="O48" s="137"/>
      <c r="P48" s="139" t="s">
        <v>131</v>
      </c>
      <c r="Q48" s="133"/>
    </row>
    <row r="49" spans="1:17" x14ac:dyDescent="0.25">
      <c r="A49" s="133"/>
      <c r="B49" s="144"/>
      <c r="C49" s="155"/>
      <c r="E49" s="155"/>
      <c r="G49" s="157"/>
      <c r="H49" s="157"/>
      <c r="I49" s="157"/>
      <c r="J49" s="157"/>
      <c r="K49" s="155"/>
      <c r="L49" s="155"/>
      <c r="M49" s="158"/>
      <c r="N49" s="150">
        <f>'LS-Department Note Disclosure'!B44</f>
        <v>0</v>
      </c>
      <c r="O49" s="159"/>
      <c r="P49" s="152">
        <f>B49-N49</f>
        <v>0</v>
      </c>
      <c r="Q49" s="133"/>
    </row>
    <row r="50" spans="1:17" ht="6" customHeight="1" x14ac:dyDescent="0.25">
      <c r="A50" s="133"/>
      <c r="B50" s="143"/>
      <c r="C50" s="153"/>
      <c r="D50" s="143"/>
      <c r="E50" s="153"/>
      <c r="F50" s="143"/>
      <c r="G50" s="143"/>
      <c r="H50" s="143"/>
      <c r="I50" s="143"/>
      <c r="J50" s="143"/>
      <c r="K50" s="153"/>
      <c r="L50" s="143"/>
      <c r="M50" s="153"/>
      <c r="N50" s="143"/>
      <c r="O50" s="143"/>
      <c r="P50" s="143"/>
      <c r="Q50" s="133"/>
    </row>
    <row r="51" spans="1:17" ht="17.25" x14ac:dyDescent="0.25">
      <c r="A51" s="133"/>
      <c r="B51" s="133"/>
      <c r="C51" s="133"/>
      <c r="D51" s="154" t="str">
        <f>IF(OR(P49&gt;0, (P49&lt;0)), "Please review and correct the variance.","")</f>
        <v/>
      </c>
      <c r="E51" s="133"/>
      <c r="F51" s="133"/>
      <c r="G51" s="133"/>
      <c r="H51" s="133"/>
      <c r="I51" s="133"/>
      <c r="J51" s="133"/>
      <c r="K51" s="133"/>
      <c r="L51" s="133"/>
      <c r="M51" s="133"/>
      <c r="N51" s="133"/>
      <c r="O51" s="133"/>
      <c r="P51" s="133"/>
      <c r="Q51" s="133"/>
    </row>
    <row r="52" spans="1:17" ht="6" customHeight="1" x14ac:dyDescent="0.25">
      <c r="A52" s="133"/>
      <c r="B52" s="155"/>
      <c r="C52" s="135"/>
      <c r="D52" s="155"/>
      <c r="E52" s="135"/>
      <c r="F52" s="155"/>
      <c r="G52" s="155"/>
      <c r="H52" s="155"/>
      <c r="I52" s="155"/>
      <c r="J52" s="155"/>
      <c r="K52" s="135"/>
      <c r="L52" s="155"/>
      <c r="M52" s="135"/>
      <c r="N52" s="155"/>
      <c r="O52" s="155"/>
      <c r="P52" s="155"/>
      <c r="Q52" s="133"/>
    </row>
    <row r="53" spans="1:17" x14ac:dyDescent="0.25">
      <c r="A53" s="133"/>
      <c r="B53" s="134" t="s">
        <v>134</v>
      </c>
      <c r="C53" s="134"/>
      <c r="D53" s="133"/>
      <c r="E53" s="135"/>
      <c r="F53" s="133"/>
      <c r="G53" s="133"/>
      <c r="H53" s="133"/>
      <c r="I53" s="133"/>
      <c r="J53" s="133"/>
      <c r="K53" s="135"/>
      <c r="L53" s="133"/>
      <c r="M53" s="135"/>
      <c r="N53" s="133"/>
      <c r="O53" s="133"/>
      <c r="P53" s="133"/>
      <c r="Q53" s="133"/>
    </row>
    <row r="54" spans="1:17" ht="6" customHeight="1" x14ac:dyDescent="0.25">
      <c r="A54" s="133"/>
      <c r="B54" s="133"/>
      <c r="C54" s="135"/>
      <c r="D54" s="133"/>
      <c r="E54" s="135"/>
      <c r="F54" s="133"/>
      <c r="G54" s="133"/>
      <c r="H54" s="133"/>
      <c r="I54" s="133"/>
      <c r="J54" s="133"/>
      <c r="K54" s="135"/>
      <c r="L54" s="133"/>
      <c r="M54" s="135"/>
      <c r="N54" s="133"/>
      <c r="O54" s="133"/>
      <c r="P54" s="133"/>
      <c r="Q54" s="133"/>
    </row>
    <row r="55" spans="1:17" ht="15" customHeight="1" x14ac:dyDescent="0.25">
      <c r="A55" s="133"/>
      <c r="B55" s="192" t="s">
        <v>118</v>
      </c>
      <c r="C55" s="192"/>
      <c r="D55" s="192"/>
      <c r="E55" s="134"/>
      <c r="F55" s="134"/>
      <c r="G55" s="134"/>
      <c r="H55" s="134"/>
      <c r="I55" s="134"/>
      <c r="J55" s="134"/>
      <c r="K55" s="134"/>
      <c r="L55" s="134"/>
      <c r="M55" s="135"/>
      <c r="N55" s="136" t="s">
        <v>119</v>
      </c>
      <c r="O55" s="137"/>
      <c r="P55" s="137"/>
      <c r="Q55" s="133"/>
    </row>
    <row r="56" spans="1:17" ht="15" customHeight="1" x14ac:dyDescent="0.25">
      <c r="A56" s="133"/>
      <c r="B56" s="140" t="s">
        <v>136</v>
      </c>
      <c r="C56" s="156" t="s">
        <v>137</v>
      </c>
      <c r="E56" s="133"/>
      <c r="G56" s="140"/>
      <c r="H56" s="140"/>
      <c r="I56" s="140"/>
      <c r="J56" s="140"/>
      <c r="K56" s="133"/>
      <c r="L56" s="133"/>
      <c r="M56" s="141"/>
      <c r="N56" s="142" t="str">
        <f>CONCATENATE('LS-Department Note Disclosure'!$A$75," Principal Payments")</f>
        <v>2023–2024 Principal Payments</v>
      </c>
      <c r="O56" s="137"/>
      <c r="P56" s="139" t="s">
        <v>131</v>
      </c>
      <c r="Q56" s="133"/>
    </row>
    <row r="57" spans="1:17" x14ac:dyDescent="0.25">
      <c r="A57" s="133"/>
      <c r="B57" s="144">
        <f>IF('LS-Fund 0042 Journal Entries'!$F$8="Proprietary - Enterprise Fund",'LS-Fund 0042 Journal Entries'!$K$76,0)</f>
        <v>0</v>
      </c>
      <c r="C57" s="155"/>
      <c r="E57" s="155"/>
      <c r="G57" s="157"/>
      <c r="H57" s="157"/>
      <c r="I57" s="157"/>
      <c r="J57" s="157"/>
      <c r="K57" s="155"/>
      <c r="L57" s="155"/>
      <c r="M57" s="158"/>
      <c r="N57" s="150">
        <f>'LS-Department Note Disclosure'!B75</f>
        <v>0</v>
      </c>
      <c r="O57" s="159"/>
      <c r="P57" s="152">
        <f>B57-N57</f>
        <v>0</v>
      </c>
      <c r="Q57" s="133"/>
    </row>
    <row r="58" spans="1:17" ht="6" customHeight="1" x14ac:dyDescent="0.25">
      <c r="A58" s="133"/>
      <c r="B58" s="143"/>
      <c r="C58" s="153"/>
      <c r="D58" s="143"/>
      <c r="E58" s="153"/>
      <c r="F58" s="143"/>
      <c r="G58" s="143"/>
      <c r="H58" s="143"/>
      <c r="I58" s="143"/>
      <c r="J58" s="143"/>
      <c r="K58" s="153"/>
      <c r="L58" s="143"/>
      <c r="M58" s="153"/>
      <c r="N58" s="143"/>
      <c r="O58" s="143"/>
      <c r="P58" s="143"/>
      <c r="Q58" s="133"/>
    </row>
    <row r="59" spans="1:17" ht="17.25" x14ac:dyDescent="0.25">
      <c r="A59" s="133"/>
      <c r="B59" s="133"/>
      <c r="C59" s="133"/>
      <c r="D59" s="154" t="str">
        <f>IF(OR(P57&gt;0, (P57&lt;0)), "Please review and correct the variance.","")</f>
        <v/>
      </c>
      <c r="E59" s="133"/>
      <c r="F59" s="133"/>
      <c r="G59" s="133"/>
      <c r="H59" s="133"/>
      <c r="I59" s="133"/>
      <c r="J59" s="133"/>
      <c r="K59" s="133"/>
      <c r="L59" s="133"/>
      <c r="M59" s="133"/>
      <c r="N59" s="133"/>
      <c r="O59" s="133"/>
      <c r="P59" s="133"/>
      <c r="Q59" s="133"/>
    </row>
    <row r="60" spans="1:17" ht="6" customHeight="1" x14ac:dyDescent="0.25">
      <c r="A60" s="133"/>
      <c r="B60" s="155"/>
      <c r="C60" s="135"/>
      <c r="D60" s="155"/>
      <c r="E60" s="135"/>
      <c r="F60" s="155"/>
      <c r="G60" s="155"/>
      <c r="H60" s="155"/>
      <c r="I60" s="155"/>
      <c r="J60" s="155"/>
      <c r="K60" s="135"/>
      <c r="L60" s="155"/>
      <c r="M60" s="135"/>
      <c r="N60" s="155"/>
      <c r="O60" s="155"/>
      <c r="P60" s="155"/>
      <c r="Q60" s="133"/>
    </row>
    <row r="61" spans="1:17" x14ac:dyDescent="0.25">
      <c r="A61" s="129" t="s">
        <v>138</v>
      </c>
      <c r="B61" s="130"/>
      <c r="C61" s="131"/>
      <c r="D61" s="130"/>
      <c r="E61" s="131"/>
      <c r="F61" s="130"/>
      <c r="G61" s="130"/>
      <c r="H61" s="130"/>
      <c r="I61" s="130"/>
      <c r="J61" s="130"/>
      <c r="K61" s="131"/>
      <c r="L61" s="130"/>
      <c r="M61" s="131"/>
      <c r="N61" s="130"/>
      <c r="O61" s="130"/>
      <c r="P61" s="130"/>
      <c r="Q61" s="130"/>
    </row>
    <row r="62" spans="1:17" ht="15" customHeight="1" x14ac:dyDescent="0.25">
      <c r="A62" s="133"/>
      <c r="B62" s="134" t="s">
        <v>117</v>
      </c>
      <c r="C62" s="134"/>
      <c r="D62" s="137"/>
      <c r="E62" s="137"/>
      <c r="F62" s="137"/>
      <c r="G62" s="137"/>
      <c r="H62" s="137"/>
      <c r="I62" s="137"/>
      <c r="J62" s="137"/>
      <c r="K62" s="137"/>
      <c r="L62" s="137"/>
      <c r="M62" s="137"/>
      <c r="N62" s="137"/>
      <c r="O62" s="137"/>
      <c r="P62" s="137"/>
      <c r="Q62" s="133"/>
    </row>
    <row r="63" spans="1:17" x14ac:dyDescent="0.25">
      <c r="A63" s="133"/>
      <c r="B63" s="160"/>
      <c r="C63" s="160"/>
      <c r="D63" s="160"/>
      <c r="E63" s="160"/>
      <c r="F63" s="160"/>
      <c r="G63" s="160"/>
      <c r="H63" s="160"/>
      <c r="I63" s="160"/>
      <c r="J63" s="160"/>
      <c r="K63" s="160"/>
      <c r="L63" s="160"/>
      <c r="M63" s="160"/>
      <c r="N63" s="160"/>
      <c r="O63" s="160"/>
      <c r="P63" s="160"/>
      <c r="Q63" s="133"/>
    </row>
    <row r="64" spans="1:17" ht="15" customHeight="1" x14ac:dyDescent="0.25">
      <c r="A64" s="133"/>
      <c r="B64" s="195" t="s">
        <v>118</v>
      </c>
      <c r="C64" s="195"/>
      <c r="D64" s="195"/>
      <c r="E64" s="195"/>
      <c r="F64" s="195"/>
      <c r="G64" s="195"/>
      <c r="H64" s="195"/>
      <c r="I64" s="160"/>
      <c r="J64" s="136" t="s">
        <v>139</v>
      </c>
      <c r="K64" s="160"/>
      <c r="L64" s="195" t="s">
        <v>95</v>
      </c>
      <c r="M64" s="195"/>
      <c r="N64" s="195"/>
      <c r="O64" s="160"/>
      <c r="P64" s="160"/>
      <c r="Q64" s="133"/>
    </row>
    <row r="65" spans="1:17" x14ac:dyDescent="0.25">
      <c r="A65" s="133"/>
      <c r="B65" s="133"/>
      <c r="C65" s="133"/>
      <c r="D65" s="133"/>
      <c r="E65" s="133"/>
      <c r="F65" s="133"/>
      <c r="G65" s="133"/>
      <c r="H65" s="133"/>
      <c r="I65" s="133"/>
      <c r="J65" s="133"/>
      <c r="K65" s="133"/>
      <c r="L65" s="133"/>
      <c r="M65" s="133"/>
      <c r="N65" s="133"/>
      <c r="O65" s="133"/>
      <c r="P65" s="139" t="s">
        <v>131</v>
      </c>
      <c r="Q65" s="133"/>
    </row>
    <row r="66" spans="1:17" x14ac:dyDescent="0.25">
      <c r="B66" s="140" t="s">
        <v>123</v>
      </c>
      <c r="D66" s="162">
        <f>$B$16</f>
        <v>73030524</v>
      </c>
      <c r="J66" s="162">
        <f>SUM(D66)</f>
        <v>73030524</v>
      </c>
      <c r="L66" s="163" t="str">
        <f>CONCATENATE("Balance July 1, ",LEFT('LS-Department Note Disclosure'!$B$8,4))</f>
        <v>Balance July 1, 2022</v>
      </c>
      <c r="N66" s="162">
        <f>'LS-Lease Liabilities'!F10</f>
        <v>73030524</v>
      </c>
      <c r="P66" s="152">
        <f>J66-N66</f>
        <v>0</v>
      </c>
    </row>
    <row r="67" spans="1:17" x14ac:dyDescent="0.25">
      <c r="B67" s="140" t="s">
        <v>125</v>
      </c>
      <c r="D67" s="162">
        <f>$D$16</f>
        <v>27063637</v>
      </c>
      <c r="E67" s="164" t="s">
        <v>124</v>
      </c>
      <c r="F67" s="140" t="s">
        <v>129</v>
      </c>
      <c r="H67" s="162">
        <f>$J$16</f>
        <v>0</v>
      </c>
      <c r="J67" s="162">
        <f>SUM(D67,H67)</f>
        <v>27063637</v>
      </c>
      <c r="L67" s="163" t="s">
        <v>96</v>
      </c>
      <c r="N67" s="162">
        <f>'LS-Lease Liabilities'!H10</f>
        <v>27063637</v>
      </c>
      <c r="P67" s="152">
        <f t="shared" ref="P67:P69" si="0">J67-N67</f>
        <v>0</v>
      </c>
    </row>
    <row r="68" spans="1:17" x14ac:dyDescent="0.25">
      <c r="B68" s="140" t="s">
        <v>127</v>
      </c>
      <c r="D68" s="162">
        <f>$F$16</f>
        <v>23386670</v>
      </c>
      <c r="E68" s="164" t="s">
        <v>124</v>
      </c>
      <c r="F68" s="140" t="s">
        <v>128</v>
      </c>
      <c r="H68" s="162">
        <f>$H$16</f>
        <v>0</v>
      </c>
      <c r="J68" s="162">
        <f>SUM(D68,H68)</f>
        <v>23386670</v>
      </c>
      <c r="L68" s="163" t="s">
        <v>97</v>
      </c>
      <c r="N68" s="162">
        <f>'LS-Lease Liabilities'!J10</f>
        <v>23386670</v>
      </c>
      <c r="P68" s="152">
        <f t="shared" si="0"/>
        <v>0</v>
      </c>
    </row>
    <row r="69" spans="1:17" x14ac:dyDescent="0.25">
      <c r="B69" s="140" t="s">
        <v>136</v>
      </c>
      <c r="D69" s="162">
        <f>$B$42</f>
        <v>33463895</v>
      </c>
      <c r="J69" s="162">
        <f>SUM(D69)</f>
        <v>33463895</v>
      </c>
      <c r="L69" s="163" t="s">
        <v>98</v>
      </c>
      <c r="N69" s="162">
        <f>'LS-Lease Liabilities'!N10</f>
        <v>33463895</v>
      </c>
      <c r="P69" s="152">
        <f t="shared" si="0"/>
        <v>0</v>
      </c>
    </row>
    <row r="70" spans="1:17" x14ac:dyDescent="0.25">
      <c r="D70" s="165"/>
    </row>
    <row r="71" spans="1:17" ht="15.95" customHeight="1" x14ac:dyDescent="0.25">
      <c r="D71" s="154" t="str">
        <f>IF(OR(P66&gt;0, (P66&lt;0),P67&gt;0,P67&lt;0,P68&gt;0,P68&lt;0,P69&gt;0,P69&lt;0), "Please review and correct the variance.","")</f>
        <v/>
      </c>
    </row>
    <row r="72" spans="1:17" ht="6" customHeight="1" x14ac:dyDescent="0.25">
      <c r="D72" s="165"/>
    </row>
    <row r="73" spans="1:17" x14ac:dyDescent="0.25">
      <c r="B73" s="166" t="s">
        <v>133</v>
      </c>
      <c r="C73" s="166"/>
    </row>
    <row r="74" spans="1:17" x14ac:dyDescent="0.25">
      <c r="B74" s="166"/>
    </row>
    <row r="75" spans="1:17" ht="15" customHeight="1" x14ac:dyDescent="0.25">
      <c r="B75" s="195" t="s">
        <v>118</v>
      </c>
      <c r="C75" s="195"/>
      <c r="D75" s="195"/>
      <c r="E75" s="195"/>
      <c r="F75" s="195"/>
      <c r="G75" s="195"/>
      <c r="H75" s="195"/>
      <c r="I75" s="160"/>
      <c r="J75" s="136" t="s">
        <v>139</v>
      </c>
      <c r="K75" s="160"/>
      <c r="L75" s="195" t="s">
        <v>95</v>
      </c>
      <c r="M75" s="195"/>
      <c r="N75" s="195"/>
    </row>
    <row r="76" spans="1:17" x14ac:dyDescent="0.25">
      <c r="L76" s="133"/>
      <c r="M76" s="133"/>
      <c r="N76" s="133"/>
      <c r="O76" s="133"/>
      <c r="P76" s="139" t="s">
        <v>131</v>
      </c>
    </row>
    <row r="77" spans="1:17" x14ac:dyDescent="0.25">
      <c r="B77" s="140" t="s">
        <v>123</v>
      </c>
      <c r="D77" s="162">
        <f>B24</f>
        <v>0</v>
      </c>
      <c r="J77" s="162">
        <f>SUM(D77)</f>
        <v>0</v>
      </c>
      <c r="L77" s="163" t="str">
        <f>CONCATENATE("Balance July 1, ",LEFT('LS-Department Note Disclosure'!$B$8,4))</f>
        <v>Balance July 1, 2022</v>
      </c>
      <c r="N77" s="162">
        <f>'LS-Lease Liabilities'!F14</f>
        <v>0</v>
      </c>
      <c r="P77" s="152">
        <f>J77-N77</f>
        <v>0</v>
      </c>
    </row>
    <row r="78" spans="1:17" x14ac:dyDescent="0.25">
      <c r="B78" s="140" t="s">
        <v>125</v>
      </c>
      <c r="D78" s="162">
        <f>D24</f>
        <v>0</v>
      </c>
      <c r="E78" s="164" t="s">
        <v>124</v>
      </c>
      <c r="F78" s="140" t="s">
        <v>129</v>
      </c>
      <c r="H78" s="162">
        <f>$J$24</f>
        <v>0</v>
      </c>
      <c r="J78" s="162">
        <f>SUM(D78,H78)</f>
        <v>0</v>
      </c>
      <c r="L78" s="163" t="s">
        <v>96</v>
      </c>
      <c r="N78" s="162">
        <f>'LS-Lease Liabilities'!H14</f>
        <v>0</v>
      </c>
      <c r="P78" s="152">
        <f t="shared" ref="P78:P80" si="1">J78-N78</f>
        <v>0</v>
      </c>
    </row>
    <row r="79" spans="1:17" x14ac:dyDescent="0.25">
      <c r="B79" s="140" t="s">
        <v>127</v>
      </c>
      <c r="D79" s="162">
        <f>F24</f>
        <v>0</v>
      </c>
      <c r="E79" s="164" t="s">
        <v>124</v>
      </c>
      <c r="F79" s="140" t="s">
        <v>128</v>
      </c>
      <c r="H79" s="162">
        <f>$H$24</f>
        <v>0</v>
      </c>
      <c r="J79" s="162">
        <f>SUM(D79,H79)</f>
        <v>0</v>
      </c>
      <c r="L79" s="163" t="s">
        <v>97</v>
      </c>
      <c r="N79" s="162">
        <f>'LS-Lease Liabilities'!J14</f>
        <v>0</v>
      </c>
      <c r="P79" s="152">
        <f t="shared" si="1"/>
        <v>0</v>
      </c>
    </row>
    <row r="80" spans="1:17" x14ac:dyDescent="0.25">
      <c r="B80" s="140" t="s">
        <v>136</v>
      </c>
      <c r="D80" s="162">
        <f>B49</f>
        <v>0</v>
      </c>
      <c r="J80" s="162">
        <f>SUM(D80)</f>
        <v>0</v>
      </c>
      <c r="L80" s="163" t="s">
        <v>98</v>
      </c>
      <c r="N80" s="162">
        <f>'LS-Lease Liabilities'!N14</f>
        <v>0</v>
      </c>
      <c r="P80" s="152">
        <f t="shared" si="1"/>
        <v>0</v>
      </c>
    </row>
    <row r="81" spans="2:16" x14ac:dyDescent="0.25"/>
    <row r="82" spans="2:16" x14ac:dyDescent="0.25"/>
    <row r="83" spans="2:16" ht="4.9000000000000004" customHeight="1" x14ac:dyDescent="0.25"/>
    <row r="84" spans="2:16" x14ac:dyDescent="0.25">
      <c r="B84" s="166" t="s">
        <v>134</v>
      </c>
      <c r="C84" s="166"/>
    </row>
    <row r="85" spans="2:16" x14ac:dyDescent="0.25">
      <c r="B85" s="166"/>
    </row>
    <row r="86" spans="2:16" ht="15" customHeight="1" x14ac:dyDescent="0.25">
      <c r="B86" s="195" t="s">
        <v>118</v>
      </c>
      <c r="C86" s="195"/>
      <c r="D86" s="195"/>
      <c r="E86" s="195"/>
      <c r="F86" s="195"/>
      <c r="G86" s="195"/>
      <c r="H86" s="195"/>
      <c r="I86" s="160"/>
      <c r="J86" s="136" t="s">
        <v>139</v>
      </c>
      <c r="K86" s="160"/>
      <c r="L86" s="195" t="s">
        <v>95</v>
      </c>
      <c r="M86" s="195"/>
      <c r="N86" s="195"/>
    </row>
    <row r="87" spans="2:16" x14ac:dyDescent="0.25">
      <c r="L87" s="133"/>
      <c r="M87" s="133"/>
      <c r="N87" s="133"/>
      <c r="O87" s="133"/>
      <c r="P87" s="139" t="s">
        <v>131</v>
      </c>
    </row>
    <row r="88" spans="2:16" x14ac:dyDescent="0.25">
      <c r="B88" s="140" t="s">
        <v>123</v>
      </c>
      <c r="D88" s="162">
        <f>B33</f>
        <v>0</v>
      </c>
      <c r="J88" s="162">
        <f>SUM(D88)</f>
        <v>0</v>
      </c>
      <c r="L88" s="163" t="str">
        <f>CONCATENATE("Balance July 1, ",LEFT('LS-Department Note Disclosure'!$B$8,4))</f>
        <v>Balance July 1, 2022</v>
      </c>
      <c r="N88" s="162">
        <f>'LS-Lease Liabilities'!F18</f>
        <v>0</v>
      </c>
      <c r="P88" s="152">
        <f>J88-N88</f>
        <v>0</v>
      </c>
    </row>
    <row r="89" spans="2:16" x14ac:dyDescent="0.25">
      <c r="B89" s="140" t="s">
        <v>125</v>
      </c>
      <c r="D89" s="162">
        <f>D33</f>
        <v>0</v>
      </c>
      <c r="E89" s="164" t="s">
        <v>124</v>
      </c>
      <c r="F89" s="140" t="s">
        <v>129</v>
      </c>
      <c r="H89" s="162">
        <f>$J$33</f>
        <v>0</v>
      </c>
      <c r="J89" s="162">
        <f>SUM(D89,H89)</f>
        <v>0</v>
      </c>
      <c r="L89" s="163" t="s">
        <v>96</v>
      </c>
      <c r="N89" s="162">
        <f>'LS-Lease Liabilities'!H18</f>
        <v>0</v>
      </c>
      <c r="P89" s="152">
        <f t="shared" ref="P89:P91" si="2">J89-N89</f>
        <v>0</v>
      </c>
    </row>
    <row r="90" spans="2:16" x14ac:dyDescent="0.25">
      <c r="B90" s="140" t="s">
        <v>127</v>
      </c>
      <c r="D90" s="162">
        <f>F33</f>
        <v>0</v>
      </c>
      <c r="E90" s="164" t="s">
        <v>124</v>
      </c>
      <c r="F90" s="140" t="s">
        <v>128</v>
      </c>
      <c r="H90" s="162">
        <f>$H$33</f>
        <v>0</v>
      </c>
      <c r="J90" s="162">
        <f>SUM(D90,H90)</f>
        <v>0</v>
      </c>
      <c r="L90" s="163" t="s">
        <v>97</v>
      </c>
      <c r="N90" s="162">
        <f>'LS-Lease Liabilities'!J18</f>
        <v>0</v>
      </c>
      <c r="P90" s="152">
        <f t="shared" si="2"/>
        <v>0</v>
      </c>
    </row>
    <row r="91" spans="2:16" x14ac:dyDescent="0.25">
      <c r="B91" s="140" t="s">
        <v>136</v>
      </c>
      <c r="D91" s="162">
        <f>B57</f>
        <v>0</v>
      </c>
      <c r="J91" s="162">
        <f>SUM(D91)</f>
        <v>0</v>
      </c>
      <c r="L91" s="163" t="s">
        <v>98</v>
      </c>
      <c r="N91" s="162">
        <f>'LS-Lease Liabilities'!N18</f>
        <v>0</v>
      </c>
      <c r="P91" s="152">
        <f t="shared" si="2"/>
        <v>0</v>
      </c>
    </row>
    <row r="92" spans="2:16" x14ac:dyDescent="0.25"/>
    <row r="93" spans="2:16" ht="17.25" x14ac:dyDescent="0.25">
      <c r="D93" s="154"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zh5ZvYzbJ8BUdeqA1lMTCUxt2vYHQV/qAVA8Zdul5FnEoZ479AhRPmtgA7C3SM8M9yoYNmYymkBenU0rJ/qCDA==" saltValue="Ymizm+Chc/pQ7wggAftZrg==" spinCount="100000" sheet="1" objects="1" scenarios="1"/>
  <mergeCells count="14">
    <mergeCell ref="B86:H86"/>
    <mergeCell ref="L86:N86"/>
    <mergeCell ref="B47:D47"/>
    <mergeCell ref="B55:D55"/>
    <mergeCell ref="B64:H64"/>
    <mergeCell ref="L64:N64"/>
    <mergeCell ref="B75:H75"/>
    <mergeCell ref="L75:N75"/>
    <mergeCell ref="B40:D40"/>
    <mergeCell ref="A5:Q7"/>
    <mergeCell ref="A8:Q9"/>
    <mergeCell ref="B13:L13"/>
    <mergeCell ref="B21:L21"/>
    <mergeCell ref="B30:L30"/>
  </mergeCells>
  <conditionalFormatting sqref="P16">
    <cfRule type="cellIs" dxfId="17" priority="17" operator="lessThan">
      <formula>0</formula>
    </cfRule>
    <cfRule type="cellIs" dxfId="16" priority="18" operator="greaterThan">
      <formula>0</formula>
    </cfRule>
  </conditionalFormatting>
  <conditionalFormatting sqref="P24">
    <cfRule type="cellIs" dxfId="15" priority="7" operator="lessThan">
      <formula>0</formula>
    </cfRule>
    <cfRule type="cellIs" dxfId="14" priority="8" operator="greaterThan">
      <formula>0</formula>
    </cfRule>
  </conditionalFormatting>
  <conditionalFormatting sqref="P33">
    <cfRule type="cellIs" dxfId="13" priority="15" operator="lessThan">
      <formula>0</formula>
    </cfRule>
    <cfRule type="cellIs" dxfId="12" priority="1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49">
    <cfRule type="cellIs" dxfId="9" priority="5" operator="lessThan">
      <formula>0</formula>
    </cfRule>
    <cfRule type="cellIs" dxfId="8" priority="6" operator="greaterThan">
      <formula>0</formula>
    </cfRule>
  </conditionalFormatting>
  <conditionalFormatting sqref="P57">
    <cfRule type="cellIs" dxfId="7" priority="11" operator="lessThan">
      <formula>0</formula>
    </cfRule>
    <cfRule type="cellIs" dxfId="6" priority="12" operator="greaterThan">
      <formula>0</formula>
    </cfRule>
  </conditionalFormatting>
  <conditionalFormatting sqref="P66:P69">
    <cfRule type="cellIs" dxfId="5" priority="9" operator="lessThan">
      <formula>0</formula>
    </cfRule>
    <cfRule type="cellIs" dxfId="4" priority="10"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8C9A300-121D-4F2B-8C22-ED827AF6F3CD}"/>
</file>

<file path=customXml/itemProps2.xml><?xml version="1.0" encoding="utf-8"?>
<ds:datastoreItem xmlns:ds="http://schemas.openxmlformats.org/officeDocument/2006/customXml" ds:itemID="{7A32B3FB-9D06-4EFD-B861-EEFFE3BB8C37}"/>
</file>

<file path=customXml/itemProps3.xml><?xml version="1.0" encoding="utf-8"?>
<ds:datastoreItem xmlns:ds="http://schemas.openxmlformats.org/officeDocument/2006/customXml" ds:itemID="{C42BB986-9386-4ECF-8947-CC6DA65CB8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LS-Fund 0042 Journal Entries</vt:lpstr>
      <vt:lpstr>LS-Fund 0046 Journal Entrie</vt:lpstr>
      <vt:lpstr>LS-Fund 3290 Journal Entrie</vt:lpstr>
      <vt:lpstr>LS-Fund 3291 Journal Entrie</vt:lpstr>
      <vt:lpstr>LS-Fund 6072 Journal Entrie </vt:lpstr>
      <vt:lpstr>LS-Department Note Disclosure</vt:lpstr>
      <vt:lpstr>LS-Lease Liabilities</vt:lpstr>
      <vt:lpstr>LS-Check Figures  </vt:lpstr>
      <vt:lpstr>'LS-Department Note Disclosure'!Print_Area</vt:lpstr>
      <vt:lpstr>'LS-Fund 0042 Journal Entries'!Print_Area</vt:lpstr>
      <vt:lpstr>'LS-Fund 0046 Journal Entrie'!Print_Area</vt:lpstr>
      <vt:lpstr>'LS-Fund 3290 Journal Entrie'!Print_Area</vt:lpstr>
      <vt:lpstr>'LS-Fund 3291 Journal Entrie'!Print_Area</vt:lpstr>
      <vt:lpstr>'LS-Fund 6072 Journal Entrie '!Print_Area</vt:lpstr>
      <vt:lpstr>'LS-Lease Liabilities'!Print_Area</vt:lpstr>
    </vt:vector>
  </TitlesOfParts>
  <Company>Caltrans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Luo, May@DOT</dc:creator>
  <cp:lastModifiedBy>Lam, Samantha</cp:lastModifiedBy>
  <dcterms:created xsi:type="dcterms:W3CDTF">2024-04-17T14:23:05Z</dcterms:created>
  <dcterms:modified xsi:type="dcterms:W3CDTF">2024-06-28T19:53:59Z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3448800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