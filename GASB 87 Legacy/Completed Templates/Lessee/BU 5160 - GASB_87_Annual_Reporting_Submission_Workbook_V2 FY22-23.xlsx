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codeName="ThisWorkbook"/>
  <mc:AlternateContent xmlns:mc="http://schemas.openxmlformats.org/markup-compatibility/2006">
    <mc:Choice Requires="x15">
      <x15ac:absPath xmlns:x15ac="http://schemas.microsoft.com/office/spreadsheetml/2010/11/ac" url="G:\State_Gov_Reporting\ADMIN - POLICY\GASB\GASB 87 - Leases\Project Tracking\Department Responses\"/>
    </mc:Choice>
  </mc:AlternateContent>
  <xr:revisionPtr revIDLastSave="0" documentId="13_ncr:1_{F8FAD40C-14AE-4874-8BF0-6625F55F3A93}"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4" l="1"/>
  <c r="J10" i="4"/>
  <c r="Q24" i="2"/>
  <c r="P18" i="2"/>
  <c r="K129" i="2" l="1"/>
  <c r="S20" i="2"/>
  <c r="K20" i="2"/>
  <c r="K125" i="2" s="1"/>
  <c r="J18" i="2" l="1"/>
  <c r="S25" i="2"/>
  <c r="S24" i="2"/>
  <c r="S23" i="2"/>
  <c r="K23" i="2"/>
  <c r="S22" i="2"/>
  <c r="K22" i="2"/>
  <c r="K127" i="2" s="1"/>
  <c r="S21" i="2"/>
  <c r="K21" i="2"/>
  <c r="K126" i="2" s="1"/>
  <c r="S19" i="2"/>
  <c r="S17" i="2"/>
  <c r="J17" i="2"/>
  <c r="S16" i="2"/>
  <c r="J16" i="2"/>
  <c r="K123" i="2" s="1"/>
  <c r="S15" i="2"/>
  <c r="J15" i="2"/>
  <c r="K122" i="2" s="1"/>
  <c r="K128" i="2" l="1"/>
  <c r="F10" i="4"/>
  <c r="K124" i="2"/>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<sst xmlns="http://schemas.openxmlformats.org/spreadsheetml/2006/main" count="7784" uniqueCount="1761">
  <si>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</si>
  <si>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</si>
  <si>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</si>
  <si>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</si>
  <si>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</si>
  <si>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</si>
  <si>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</si>
  <si>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</si>
  <si>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</si>
  <si>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</si>
  <si>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</si>
  <si>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</si>
  <si>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</si>
  <si>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</si>
  <si>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</si>
  <si>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</si>
  <si>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</si>
  <si>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</si>
  <si>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</si>
  <si>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</si>
  <si>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</si>
  <si>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</si>
  <si>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</si>
  <si>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</si>
  <si>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</si>
  <si>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</si>
  <si>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</si>
  <si>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</si>
  <si>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</si>
  <si>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</si>
  <si>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</si>
  <si>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</si>
  <si>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</si>
  <si>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</si>
  <si>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</si>
  <si>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</si>
  <si>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</si>
  <si>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</si>
  <si>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</si>
  <si>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</si>
  <si>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</si>
  <si>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</si>
  <si>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</si>
  <si>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</si>
  <si>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</si>
  <si>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</si>
  <si>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</si>
  <si>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</si>
  <si>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</si>
  <si>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</si>
  <si>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</si>
  <si>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</si>
  <si>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</si>
  <si>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</si>
  <si>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</si>
  <si>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</si>
  <si>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</si>
  <si>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</si>
  <si>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</si>
  <si>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</si>
  <si>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</si>
  <si>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</si>
  <si>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</si>
  <si>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</si>
  <si>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</si>
  <si>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</si>
  <si>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</si>
  <si>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</si>
  <si>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</si>
  <si>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</si>
  <si>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</si>
  <si>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</si>
  <si>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</si>
  <si>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</si>
  <si>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</si>
  <si>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</si>
  <si>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</si>
  <si>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</si>
  <si>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</si>
  <si>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</si>
  <si>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</si>
  <si>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</si>
  <si>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</si>
  <si>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</si>
  <si>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</si>
  <si>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</si>
  <si>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</si>
  <si>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</si>
  <si>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</si>
  <si>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</si>
  <si>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</si>
  <si>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</si>
  <si>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</si>
  <si>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</si>
  <si>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</si>
  <si>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</si>
  <si>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</si>
  <si>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</si>
  <si>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</si>
  <si>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</si>
  <si>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</si>
  <si>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</si>
  <si>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</si>
  <si>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</si>
  <si>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</si>
  <si>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</si>
  <si>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</si>
  <si>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</si>
  <si>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</si>
  <si>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</si>
  <si>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</si>
  <si>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</si>
  <si>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</si>
  <si>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</si>
  <si>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</si>
  <si>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</si>
  <si>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</si>
  <si>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</si>
  <si>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</si>
  <si>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</si>
  <si>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</si>
  <si>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</si>
  <si>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</si>
  <si>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</si>
  <si>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</si>
  <si>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</si>
  <si>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</si>
  <si>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</si>
  <si>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</si>
  <si>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</si>
  <si>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</si>
  <si>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</si>
  <si>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</si>
  <si>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</si>
  <si>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</si>
  <si>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</si>
  <si>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</si>
  <si>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</si>
  <si>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</si>
  <si>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</si>
  <si>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</si>
  <si>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</si>
  <si>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</si>
  <si>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</si>
  <si>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</si>
  <si>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</si>
  <si>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</si>
  <si>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</si>
  <si>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</si>
  <si>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</si>
  <si>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</si>
  <si>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</si>
  <si>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</si>
  <si>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</si>
  <si>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</si>
  <si>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</si>
  <si>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</si>
  <si>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</si>
  <si>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</si>
  <si>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</si>
  <si>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</si>
  <si>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</si>
  <si>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</si>
  <si>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</si>
  <si>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</si>
  <si>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</si>
  <si>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</si>
  <si>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</si>
  <si>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</si>
  <si>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</si>
  <si>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</si>
  <si>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</si>
  <si>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</si>
  <si>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</si>
  <si>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</si>
  <si>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</si>
  <si>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</si>
  <si>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</si>
  <si>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</si>
  <si>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</si>
  <si>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</si>
  <si>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</si>
  <si>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</si>
  <si>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</si>
  <si>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</si>
  <si>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</si>
  <si>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</si>
  <si>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</si>
  <si>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</si>
  <si>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</si>
  <si>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</si>
  <si>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</si>
  <si>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</si>
  <si>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</si>
  <si>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</si>
  <si>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</si>
  <si>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</si>
  <si>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</si>
  <si>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</si>
  <si>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</si>
  <si>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</si>
  <si>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</si>
  <si>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</si>
  <si>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</si>
  <si>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</si>
  <si>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</si>
  <si>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</si>
  <si>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</si>
  <si>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</si>
  <si>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</si>
  <si>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</si>
  <si>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</si>
  <si>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</si>
  <si>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</si>
  <si>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</si>
  <si>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</si>
  <si>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</si>
  <si>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</si>
  <si>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</si>
  <si>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</si>
  <si>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</si>
  <si>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</si>
  <si>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</si>
  <si>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</si>
  <si>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</si>
  <si>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</si>
  <si>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</si>
  <si>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</si>
  <si>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</si>
  <si>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</si>
  <si>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</si>
  <si>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</si>
  <si>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</si>
  <si>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</si>
  <si>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</si>
  <si>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</si>
  <si>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</si>
  <si>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</si>
  <si>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</si>
  <si>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</si>
  <si>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</si>
  <si>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</si>
  <si>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</si>
  <si>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</si>
  <si>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</si>
  <si>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</si>
  <si>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</si>
  <si>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</si>
  <si>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</si>
  <si>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</si>
  <si>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</si>
  <si>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</si>
  <si>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</si>
  <si>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</si>
  <si>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</si>
  <si>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</si>
  <si>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</si>
  <si>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</si>
  <si>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</si>
  <si>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</si>
  <si>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</si>
  <si>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</si>
  <si>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</si>
  <si>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</si>
  <si>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</si>
  <si>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</si>
  <si>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</si>
  <si>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</si>
  <si>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</si>
  <si>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</si>
  <si>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</si>
  <si>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</si>
  <si>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</si>
  <si>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</si>
  <si>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</si>
  <si>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</si>
  <si>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</si>
  <si>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</si>
  <si>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</si>
  <si>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</si>
  <si>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</si>
  <si>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</si>
  <si>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</si>
  <si>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</si>
  <si>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</si>
  <si>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</si>
  <si>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</si>
  <si>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</si>
  <si>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</si>
  <si>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</si>
  <si>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</si>
  <si>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</si>
  <si>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</si>
  <si>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</si>
  <si>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</si>
  <si>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</si>
  <si>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</si>
  <si>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</si>
  <si>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</si>
  <si>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</si>
  <si>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</si>
  <si>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</si>
  <si>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</si>
  <si>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</si>
  <si>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</si>
  <si>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</si>
  <si>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</si>
  <si>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</si>
  <si>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</si>
  <si>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</si>
  <si>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</si>
  <si>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</si>
  <si>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</si>
  <si>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</si>
  <si>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</si>
  <si>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</si>
  <si>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</si>
  <si>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</si>
  <si>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</si>
  <si>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</si>
  <si>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</si>
  <si>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</si>
  <si>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</si>
  <si>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</si>
  <si>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</si>
  <si>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</si>
  <si>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</si>
  <si>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</si>
  <si>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</si>
  <si>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</si>
  <si>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</si>
  <si>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</si>
  <si>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</si>
  <si>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</si>
  <si>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</si>
  <si>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</si>
  <si>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</si>
  <si>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</si>
  <si>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</si>
  <si>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</si>
  <si>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</si>
  <si>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</si>
  <si>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</si>
  <si>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</si>
  <si>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</si>
  <si>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</si>
  <si>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</si>
  <si>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</si>
  <si>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</si>
  <si>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</si>
  <si>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</si>
  <si>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</si>
  <si>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</si>
  <si>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</si>
  <si>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</si>
  <si>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</si>
  <si>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</si>
  <si>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</si>
  <si>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</si>
  <si>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</si>
  <si>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</si>
  <si>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</si>
  <si>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</si>
  <si>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</si>
  <si>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</si>
  <si>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</si>
  <si>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</si>
  <si>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</si>
  <si>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</si>
  <si>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</si>
  <si>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</si>
  <si>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</si>
  <si>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</si>
  <si>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</si>
  <si>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</si>
  <si>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</si>
  <si>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</si>
  <si>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</si>
  <si>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</si>
  <si>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</si>
  <si>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</si>
  <si>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</si>
  <si>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</si>
  <si>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</si>
  <si>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</si>
  <si>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</si>
  <si>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</si>
  <si>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</si>
  <si>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</si>
  <si>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</si>
  <si>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</si>
  <si>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</si>
  <si>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</si>
  <si>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</si>
  <si>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</si>
  <si>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</si>
  <si>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</si>
  <si>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</si>
  <si>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</si>
  <si>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</si>
  <si>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</si>
  <si>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</si>
  <si>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</si>
  <si>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</si>
  <si>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</si>
  <si>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</si>
  <si>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</si>
  <si>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</si>
  <si>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</si>
  <si>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</si>
  <si>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</si>
  <si>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</si>
  <si>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</si>
  <si>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</si>
  <si>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</si>
  <si>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</si>
  <si>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</si>
  <si>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</si>
  <si>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</si>
  <si>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</si>
  <si>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</si>
  <si>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</si>
  <si>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</si>
  <si>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</si>
  <si>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</si>
  <si>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</si>
  <si>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</si>
  <si>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</si>
  <si>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</si>
  <si>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</si>
  <si>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</si>
  <si>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</si>
  <si>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</si>
  <si>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</si>
  <si>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</si>
  <si>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</si>
  <si>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</si>
  <si>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</si>
  <si>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</si>
  <si>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</si>
  <si>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</si>
  <si>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</si>
  <si>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</si>
  <si>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</si>
  <si>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</si>
  <si>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</si>
  <si>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</si>
  <si>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</si>
  <si>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</si>
  <si>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</si>
  <si>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</si>
  <si>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</si>
  <si>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</si>
  <si>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</si>
  <si>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</si>
  <si>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</si>
  <si>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</si>
  <si>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</si>
  <si>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</si>
  <si>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</si>
  <si>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</si>
  <si>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</si>
  <si>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</si>
  <si>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</si>
  <si>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</si>
  <si>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</si>
  <si>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</si>
  <si>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</si>
  <si>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</si>
  <si>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</si>
  <si>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</si>
  <si>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</si>
  <si>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</si>
  <si>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</si>
  <si>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</si>
  <si>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</si>
  <si>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</si>
  <si>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</si>
  <si>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</si>
  <si>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</si>
  <si>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</si>
  <si>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</si>
  <si>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</si>
  <si>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</si>
  <si>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</si>
  <si>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</si>
  <si>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</si>
  <si>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</si>
  <si>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</si>
  <si>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</si>
  <si>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</si>
  <si>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</si>
  <si>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</si>
  <si>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</si>
  <si>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</si>
  <si>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</si>
  <si>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</si>
  <si>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</si>
  <si>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</si>
  <si>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</si>
  <si>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</si>
  <si>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</si>
  <si>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</si>
  <si>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</si>
  <si>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</si>
  <si>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</si>
  <si>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</si>
  <si>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</si>
  <si>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</si>
  <si>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</si>
  <si>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</si>
  <si>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</si>
  <si>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</si>
  <si>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</si>
  <si>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</si>
  <si>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</si>
  <si>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</si>
  <si>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</si>
  <si>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</si>
  <si>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</si>
  <si>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</si>
  <si>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</si>
  <si>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</si>
  <si>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</si>
  <si>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</si>
  <si>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</si>
  <si>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</si>
  <si>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</si>
  <si>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</si>
  <si>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</si>
  <si>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</si>
  <si>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</si>
  <si>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</si>
  <si>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</si>
  <si>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</si>
  <si>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</si>
  <si>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</si>
  <si>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</si>
  <si>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</si>
  <si>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</si>
  <si>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</si>
  <si>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</si>
  <si>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</si>
  <si>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</si>
  <si>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</si>
  <si>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</si>
  <si>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</si>
  <si>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</si>
  <si>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</si>
  <si>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</si>
  <si>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</si>
  <si>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</si>
  <si>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</si>
  <si>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</si>
  <si>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</si>
  <si>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</si>
  <si>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</si>
  <si>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</si>
  <si>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</si>
  <si>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</si>
  <si>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</si>
  <si>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</si>
  <si>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</si>
  <si>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</si>
  <si>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</si>
  <si>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</si>
  <si>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</si>
  <si>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</si>
  <si>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</si>
  <si>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</si>
  <si>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</si>
  <si>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</si>
  <si>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</si>
  <si>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</si>
  <si>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</si>
  <si>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</si>
  <si>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</si>
  <si>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</si>
  <si>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</si>
  <si>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</si>
  <si>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</si>
  <si>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</si>
  <si>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</si>
  <si>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</si>
  <si>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</si>
  <si>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</si>
  <si>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</si>
  <si>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</si>
  <si>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</si>
  <si>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</si>
  <si>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</si>
  <si>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</si>
  <si>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</si>
  <si>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</si>
  <si>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</si>
  <si>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</si>
  <si>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</si>
  <si>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</si>
  <si>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</si>
  <si>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</si>
  <si>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</si>
  <si>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</si>
  <si>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</si>
  <si>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</si>
  <si>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</si>
  <si>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</si>
  <si>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</si>
  <si>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</si>
  <si>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</si>
  <si>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</si>
  <si>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</si>
  <si>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</si>
  <si>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</si>
  <si>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</si>
  <si>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</si>
  <si>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</si>
  <si>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</si>
  <si>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</si>
  <si>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</si>
  <si>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</si>
  <si>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</si>
  <si>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</si>
  <si>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</si>
  <si>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</si>
  <si>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</si>
  <si>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</si>
  <si>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</si>
  <si>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</si>
  <si>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</si>
  <si>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</si>
  <si>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</si>
  <si>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</si>
  <si>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</si>
  <si>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</si>
  <si>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</si>
  <si>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</si>
  <si>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</si>
  <si>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</si>
  <si>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</si>
  <si>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</si>
  <si>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</si>
  <si>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</si>
  <si>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</si>
  <si>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</si>
  <si>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</si>
  <si>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</si>
  <si>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</si>
  <si>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</si>
  <si>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</si>
  <si>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</si>
  <si>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</si>
  <si>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</si>
  <si>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</si>
  <si>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</si>
  <si>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</si>
  <si>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</si>
  <si>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</si>
  <si>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</si>
  <si>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</si>
  <si>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</si>
  <si>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</si>
  <si>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</si>
  <si>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</si>
  <si>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</si>
  <si>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</si>
  <si>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</si>
  <si>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</si>
  <si>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</si>
  <si>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</si>
  <si>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</si>
  <si>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</si>
  <si>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</si>
  <si>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</si>
  <si>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</si>
  <si>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</si>
  <si>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</si>
  <si>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</si>
  <si>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</si>
  <si>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</si>
  <si>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</si>
  <si>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</si>
  <si>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</si>
  <si>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</si>
  <si>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</si>
  <si>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</si>
  <si>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</si>
  <si>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</si>
  <si>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</si>
  <si>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</si>
  <si>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</si>
  <si>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</si>
  <si>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</si>
  <si>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</si>
  <si>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</si>
  <si>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</si>
  <si>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</si>
  <si>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</si>
  <si>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</si>
  <si>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</si>
  <si>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</si>
  <si>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</si>
  <si>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</si>
  <si>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</si>
  <si>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</si>
  <si>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</si>
  <si>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</si>
  <si>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</si>
  <si>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</si>
  <si>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</si>
  <si>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</si>
  <si>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</si>
  <si>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</si>
  <si>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</si>
  <si>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</si>
  <si>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</si>
  <si>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</si>
  <si>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</si>
  <si>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</si>
  <si>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</si>
  <si>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</si>
  <si>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</si>
  <si>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</si>
  <si>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</si>
  <si>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</si>
  <si>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</si>
  <si>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</si>
  <si>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</si>
  <si>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</si>
  <si>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</si>
  <si>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</si>
  <si>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</si>
  <si>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</si>
  <si>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</si>
  <si>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</si>
  <si>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</si>
  <si>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</si>
  <si>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</si>
  <si>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</si>
  <si>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</si>
  <si>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</si>
  <si>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</si>
  <si>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</si>
  <si>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</si>
  <si>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</si>
  <si>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</si>
  <si>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</si>
  <si>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</si>
  <si>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</si>
  <si>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</si>
  <si>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</si>
  <si>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</si>
  <si>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</si>
  <si>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</si>
  <si>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</si>
  <si>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</si>
  <si>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</si>
  <si>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</si>
  <si>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</si>
  <si>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</si>
  <si>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</si>
  <si>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</si>
  <si>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</si>
  <si>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</si>
  <si>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</si>
  <si>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</si>
  <si>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</si>
  <si>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</si>
  <si>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</si>
  <si>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</si>
  <si>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</si>
  <si>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</si>
  <si>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</si>
  <si>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</si>
  <si>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</si>
  <si>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</si>
  <si>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</si>
  <si>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</si>
  <si>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</si>
  <si>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</si>
  <si>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</si>
  <si>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</si>
  <si>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</si>
  <si>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</si>
  <si>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</si>
  <si>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</si>
  <si>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</si>
  <si>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</si>
  <si>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</si>
  <si>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</si>
  <si>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</si>
  <si>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</si>
  <si>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</si>
  <si>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</si>
  <si>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</si>
  <si>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</si>
  <si>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</si>
  <si>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</si>
  <si>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</si>
  <si>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</si>
  <si>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</si>
  <si>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</si>
  <si>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</si>
  <si>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</si>
  <si>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</si>
  <si>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</si>
  <si>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</si>
  <si>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</si>
  <si>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</si>
  <si>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</si>
  <si>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</si>
  <si>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</si>
  <si>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</si>
  <si>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</si>
  <si>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</si>
  <si>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</si>
  <si>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</si>
  <si>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</si>
  <si>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</si>
  <si>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</si>
  <si>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</si>
  <si>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</si>
  <si>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</si>
  <si>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</si>
  <si>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</si>
  <si>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</si>
  <si>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</si>
  <si>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</si>
  <si>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</si>
  <si>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</si>
  <si>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</si>
  <si>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</si>
  <si>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</si>
  <si>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</si>
  <si>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</si>
  <si>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</si>
  <si>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</si>
  <si>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</si>
  <si>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</si>
  <si>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</si>
  <si>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</si>
  <si>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</si>
  <si>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</si>
  <si>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</si>
  <si>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</si>
  <si>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</si>
  <si>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</si>
  <si>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</si>
  <si>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</si>
  <si>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</si>
  <si>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</si>
  <si>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</si>
  <si>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</si>
  <si>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</si>
  <si>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</si>
  <si>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</si>
  <si>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</si>
  <si>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</si>
  <si>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</si>
  <si>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</si>
  <si>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</si>
  <si>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</si>
  <si>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</si>
  <si>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</si>
  <si>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</si>
  <si>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</si>
  <si>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</si>
  <si>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</si>
  <si>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</si>
  <si>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</si>
  <si>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</si>
  <si>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</si>
  <si>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</si>
  <si>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</si>
  <si>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</si>
  <si>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</si>
  <si>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</si>
  <si>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</si>
  <si>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</si>
  <si>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</si>
  <si>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</si>
  <si>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</si>
  <si>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</si>
  <si>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</si>
  <si>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</si>
  <si>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</si>
  <si>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</si>
  <si>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</si>
  <si>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</si>
  <si>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</si>
  <si>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</si>
  <si>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</si>
  <si>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</si>
  <si>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</si>
  <si>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</si>
  <si>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</si>
  <si>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</si>
  <si>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</si>
  <si>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</si>
  <si>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</si>
  <si>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</si>
  <si>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</si>
  <si>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</si>
  <si>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</si>
  <si>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</si>
  <si>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</si>
  <si>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</si>
  <si>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</si>
  <si>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</si>
  <si>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</si>
  <si>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</si>
  <si>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</si>
  <si>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</si>
  <si>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</si>
  <si>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</si>
  <si>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</si>
  <si>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</si>
  <si>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</si>
  <si>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</si>
  <si>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</si>
  <si>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</si>
  <si>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</si>
  <si>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</si>
  <si>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</si>
  <si>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</si>
  <si>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</si>
  <si>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</si>
  <si>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</si>
  <si>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</si>
  <si>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</si>
  <si>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</si>
  <si>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</si>
  <si>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</si>
  <si>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</si>
  <si>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</si>
  <si>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</si>
  <si>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</si>
  <si>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</si>
  <si>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</si>
  <si>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</si>
  <si>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</si>
  <si>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</si>
  <si>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</si>
  <si>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</si>
  <si>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</si>
  <si>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</si>
  <si>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</si>
  <si>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</si>
  <si>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</si>
  <si>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</si>
  <si>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</si>
  <si>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</si>
  <si>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</si>
  <si>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</si>
  <si>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</si>
  <si>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</si>
  <si>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</si>
  <si>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</si>
  <si>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</si>
  <si>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</si>
  <si>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</si>
  <si>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</si>
  <si>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</si>
  <si>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</si>
  <si>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</si>
  <si>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</si>
  <si>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</si>
  <si>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</si>
  <si>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</si>
  <si>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</si>
  <si>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</si>
  <si>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</si>
  <si>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</si>
  <si>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</si>
  <si>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</si>
  <si>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</si>
  <si>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</si>
  <si>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</si>
  <si>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</si>
  <si>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</si>
  <si>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</si>
  <si>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</si>
  <si>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</si>
  <si>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</si>
  <si>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</si>
  <si>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</si>
  <si>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</si>
  <si>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</si>
  <si>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</si>
  <si>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</si>
  <si>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</si>
  <si>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</si>
  <si>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</si>
  <si>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</si>
  <si>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</si>
  <si>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</si>
  <si>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</si>
  <si>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</si>
  <si>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</si>
  <si>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</si>
  <si>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</si>
  <si>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</si>
  <si>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</si>
  <si>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</si>
  <si>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</si>
  <si>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</si>
  <si>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</si>
  <si>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</si>
  <si>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</si>
  <si>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</si>
  <si>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</si>
  <si>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</si>
  <si>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</si>
  <si>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</si>
  <si>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</si>
  <si>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</si>
  <si>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</si>
  <si>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</si>
  <si>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</si>
  <si>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</si>
  <si>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</si>
  <si>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</si>
  <si>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</si>
  <si>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</si>
  <si>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</si>
  <si>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</si>
  <si>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</si>
  <si>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</si>
  <si>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</si>
  <si>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</si>
  <si>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</si>
  <si>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</si>
  <si>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</si>
  <si>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</si>
  <si>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</si>
  <si>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</si>
  <si>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</si>
  <si>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</si>
  <si>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</si>
  <si>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</si>
  <si>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</si>
  <si>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</si>
  <si>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</si>
  <si>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</si>
  <si>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</si>
  <si>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</si>
  <si>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</si>
  <si>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</si>
  <si>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</si>
  <si>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</si>
  <si>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</si>
  <si>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</si>
  <si>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</si>
  <si>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</si>
  <si>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</si>
  <si>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</si>
  <si>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</si>
  <si>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</si>
  <si>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</si>
  <si>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</si>
  <si>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</si>
  <si>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</si>
  <si>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</si>
  <si>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</si>
  <si>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</si>
  <si>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</si>
  <si>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</si>
  <si>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</si>
  <si>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</si>
  <si>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</si>
  <si>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</si>
  <si>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</si>
  <si>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</si>
  <si>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</si>
  <si>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</si>
  <si>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</si>
  <si>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</si>
  <si>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</si>
  <si>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</si>
  <si>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</si>
  <si>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</si>
  <si>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</si>
  <si>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</si>
  <si>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</si>
  <si>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</si>
  <si>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</si>
  <si>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</si>
  <si>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</si>
  <si>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</si>
  <si>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</si>
  <si>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</si>
  <si>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</si>
  <si>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</si>
  <si>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</si>
  <si>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</si>
  <si>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</si>
  <si>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</si>
  <si>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</si>
  <si>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</si>
  <si>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</si>
  <si>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</si>
  <si>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</si>
  <si>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</si>
  <si>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</si>
  <si>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</si>
  <si>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</si>
  <si>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</si>
  <si>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</si>
  <si>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</si>
  <si>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</si>
  <si>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</si>
  <si>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</si>
  <si>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</si>
  <si>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</si>
  <si>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</si>
  <si>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</si>
  <si>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</si>
  <si>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</si>
  <si>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</si>
  <si>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</si>
  <si>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</si>
  <si>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</si>
  <si>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</si>
  <si>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</si>
  <si>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</si>
  <si>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</si>
  <si>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</si>
  <si>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</si>
  <si>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</si>
  <si>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</si>
  <si>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</si>
  <si>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</si>
  <si>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</si>
  <si>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</si>
  <si>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</si>
  <si>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</si>
  <si>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</si>
  <si>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</si>
  <si>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</si>
  <si>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</si>
  <si>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</si>
  <si>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</si>
  <si>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</si>
  <si>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</si>
  <si>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</si>
  <si>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</si>
  <si>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</si>
  <si>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</si>
  <si>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</si>
  <si>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</si>
  <si>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</si>
  <si>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</si>
  <si>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</si>
  <si>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</si>
  <si>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</si>
  <si>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</si>
  <si>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</si>
  <si>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</si>
  <si>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</si>
  <si>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</si>
  <si>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</si>
  <si>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</si>
  <si>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</si>
  <si>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</si>
  <si>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</si>
  <si>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</si>
  <si>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</si>
  <si>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</si>
  <si>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</si>
  <si>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</si>
  <si>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</si>
  <si>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</si>
  <si>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</si>
  <si>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</si>
  <si>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</si>
  <si>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</si>
  <si>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</si>
  <si>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</si>
  <si>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</si>
  <si>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</si>
  <si>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</si>
  <si>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</si>
  <si>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</si>
  <si>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</si>
  <si>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</si>
  <si>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</si>
  <si>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</si>
  <si>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</si>
  <si>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</si>
  <si>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</si>
  <si>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</si>
  <si>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</si>
  <si>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</si>
  <si>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</si>
  <si>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</si>
  <si>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</si>
  <si>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</si>
  <si>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</si>
  <si>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</si>
  <si>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</si>
  <si>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</si>
  <si>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</si>
  <si>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</si>
  <si>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</si>
  <si>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</si>
  <si>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</si>
  <si>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</si>
  <si>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</si>
  <si>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</si>
  <si>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</si>
  <si>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</si>
  <si>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</si>
  <si>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</si>
  <si>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</si>
  <si>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</si>
  <si>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</si>
  <si>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</si>
  <si>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</si>
  <si>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</si>
  <si>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</si>
  <si>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</si>
  <si>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</si>
  <si>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</si>
  <si>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</si>
  <si>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</si>
  <si>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</si>
  <si>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</si>
  <si>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</si>
  <si>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</si>
  <si>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</si>
  <si>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</si>
  <si>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</si>
  <si>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</si>
  <si>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</si>
  <si>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</si>
  <si>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</si>
  <si>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</si>
  <si>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</si>
  <si>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</si>
  <si>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</si>
  <si>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</si>
  <si>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</si>
  <si>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</si>
  <si>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</si>
  <si>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</si>
  <si>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</si>
  <si>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</si>
  <si>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</si>
  <si>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</si>
  <si>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</si>
  <si>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</si>
  <si>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</si>
  <si>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</si>
  <si>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</si>
  <si>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</si>
  <si>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</si>
  <si>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</si>
  <si>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</si>
  <si>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</si>
  <si>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</si>
  <si>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</si>
  <si>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</si>
  <si>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</si>
  <si>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</si>
  <si>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</si>
  <si>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</si>
  <si>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</si>
  <si>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</si>
  <si>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</si>
  <si>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</si>
  <si>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</si>
  <si>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</si>
  <si>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</si>
  <si>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</si>
  <si>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</si>
  <si>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</si>
  <si>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</si>
  <si>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</si>
  <si>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</si>
  <si>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</si>
  <si>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</si>
  <si>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</si>
  <si>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</si>
  <si>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</si>
  <si>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</si>
  <si>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</si>
  <si>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</si>
  <si>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</si>
  <si>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</si>
  <si>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</si>
  <si>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</si>
  <si>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</si>
  <si>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</si>
  <si>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</si>
  <si>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</si>
  <si>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</si>
  <si>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</si>
  <si>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</si>
  <si>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</si>
  <si>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</si>
  <si>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</si>
  <si>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</si>
  <si>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</si>
  <si>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</si>
  <si>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</si>
  <si>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</si>
  <si>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</si>
  <si>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</si>
  <si>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</si>
  <si>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</si>
  <si>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</si>
  <si>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</si>
  <si>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</si>
  <si>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</si>
  <si>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</si>
  <si>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</si>
  <si>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</si>
  <si>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</si>
  <si>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</si>
  <si>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</si>
  <si>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</si>
  <si>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</si>
  <si>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</si>
  <si>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</si>
  <si>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</si>
  <si>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</si>
  <si>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</si>
  <si>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</si>
  <si>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</si>
  <si>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</si>
  <si>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</si>
  <si>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</si>
  <si>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</si>
  <si>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</si>
  <si>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</si>
  <si>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</si>
  <si>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</si>
  <si>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</si>
  <si>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</si>
  <si>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</si>
  <si>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</si>
  <si>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</si>
  <si>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</si>
  <si>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</si>
  <si>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</si>
  <si>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</si>
  <si>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</si>
  <si>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</si>
  <si>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</si>
  <si>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</si>
  <si>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</si>
  <si>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</si>
  <si>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</si>
  <si>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</si>
  <si>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</si>
  <si>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</si>
  <si>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</si>
  <si>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</si>
  <si>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</si>
  <si>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</si>
  <si>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</si>
  <si>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</si>
  <si>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</si>
  <si>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</si>
  <si>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</si>
  <si>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</si>
  <si>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</si>
  <si>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</si>
  <si>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</si>
  <si>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</si>
  <si>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</si>
  <si>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</si>
  <si>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</si>
  <si>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</si>
  <si>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</si>
  <si>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</si>
  <si>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</si>
  <si>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</si>
  <si>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</si>
  <si>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</si>
  <si>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</si>
  <si>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</si>
  <si>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</si>
  <si>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</si>
  <si>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</si>
  <si>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</si>
  <si>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</si>
  <si>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</si>
  <si>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</si>
  <si>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</si>
  <si>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</si>
  <si>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</si>
  <si>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</si>
  <si>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</si>
  <si>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</si>
  <si>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</si>
  <si>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</si>
  <si>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</si>
  <si>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</si>
  <si>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</si>
  <si>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</si>
  <si>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</si>
  <si>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</si>
  <si>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</si>
  <si>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</si>
  <si>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</si>
  <si>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</si>
  <si>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</si>
  <si>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</si>
  <si>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</si>
  <si>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</si>
  <si>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</si>
  <si>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</si>
  <si>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</si>
  <si>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</si>
  <si>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</si>
  <si>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</si>
  <si>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</si>
  <si>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</si>
  <si>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</si>
  <si>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</si>
  <si>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</si>
  <si>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</si>
  <si>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</si>
  <si>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</si>
  <si>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</si>
  <si>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</si>
  <si>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</si>
  <si>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</si>
  <si>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</si>
  <si>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</si>
  <si>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</si>
  <si>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</si>
  <si>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</si>
  <si>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</si>
  <si>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</si>
  <si>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</si>
  <si>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</si>
  <si>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</si>
  <si>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</si>
  <si>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</si>
  <si>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</si>
  <si>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</si>
  <si>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</si>
  <si>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</si>
  <si>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</si>
  <si>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</si>
  <si>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</si>
  <si>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</si>
  <si>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</si>
  <si>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</si>
  <si>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</si>
  <si>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</si>
  <si>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</si>
  <si>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</si>
  <si>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</si>
  <si>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</si>
  <si>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</si>
  <si>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</si>
  <si>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</si>
  <si>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</si>
  <si>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</si>
  <si>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</si>
  <si>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</si>
  <si>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</si>
  <si>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</si>
  <si>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</si>
  <si>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</si>
  <si>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</si>
  <si>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</si>
  <si>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</si>
  <si>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</si>
  <si>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</si>
  <si>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</si>
  <si>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</si>
  <si>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</si>
  <si>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</si>
  <si>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</si>
  <si>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</si>
  <si>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</si>
  <si>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</si>
  <si>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</si>
  <si>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</si>
  <si>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</si>
  <si>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</si>
  <si>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</si>
  <si>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</si>
  <si>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</si>
  <si>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</si>
  <si>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</si>
  <si>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</si>
  <si>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</si>
  <si>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</si>
  <si>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</si>
  <si>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</si>
  <si>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</si>
  <si>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</si>
  <si>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</si>
  <si>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</si>
  <si>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</si>
  <si>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</si>
  <si>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</si>
  <si>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</si>
  <si>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</si>
  <si>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</si>
  <si>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</si>
  <si>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</si>
  <si>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</si>
  <si>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</si>
  <si>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</si>
  <si>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</si>
  <si>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</si>
  <si>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</si>
  <si>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</si>
  <si>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</si>
  <si>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</si>
  <si>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</si>
  <si>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</si>
  <si>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</si>
  <si>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</si>
  <si>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</si>
  <si>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</si>
  <si>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</si>
  <si>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</si>
  <si>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</si>
  <si>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</si>
  <si>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</si>
  <si>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</si>
  <si>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</si>
  <si>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</si>
  <si>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</si>
  <si>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</si>
  <si>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</si>
  <si>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</si>
  <si>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</si>
  <si>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</si>
  <si>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</si>
  <si>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</si>
  <si>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</si>
  <si>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</si>
  <si>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</si>
  <si>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</si>
  <si>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</si>
  <si>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</si>
  <si>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</si>
  <si>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</si>
  <si>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</si>
  <si>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</si>
  <si>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</si>
  <si>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</si>
  <si>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</si>
  <si>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</si>
  <si>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</si>
  <si>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</si>
  <si>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</si>
  <si>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</si>
  <si>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</si>
  <si>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</si>
  <si>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</si>
  <si>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</si>
  <si>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</si>
  <si>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</si>
  <si>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</si>
  <si>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</si>
  <si>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</si>
  <si>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</si>
  <si>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</si>
  <si>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</si>
  <si>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</si>
  <si>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</si>
  <si>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</si>
  <si>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</si>
  <si>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</si>
  <si>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</si>
  <si>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</si>
  <si>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</si>
  <si>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</si>
  <si>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</si>
  <si>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</si>
  <si>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</si>
  <si>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</si>
  <si>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</si>
  <si>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</si>
  <si>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</si>
  <si>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</si>
  <si>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</si>
  <si>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</si>
  <si>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</si>
  <si>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</si>
  <si>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</si>
  <si>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</si>
  <si>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</si>
  <si>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</si>
  <si>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</si>
  <si>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</si>
  <si>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</si>
  <si>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</si>
  <si>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</si>
  <si>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</si>
  <si>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</si>
  <si>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</si>
  <si>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</si>
  <si>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</si>
  <si>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</si>
  <si>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</si>
  <si>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</si>
  <si>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</si>
  <si>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</si>
  <si>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</si>
  <si>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</si>
  <si>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</si>
  <si>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</si>
  <si>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</si>
  <si>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</si>
  <si>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</si>
  <si>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</si>
  <si>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</si>
  <si>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</si>
  <si>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</si>
  <si>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</si>
  <si>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</si>
  <si>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</si>
  <si>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</si>
  <si>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</si>
  <si>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</si>
  <si>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</si>
  <si>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</si>
  <si>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</si>
  <si>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</si>
  <si>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</si>
  <si>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</si>
  <si>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</si>
  <si>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</si>
  <si>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</si>
  <si>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</si>
  <si>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</si>
  <si>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</si>
  <si>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</si>
  <si>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</si>
  <si>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</si>
  <si>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</si>
  <si>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</si>
  <si>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</si>
  <si>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</si>
  <si>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</si>
  <si>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</si>
  <si>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</si>
  <si>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</si>
  <si>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</si>
  <si>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</si>
  <si>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</si>
  <si>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</si>
  <si>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</si>
  <si>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</si>
  <si>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</si>
  <si>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</si>
  <si>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</si>
  <si>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</si>
  <si>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</si>
  <si>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</si>
  <si>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</si>
  <si>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</si>
  <si>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</si>
  <si>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</si>
  <si>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</si>
  <si>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</si>
  <si>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</si>
  <si>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</si>
  <si>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</si>
  <si>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</si>
  <si>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</si>
  <si>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</si>
  <si>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</si>
  <si>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</si>
  <si>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</si>
  <si>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</si>
  <si>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</si>
  <si>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</si>
  <si>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</si>
  <si>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</si>
  <si>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</si>
  <si>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</si>
  <si>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</si>
  <si>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</si>
  <si>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</si>
  <si>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</si>
  <si>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</si>
  <si>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</si>
  <si>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</si>
  <si>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</si>
  <si>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</si>
  <si>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</si>
  <si>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</si>
  <si>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</si>
  <si>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</si>
  <si>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</si>
  <si>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</si>
  <si>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</si>
  <si>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</si>
  <si>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</si>
  <si>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</si>
  <si>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</si>
  <si>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</si>
  <si>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</si>
  <si>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</si>
  <si>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</si>
  <si>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</si>
  <si>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</si>
  <si>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</si>
  <si>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</si>
  <si>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</si>
  <si>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</si>
  <si>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</si>
  <si>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</si>
  <si>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</si>
  <si>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</si>
  <si>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</si>
  <si>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</si>
  <si>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</si>
  <si>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</si>
  <si>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</si>
  <si>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</si>
  <si>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</si>
  <si>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</si>
  <si>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</si>
  <si>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</si>
  <si>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</si>
  <si>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</si>
  <si>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</si>
  <si>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</si>
  <si>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</si>
  <si>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</si>
  <si>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</si>
  <si>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</si>
  <si>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</si>
  <si>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</si>
  <si>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</si>
  <si>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</si>
  <si>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</si>
  <si>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</si>
  <si>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</si>
  <si>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</si>
  <si>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</si>
  <si>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</si>
  <si>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</si>
  <si>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</si>
  <si>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</si>
  <si>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</si>
  <si>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</si>
  <si>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</si>
  <si>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</si>
  <si>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</si>
  <si>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</si>
  <si>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</si>
  <si>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</si>
  <si>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</si>
  <si>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</si>
  <si>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</si>
  <si>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</si>
  <si>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</si>
  <si>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</si>
  <si>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Rehabilitation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</si>
</sst>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59999389629810485"/>
  </sheetPr>
  <dimension ref="A1:F29"/>
  <sheetViews>
    <sheetView zoomScale="90" zoomScaleNormal="90" workbookViewId="0">
      <pane ySplit="10" topLeftCell="A11" activePane="bottomLeft" state="frozen"/>
      <selection activeCell="H56" sqref="H56"/>
      <selection pane="bottomLeft" activeCell="C15" sqref="C15"/>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59999389629810485"/>
    <pageSetUpPr fitToPage="1"/>
  </sheetPr>
  <dimension ref="A1:S193"/>
  <sheetViews>
    <sheetView tabSelected="1" zoomScale="70" zoomScaleNormal="70" workbookViewId="0">
      <selection activeCell="J17" sqref="J17"/>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886</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HEALTH AND HUMAN SERVICES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69561225</v>
      </c>
      <c r="M17" s="143">
        <v>69561225</v>
      </c>
      <c r="P17" s="143">
        <v>61015931</v>
      </c>
      <c r="Q17" s="155"/>
      <c r="S17" s="154">
        <f t="shared" si="0"/>
        <v>-8545294</v>
      </c>
    </row>
    <row r="18" spans="1:19" ht="16.5" customHeight="1" x14ac:dyDescent="0.3">
      <c r="A18" s="54"/>
      <c r="B18" s="9" t="s">
        <v>169</v>
      </c>
      <c r="C18" s="9"/>
      <c r="D18" s="9"/>
      <c r="E18" s="140"/>
      <c r="F18" s="141"/>
      <c r="G18" s="141"/>
      <c r="H18" s="142"/>
      <c r="I18" s="142"/>
      <c r="J18" s="178">
        <f>P18</f>
        <v>619549</v>
      </c>
      <c r="M18" s="143">
        <v>794542</v>
      </c>
      <c r="P18" s="152">
        <f>IF(SUM($Q$20:$Q$23)&gt;SUM($P$15:$P$17),SUM($Q$20:$Q$23)-SUM($P$15:$P$17),0)</f>
        <v>619549</v>
      </c>
      <c r="Q18" s="155"/>
      <c r="S18" s="154">
        <f t="shared" si="0"/>
        <v>-174993</v>
      </c>
    </row>
    <row r="19" spans="1:19" ht="16.5" customHeight="1" x14ac:dyDescent="0.3">
      <c r="A19" s="54"/>
      <c r="B19" s="9" t="s">
        <v>170</v>
      </c>
      <c r="C19" s="9"/>
      <c r="D19" s="9"/>
      <c r="E19" s="140"/>
      <c r="F19" s="141"/>
      <c r="G19" s="141"/>
      <c r="H19" s="142"/>
      <c r="I19" s="142"/>
      <c r="J19" s="178">
        <f>IF(SUM($K$20:$K$24)&gt;SUM($J$15:$J$18),SUM($K$20:$K$24)-SUM($J$15:$J$18),0)</f>
        <v>75880</v>
      </c>
      <c r="M19" s="143">
        <v>55543</v>
      </c>
      <c r="P19" s="155"/>
      <c r="Q19" s="155"/>
      <c r="S19" s="154">
        <f t="shared" si="0"/>
        <v>-55543</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12455257</v>
      </c>
      <c r="N22" s="143">
        <v>12455257</v>
      </c>
      <c r="P22" s="155"/>
      <c r="Q22" s="143">
        <v>11568769</v>
      </c>
      <c r="S22" s="154">
        <f t="shared" ref="S22:S25" si="1">Q22-N22</f>
        <v>-886488</v>
      </c>
    </row>
    <row r="23" spans="1:19" ht="16.5" customHeight="1" x14ac:dyDescent="0.3">
      <c r="A23" s="165" t="s">
        <v>1646</v>
      </c>
      <c r="B23" s="9"/>
      <c r="C23" s="9" t="s">
        <v>174</v>
      </c>
      <c r="D23" s="9"/>
      <c r="E23" s="140"/>
      <c r="F23" s="141"/>
      <c r="G23" s="141"/>
      <c r="H23" s="142"/>
      <c r="I23" s="142"/>
      <c r="J23" s="150"/>
      <c r="K23" s="178">
        <f>N23</f>
        <v>57801397</v>
      </c>
      <c r="N23" s="143">
        <v>57801397</v>
      </c>
      <c r="P23" s="155"/>
      <c r="Q23" s="143">
        <v>50066711</v>
      </c>
      <c r="S23" s="154">
        <f t="shared" si="1"/>
        <v>-7734686</v>
      </c>
    </row>
    <row r="24" spans="1:19" ht="16.5" customHeight="1" x14ac:dyDescent="0.3">
      <c r="A24" s="54"/>
      <c r="B24" s="9"/>
      <c r="C24" s="9" t="s">
        <v>176</v>
      </c>
      <c r="D24" s="9"/>
      <c r="E24" s="140"/>
      <c r="F24" s="141"/>
      <c r="G24" s="141"/>
      <c r="H24" s="142"/>
      <c r="I24" s="142"/>
      <c r="J24" s="150"/>
      <c r="K24" s="178">
        <f>Q24</f>
        <v>0</v>
      </c>
      <c r="N24" s="143">
        <v>154657</v>
      </c>
      <c r="P24" s="155"/>
      <c r="Q24" s="152">
        <f>IF(SUM($Q$20:$Q$23)&lt;SUM($P$15:$P$17),-SUM($Q$20:$Q$23)+SUM($P$15:$P$17),0)</f>
        <v>0</v>
      </c>
      <c r="S24" s="154">
        <f t="shared" si="1"/>
        <v>-154657</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70256654</v>
      </c>
      <c r="K26" s="107">
        <f>SUM(K15:K25)</f>
        <v>70256654</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12455257</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12455257</v>
      </c>
    </row>
    <row r="59" spans="1:16" ht="16.5" customHeight="1" x14ac:dyDescent="0.3">
      <c r="A59" s="54"/>
      <c r="C59" s="16"/>
      <c r="D59" s="16"/>
      <c r="E59" s="16"/>
      <c r="F59" s="17"/>
      <c r="G59" s="17"/>
      <c r="H59" s="18"/>
      <c r="I59" s="18"/>
      <c r="J59" s="107">
        <f>SUM(J55:J58)</f>
        <v>12455257</v>
      </c>
      <c r="K59" s="107">
        <f>SUM(K55:K58)</f>
        <v>12455257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12057678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391097</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12448775</v>
      </c>
    </row>
    <row r="65" spans="1:12" ht="16.5" customHeight="1" x14ac:dyDescent="0.3">
      <c r="A65" s="54"/>
      <c r="C65" s="16"/>
      <c r="D65" s="16"/>
      <c r="E65" s="16"/>
      <c r="F65" s="17"/>
      <c r="G65" s="17"/>
      <c r="H65" s="18"/>
      <c r="I65" s="18"/>
      <c r="J65" s="107">
        <f>SUM(J62:J64)</f>
        <v>12448775</v>
      </c>
      <c r="K65" s="107">
        <f>SUM(K62:K64)</f>
        <v>12448775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12057678</v>
      </c>
      <c r="K68" s="144"/>
    </row>
    <row r="69" spans="1:12" ht="16.5" customHeight="1" x14ac:dyDescent="0.3">
      <c r="A69" s="54"/>
      <c r="B69" s="9"/>
      <c r="C69" s="9" t="s">
        <v>186</v>
      </c>
      <c r="D69" s="140"/>
      <c r="E69" s="140"/>
      <c r="F69" s="141"/>
      <c r="G69" s="141"/>
      <c r="H69" s="142"/>
      <c r="I69" s="142"/>
      <c r="J69" s="144"/>
      <c r="K69" s="143">
        <v>12057678</v>
      </c>
    </row>
    <row r="70" spans="1:12" ht="16.5" customHeight="1" x14ac:dyDescent="0.3">
      <c r="A70" s="54"/>
      <c r="C70" s="16"/>
      <c r="D70" s="16"/>
      <c r="E70" s="16"/>
      <c r="F70" s="17"/>
      <c r="G70" s="17"/>
      <c r="H70" s="18"/>
      <c r="I70" s="18"/>
      <c r="J70" s="107">
        <f>SUM(J68:J69)</f>
        <v>12057678</v>
      </c>
      <c r="K70" s="107">
        <f>SUM(K68:K69)</f>
        <v>12057678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12211406</v>
      </c>
      <c r="K75" s="144"/>
    </row>
    <row r="76" spans="1:12" ht="16.5" customHeight="1" x14ac:dyDescent="0.3">
      <c r="A76" s="54"/>
      <c r="B76" s="9"/>
      <c r="C76" s="9" t="s">
        <v>194</v>
      </c>
      <c r="D76" s="140"/>
      <c r="E76" s="140"/>
      <c r="F76" s="141"/>
      <c r="G76" s="141"/>
      <c r="H76" s="142"/>
      <c r="I76" s="142"/>
      <c r="J76" s="144"/>
      <c r="K76" s="143">
        <v>12211406</v>
      </c>
    </row>
    <row r="77" spans="1:12" ht="16.5" customHeight="1" x14ac:dyDescent="0.25">
      <c r="A77" s="54"/>
      <c r="B77" s="193" t="s">
        <v>1735</v>
      </c>
      <c r="C77" s="193"/>
      <c r="D77" s="193"/>
      <c r="E77" s="193"/>
      <c r="F77" s="193"/>
      <c r="G77" s="193"/>
      <c r="H77" s="193"/>
      <c r="I77" s="193"/>
      <c r="J77" s="107">
        <f>SUM(J75:J76)</f>
        <v>12211406</v>
      </c>
      <c r="K77" s="107">
        <f>SUM(K75:K76)</f>
        <v>12211406</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69561225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-24910514</v>
      </c>
    </row>
    <row r="128" spans="1:12" ht="16.5" customHeight="1" x14ac:dyDescent="0.3">
      <c r="D128" s="140" t="s">
        <v>1657</v>
      </c>
      <c r="H128" s="10"/>
      <c r="K128" s="169">
        <f>-K23-K48+J68+J75+J96-K113</f>
        <v>-33532313</v>
      </c>
    </row>
    <row r="129" spans="4:11" ht="16.5" customHeight="1" x14ac:dyDescent="0.3">
      <c r="D129" s="140" t="s">
        <v>1658</v>
      </c>
      <c r="H129" s="10"/>
      <c r="K129" s="169">
        <f>-K76</f>
        <v>-12211406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59999389629810485"/>
  </sheetPr>
  <dimension ref="A1:M98"/>
  <sheetViews>
    <sheetView zoomScale="70" zoomScaleNormal="70" workbookViewId="0">
      <selection activeCell="C19" sqref="C1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5160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12211406</v>
      </c>
      <c r="C13" s="55">
        <v>324440</v>
      </c>
      <c r="D13" s="199" t="s">
        <v>4</v>
      </c>
      <c r="E13" s="200"/>
      <c r="F13" s="200"/>
      <c r="G13" s="29"/>
      <c r="H13" s="29"/>
      <c r="I13" s="29"/>
      <c r="J13" s="29"/>
      <c r="K13" s="29"/>
      <c r="L13" s="29"/>
      <c r="M13" s="29"/>
    </row>
    <row r="14" spans="1:13" x14ac:dyDescent="0.25">
      <c r="A14" s="51" t="str">
        <f>LEFT(A13,4)+1&amp;"–"&amp;RIGHT(A13,4)+1</f>
        <v>2024–2025</v>
      </c>
      <c r="B14" s="55">
        <v>8806635</v>
      </c>
      <c r="C14" s="55">
        <v>259791</v>
      </c>
      <c r="D14" s="199"/>
      <c r="E14" s="200"/>
      <c r="F14" s="200"/>
    </row>
    <row r="15" spans="1:13" ht="15.6" x14ac:dyDescent="0.25">
      <c r="A15" s="51" t="str">
        <f>LEFT(A14,4)+1&amp;"–"&amp;RIGHT(A14,4)+1</f>
        <v>2025–2026</v>
      </c>
      <c r="B15" s="55">
        <v>6959158</v>
      </c>
      <c r="C15" s="55">
        <v>200857</v>
      </c>
      <c r="D15" s="195" t="s">
        <v>125</v>
      </c>
      <c r="E15" s="195"/>
      <c r="F15" s="195"/>
      <c r="G15" s="30"/>
      <c r="H15" s="30"/>
      <c r="I15" s="30"/>
      <c r="J15" s="30"/>
      <c r="K15" s="30"/>
      <c r="L15" s="30"/>
      <c r="M15" s="30"/>
    </row>
    <row r="16" spans="1:13" x14ac:dyDescent="0.25">
      <c r="A16" s="51" t="str">
        <f>LEFT(A15,4)+1&amp;"–"&amp;RIGHT(A15,4)+1</f>
        <v>2026–2027</v>
      </c>
      <c r="B16" s="55">
        <v>6033319</v>
      </c>
      <c r="C16" s="55">
        <v>143791</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v>5091792</v>
      </c>
      <c r="C17" s="55">
        <v>91681</v>
      </c>
      <c r="D17" s="195">
        <v>0</v>
      </c>
      <c r="E17" s="195"/>
      <c r="F17" s="195"/>
      <c r="G17" s="31"/>
      <c r="H17" s="31"/>
      <c r="I17" s="31"/>
      <c r="J17" s="31"/>
      <c r="K17" s="31"/>
    </row>
    <row r="18" spans="1:13" ht="15" customHeight="1" x14ac:dyDescent="0.3">
      <c r="A18" s="51" t="str">
        <f>LEFT(A17,4)+1&amp;"–"&amp;RIGHT(A17,4)+5</f>
        <v>2028–2033</v>
      </c>
      <c r="B18" s="55">
        <v>6641409</v>
      </c>
      <c r="C18" s="55">
        <v>85271</v>
      </c>
      <c r="D18" s="199" t="s">
        <v>6</v>
      </c>
      <c r="E18" s="200"/>
      <c r="F18" s="200"/>
      <c r="G18" s="29"/>
      <c r="H18" s="29"/>
      <c r="I18" s="29"/>
      <c r="J18" s="29"/>
      <c r="K18" s="29"/>
      <c r="L18" s="29"/>
      <c r="M18" s="29"/>
    </row>
    <row r="19" spans="1:13" x14ac:dyDescent="0.25">
      <c r="A19" s="51" t="str">
        <f t="shared" ref="A19:A32" si="0">LEFT(A18,4)+5&amp;"–"&amp;RIGHT(A18,4)+5</f>
        <v>2033–2038</v>
      </c>
      <c r="B19" s="55">
        <v>0</v>
      </c>
      <c r="C19" s="55">
        <v>0</v>
      </c>
      <c r="D19" s="199"/>
      <c r="E19" s="200"/>
      <c r="F19" s="200"/>
    </row>
    <row r="20" spans="1:13" ht="15.6" x14ac:dyDescent="0.25">
      <c r="A20" s="51" t="str">
        <f t="shared" si="0"/>
        <v>2038–2043</v>
      </c>
      <c r="B20" s="55">
        <v>0</v>
      </c>
      <c r="C20" s="55">
        <v>0</v>
      </c>
      <c r="D20" s="195" t="s">
        <v>125</v>
      </c>
      <c r="E20" s="195"/>
      <c r="F20" s="195"/>
      <c r="G20" s="30"/>
      <c r="H20" s="30"/>
      <c r="I20" s="30"/>
      <c r="J20" s="30"/>
      <c r="K20" s="30"/>
      <c r="L20" s="30"/>
      <c r="M20" s="30"/>
    </row>
    <row r="21" spans="1:13" ht="15" customHeight="1" x14ac:dyDescent="0.25">
      <c r="A21" s="51" t="str">
        <f t="shared" si="0"/>
        <v>2043–2048</v>
      </c>
      <c r="B21" s="55">
        <v>0</v>
      </c>
      <c r="C21" s="55">
        <v>0</v>
      </c>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v>0</v>
      </c>
      <c r="C22" s="55">
        <v>0</v>
      </c>
      <c r="D22" s="201"/>
      <c r="E22" s="198"/>
      <c r="F22" s="198"/>
    </row>
    <row r="23" spans="1:13" x14ac:dyDescent="0.25">
      <c r="A23" s="51" t="str">
        <f t="shared" si="0"/>
        <v>2053–2058</v>
      </c>
      <c r="B23" s="55">
        <v>0</v>
      </c>
      <c r="C23" s="55">
        <v>0</v>
      </c>
      <c r="D23" s="195">
        <v>0</v>
      </c>
      <c r="E23" s="195"/>
      <c r="F23" s="195"/>
    </row>
    <row r="24" spans="1:13" x14ac:dyDescent="0.25">
      <c r="A24" s="51" t="str">
        <f t="shared" si="0"/>
        <v>2058–2063</v>
      </c>
      <c r="B24" s="55">
        <v>0</v>
      </c>
      <c r="C24" s="55">
        <v>0</v>
      </c>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v>0</v>
      </c>
      <c r="C25" s="55">
        <v>0</v>
      </c>
      <c r="D25" s="201"/>
      <c r="E25" s="198"/>
      <c r="F25" s="198"/>
    </row>
    <row r="26" spans="1:13" x14ac:dyDescent="0.25">
      <c r="A26" s="51" t="str">
        <f t="shared" si="0"/>
        <v>2068–2073</v>
      </c>
      <c r="B26" s="55">
        <v>0</v>
      </c>
      <c r="C26" s="55">
        <v>0</v>
      </c>
      <c r="D26" s="195">
        <v>0</v>
      </c>
      <c r="E26" s="195"/>
      <c r="F26" s="195"/>
    </row>
    <row r="27" spans="1:13" ht="15" customHeight="1" x14ac:dyDescent="0.25">
      <c r="A27" s="51" t="str">
        <f t="shared" si="0"/>
        <v>2073–2078</v>
      </c>
      <c r="B27" s="55">
        <v>0</v>
      </c>
      <c r="C27" s="55">
        <v>0</v>
      </c>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v>0</v>
      </c>
      <c r="C28" s="55">
        <v>0</v>
      </c>
      <c r="D28" s="199"/>
      <c r="E28" s="200"/>
      <c r="F28" s="200"/>
      <c r="G28" s="33"/>
      <c r="H28" s="33"/>
      <c r="I28" s="33"/>
      <c r="J28" s="33"/>
      <c r="K28" s="33"/>
      <c r="L28" s="33"/>
      <c r="M28" s="33"/>
    </row>
    <row r="29" spans="1:13" ht="15.6" x14ac:dyDescent="0.25">
      <c r="A29" s="51" t="str">
        <f t="shared" si="0"/>
        <v>2083–2088</v>
      </c>
      <c r="B29" s="55">
        <v>0</v>
      </c>
      <c r="C29" s="55">
        <v>0</v>
      </c>
      <c r="D29" s="195" t="s">
        <v>125</v>
      </c>
      <c r="E29" s="195"/>
      <c r="F29" s="195"/>
      <c r="G29" s="33"/>
      <c r="H29" s="33"/>
      <c r="I29" s="33"/>
      <c r="J29" s="33"/>
      <c r="K29" s="33"/>
      <c r="L29" s="33"/>
      <c r="M29" s="33"/>
    </row>
    <row r="30" spans="1:13" ht="15.6" x14ac:dyDescent="0.25">
      <c r="A30" s="51" t="str">
        <f t="shared" si="0"/>
        <v>2088–2093</v>
      </c>
      <c r="B30" s="55">
        <v>0</v>
      </c>
      <c r="C30" s="55">
        <v>0</v>
      </c>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v>0</v>
      </c>
      <c r="C31" s="55">
        <v>0</v>
      </c>
      <c r="D31" s="195" t="s">
        <v>125</v>
      </c>
      <c r="E31" s="195"/>
      <c r="F31" s="195"/>
    </row>
    <row r="32" spans="1:13" x14ac:dyDescent="0.25">
      <c r="A32" s="51" t="str">
        <f t="shared" si="0"/>
        <v>2098–2103</v>
      </c>
      <c r="B32" s="55">
        <v>0</v>
      </c>
      <c r="C32" s="55">
        <v>0</v>
      </c>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v>0</v>
      </c>
      <c r="C33" s="55">
        <v>0</v>
      </c>
      <c r="D33" s="195">
        <v>0</v>
      </c>
      <c r="E33" s="195"/>
      <c r="F33" s="195"/>
    </row>
    <row r="34" spans="1:13" ht="15" customHeight="1" x14ac:dyDescent="0.25">
      <c r="A34" s="51" t="str">
        <f>LEFT(A33,4)+5&amp;"–"&amp;RIGHT(A33,4)+5</f>
        <v>2108–2113</v>
      </c>
      <c r="B34" s="55">
        <v>0</v>
      </c>
      <c r="C34" s="55">
        <v>0</v>
      </c>
      <c r="G34" s="27"/>
      <c r="H34" s="27"/>
      <c r="I34" s="27"/>
      <c r="J34" s="27"/>
      <c r="K34" s="27"/>
      <c r="L34" s="27"/>
      <c r="M34" s="27"/>
    </row>
    <row r="35" spans="1:13" ht="16.5" customHeight="1" x14ac:dyDescent="0.25">
      <c r="A35" s="51" t="str">
        <f>LEFT(A34,4)+5&amp;"–"&amp;RIGHT(A34,4)+5</f>
        <v>2113–2118</v>
      </c>
      <c r="B35" s="55">
        <v>0</v>
      </c>
      <c r="C35" s="55">
        <v>0</v>
      </c>
      <c r="G35" s="4"/>
      <c r="H35" s="4"/>
      <c r="I35" s="4"/>
      <c r="J35" s="4"/>
      <c r="K35" s="4"/>
      <c r="L35" s="4"/>
      <c r="M35" s="4"/>
    </row>
    <row r="36" spans="1:13" ht="15" customHeight="1" x14ac:dyDescent="0.25">
      <c r="A36" s="51" t="str">
        <f>LEFT(A35,4)+5&amp;"–"&amp;RIGHT(A35,4)+5</f>
        <v>2118–2123</v>
      </c>
      <c r="B36" s="55">
        <v>0</v>
      </c>
      <c r="C36" s="55">
        <v>0</v>
      </c>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5160</v>
      </c>
      <c r="C40" s="209"/>
      <c r="E40" s="32"/>
    </row>
    <row r="41" spans="1:13" ht="15.6" x14ac:dyDescent="0.3">
      <c r="A41" s="5" t="s">
        <v>192</v>
      </c>
      <c r="B41" s="194" t="str">
        <f>B10</f>
        <v>Department of Rehabilitation</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5160</v>
      </c>
      <c r="C71" s="209"/>
    </row>
    <row r="72" spans="1:13" ht="15.6" x14ac:dyDescent="0.3">
      <c r="A72" s="5" t="s">
        <v>192</v>
      </c>
      <c r="B72" s="194" t="str">
        <f>B10</f>
        <v>Department of Rehabilitation</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0"/>
  <sheetViews>
    <sheetView zoomScale="90" zoomScaleNormal="90" workbookViewId="0">
      <selection activeCell="P10" sqref="P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5160 - Department of Rehabilitation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Entries'!K23</f>
        <v>57801397</v>
      </c>
      <c r="G10" s="58"/>
      <c r="H10" s="61">
        <v>0</v>
      </c>
      <c r="I10" s="58"/>
      <c r="J10" s="61">
        <f>'LS-Fund 0001 Journal Entries'!K69</f>
        <v>12057678</v>
      </c>
      <c r="K10" s="58"/>
      <c r="L10" s="63">
        <f>SUM(F10+H10-J10)</f>
        <v>45743719</v>
      </c>
      <c r="M10" s="58"/>
      <c r="N10" s="61">
        <f>'LS-Fund 0001 Journal Entries'!K76</f>
        <v>12211406</v>
      </c>
      <c r="O10" s="58"/>
      <c r="P10" s="63">
        <f>L10-N10</f>
        <v>33532313</v>
      </c>
      <c r="Q10" s="43"/>
    </row>
    <row r="11" spans="2:17" ht="19.2" thickTop="1" thickBot="1" x14ac:dyDescent="0.4">
      <c r="B11" s="41"/>
      <c r="C11" s="45" t="s">
        <v>19</v>
      </c>
      <c r="F11" s="62">
        <f>SUM(F10:F10)</f>
        <v>57801397</v>
      </c>
      <c r="G11" s="58"/>
      <c r="H11" s="62">
        <f>SUM(H10:H10)</f>
        <v>0</v>
      </c>
      <c r="I11" s="58"/>
      <c r="J11" s="62">
        <f>SUM(J10:J10)</f>
        <v>12057678</v>
      </c>
      <c r="K11" s="58"/>
      <c r="L11" s="62">
        <f>SUM(L10:L10)</f>
        <v>45743719</v>
      </c>
      <c r="M11" s="58"/>
      <c r="N11" s="62">
        <f>SUM(N10:N10)</f>
        <v>12211406</v>
      </c>
      <c r="O11" s="58"/>
      <c r="P11" s="62">
        <f>SUM(P10:P10)</f>
        <v>33532313</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Normal="100" workbookViewId="0">
      <selection activeCell="L19" sqref="L1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57801397</v>
      </c>
      <c r="C16" s="116" t="s">
        <v>146</v>
      </c>
      <c r="D16" s="84">
        <f>IF('LS-Fund 0001 Journal Entries'!$F$8="Governmental Fund",'LS-Fund 0001 Journal Entries'!$K$48,0)</f>
        <v>0</v>
      </c>
      <c r="E16" s="118" t="s">
        <v>147</v>
      </c>
      <c r="F16" s="84">
        <f>IF('LS-Fund 0001 Journal Entries'!$F$8="Governmental Fund",'LS-Fund 0001 Journal Entries'!$J$68,0)</f>
        <v>12057678</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45743719</v>
      </c>
      <c r="M16" s="86"/>
      <c r="N16" s="88">
        <f>SUM('LS-Department Note Disclosure'!B13:B36)</f>
        <v>45743719</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12211406</v>
      </c>
      <c r="C42" s="92"/>
      <c r="E42" s="92"/>
      <c r="G42" s="115"/>
      <c r="H42" s="115"/>
      <c r="I42" s="115"/>
      <c r="J42" s="115"/>
      <c r="K42" s="92"/>
      <c r="L42" s="92"/>
      <c r="M42" s="93"/>
      <c r="N42" s="88">
        <f>'LS-Department Note Disclosure'!B13</f>
        <v>12211406</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57801397</v>
      </c>
      <c r="J66" s="97">
        <f>SUM(D66)</f>
        <v>57801397</v>
      </c>
      <c r="L66" s="98" t="str">
        <f>CONCATENATE("Balance July 1, ",LEFT('LS-Department Note Disclosure'!$B$8,4))</f>
        <v>Balance July 1, 2022</v>
      </c>
      <c r="N66" s="97">
        <f>'LS-Lease Liabilities'!F10</f>
        <v>57801397</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12057678</v>
      </c>
      <c r="E68" s="119" t="s">
        <v>146</v>
      </c>
      <c r="F68" s="79" t="s">
        <v>1753</v>
      </c>
      <c r="H68" s="97">
        <f>$H$16</f>
        <v>0</v>
      </c>
      <c r="J68" s="97">
        <f>SUM(D68,H68)</f>
        <v>12057678</v>
      </c>
      <c r="L68" s="98" t="s">
        <v>14</v>
      </c>
      <c r="N68" s="97">
        <f>'LS-Lease Liabilities'!J10</f>
        <v>12057678</v>
      </c>
      <c r="P68" s="89">
        <f t="shared" si="0"/>
        <v>0</v>
      </c>
    </row>
    <row r="69" spans="1:17" x14ac:dyDescent="0.3">
      <c r="B69" s="79" t="s">
        <v>156</v>
      </c>
      <c r="D69" s="97">
        <f>$B$42</f>
        <v>12211406</v>
      </c>
      <c r="J69" s="97">
        <f>SUM(D69)</f>
        <v>12211406</v>
      </c>
      <c r="L69" s="98" t="s">
        <v>15</v>
      </c>
      <c r="N69" s="97">
        <f>'LS-Lease Liabilities'!N10</f>
        <v>12211406</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5591C68-B67D-4B8C-AC53-B0FE97A46AC4}"/>
</file>

<file path=customXml/itemProps2.xml><?xml version="1.0" encoding="utf-8"?>
<ds:datastoreItem xmlns:ds="http://schemas.openxmlformats.org/officeDocument/2006/customXml" ds:itemID="{29F3B126-6BDD-4600-893E-49439EA2B36F}"/>
</file>

<file path=customXml/itemProps3.xml><?xml version="1.0" encoding="utf-8"?>
<ds:datastoreItem xmlns:ds="http://schemas.openxmlformats.org/officeDocument/2006/customXml" ds:itemID="{54789E6E-357E-42E1-A264-380D71F9B4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2024-05-10T16:48:34Z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