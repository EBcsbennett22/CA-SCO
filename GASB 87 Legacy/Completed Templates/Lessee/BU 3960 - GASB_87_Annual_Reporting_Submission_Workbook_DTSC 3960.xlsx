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3960\"/>
    </mc:Choice>
  </mc:AlternateContent>
  <xr:revisionPtr revIDLastSave="0" documentId="13_ncr:1_{94B1375A-A181-426D-8D20-A9C75BEF9E75}" xr6:coauthVersionLast="47" xr6:coauthVersionMax="47" xr10:uidLastSave="{00000000-0000-0000-0000-000000000000}"/>
  <bookViews>
    <workbookView xWindow="20370" yWindow="-120" windowWidth="29040" windowHeight="15840" tabRatio="750" firstSheet="2" activeTab="3" xr2:uid="{BFAA13EF-CB72-45BE-BC69-D1CFD52BF1D1}"/>
  </bookViews>
  <sheets>
    <sheet name="Drop Down Menus" sheetId="1" state="hidden" r:id="rId1"/>
    <sheet name="qryIndex02a" sheetId="11" state="hidden" r:id="rId2"/>
    <sheet name="LS-Version Changes" sheetId="13" r:id="rId3"/>
    <sheet name="LS Fund 0014 Journal Entries" sheetId="16" r:id="rId4"/>
    <sheet name="LS Fund 3084 Journal Entries" sheetId="2" r:id="rId5"/>
    <sheet name="LS Fund 0557 Journal Entries" sheetId="17" r:id="rId6"/>
    <sheet name="LS-Department Note Disclosure" sheetId="3" r:id="rId7"/>
    <sheet name="LS-Lease Liabilities" sheetId="4" r:id="rId8"/>
    <sheet name="LS-Check Figures  " sheetId="7"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'LS Fund 0014 Journal Entries'!$A$1:$J$9</definedName>
    <definedName name="_xlnm.Print_Area" localSheetId="5">'LS Fund 0557 Journal Entries'!$A$1:$J$9</definedName>
    <definedName name="_xlnm.Print_Area" localSheetId="4">'LS Fund 3084 Journal Entries'!$A$1:$J$9</definedName>
    <definedName name="_xlnm.Print_Area" localSheetId="6">'LS-Department Note Disclosure'!$A$1:$C$85</definedName>
    <definedName name="_xlnm.Print_Area" localSheetId="7">'LS-Lease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7" l="1"/>
  <c r="M18" i="2"/>
  <c r="M18" i="16" l="1"/>
  <c r="F10" i="4" l="1"/>
  <c r="N10" i="4"/>
  <c r="J10" i="4"/>
  <c r="H10" i="4"/>
  <c r="B42" i="7" l="1"/>
  <c r="J16" i="7"/>
  <c r="H16" i="7"/>
  <c r="F16" i="7"/>
  <c r="K129" i="17" l="1"/>
  <c r="L114" i="17"/>
  <c r="K114" i="17"/>
  <c r="J114" i="17"/>
  <c r="K105" i="17"/>
  <c r="J105" i="17"/>
  <c r="L105" i="17" s="1"/>
  <c r="L91" i="17"/>
  <c r="K91" i="17"/>
  <c r="J91" i="17"/>
  <c r="K77" i="17"/>
  <c r="J77" i="17"/>
  <c r="K70" i="17"/>
  <c r="J70" i="17"/>
  <c r="K65" i="17"/>
  <c r="J65" i="17"/>
  <c r="L65" i="17" s="1"/>
  <c r="B63" i="17"/>
  <c r="K59" i="17"/>
  <c r="J59" i="17"/>
  <c r="L49" i="17"/>
  <c r="K49" i="17"/>
  <c r="J49" i="17"/>
  <c r="K43" i="17"/>
  <c r="J43" i="17"/>
  <c r="K36" i="17"/>
  <c r="J36" i="17"/>
  <c r="S25" i="17"/>
  <c r="Q24" i="17"/>
  <c r="K24" i="17" s="1"/>
  <c r="S23" i="17"/>
  <c r="K23" i="17"/>
  <c r="K128" i="17" s="1"/>
  <c r="S22" i="17"/>
  <c r="K22" i="17"/>
  <c r="K127" i="17" s="1"/>
  <c r="S21" i="17"/>
  <c r="K21" i="17"/>
  <c r="K126" i="17" s="1"/>
  <c r="S20" i="17"/>
  <c r="K20" i="17"/>
  <c r="K125" i="17" s="1"/>
  <c r="S19" i="17"/>
  <c r="S18" i="17"/>
  <c r="P18" i="17"/>
  <c r="J18" i="17" s="1"/>
  <c r="S17" i="17"/>
  <c r="J17" i="17"/>
  <c r="K124" i="17" s="1"/>
  <c r="S16" i="17"/>
  <c r="J16" i="17"/>
  <c r="K123" i="17" s="1"/>
  <c r="S15" i="17"/>
  <c r="J15" i="17"/>
  <c r="F9" i="17"/>
  <c r="C35" i="17" s="1"/>
  <c r="K129" i="16"/>
  <c r="K114" i="16"/>
  <c r="J114" i="16"/>
  <c r="K105" i="16"/>
  <c r="J105" i="16"/>
  <c r="L91" i="16"/>
  <c r="K91" i="16"/>
  <c r="J91" i="16"/>
  <c r="K77" i="16"/>
  <c r="J77" i="16"/>
  <c r="K70" i="16"/>
  <c r="J70" i="16"/>
  <c r="K65" i="16"/>
  <c r="J65" i="16"/>
  <c r="B63" i="16"/>
  <c r="K59" i="16"/>
  <c r="J59" i="16"/>
  <c r="K49" i="16"/>
  <c r="J49" i="16"/>
  <c r="L49" i="16" s="1"/>
  <c r="K43" i="16"/>
  <c r="J43" i="16"/>
  <c r="L43" i="16" s="1"/>
  <c r="K36" i="16"/>
  <c r="L36" i="16" s="1"/>
  <c r="J36" i="16"/>
  <c r="S25" i="16"/>
  <c r="S24" i="16"/>
  <c r="Q24" i="16"/>
  <c r="K24" i="16"/>
  <c r="S23" i="16"/>
  <c r="K23" i="16"/>
  <c r="S22" i="16"/>
  <c r="K22" i="16"/>
  <c r="K127" i="16" s="1"/>
  <c r="S21" i="16"/>
  <c r="K21" i="16"/>
  <c r="S20" i="16"/>
  <c r="K20" i="16"/>
  <c r="K125" i="16" s="1"/>
  <c r="S19" i="16"/>
  <c r="P18" i="16"/>
  <c r="S18" i="16" s="1"/>
  <c r="S17" i="16"/>
  <c r="J17" i="16"/>
  <c r="K124" i="16" s="1"/>
  <c r="S16" i="16"/>
  <c r="J16" i="16"/>
  <c r="K123" i="16" s="1"/>
  <c r="S15" i="16"/>
  <c r="J15" i="16"/>
  <c r="F9" i="16"/>
  <c r="C64" i="16" s="1"/>
  <c r="L105" i="16" l="1"/>
  <c r="L59" i="17"/>
  <c r="K128" i="16"/>
  <c r="B16" i="7"/>
  <c r="L77" i="17"/>
  <c r="L70" i="17"/>
  <c r="L43" i="17"/>
  <c r="L36" i="17"/>
  <c r="L114" i="16"/>
  <c r="L77" i="16"/>
  <c r="L70" i="16"/>
  <c r="L65" i="16"/>
  <c r="L59" i="16"/>
  <c r="K25" i="17"/>
  <c r="B100" i="17"/>
  <c r="K122" i="17"/>
  <c r="C104" i="17"/>
  <c r="J19" i="17"/>
  <c r="J26" i="17" s="1"/>
  <c r="L26" i="17" s="1"/>
  <c r="K26" i="17"/>
  <c r="C64" i="17"/>
  <c r="S24" i="17"/>
  <c r="J18" i="16"/>
  <c r="B100" i="16"/>
  <c r="K122" i="16"/>
  <c r="K126" i="16"/>
  <c r="C35" i="16"/>
  <c r="C104" i="16"/>
  <c r="K129" i="2"/>
  <c r="S20" i="2"/>
  <c r="K20" i="2"/>
  <c r="K125" i="2" s="1"/>
  <c r="J19" i="16" l="1"/>
  <c r="J26" i="16" s="1"/>
  <c r="K25" i="16"/>
  <c r="K26" i="16" s="1"/>
  <c r="P18" i="2"/>
  <c r="J18" i="2" s="1"/>
  <c r="S25" i="2"/>
  <c r="Q24" i="2"/>
  <c r="S24" i="2" s="1"/>
  <c r="S23" i="2"/>
  <c r="K23" i="2"/>
  <c r="K128" i="2" s="1"/>
  <c r="S22" i="2"/>
  <c r="K22" i="2"/>
  <c r="K127" i="2" s="1"/>
  <c r="S21" i="2"/>
  <c r="K21" i="2"/>
  <c r="K126" i="2" s="1"/>
  <c r="S19" i="2"/>
  <c r="S17" i="2"/>
  <c r="J17" i="2"/>
  <c r="K124" i="2" s="1"/>
  <c r="S16" i="2"/>
  <c r="J16" i="2"/>
  <c r="K123" i="2" s="1"/>
  <c r="S15" i="2"/>
  <c r="J15" i="2"/>
  <c r="K122" i="2" s="1"/>
  <c r="L26" i="16"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<sst xmlns="http://schemas.openxmlformats.org/spreadsheetml/2006/main" count="8028" uniqueCount="1761">
  <si>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</si>
  <si>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</si>
  <si>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</si>
  <si>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</si>
  <si>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</si>
  <si>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</si>
  <si>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</si>
  <si>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</si>
  <si>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</si>
  <si>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</si>
  <si>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</si>
  <si>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</si>
  <si>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</si>
  <si>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</si>
  <si>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</si>
  <si>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</si>
  <si>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</si>
  <si>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</si>
  <si>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</si>
  <si>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</si>
  <si>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</si>
  <si>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</si>
  <si>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</si>
  <si>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</si>
  <si>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</si>
  <si>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</si>
  <si>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</si>
  <si>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</si>
  <si>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</si>
  <si>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</si>
  <si>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</si>
  <si>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</si>
  <si>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</si>
  <si>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</si>
  <si>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</si>
  <si>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</si>
  <si>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</si>
  <si>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</si>
  <si>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</si>
  <si>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</si>
  <si>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</si>
  <si>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</si>
  <si>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</si>
  <si>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</si>
  <si>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</si>
  <si>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</si>
  <si>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</si>
  <si>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</si>
  <si>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</si>
  <si>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</si>
  <si>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</si>
  <si>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</si>
  <si>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</si>
  <si>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</si>
  <si>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</si>
  <si>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</si>
  <si>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</si>
  <si>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</si>
  <si>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</si>
  <si>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</si>
  <si>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</si>
  <si>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</si>
  <si>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</si>
  <si>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</si>
  <si>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</si>
  <si>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</si>
  <si>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</si>
  <si>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</si>
  <si>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</si>
  <si>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</si>
  <si>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</si>
  <si>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</si>
  <si>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</si>
  <si>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</si>
  <si>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</si>
  <si>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</si>
  <si>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</si>
  <si>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</si>
  <si>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</si>
  <si>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</si>
  <si>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</si>
  <si>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</si>
  <si>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</si>
  <si>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</si>
  <si>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</si>
  <si>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</si>
  <si>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</si>
  <si>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</si>
  <si>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</si>
  <si>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</si>
  <si>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</si>
  <si>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</si>
  <si>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</si>
  <si>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</si>
  <si>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</si>
  <si>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</si>
  <si>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</si>
  <si>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</si>
  <si>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</si>
  <si>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</si>
  <si>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</si>
  <si>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</si>
  <si>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</si>
  <si>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</si>
  <si>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</si>
  <si>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</si>
  <si>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</si>
  <si>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</si>
  <si>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</si>
  <si>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</si>
  <si>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</si>
  <si>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</si>
  <si>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</si>
  <si>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</si>
  <si>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</si>
  <si>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</si>
  <si>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</si>
  <si>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</si>
  <si>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</si>
  <si>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</si>
  <si>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</si>
  <si>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</si>
  <si>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</si>
  <si>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</si>
  <si>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</si>
  <si>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</si>
  <si>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</si>
  <si>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</si>
  <si>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</si>
  <si>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</si>
  <si>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</si>
  <si>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</si>
  <si>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</si>
  <si>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</si>
  <si>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</si>
  <si>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</si>
  <si>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</si>
  <si>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</si>
  <si>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</si>
  <si>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</si>
  <si>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</si>
  <si>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</si>
  <si>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</si>
  <si>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</si>
  <si>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</si>
  <si>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</si>
  <si>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</si>
  <si>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</si>
  <si>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</si>
  <si>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</si>
  <si>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</si>
  <si>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</si>
  <si>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</si>
  <si>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</si>
  <si>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</si>
  <si>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</si>
  <si>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</si>
  <si>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</si>
  <si>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</si>
  <si>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</si>
  <si>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</si>
  <si>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</si>
  <si>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</si>
  <si>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</si>
  <si>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</si>
  <si>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</si>
  <si>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</si>
  <si>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</si>
  <si>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</si>
  <si>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</si>
  <si>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</si>
  <si>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</si>
  <si>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</si>
  <si>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</si>
  <si>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</si>
  <si>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</si>
  <si>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</si>
  <si>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</si>
  <si>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</si>
  <si>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</si>
  <si>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</si>
  <si>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</si>
  <si>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</si>
  <si>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</si>
  <si>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</si>
  <si>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</si>
  <si>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</si>
  <si>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</si>
  <si>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</si>
  <si>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</si>
  <si>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</si>
  <si>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</si>
  <si>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</si>
  <si>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</si>
  <si>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</si>
  <si>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</si>
  <si>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</si>
  <si>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</si>
  <si>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</si>
  <si>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</si>
  <si>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</si>
  <si>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</si>
  <si>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</si>
  <si>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</si>
  <si>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</si>
  <si>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</si>
  <si>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</si>
  <si>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</si>
  <si>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</si>
  <si>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</si>
  <si>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</si>
  <si>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</si>
  <si>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</si>
  <si>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</si>
  <si>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</si>
  <si>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</si>
  <si>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</si>
  <si>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</si>
  <si>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</si>
  <si>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</si>
  <si>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</si>
  <si>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</si>
  <si>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</si>
  <si>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</si>
  <si>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</si>
  <si>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</si>
  <si>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</si>
  <si>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</si>
  <si>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</si>
  <si>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</si>
  <si>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</si>
  <si>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</si>
  <si>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</si>
  <si>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</si>
  <si>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</si>
  <si>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</si>
  <si>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</si>
  <si>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</si>
  <si>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</si>
  <si>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</si>
  <si>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</si>
  <si>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</si>
  <si>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</si>
  <si>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</si>
  <si>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</si>
  <si>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</si>
  <si>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</si>
  <si>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</si>
  <si>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</si>
  <si>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</si>
  <si>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</si>
  <si>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</si>
  <si>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</si>
  <si>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</si>
  <si>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</si>
  <si>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</si>
  <si>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</si>
  <si>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</si>
  <si>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</si>
  <si>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</si>
  <si>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</si>
  <si>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</si>
  <si>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</si>
  <si>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</si>
  <si>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</si>
  <si>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</si>
  <si>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</si>
  <si>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</si>
  <si>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</si>
  <si>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</si>
  <si>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</si>
  <si>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</si>
  <si>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</si>
  <si>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</si>
  <si>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</si>
  <si>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</si>
  <si>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</si>
  <si>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</si>
  <si>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</si>
  <si>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</si>
  <si>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</si>
  <si>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</si>
  <si>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</si>
  <si>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</si>
  <si>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</si>
  <si>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</si>
  <si>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</si>
  <si>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</si>
  <si>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</si>
  <si>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</si>
  <si>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</si>
  <si>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</si>
  <si>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</si>
  <si>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</si>
  <si>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</si>
  <si>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</si>
  <si>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</si>
  <si>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</si>
  <si>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</si>
  <si>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</si>
  <si>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</si>
  <si>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</si>
  <si>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</si>
  <si>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</si>
  <si>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</si>
  <si>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</si>
  <si>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</si>
  <si>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</si>
  <si>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</si>
  <si>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</si>
  <si>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</si>
  <si>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</si>
  <si>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</si>
  <si>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</si>
  <si>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</si>
  <si>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</si>
  <si>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</si>
  <si>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</si>
  <si>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</si>
  <si>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</si>
  <si>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</si>
  <si>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</si>
  <si>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</si>
  <si>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</si>
  <si>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</si>
  <si>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</si>
  <si>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</si>
  <si>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</si>
  <si>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</si>
  <si>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</si>
  <si>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</si>
  <si>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</si>
  <si>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</si>
  <si>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</si>
  <si>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</si>
  <si>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</si>
  <si>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</si>
  <si>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</si>
  <si>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</si>
  <si>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</si>
  <si>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</si>
  <si>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</si>
  <si>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</si>
  <si>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</si>
  <si>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</si>
  <si>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</si>
  <si>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</si>
  <si>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</si>
  <si>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</si>
  <si>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</si>
  <si>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</si>
  <si>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</si>
  <si>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</si>
  <si>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</si>
  <si>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</si>
  <si>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</si>
  <si>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</si>
  <si>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</si>
  <si>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</si>
  <si>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</si>
  <si>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</si>
  <si>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</si>
  <si>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</si>
  <si>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</si>
  <si>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</si>
  <si>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</si>
  <si>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</si>
  <si>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</si>
  <si>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</si>
  <si>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</si>
  <si>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</si>
  <si>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</si>
  <si>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</si>
  <si>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</si>
  <si>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</si>
  <si>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</si>
  <si>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</si>
  <si>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</si>
  <si>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</si>
  <si>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</si>
  <si>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</si>
  <si>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</si>
  <si>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</si>
  <si>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</si>
  <si>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</si>
  <si>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</si>
  <si>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</si>
  <si>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</si>
  <si>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</si>
  <si>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</si>
  <si>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</si>
  <si>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</si>
  <si>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</si>
  <si>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</si>
  <si>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</si>
  <si>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</si>
  <si>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</si>
  <si>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</si>
  <si>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</si>
  <si>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</si>
  <si>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</si>
  <si>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</si>
  <si>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</si>
  <si>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</si>
  <si>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</si>
  <si>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</si>
  <si>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</si>
  <si>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</si>
  <si>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</si>
  <si>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</si>
  <si>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</si>
  <si>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</si>
  <si>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</si>
  <si>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</si>
  <si>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</si>
  <si>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</si>
  <si>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</si>
  <si>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</si>
  <si>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</si>
  <si>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</si>
  <si>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</si>
  <si>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</si>
  <si>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</si>
  <si>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</si>
  <si>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</si>
  <si>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</si>
  <si>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</si>
  <si>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</si>
  <si>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</si>
  <si>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</si>
  <si>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</si>
  <si>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</si>
  <si>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</si>
  <si>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</si>
  <si>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</si>
  <si>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</si>
  <si>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</si>
  <si>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</si>
  <si>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</si>
  <si>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</si>
  <si>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</si>
  <si>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</si>
  <si>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</si>
  <si>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</si>
  <si>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</si>
  <si>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</si>
  <si>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</si>
  <si>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</si>
  <si>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</si>
  <si>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</si>
  <si>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</si>
  <si>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</si>
  <si>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</si>
  <si>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</si>
  <si>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</si>
  <si>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</si>
  <si>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</si>
  <si>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</si>
  <si>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</si>
  <si>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</si>
  <si>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</si>
  <si>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</si>
  <si>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</si>
  <si>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</si>
  <si>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</si>
  <si>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</si>
  <si>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</si>
  <si>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</si>
  <si>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</si>
  <si>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</si>
  <si>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</si>
  <si>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</si>
  <si>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</si>
  <si>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</si>
  <si>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</si>
  <si>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</si>
  <si>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</si>
  <si>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</si>
  <si>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</si>
  <si>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</si>
  <si>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</si>
  <si>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</si>
  <si>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</si>
  <si>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</si>
  <si>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</si>
  <si>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</si>
  <si>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</si>
  <si>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</si>
  <si>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</si>
  <si>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</si>
  <si>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</si>
  <si>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</si>
  <si>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</si>
  <si>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</si>
  <si>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</si>
  <si>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</si>
  <si>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</si>
  <si>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</si>
  <si>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</si>
  <si>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</si>
  <si>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</si>
  <si>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</si>
  <si>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</si>
  <si>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</si>
  <si>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</si>
  <si>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</si>
  <si>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</si>
  <si>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</si>
  <si>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</si>
  <si>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</si>
  <si>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</si>
  <si>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</si>
  <si>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</si>
  <si>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</si>
  <si>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</si>
  <si>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</si>
  <si>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</si>
  <si>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</si>
  <si>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</si>
  <si>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</si>
  <si>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</si>
  <si>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</si>
  <si>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</si>
  <si>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</si>
  <si>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</si>
  <si>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</si>
  <si>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</si>
  <si>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</si>
  <si>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</si>
  <si>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</si>
  <si>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</si>
  <si>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</si>
  <si>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</si>
  <si>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</si>
  <si>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</si>
  <si>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</si>
  <si>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</si>
  <si>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</si>
  <si>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</si>
  <si>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</si>
  <si>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</si>
  <si>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</si>
  <si>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</si>
  <si>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</si>
  <si>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</si>
  <si>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</si>
  <si>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</si>
  <si>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</si>
  <si>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</si>
  <si>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</si>
  <si>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</si>
  <si>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</si>
  <si>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</si>
  <si>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</si>
  <si>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</si>
  <si>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</si>
  <si>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</si>
  <si>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</si>
  <si>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</si>
  <si>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</si>
  <si>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</si>
  <si>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</si>
  <si>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</si>
  <si>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</si>
  <si>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</si>
  <si>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</si>
  <si>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</si>
  <si>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</si>
  <si>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</si>
  <si>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</si>
  <si>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</si>
  <si>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</si>
  <si>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</si>
  <si>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</si>
  <si>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</si>
  <si>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</si>
  <si>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</si>
  <si>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</si>
  <si>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</si>
  <si>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</si>
  <si>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</si>
  <si>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</si>
  <si>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</si>
  <si>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</si>
  <si>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</si>
  <si>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</si>
  <si>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</si>
  <si>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</si>
  <si>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</si>
  <si>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</si>
  <si>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</si>
  <si>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</si>
  <si>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</si>
  <si>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</si>
  <si>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</si>
  <si>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</si>
  <si>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</si>
  <si>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</si>
  <si>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</si>
  <si>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</si>
  <si>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</si>
  <si>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</si>
  <si>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</si>
  <si>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</si>
  <si>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</si>
  <si>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</si>
  <si>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</si>
  <si>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</si>
  <si>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</si>
  <si>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</si>
  <si>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</si>
  <si>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</si>
  <si>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</si>
  <si>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</si>
  <si>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</si>
  <si>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</si>
  <si>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</si>
  <si>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</si>
  <si>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</si>
  <si>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</si>
  <si>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</si>
  <si>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</si>
  <si>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</si>
  <si>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</si>
  <si>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</si>
  <si>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</si>
  <si>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</si>
  <si>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</si>
  <si>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</si>
  <si>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</si>
  <si>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</si>
  <si>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</si>
  <si>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</si>
  <si>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</si>
  <si>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</si>
  <si>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</si>
  <si>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</si>
  <si>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</si>
  <si>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</si>
  <si>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</si>
  <si>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</si>
  <si>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</si>
  <si>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</si>
  <si>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</si>
  <si>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</si>
  <si>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</si>
  <si>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</si>
  <si>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</si>
  <si>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</si>
  <si>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</si>
  <si>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</si>
  <si>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</si>
  <si>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</si>
  <si>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</si>
  <si>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</si>
  <si>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</si>
  <si>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</si>
  <si>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</si>
  <si>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</si>
  <si>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</si>
  <si>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</si>
  <si>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</si>
  <si>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</si>
  <si>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</si>
  <si>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</si>
  <si>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</si>
  <si>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</si>
  <si>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</si>
  <si>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</si>
  <si>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</si>
  <si>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</si>
  <si>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</si>
  <si>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</si>
  <si>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</si>
  <si>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</si>
  <si>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</si>
  <si>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</si>
  <si>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</si>
  <si>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</si>
  <si>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</si>
  <si>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</si>
  <si>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</si>
  <si>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</si>
  <si>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</si>
  <si>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</si>
  <si>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</si>
  <si>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</si>
  <si>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</si>
  <si>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</si>
  <si>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</si>
  <si>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</si>
  <si>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</si>
  <si>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</si>
  <si>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</si>
  <si>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</si>
  <si>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</si>
  <si>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</si>
  <si>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</si>
  <si>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</si>
  <si>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</si>
  <si>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</si>
  <si>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</si>
  <si>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</si>
  <si>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</si>
  <si>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</si>
  <si>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</si>
  <si>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</si>
  <si>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</si>
  <si>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</si>
  <si>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</si>
  <si>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</si>
  <si>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</si>
  <si>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</si>
  <si>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</si>
  <si>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</si>
  <si>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</si>
  <si>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</si>
  <si>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</si>
  <si>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</si>
  <si>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</si>
  <si>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</si>
  <si>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</si>
  <si>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</si>
  <si>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</si>
  <si>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</si>
  <si>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</si>
  <si>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</si>
  <si>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</si>
  <si>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</si>
  <si>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</si>
  <si>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</si>
  <si>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</si>
  <si>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</si>
  <si>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</si>
  <si>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</si>
  <si>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</si>
  <si>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</si>
  <si>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</si>
  <si>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</si>
  <si>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</si>
  <si>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</si>
  <si>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</si>
  <si>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</si>
  <si>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</si>
  <si>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</si>
  <si>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</si>
  <si>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</si>
  <si>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</si>
  <si>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</si>
  <si>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</si>
  <si>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</si>
  <si>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</si>
  <si>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</si>
  <si>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</si>
  <si>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</si>
  <si>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</si>
  <si>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</si>
  <si>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</si>
  <si>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</si>
  <si>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</si>
  <si>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</si>
  <si>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</si>
  <si>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</si>
  <si>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</si>
  <si>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</si>
  <si>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</si>
  <si>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</si>
  <si>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</si>
  <si>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</si>
  <si>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</si>
  <si>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</si>
  <si>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</si>
  <si>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</si>
  <si>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</si>
  <si>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</si>
  <si>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</si>
  <si>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</si>
  <si>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</si>
  <si>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</si>
  <si>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</si>
  <si>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</si>
  <si>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</si>
  <si>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</si>
  <si>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</si>
  <si>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</si>
  <si>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</si>
  <si>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</si>
  <si>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</si>
  <si>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</si>
  <si>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</si>
  <si>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</si>
  <si>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</si>
  <si>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</si>
  <si>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</si>
  <si>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</si>
  <si>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</si>
  <si>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</si>
  <si>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</si>
  <si>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</si>
  <si>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</si>
  <si>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</si>
  <si>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</si>
  <si>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</si>
  <si>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</si>
  <si>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</si>
  <si>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</si>
  <si>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</si>
  <si>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</si>
  <si>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</si>
  <si>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</si>
  <si>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</si>
  <si>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</si>
  <si>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</si>
  <si>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</si>
  <si>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</si>
  <si>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</si>
  <si>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</si>
  <si>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</si>
  <si>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</si>
  <si>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</si>
  <si>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</si>
  <si>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</si>
  <si>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</si>
  <si>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</si>
  <si>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</si>
  <si>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</si>
  <si>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</si>
  <si>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</si>
  <si>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</si>
  <si>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</si>
  <si>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</si>
  <si>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</si>
  <si>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</si>
  <si>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</si>
  <si>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</si>
  <si>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</si>
  <si>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</si>
  <si>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</si>
  <si>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</si>
  <si>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</si>
  <si>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</si>
  <si>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</si>
  <si>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</si>
  <si>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</si>
  <si>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</si>
  <si>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</si>
  <si>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</si>
  <si>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</si>
  <si>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</si>
  <si>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</si>
  <si>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</si>
  <si>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</si>
  <si>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</si>
  <si>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</si>
  <si>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</si>
  <si>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</si>
  <si>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</si>
  <si>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</si>
  <si>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</si>
  <si>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</si>
  <si>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</si>
  <si>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</si>
  <si>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</si>
  <si>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</si>
  <si>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</si>
  <si>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</si>
  <si>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</si>
  <si>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</si>
  <si>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</si>
  <si>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</si>
  <si>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</si>
  <si>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</si>
  <si>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</si>
  <si>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</si>
  <si>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</si>
  <si>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</si>
  <si>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</si>
  <si>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</si>
  <si>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</si>
  <si>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</si>
  <si>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</si>
  <si>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</si>
  <si>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</si>
  <si>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</si>
  <si>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</si>
  <si>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</si>
  <si>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</si>
  <si>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</si>
  <si>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</si>
  <si>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</si>
  <si>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</si>
  <si>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</si>
  <si>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</si>
  <si>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</si>
  <si>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</si>
  <si>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</si>
  <si>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</si>
  <si>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</si>
  <si>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</si>
  <si>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</si>
  <si>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</si>
  <si>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</si>
  <si>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</si>
  <si>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</si>
  <si>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</si>
  <si>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</si>
  <si>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</si>
  <si>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</si>
  <si>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</si>
  <si>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</si>
  <si>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</si>
  <si>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</si>
  <si>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</si>
  <si>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</si>
  <si>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</si>
  <si>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</si>
  <si>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</si>
  <si>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</si>
  <si>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</si>
  <si>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</si>
  <si>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</si>
  <si>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</si>
  <si>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</si>
  <si>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</si>
  <si>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</si>
  <si>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</si>
  <si>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</si>
  <si>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</si>
  <si>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</si>
  <si>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</si>
  <si>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</si>
  <si>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</si>
  <si>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</si>
  <si>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</si>
  <si>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</si>
  <si>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</si>
  <si>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</si>
  <si>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</si>
  <si>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</si>
  <si>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</si>
  <si>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</si>
  <si>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</si>
  <si>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</si>
  <si>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</si>
  <si>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</si>
  <si>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</si>
  <si>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</si>
  <si>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</si>
  <si>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</si>
  <si>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</si>
  <si>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</si>
  <si>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</si>
  <si>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</si>
  <si>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</si>
  <si>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</si>
  <si>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</si>
  <si>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</si>
  <si>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</si>
  <si>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</si>
  <si>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</si>
  <si>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</si>
  <si>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</si>
  <si>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</si>
  <si>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</si>
  <si>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</si>
  <si>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</si>
  <si>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</si>
  <si>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</si>
  <si>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</si>
  <si>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</si>
  <si>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</si>
  <si>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</si>
  <si>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</si>
  <si>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</si>
  <si>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</si>
  <si>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</si>
  <si>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</si>
  <si>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</si>
  <si>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</si>
  <si>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</si>
  <si>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</si>
  <si>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</si>
  <si>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</si>
  <si>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</si>
  <si>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</si>
  <si>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</si>
  <si>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</si>
  <si>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</si>
  <si>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</si>
  <si>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</si>
  <si>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</si>
  <si>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</si>
  <si>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</si>
  <si>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</si>
  <si>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</si>
  <si>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</si>
  <si>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</si>
  <si>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</si>
  <si>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</si>
  <si>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</si>
  <si>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</si>
  <si>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</si>
  <si>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</si>
  <si>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</si>
  <si>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</si>
  <si>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</si>
  <si>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</si>
  <si>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</si>
  <si>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</si>
  <si>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</si>
  <si>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</si>
  <si>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</si>
  <si>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</si>
  <si>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</si>
  <si>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</si>
  <si>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</si>
  <si>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</si>
  <si>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</si>
  <si>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</si>
  <si>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</si>
  <si>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</si>
  <si>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</si>
  <si>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</si>
  <si>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</si>
  <si>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</si>
  <si>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</si>
  <si>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</si>
  <si>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</si>
  <si>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</si>
  <si>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</si>
  <si>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</si>
  <si>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</si>
  <si>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</si>
  <si>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</si>
  <si>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</si>
  <si>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</si>
  <si>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</si>
  <si>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</si>
  <si>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</si>
  <si>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</si>
  <si>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</si>
  <si>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</si>
  <si>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</si>
  <si>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</si>
  <si>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</si>
  <si>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</si>
  <si>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</si>
  <si>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</si>
  <si>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</si>
  <si>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</si>
  <si>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</si>
  <si>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</si>
  <si>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</si>
  <si>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</si>
  <si>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</si>
  <si>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</si>
  <si>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</si>
  <si>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</si>
  <si>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</si>
  <si>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</si>
  <si>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</si>
  <si>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</si>
  <si>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</si>
  <si>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</si>
  <si>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</si>
  <si>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</si>
  <si>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</si>
  <si>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</si>
  <si>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</si>
  <si>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</si>
  <si>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</si>
  <si>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</si>
  <si>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</si>
  <si>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</si>
  <si>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</si>
  <si>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</si>
  <si>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</si>
  <si>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</si>
  <si>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</si>
  <si>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</si>
  <si>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</si>
  <si>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</si>
  <si>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</si>
  <si>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</si>
  <si>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</si>
  <si>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</si>
  <si>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</si>
  <si>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</si>
  <si>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</si>
  <si>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</si>
  <si>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</si>
  <si>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</si>
  <si>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</si>
  <si>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</si>
  <si>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</si>
  <si>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</si>
  <si>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</si>
  <si>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</si>
  <si>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</si>
  <si>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</si>
  <si>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</si>
  <si>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</si>
  <si>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</si>
  <si>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</si>
  <si>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</si>
  <si>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</si>
  <si>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</si>
  <si>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</si>
  <si>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</si>
  <si>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</si>
  <si>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</si>
  <si>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</si>
  <si>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</si>
  <si>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</si>
  <si>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</si>
  <si>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</si>
  <si>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</si>
  <si>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</si>
  <si>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</si>
  <si>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</si>
  <si>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</si>
  <si>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</si>
  <si>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</si>
  <si>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</si>
  <si>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</si>
  <si>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</si>
  <si>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</si>
  <si>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</si>
  <si>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</si>
  <si>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</si>
  <si>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</si>
  <si>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</si>
  <si>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</si>
  <si>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</si>
  <si>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</si>
  <si>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</si>
  <si>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</si>
  <si>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</si>
  <si>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</si>
  <si>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</si>
  <si>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</si>
  <si>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</si>
  <si>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</si>
  <si>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</si>
  <si>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</si>
  <si>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</si>
  <si>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</si>
  <si>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</si>
  <si>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</si>
  <si>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</si>
  <si>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</si>
  <si>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</si>
  <si>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</si>
  <si>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</si>
  <si>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</si>
  <si>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</si>
  <si>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</si>
  <si>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</si>
  <si>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</si>
  <si>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</si>
  <si>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</si>
  <si>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</si>
  <si>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</si>
  <si>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</si>
  <si>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</si>
  <si>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</si>
  <si>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</si>
  <si>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</si>
  <si>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</si>
  <si>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</si>
  <si>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</si>
  <si>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</si>
  <si>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</si>
  <si>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</si>
  <si>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</si>
  <si>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</si>
  <si>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</si>
  <si>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</si>
  <si>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</si>
  <si>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</si>
  <si>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</si>
  <si>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</si>
  <si>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</si>
  <si>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</si>
  <si>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</si>
  <si>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</si>
  <si>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</si>
  <si>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</si>
  <si>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</si>
  <si>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</si>
  <si>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</si>
  <si>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</si>
  <si>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</si>
  <si>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</si>
  <si>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</si>
  <si>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</si>
  <si>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</si>
  <si>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</si>
  <si>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</si>
  <si>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</si>
  <si>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</si>
  <si>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</si>
  <si>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</si>
  <si>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</si>
  <si>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</si>
  <si>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</si>
  <si>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</si>
  <si>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</si>
  <si>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</si>
  <si>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</si>
  <si>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</si>
  <si>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</si>
  <si>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</si>
  <si>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</si>
  <si>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</si>
  <si>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</si>
  <si>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</si>
  <si>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</si>
  <si>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</si>
  <si>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</si>
  <si>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</si>
  <si>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</si>
  <si>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</si>
  <si>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</si>
  <si>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</si>
  <si>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</si>
  <si>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</si>
  <si>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</si>
  <si>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</si>
  <si>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</si>
  <si>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</si>
  <si>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</si>
  <si>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</si>
  <si>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</si>
  <si>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</si>
  <si>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</si>
  <si>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</si>
  <si>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</si>
  <si>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</si>
  <si>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</si>
  <si>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</si>
  <si>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</si>
  <si>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</si>
  <si>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</si>
  <si>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</si>
  <si>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</si>
  <si>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</si>
  <si>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</si>
  <si>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</si>
  <si>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</si>
  <si>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</si>
  <si>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</si>
  <si>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</si>
  <si>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</si>
  <si>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</si>
  <si>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</si>
  <si>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</si>
  <si>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</si>
  <si>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</si>
  <si>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</si>
  <si>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</si>
  <si>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</si>
  <si>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</si>
  <si>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</si>
  <si>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</si>
  <si>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</si>
  <si>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</si>
  <si>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</si>
  <si>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</si>
  <si>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</si>
  <si>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</si>
  <si>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</si>
  <si>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</si>
  <si>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</si>
  <si>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</si>
  <si>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</si>
  <si>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</si>
  <si>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</si>
  <si>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</si>
  <si>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</si>
  <si>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</si>
  <si>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</si>
  <si>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</si>
  <si>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</si>
  <si>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</si>
  <si>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</si>
  <si>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</si>
  <si>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</si>
  <si>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</si>
  <si>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</si>
  <si>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</si>
  <si>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</si>
  <si>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</si>
  <si>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</si>
  <si>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</si>
  <si>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</si>
  <si>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</si>
  <si>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</si>
  <si>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</si>
  <si>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</si>
  <si>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</si>
  <si>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</si>
  <si>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</si>
  <si>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</si>
  <si>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</si>
  <si>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</si>
  <si>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</si>
  <si>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</si>
  <si>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</si>
  <si>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</si>
  <si>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</si>
  <si>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</si>
  <si>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</si>
  <si>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</si>
  <si>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</si>
  <si>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</si>
  <si>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</si>
  <si>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</si>
  <si>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</si>
  <si>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</si>
  <si>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</si>
  <si>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</si>
  <si>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</si>
  <si>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</si>
  <si>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</si>
  <si>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</si>
  <si>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</si>
  <si>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</si>
  <si>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</si>
  <si>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</si>
  <si>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</si>
  <si>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</si>
  <si>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</si>
  <si>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</si>
  <si>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</si>
  <si>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</si>
  <si>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</si>
  <si>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</si>
  <si>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</si>
  <si>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</si>
  <si>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</si>
  <si>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</si>
  <si>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</si>
  <si>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</si>
  <si>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</si>
  <si>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</si>
  <si>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</si>
  <si>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</si>
  <si>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</si>
  <si>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</si>
  <si>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</si>
  <si>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</si>
  <si>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</si>
  <si>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</si>
  <si>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</si>
  <si>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</si>
  <si>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</si>
  <si>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</si>
  <si>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</si>
  <si>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</si>
  <si>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</si>
  <si>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</si>
  <si>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</si>
  <si>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</si>
  <si>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</si>
  <si>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</si>
  <si>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</si>
  <si>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</si>
  <si>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</si>
  <si>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</si>
  <si>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</si>
  <si>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</si>
  <si>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</si>
  <si>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</si>
  <si>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</si>
  <si>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</si>
  <si>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</si>
  <si>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</si>
  <si>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</si>
  <si>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</si>
  <si>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</si>
  <si>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</si>
  <si>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</si>
  <si>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</si>
  <si>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</si>
  <si>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</si>
  <si>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</si>
  <si>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</si>
  <si>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</si>
  <si>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</si>
  <si>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</si>
  <si>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</si>
  <si>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</si>
  <si>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</si>
  <si>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</si>
  <si>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</si>
  <si>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</si>
  <si>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</si>
  <si>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</si>
  <si>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</si>
  <si>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</si>
  <si>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</si>
  <si>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</si>
  <si>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</si>
  <si>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</si>
  <si>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</si>
  <si>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</si>
  <si>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</si>
  <si>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</si>
  <si>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</si>
  <si>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</si>
  <si>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</si>
  <si>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</si>
  <si>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</si>
  <si>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</si>
  <si>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</si>
  <si>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</si>
  <si>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</si>
  <si>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</si>
  <si>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</si>
  <si>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</si>
  <si>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</si>
  <si>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</si>
  <si>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</si>
  <si>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</si>
  <si>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</si>
  <si>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</si>
  <si>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</si>
  <si>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</si>
  <si>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</si>
  <si>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</si>
  <si>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</si>
  <si>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</si>
  <si>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</si>
  <si>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</si>
  <si>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</si>
  <si>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</si>
  <si>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</si>
  <si>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</si>
  <si>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</si>
  <si>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</si>
  <si>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</si>
  <si>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</si>
  <si>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</si>
  <si>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</si>
  <si>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</si>
  <si>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</si>
  <si>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</si>
  <si>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</si>
  <si>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</si>
  <si>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</si>
  <si>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</si>
  <si>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</si>
  <si>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</si>
  <si>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</si>
  <si>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</si>
  <si>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</si>
  <si>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</si>
  <si>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</si>
  <si>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</si>
  <si>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</si>
  <si>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</si>
  <si>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</si>
  <si>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</si>
  <si>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</si>
  <si>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</si>
  <si>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</si>
  <si>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</si>
  <si>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</si>
  <si>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</si>
  <si>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</si>
  <si>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</si>
  <si>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</si>
  <si>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</si>
  <si>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</si>
  <si>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</si>
  <si>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</si>
  <si>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</si>
  <si>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</si>
  <si>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</si>
  <si>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</si>
  <si>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</si>
  <si>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</si>
  <si>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</si>
  <si>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</si>
  <si>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</si>
  <si>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</si>
  <si>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</si>
  <si>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</si>
  <si>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</si>
  <si>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</si>
  <si>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</si>
  <si>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</si>
  <si>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</si>
  <si>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</si>
  <si>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</si>
  <si>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</si>
  <si>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</si>
  <si>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</si>
  <si>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</si>
  <si>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</si>
  <si>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</si>
  <si>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</si>
  <si>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</si>
  <si>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</si>
  <si>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</si>
  <si>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</si>
  <si>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</si>
  <si>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</si>
  <si>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</si>
  <si>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</si>
  <si>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</si>
  <si>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</si>
  <si>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</si>
  <si>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</si>
  <si>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</si>
  <si>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</si>
  <si>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</si>
  <si>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</si>
  <si>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</si>
  <si>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</si>
  <si>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</si>
  <si>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</si>
  <si>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</si>
  <si>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</si>
  <si>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</si>
  <si>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</si>
  <si>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</si>
  <si>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</si>
  <si>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</si>
  <si>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</si>
  <si>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</si>
  <si>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</si>
  <si>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</si>
  <si>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</si>
  <si>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</si>
  <si>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</si>
  <si>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</si>
  <si>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</si>
  <si>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</si>
  <si>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</si>
  <si>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</si>
  <si>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</si>
  <si>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</si>
  <si>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</si>
  <si>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</si>
  <si>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</si>
  <si>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</si>
  <si>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</si>
  <si>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</si>
  <si>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</si>
  <si>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</si>
  <si>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</si>
  <si>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</si>
  <si>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</si>
  <si>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</si>
  <si>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</si>
  <si>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</si>
  <si>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</si>
  <si>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</si>
  <si>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</si>
  <si>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</si>
  <si>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</si>
  <si>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</si>
  <si>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</si>
  <si>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</si>
  <si>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</si>
  <si>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</si>
  <si>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</si>
  <si>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</si>
  <si>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</si>
  <si>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</si>
  <si>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</si>
  <si>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</si>
  <si>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</si>
  <si>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</si>
  <si>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</si>
  <si>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</si>
  <si>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</si>
  <si>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</si>
  <si>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</si>
  <si>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</si>
  <si>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</si>
  <si>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</si>
  <si>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</si>
  <si>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</si>
  <si>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</si>
  <si>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</si>
  <si>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</si>
  <si>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</si>
  <si>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</si>
  <si>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</si>
  <si>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</si>
  <si>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</si>
  <si>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</si>
  <si>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</si>
  <si>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</si>
  <si>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</si>
  <si>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</si>
  <si>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</si>
  <si>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</si>
  <si>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</si>
  <si>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</si>
  <si>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</si>
  <si>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</si>
  <si>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</si>
  <si>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</si>
  <si>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</si>
  <si>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</si>
  <si>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</si>
  <si>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</si>
  <si>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</si>
  <si>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</si>
  <si>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</si>
  <si>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</si>
  <si>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</si>
  <si>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</si>
  <si>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</si>
  <si>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</si>
  <si>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</si>
  <si>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</si>
  <si>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</si>
  <si>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</si>
  <si>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</si>
  <si>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</si>
  <si>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</si>
  <si>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</si>
  <si>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</si>
  <si>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</si>
  <si>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</si>
  <si>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</si>
  <si>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</si>
  <si>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</si>
  <si>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</si>
  <si>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</si>
  <si>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</si>
  <si>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</si>
  <si>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</si>
  <si>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</si>
  <si>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</si>
  <si>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</si>
  <si>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</si>
  <si>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</si>
  <si>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</si>
  <si>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</si>
  <si>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</si>
  <si>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</si>
  <si>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</si>
  <si>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</si>
  <si>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</si>
  <si>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</si>
  <si>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</si>
  <si>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</si>
  <si>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</si>
  <si>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</si>
  <si>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</si>
  <si>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</si>
  <si>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</si>
  <si>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</si>
  <si>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</si>
  <si>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</si>
  <si>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</si>
  <si>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</si>
  <si>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</si>
  <si>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</si>
  <si>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</si>
  <si>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</si>
  <si>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</si>
  <si>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</si>
  <si>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</si>
  <si>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</si>
  <si>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</si>
  <si>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</si>
  <si>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</si>
  <si>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</si>
  <si>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</si>
  <si>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</si>
  <si>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</si>
  <si>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</si>
  <si>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</si>
  <si>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</si>
  <si>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</si>
  <si>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</si>
  <si>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</si>
  <si>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</si>
  <si>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</si>
  <si>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</si>
  <si>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</si>
  <si>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</si>
  <si>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</si>
  <si>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</si>
  <si>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</si>
  <si>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</si>
  <si>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</si>
  <si>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</si>
  <si>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</si>
  <si>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</si>
  <si>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</si>
  <si>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</si>
  <si>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</si>
  <si>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</si>
  <si>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</si>
  <si>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</si>
  <si>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</si>
  <si>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</si>
  <si>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</si>
  <si>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</si>
  <si>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</si>
  <si>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</si>
  <si>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</si>
  <si>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</si>
  <si>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</si>
  <si>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</si>
  <si>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</si>
  <si>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</si>
  <si>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</si>
  <si>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</si>
  <si>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</si>
  <si>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</si>
  <si>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</si>
  <si>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</si>
  <si>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</si>
  <si>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</si>
  <si>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</si>
  <si>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</si>
  <si>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</si>
  <si>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</si>
  <si>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</si>
  <si>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</si>
  <si>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</si>
  <si>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</si>
  <si>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</si>
  <si>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</si>
  <si>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</si>
  <si>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</si>
  <si>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</si>
  <si>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</si>
  <si>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</si>
  <si>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</si>
  <si>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</si>
  <si>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</si>
  <si>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</si>
  <si>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</si>
  <si>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</si>
  <si>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</si>
  <si>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</si>
  <si>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</si>
  <si>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</si>
  <si>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</si>
  <si>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</si>
  <si>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</si>
  <si>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</si>
  <si>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</si>
  <si>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</si>
  <si>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</si>
  <si>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</si>
  <si>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</si>
  <si>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</si>
  <si>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</si>
  <si>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</si>
  <si>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Toxic Substances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</si>
</sst>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164" fontId="6" fillId="2" borderId="0" xfId="0" quotePrefix="1" applyNumberFormat="1"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
  <sheetViews>
    <sheetView workbookViewId="0">
      <selection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28.25"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855F-911A-4B2A-B07E-6FE415E480DF}">
  <sheetPr>
    <tabColor rgb="FF7030A0"/>
    <pageSetUpPr fitToPage="1"/>
  </sheetPr>
  <dimension ref="A1:S193"/>
  <sheetViews>
    <sheetView tabSelected="1" zoomScale="80" zoomScaleNormal="80" workbookViewId="0">
      <selection activeCell="J10" sqref="J10"/>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92" t="s">
        <v>1630</v>
      </c>
      <c r="B1" s="192"/>
      <c r="C1" s="192"/>
      <c r="D1" s="192"/>
      <c r="E1" s="192"/>
      <c r="F1" s="192"/>
      <c r="G1" s="192"/>
      <c r="H1" s="192"/>
      <c r="I1" s="192"/>
      <c r="J1" s="192"/>
      <c r="K1" s="19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3" t="s">
        <v>21</v>
      </c>
      <c r="G3" s="193"/>
      <c r="H3" s="193"/>
      <c r="I3" s="193"/>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806</v>
      </c>
      <c r="G5" s="191"/>
      <c r="H5" s="191"/>
      <c r="I5" s="191"/>
      <c r="L5" s="12"/>
      <c r="M5" s="12"/>
      <c r="N5" s="12"/>
      <c r="O5" s="12"/>
      <c r="P5" s="12"/>
      <c r="Q5" s="12"/>
    </row>
    <row r="6" spans="1:19" ht="16.5" customHeight="1" x14ac:dyDescent="0.25">
      <c r="A6" s="185" t="s">
        <v>1635</v>
      </c>
      <c r="B6" s="185"/>
      <c r="C6" s="185"/>
      <c r="D6" s="185"/>
      <c r="E6" s="185"/>
      <c r="F6" s="190">
        <v>14</v>
      </c>
      <c r="G6" s="190"/>
      <c r="H6" s="190"/>
      <c r="I6" s="190"/>
      <c r="L6" s="13"/>
      <c r="M6" s="13"/>
      <c r="N6" s="13"/>
      <c r="O6" s="13"/>
      <c r="P6" s="12"/>
      <c r="Q6" s="12"/>
    </row>
    <row r="7" spans="1:19" ht="16.5" customHeight="1" x14ac:dyDescent="0.25">
      <c r="A7" s="185" t="s">
        <v>1</v>
      </c>
      <c r="B7" s="185"/>
      <c r="C7" s="185"/>
      <c r="D7" s="185"/>
      <c r="E7" s="185"/>
      <c r="F7" s="190" t="s">
        <v>121</v>
      </c>
      <c r="G7" s="190"/>
      <c r="H7" s="190"/>
      <c r="I7" s="190"/>
      <c r="K7" s="53"/>
      <c r="L7" s="13"/>
      <c r="M7" s="13"/>
      <c r="N7" s="13"/>
      <c r="O7" s="13"/>
      <c r="P7" s="12"/>
      <c r="Q7" s="12"/>
    </row>
    <row r="8" spans="1:19" ht="16.5" customHeight="1" x14ac:dyDescent="0.25">
      <c r="A8" s="185" t="s">
        <v>1617</v>
      </c>
      <c r="B8" s="185"/>
      <c r="C8" s="185"/>
      <c r="D8" s="185"/>
      <c r="E8" s="185"/>
      <c r="F8" s="190" t="s">
        <v>155</v>
      </c>
      <c r="G8" s="190"/>
      <c r="H8" s="190"/>
      <c r="I8" s="190"/>
      <c r="K8" s="53"/>
      <c r="L8" s="13"/>
      <c r="M8" s="13"/>
      <c r="N8" s="13"/>
      <c r="O8" s="13"/>
      <c r="P8" s="12"/>
      <c r="Q8" s="12"/>
    </row>
    <row r="9" spans="1:19" ht="16.5" customHeight="1" x14ac:dyDescent="0.25">
      <c r="A9" s="185" t="s">
        <v>1615</v>
      </c>
      <c r="B9" s="185"/>
      <c r="C9" s="185"/>
      <c r="D9" s="185"/>
      <c r="E9" s="185"/>
      <c r="F9" s="186" t="str">
        <f>IFERROR(IF(F7="Proprietary","Proprietary Fund",VLOOKUP(F5,qryIndex02a!$A$2:$K$654,4,FALSE)),"Unidentified")</f>
        <v>RESOURCES</v>
      </c>
      <c r="G9" s="186"/>
      <c r="H9" s="186"/>
      <c r="I9" s="186"/>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7" t="s">
        <v>1634</v>
      </c>
      <c r="N14" s="188"/>
      <c r="O14" s="135"/>
      <c r="P14" s="187" t="s">
        <v>1631</v>
      </c>
      <c r="Q14" s="188"/>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79813539.680000007</v>
      </c>
      <c r="M17" s="143">
        <v>79813539.680000007</v>
      </c>
      <c r="P17" s="143">
        <v>79813540</v>
      </c>
      <c r="Q17" s="155"/>
      <c r="S17" s="154">
        <f t="shared" si="0"/>
        <v>0.31999999284744263</v>
      </c>
    </row>
    <row r="18" spans="1:19" ht="16.5" customHeight="1" x14ac:dyDescent="0.25">
      <c r="A18" s="54"/>
      <c r="B18" s="9" t="s">
        <v>169</v>
      </c>
      <c r="C18" s="9"/>
      <c r="D18" s="9"/>
      <c r="E18" s="140"/>
      <c r="F18" s="141"/>
      <c r="G18" s="141"/>
      <c r="H18" s="142"/>
      <c r="I18" s="142"/>
      <c r="J18" s="178">
        <f>P18</f>
        <v>864345</v>
      </c>
      <c r="M18" s="143">
        <f>ROUND((N22+N23-M17),0)</f>
        <v>864345</v>
      </c>
      <c r="P18" s="152">
        <f>IF(SUM($Q$21:$Q$23)&gt;SUM($P$15:$P$17),SUM($Q$21:$Q$23)-SUM($P$15:$P$17),0)</f>
        <v>864345</v>
      </c>
      <c r="Q18" s="155"/>
      <c r="S18" s="154">
        <f t="shared" si="0"/>
        <v>0</v>
      </c>
    </row>
    <row r="19" spans="1:19" ht="16.5" customHeight="1" x14ac:dyDescent="0.25">
      <c r="A19" s="54"/>
      <c r="B19" s="9" t="s">
        <v>170</v>
      </c>
      <c r="C19" s="9"/>
      <c r="D19" s="9"/>
      <c r="E19" s="140"/>
      <c r="F19" s="141"/>
      <c r="G19" s="141"/>
      <c r="H19" s="142"/>
      <c r="I19" s="142"/>
      <c r="J19" s="178">
        <f>IF(SUM($K$21:$K$24)&gt;SUM($J$15:$J$18),SUM($K$21:$K$24)-SUM($J$15:$J$18),0)</f>
        <v>0.35862395167350769</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10381755.038623961</v>
      </c>
      <c r="N22" s="143">
        <v>10381755.038623961</v>
      </c>
      <c r="P22" s="155"/>
      <c r="Q22" s="143">
        <v>10381755</v>
      </c>
      <c r="S22" s="154">
        <f t="shared" ref="S22:S25" si="1">Q22-N22</f>
        <v>-3.8623960688710213E-2</v>
      </c>
    </row>
    <row r="23" spans="1:19" ht="16.5" customHeight="1" x14ac:dyDescent="0.25">
      <c r="A23" s="165" t="s">
        <v>1646</v>
      </c>
      <c r="B23" s="9"/>
      <c r="C23" s="9" t="s">
        <v>174</v>
      </c>
      <c r="D23" s="9"/>
      <c r="E23" s="140"/>
      <c r="F23" s="141"/>
      <c r="G23" s="141"/>
      <c r="H23" s="142"/>
      <c r="I23" s="142"/>
      <c r="J23" s="150"/>
      <c r="K23" s="178">
        <f>N23</f>
        <v>70296130</v>
      </c>
      <c r="N23" s="143">
        <v>70296130</v>
      </c>
      <c r="P23" s="155"/>
      <c r="Q23" s="143">
        <v>70296130</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25">
      <c r="A26" s="54"/>
      <c r="C26" s="20"/>
      <c r="D26" s="20"/>
      <c r="E26" s="20"/>
      <c r="F26" s="127"/>
      <c r="G26" s="127"/>
      <c r="H26" s="22"/>
      <c r="I26" s="22"/>
      <c r="J26" s="107">
        <f>SUM(J15:J25)</f>
        <v>80677885.038623959</v>
      </c>
      <c r="K26" s="107">
        <f>SUM(K15:K25)</f>
        <v>80677885.038623959</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9808114.8100000005</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9808114.8100000005</v>
      </c>
    </row>
    <row r="59" spans="1:16" ht="16.5" customHeight="1" x14ac:dyDescent="0.25">
      <c r="A59" s="54"/>
      <c r="C59" s="16"/>
      <c r="D59" s="16"/>
      <c r="E59" s="16"/>
      <c r="F59" s="17"/>
      <c r="G59" s="17"/>
      <c r="H59" s="18"/>
      <c r="I59" s="18"/>
      <c r="J59" s="107">
        <f>SUM(J55:J58)</f>
        <v>9808114.8100000005</v>
      </c>
      <c r="K59" s="107">
        <f>SUM(K55:K58)</f>
        <v>9808114.8100000005</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9748841.4600000009</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59273.35</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9808114.8100000005</v>
      </c>
    </row>
    <row r="65" spans="1:12" ht="16.5" customHeight="1" x14ac:dyDescent="0.25">
      <c r="A65" s="54"/>
      <c r="C65" s="16"/>
      <c r="D65" s="16"/>
      <c r="E65" s="16"/>
      <c r="F65" s="17"/>
      <c r="G65" s="17"/>
      <c r="H65" s="18"/>
      <c r="I65" s="18"/>
      <c r="J65" s="107">
        <f>SUM(J62:J64)</f>
        <v>9808114.8100000005</v>
      </c>
      <c r="K65" s="107">
        <f>SUM(K62:K64)</f>
        <v>9808114.8100000005</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9748841.4600000009</v>
      </c>
      <c r="K68" s="144"/>
    </row>
    <row r="69" spans="1:12" ht="16.5" customHeight="1" x14ac:dyDescent="0.25">
      <c r="A69" s="54"/>
      <c r="B69" s="9"/>
      <c r="C69" s="9" t="s">
        <v>186</v>
      </c>
      <c r="D69" s="140"/>
      <c r="E69" s="140"/>
      <c r="F69" s="141"/>
      <c r="G69" s="141"/>
      <c r="H69" s="142"/>
      <c r="I69" s="142"/>
      <c r="J69" s="144"/>
      <c r="K69" s="143">
        <v>9748841.4600000009</v>
      </c>
    </row>
    <row r="70" spans="1:12" ht="16.5" customHeight="1" x14ac:dyDescent="0.25">
      <c r="A70" s="54"/>
      <c r="C70" s="16"/>
      <c r="D70" s="16"/>
      <c r="E70" s="16"/>
      <c r="F70" s="17"/>
      <c r="G70" s="17"/>
      <c r="H70" s="18"/>
      <c r="I70" s="18"/>
      <c r="J70" s="107">
        <f>SUM(J68:J69)</f>
        <v>9748841.4600000009</v>
      </c>
      <c r="K70" s="107">
        <f>SUM(K68:K69)</f>
        <v>9748841.4600000009</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9990689.3000000007</v>
      </c>
      <c r="K75" s="144"/>
    </row>
    <row r="76" spans="1:12" ht="16.5" customHeight="1" x14ac:dyDescent="0.25">
      <c r="A76" s="54"/>
      <c r="B76" s="9"/>
      <c r="C76" s="9" t="s">
        <v>194</v>
      </c>
      <c r="D76" s="140"/>
      <c r="E76" s="140"/>
      <c r="F76" s="141"/>
      <c r="G76" s="141"/>
      <c r="H76" s="142"/>
      <c r="I76" s="142"/>
      <c r="J76" s="144"/>
      <c r="K76" s="143">
        <v>9990689.3000000007</v>
      </c>
    </row>
    <row r="77" spans="1:12" ht="16.5" customHeight="1" x14ac:dyDescent="0.2">
      <c r="A77" s="54"/>
      <c r="B77" s="189" t="s">
        <v>1735</v>
      </c>
      <c r="C77" s="189"/>
      <c r="D77" s="189"/>
      <c r="E77" s="189"/>
      <c r="F77" s="189"/>
      <c r="G77" s="189"/>
      <c r="H77" s="189"/>
      <c r="I77" s="189"/>
      <c r="J77" s="107">
        <f>SUM(J75:J76)</f>
        <v>9990689.3000000007</v>
      </c>
      <c r="K77" s="107">
        <f>SUM(K75:K76)</f>
        <v>9990689.3000000007</v>
      </c>
      <c r="L77" s="8" t="str">
        <f>IF(J77=K77,"&lt;- Debits and Credits equal each other.","&lt;- Debits and Credits do not equal each other.")</f>
        <v>&lt;- Debits and Credits equal each other.</v>
      </c>
    </row>
    <row r="78" spans="1:12" ht="16.5" customHeight="1" x14ac:dyDescent="0.2">
      <c r="A78" s="54"/>
      <c r="B78" s="189"/>
      <c r="C78" s="189"/>
      <c r="D78" s="189"/>
      <c r="E78" s="189"/>
      <c r="F78" s="189"/>
      <c r="G78" s="189"/>
      <c r="H78" s="189"/>
      <c r="I78" s="189"/>
      <c r="J78" s="107"/>
      <c r="K78" s="107"/>
      <c r="L78" s="8"/>
    </row>
    <row r="79" spans="1:12" ht="24.6" customHeight="1" x14ac:dyDescent="0.2">
      <c r="A79" s="54"/>
      <c r="B79" s="189"/>
      <c r="C79" s="189"/>
      <c r="D79" s="189"/>
      <c r="E79" s="189"/>
      <c r="F79" s="189"/>
      <c r="G79" s="189"/>
      <c r="H79" s="189"/>
      <c r="I79" s="189"/>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227533.24</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227533.24</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227533.24</v>
      </c>
      <c r="K105" s="108">
        <f>SUM(K96:K104)</f>
        <v>227533.24</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274099.88</v>
      </c>
      <c r="K112" s="25"/>
    </row>
    <row r="113" spans="1:12" ht="16.5" customHeight="1" x14ac:dyDescent="0.2">
      <c r="A113" s="165" t="s">
        <v>1646</v>
      </c>
      <c r="B113" s="9"/>
      <c r="C113" s="9" t="s">
        <v>174</v>
      </c>
      <c r="D113" s="7"/>
      <c r="E113" s="25"/>
      <c r="F113" s="25"/>
      <c r="G113" s="25"/>
      <c r="H113" s="25"/>
      <c r="I113" s="25"/>
      <c r="J113" s="25"/>
      <c r="K113" s="143">
        <v>274099.88</v>
      </c>
    </row>
    <row r="114" spans="1:12" ht="16.5" customHeight="1" x14ac:dyDescent="0.25">
      <c r="A114" s="6"/>
      <c r="B114" s="130" t="s">
        <v>1640</v>
      </c>
      <c r="C114" s="114"/>
      <c r="D114" s="114"/>
      <c r="H114" s="10"/>
      <c r="J114" s="108">
        <f>SUM(J110:J113)</f>
        <v>274099.88</v>
      </c>
      <c r="K114" s="108">
        <f>SUM(K110:K113)</f>
        <v>274099.88</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79860106.320000008</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-20189869.848623961</v>
      </c>
    </row>
    <row r="128" spans="1:12" ht="16.5" customHeight="1" x14ac:dyDescent="0.25">
      <c r="D128" s="140" t="s">
        <v>1657</v>
      </c>
      <c r="H128" s="10"/>
      <c r="K128" s="169">
        <f>-K23-K48+J68+J75+J96-K113</f>
        <v>-50603165.879999995</v>
      </c>
    </row>
    <row r="129" spans="4:11" ht="16.5" customHeight="1" x14ac:dyDescent="0.25">
      <c r="D129" s="140" t="s">
        <v>1658</v>
      </c>
      <c r="H129" s="10"/>
      <c r="K129" s="169">
        <f>-K76</f>
        <v>-9990689.3000000007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65C1E0BB-E7A7-4831-AC1D-C9DC11260A9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75C6F89-0B6A-434F-90FF-A06F7BEFDF97}">
      <formula1>0</formula1>
    </dataValidation>
    <dataValidation operator="lessThan" allowBlank="1" showInputMessage="1" showErrorMessage="1" sqref="A3:A8" xr:uid="{0C657EB9-013C-4235-8420-8869F6E28444}"/>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30550D6-726E-46C6-B296-28555C1E2EB1}">
          <x14:formula1>
            <xm:f>'Drop Down Menus'!$E$1:$E$3</xm:f>
          </x14:formula1>
          <xm:sqref>F8</xm:sqref>
        </x14:dataValidation>
        <x14:dataValidation type="list" allowBlank="1" showInputMessage="1" showErrorMessage="1" xr:uid="{23EE2BBF-4462-4B1C-B056-976351C9D1AF}">
          <x14:formula1>
            <xm:f>'Drop Down Menus'!$B$1:$B$2</xm:f>
          </x14:formula1>
          <xm:sqref>F7</xm:sqref>
        </x14:dataValidation>
        <x14:dataValidation type="list" allowBlank="1" showInputMessage="1" showErrorMessage="1" xr:uid="{4FDA39C7-4481-42B7-91D1-7D263217F8A0}">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pageSetUpPr fitToPage="1"/>
  </sheetPr>
  <dimension ref="A1:S193"/>
  <sheetViews>
    <sheetView topLeftCell="A91" zoomScale="80" zoomScaleNormal="80" workbookViewId="0">
      <selection activeCell="M126" sqref="M126"/>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92" t="s">
        <v>1630</v>
      </c>
      <c r="B1" s="192"/>
      <c r="C1" s="192"/>
      <c r="D1" s="192"/>
      <c r="E1" s="192"/>
      <c r="F1" s="192"/>
      <c r="G1" s="192"/>
      <c r="H1" s="192"/>
      <c r="I1" s="192"/>
      <c r="J1" s="192"/>
      <c r="K1" s="19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3" t="s">
        <v>21</v>
      </c>
      <c r="G3" s="193"/>
      <c r="H3" s="193"/>
      <c r="I3" s="193"/>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806</v>
      </c>
      <c r="G5" s="191"/>
      <c r="H5" s="191"/>
      <c r="I5" s="191"/>
      <c r="L5" s="12"/>
      <c r="M5" s="12"/>
      <c r="N5" s="12"/>
      <c r="O5" s="12"/>
      <c r="P5" s="12"/>
      <c r="Q5" s="12"/>
    </row>
    <row r="6" spans="1:19" ht="16.5" customHeight="1" x14ac:dyDescent="0.25">
      <c r="A6" s="185" t="s">
        <v>1635</v>
      </c>
      <c r="B6" s="185"/>
      <c r="C6" s="185"/>
      <c r="D6" s="185"/>
      <c r="E6" s="185"/>
      <c r="F6" s="190">
        <v>3084</v>
      </c>
      <c r="G6" s="190"/>
      <c r="H6" s="190"/>
      <c r="I6" s="190"/>
      <c r="L6" s="13"/>
      <c r="M6" s="13"/>
      <c r="N6" s="13"/>
      <c r="O6" s="13"/>
      <c r="P6" s="12"/>
      <c r="Q6" s="12"/>
    </row>
    <row r="7" spans="1:19" ht="16.5" customHeight="1" x14ac:dyDescent="0.25">
      <c r="A7" s="185" t="s">
        <v>1</v>
      </c>
      <c r="B7" s="185"/>
      <c r="C7" s="185"/>
      <c r="D7" s="185"/>
      <c r="E7" s="185"/>
      <c r="F7" s="190" t="s">
        <v>121</v>
      </c>
      <c r="G7" s="190"/>
      <c r="H7" s="190"/>
      <c r="I7" s="190"/>
      <c r="K7" s="53"/>
      <c r="L7" s="13"/>
      <c r="M7" s="13"/>
      <c r="N7" s="13"/>
      <c r="O7" s="13"/>
      <c r="P7" s="12"/>
      <c r="Q7" s="12"/>
    </row>
    <row r="8" spans="1:19" ht="16.5" customHeight="1" x14ac:dyDescent="0.25">
      <c r="A8" s="185" t="s">
        <v>1617</v>
      </c>
      <c r="B8" s="185"/>
      <c r="C8" s="185"/>
      <c r="D8" s="185"/>
      <c r="E8" s="185"/>
      <c r="F8" s="190" t="s">
        <v>155</v>
      </c>
      <c r="G8" s="190"/>
      <c r="H8" s="190"/>
      <c r="I8" s="190"/>
      <c r="K8" s="53"/>
      <c r="L8" s="13"/>
      <c r="M8" s="13"/>
      <c r="N8" s="13"/>
      <c r="O8" s="13"/>
      <c r="P8" s="12"/>
      <c r="Q8" s="12"/>
    </row>
    <row r="9" spans="1:19" ht="16.5" customHeight="1" x14ac:dyDescent="0.25">
      <c r="A9" s="185" t="s">
        <v>1615</v>
      </c>
      <c r="B9" s="185"/>
      <c r="C9" s="185"/>
      <c r="D9" s="185"/>
      <c r="E9" s="185"/>
      <c r="F9" s="186" t="str">
        <f>IFERROR(IF(F7="Proprietary","Proprietary Fund",VLOOKUP(F5,qryIndex02a!$A$2:$K$654,4,FALSE)),"Unidentified")</f>
        <v>RESOURCES</v>
      </c>
      <c r="G9" s="186"/>
      <c r="H9" s="186"/>
      <c r="I9" s="186"/>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7" t="s">
        <v>1634</v>
      </c>
      <c r="N14" s="188"/>
      <c r="O14" s="135"/>
      <c r="P14" s="187" t="s">
        <v>1631</v>
      </c>
      <c r="Q14" s="188"/>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693173.0266856763</v>
      </c>
      <c r="M17" s="143">
        <v>693173.0266856763</v>
      </c>
      <c r="P17" s="143">
        <v>693173</v>
      </c>
      <c r="Q17" s="155"/>
      <c r="S17" s="154">
        <f t="shared" si="0"/>
        <v>-2.6685676304623485E-2</v>
      </c>
    </row>
    <row r="18" spans="1:19" ht="16.5" customHeight="1" x14ac:dyDescent="0.25">
      <c r="A18" s="54"/>
      <c r="B18" s="9" t="s">
        <v>169</v>
      </c>
      <c r="C18" s="9"/>
      <c r="D18" s="9"/>
      <c r="E18" s="140"/>
      <c r="F18" s="141"/>
      <c r="G18" s="141"/>
      <c r="H18" s="142"/>
      <c r="I18" s="142"/>
      <c r="J18" s="178">
        <f>P18</f>
        <v>5948</v>
      </c>
      <c r="M18" s="143">
        <f>ROUND(((N22+N23)-M17),0)</f>
        <v>5949</v>
      </c>
      <c r="P18" s="152">
        <f>IF(SUM($Q$21:$Q$23)&gt;SUM($P$15:$P$17),SUM($Q$21:$Q$23)-SUM($P$15:$P$17),0)</f>
        <v>5948</v>
      </c>
      <c r="Q18" s="155"/>
      <c r="S18" s="154">
        <f t="shared" si="0"/>
        <v>-1</v>
      </c>
    </row>
    <row r="19" spans="1:19" ht="16.5" customHeight="1" x14ac:dyDescent="0.25">
      <c r="A19" s="54"/>
      <c r="B19" s="9" t="s">
        <v>170</v>
      </c>
      <c r="C19" s="9"/>
      <c r="D19" s="9"/>
      <c r="E19" s="140"/>
      <c r="F19" s="141"/>
      <c r="G19" s="141"/>
      <c r="H19" s="142"/>
      <c r="I19" s="142"/>
      <c r="J19" s="178">
        <f>IF(SUM($K$21:$K$24)&gt;SUM($J$15:$J$18),SUM($K$21:$K$24)-SUM($J$15:$J$18),0)</f>
        <v>0.94088006776291877</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198049.43619590744</v>
      </c>
      <c r="N22" s="143">
        <v>198049.43619590744</v>
      </c>
      <c r="P22" s="155"/>
      <c r="Q22" s="143">
        <v>198049</v>
      </c>
      <c r="S22" s="154">
        <f t="shared" ref="S22:S25" si="1">Q22-N22</f>
        <v>-0.43619590744492598</v>
      </c>
    </row>
    <row r="23" spans="1:19" ht="16.5" customHeight="1" x14ac:dyDescent="0.25">
      <c r="A23" s="165" t="s">
        <v>1646</v>
      </c>
      <c r="B23" s="9"/>
      <c r="C23" s="9" t="s">
        <v>174</v>
      </c>
      <c r="D23" s="9"/>
      <c r="E23" s="140"/>
      <c r="F23" s="141"/>
      <c r="G23" s="141"/>
      <c r="H23" s="142"/>
      <c r="I23" s="142"/>
      <c r="J23" s="150"/>
      <c r="K23" s="178">
        <f>N23</f>
        <v>501072.53136983659</v>
      </c>
      <c r="N23" s="143">
        <v>501072.53136983659</v>
      </c>
      <c r="P23" s="155"/>
      <c r="Q23" s="143">
        <v>501072</v>
      </c>
      <c r="S23" s="154">
        <f t="shared" si="1"/>
        <v>-0.53136983659351245</v>
      </c>
    </row>
    <row r="24" spans="1:19" ht="16.5" customHeight="1" x14ac:dyDescent="0.25">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699121.96756574407</v>
      </c>
      <c r="K26" s="107">
        <f>SUM(K15:K25)</f>
        <v>699121.96756574407</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197027.22000000003</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197027.22000000003</v>
      </c>
    </row>
    <row r="59" spans="1:16" ht="16.5" customHeight="1" x14ac:dyDescent="0.25">
      <c r="A59" s="54"/>
      <c r="C59" s="16"/>
      <c r="D59" s="16"/>
      <c r="E59" s="16"/>
      <c r="F59" s="17"/>
      <c r="G59" s="17"/>
      <c r="H59" s="18"/>
      <c r="I59" s="18"/>
      <c r="J59" s="107">
        <f>SUM(J55:J58)</f>
        <v>197027.22000000003</v>
      </c>
      <c r="K59" s="107">
        <f>SUM(K55:K58)</f>
        <v>197027.22000000003</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196944.93650566725</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82.283494332777437</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197027.22000000003</v>
      </c>
    </row>
    <row r="65" spans="1:12" ht="16.5" customHeight="1" x14ac:dyDescent="0.25">
      <c r="A65" s="54"/>
      <c r="C65" s="16"/>
      <c r="D65" s="16"/>
      <c r="E65" s="16"/>
      <c r="F65" s="17"/>
      <c r="G65" s="17"/>
      <c r="H65" s="18"/>
      <c r="I65" s="18"/>
      <c r="J65" s="107">
        <f>SUM(J62:J64)</f>
        <v>197027.22000000003</v>
      </c>
      <c r="K65" s="107">
        <f>SUM(K62:K64)</f>
        <v>197027.22000000003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196944.93650566725</v>
      </c>
      <c r="K68" s="144"/>
    </row>
    <row r="69" spans="1:12" ht="16.5" customHeight="1" x14ac:dyDescent="0.25">
      <c r="A69" s="54"/>
      <c r="B69" s="9"/>
      <c r="C69" s="9" t="s">
        <v>186</v>
      </c>
      <c r="D69" s="140"/>
      <c r="E69" s="140"/>
      <c r="F69" s="141"/>
      <c r="G69" s="141"/>
      <c r="H69" s="142"/>
      <c r="I69" s="142"/>
      <c r="J69" s="144"/>
      <c r="K69" s="143">
        <v>196944.93650566725</v>
      </c>
    </row>
    <row r="70" spans="1:12" ht="16.5" customHeight="1" x14ac:dyDescent="0.25">
      <c r="A70" s="54"/>
      <c r="C70" s="16"/>
      <c r="D70" s="16"/>
      <c r="E70" s="16"/>
      <c r="F70" s="17"/>
      <c r="G70" s="17"/>
      <c r="H70" s="18"/>
      <c r="I70" s="18"/>
      <c r="J70" s="107">
        <f>SUM(J68:J69)</f>
        <v>196944.93650566725</v>
      </c>
      <c r="K70" s="107">
        <f>SUM(K68:K69)</f>
        <v>196944.93650566725</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201910.4776121584</v>
      </c>
      <c r="K75" s="144"/>
    </row>
    <row r="76" spans="1:12" ht="16.5" customHeight="1" x14ac:dyDescent="0.25">
      <c r="A76" s="54"/>
      <c r="B76" s="9"/>
      <c r="C76" s="9" t="s">
        <v>194</v>
      </c>
      <c r="D76" s="140"/>
      <c r="E76" s="140"/>
      <c r="F76" s="141"/>
      <c r="G76" s="141"/>
      <c r="H76" s="142"/>
      <c r="I76" s="142"/>
      <c r="J76" s="144"/>
      <c r="K76" s="143">
        <v>201910.4776121584</v>
      </c>
    </row>
    <row r="77" spans="1:12" ht="16.5" customHeight="1" x14ac:dyDescent="0.2">
      <c r="A77" s="54"/>
      <c r="B77" s="189" t="s">
        <v>1735</v>
      </c>
      <c r="C77" s="189"/>
      <c r="D77" s="189"/>
      <c r="E77" s="189"/>
      <c r="F77" s="189"/>
      <c r="G77" s="189"/>
      <c r="H77" s="189"/>
      <c r="I77" s="189"/>
      <c r="J77" s="107">
        <f>SUM(J75:J76)</f>
        <v>201910.4776121584</v>
      </c>
      <c r="K77" s="107">
        <f>SUM(K75:K76)</f>
        <v>201910.4776121584</v>
      </c>
      <c r="L77" s="8" t="str">
        <f>IF(J77=K77,"&lt;- Debits and Credits equal each other.","&lt;- Debits and Credits do not equal each other.")</f>
        <v>&lt;- Debits and Credits equal each other.</v>
      </c>
    </row>
    <row r="78" spans="1:12" ht="16.5" customHeight="1" x14ac:dyDescent="0.2">
      <c r="A78" s="54"/>
      <c r="B78" s="189"/>
      <c r="C78" s="189"/>
      <c r="D78" s="189"/>
      <c r="E78" s="189"/>
      <c r="F78" s="189"/>
      <c r="G78" s="189"/>
      <c r="H78" s="189"/>
      <c r="I78" s="189"/>
      <c r="J78" s="107"/>
      <c r="K78" s="107"/>
      <c r="L78" s="8"/>
    </row>
    <row r="79" spans="1:12" ht="24.6" customHeight="1" x14ac:dyDescent="0.2">
      <c r="A79" s="54"/>
      <c r="B79" s="189"/>
      <c r="C79" s="189"/>
      <c r="D79" s="189"/>
      <c r="E79" s="189"/>
      <c r="F79" s="189"/>
      <c r="G79" s="189"/>
      <c r="H79" s="189"/>
      <c r="I79" s="189"/>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693173.0266856763</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-395076.6561959075</v>
      </c>
    </row>
    <row r="128" spans="1:12" ht="16.5" customHeight="1" x14ac:dyDescent="0.25">
      <c r="D128" s="140" t="s">
        <v>1657</v>
      </c>
      <c r="H128" s="10"/>
      <c r="K128" s="169">
        <f>-K23-K48+J68+J75+J96-K113</f>
        <v>-102217.11725201097</v>
      </c>
    </row>
    <row r="129" spans="4:11" ht="16.5" customHeight="1" x14ac:dyDescent="0.25">
      <c r="D129" s="140" t="s">
        <v>1658</v>
      </c>
      <c r="H129" s="10"/>
      <c r="K129" s="169">
        <f>-K76</f>
        <v>-201910.4776121584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8DCA9-FFF3-4B82-BB3B-9DC221ECE013}">
  <sheetPr>
    <tabColor rgb="FFFFFF00"/>
    <pageSetUpPr fitToPage="1"/>
  </sheetPr>
  <dimension ref="A1:S193"/>
  <sheetViews>
    <sheetView topLeftCell="A78" zoomScale="80" zoomScaleNormal="80" workbookViewId="0">
      <selection activeCell="K64" sqref="K6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92" t="s">
        <v>1630</v>
      </c>
      <c r="B1" s="192"/>
      <c r="C1" s="192"/>
      <c r="D1" s="192"/>
      <c r="E1" s="192"/>
      <c r="F1" s="192"/>
      <c r="G1" s="192"/>
      <c r="H1" s="192"/>
      <c r="I1" s="192"/>
      <c r="J1" s="192"/>
      <c r="K1" s="19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3" t="s">
        <v>21</v>
      </c>
      <c r="G3" s="193"/>
      <c r="H3" s="193"/>
      <c r="I3" s="193"/>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806</v>
      </c>
      <c r="G5" s="191"/>
      <c r="H5" s="191"/>
      <c r="I5" s="191"/>
      <c r="L5" s="12"/>
      <c r="M5" s="12"/>
      <c r="N5" s="12"/>
      <c r="O5" s="12"/>
      <c r="P5" s="12"/>
      <c r="Q5" s="12"/>
    </row>
    <row r="6" spans="1:19" ht="16.5" customHeight="1" x14ac:dyDescent="0.25">
      <c r="A6" s="185" t="s">
        <v>1635</v>
      </c>
      <c r="B6" s="185"/>
      <c r="C6" s="185"/>
      <c r="D6" s="185"/>
      <c r="E6" s="185"/>
      <c r="F6" s="190">
        <v>557</v>
      </c>
      <c r="G6" s="190"/>
      <c r="H6" s="190"/>
      <c r="I6" s="190"/>
      <c r="L6" s="13"/>
      <c r="M6" s="13"/>
      <c r="N6" s="13"/>
      <c r="O6" s="13"/>
      <c r="P6" s="12"/>
      <c r="Q6" s="12"/>
    </row>
    <row r="7" spans="1:19" ht="16.5" customHeight="1" x14ac:dyDescent="0.25">
      <c r="A7" s="185" t="s">
        <v>1</v>
      </c>
      <c r="B7" s="185"/>
      <c r="C7" s="185"/>
      <c r="D7" s="185"/>
      <c r="E7" s="185"/>
      <c r="F7" s="190" t="s">
        <v>121</v>
      </c>
      <c r="G7" s="190"/>
      <c r="H7" s="190"/>
      <c r="I7" s="190"/>
      <c r="K7" s="53"/>
      <c r="L7" s="13"/>
      <c r="M7" s="13"/>
      <c r="N7" s="13"/>
      <c r="O7" s="13"/>
      <c r="P7" s="12"/>
      <c r="Q7" s="12"/>
    </row>
    <row r="8" spans="1:19" ht="16.5" customHeight="1" x14ac:dyDescent="0.25">
      <c r="A8" s="185" t="s">
        <v>1617</v>
      </c>
      <c r="B8" s="185"/>
      <c r="C8" s="185"/>
      <c r="D8" s="185"/>
      <c r="E8" s="185"/>
      <c r="F8" s="190" t="s">
        <v>155</v>
      </c>
      <c r="G8" s="190"/>
      <c r="H8" s="190"/>
      <c r="I8" s="190"/>
      <c r="K8" s="53"/>
      <c r="L8" s="13"/>
      <c r="M8" s="13"/>
      <c r="N8" s="13"/>
      <c r="O8" s="13"/>
      <c r="P8" s="12"/>
      <c r="Q8" s="12"/>
    </row>
    <row r="9" spans="1:19" ht="16.5" customHeight="1" x14ac:dyDescent="0.25">
      <c r="A9" s="185" t="s">
        <v>1615</v>
      </c>
      <c r="B9" s="185"/>
      <c r="C9" s="185"/>
      <c r="D9" s="185"/>
      <c r="E9" s="185"/>
      <c r="F9" s="186" t="str">
        <f>IFERROR(IF(F7="Proprietary","Proprietary Fund",VLOOKUP(F5,qryIndex02a!$A$2:$K$654,4,FALSE)),"Unidentified")</f>
        <v>RESOURCES</v>
      </c>
      <c r="G9" s="186"/>
      <c r="H9" s="186"/>
      <c r="I9" s="186"/>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7" t="s">
        <v>1634</v>
      </c>
      <c r="N14" s="188"/>
      <c r="O14" s="135"/>
      <c r="P14" s="187" t="s">
        <v>1631</v>
      </c>
      <c r="Q14" s="188"/>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0</v>
      </c>
      <c r="M17" s="143"/>
      <c r="P17" s="143"/>
      <c r="Q17" s="155"/>
      <c r="S17" s="154">
        <f t="shared" si="0"/>
        <v>0</v>
      </c>
    </row>
    <row r="18" spans="1:19" ht="16.5" customHeight="1" x14ac:dyDescent="0.25">
      <c r="A18" s="54"/>
      <c r="B18" s="9" t="s">
        <v>169</v>
      </c>
      <c r="C18" s="9"/>
      <c r="D18" s="9"/>
      <c r="E18" s="140"/>
      <c r="F18" s="141"/>
      <c r="G18" s="141"/>
      <c r="H18" s="142"/>
      <c r="I18" s="142"/>
      <c r="J18" s="178">
        <f>P18</f>
        <v>0</v>
      </c>
      <c r="M18" s="143"/>
      <c r="P18" s="152">
        <f>IF(SUM($Q$21:$Q$23)&gt;SUM($P$15:$P$17),SUM($Q$21:$Q$23)-SUM($P$15:$P$17),0)</f>
        <v>0</v>
      </c>
      <c r="Q18" s="155"/>
      <c r="S18" s="154">
        <f t="shared" si="0"/>
        <v>0</v>
      </c>
    </row>
    <row r="19" spans="1:19" ht="16.5" customHeight="1" x14ac:dyDescent="0.25">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0</v>
      </c>
      <c r="N22" s="143"/>
      <c r="P22" s="155"/>
      <c r="Q22" s="143"/>
      <c r="S22" s="154">
        <f t="shared" ref="S22:S25" si="1">Q22-N22</f>
        <v>0</v>
      </c>
    </row>
    <row r="23" spans="1:19" ht="16.5" customHeight="1" x14ac:dyDescent="0.25">
      <c r="A23" s="165" t="s">
        <v>1646</v>
      </c>
      <c r="B23" s="9"/>
      <c r="C23" s="9" t="s">
        <v>174</v>
      </c>
      <c r="D23" s="9"/>
      <c r="E23" s="140"/>
      <c r="F23" s="141"/>
      <c r="G23" s="141"/>
      <c r="H23" s="142"/>
      <c r="I23" s="142"/>
      <c r="J23" s="150"/>
      <c r="K23" s="178">
        <f>N23</f>
        <v>0</v>
      </c>
      <c r="N23" s="143"/>
      <c r="P23" s="155"/>
      <c r="Q23" s="143"/>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0</v>
      </c>
      <c r="K26" s="107">
        <f>SUM(K15:K25)</f>
        <v>0</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1110317.0228513815</v>
      </c>
      <c r="K33" s="144"/>
    </row>
    <row r="34" spans="1:12" ht="16.5" customHeight="1" x14ac:dyDescent="0.25">
      <c r="A34" s="54"/>
      <c r="B34" s="9"/>
      <c r="C34" s="9" t="s">
        <v>1748</v>
      </c>
      <c r="D34" s="140"/>
      <c r="E34" s="140"/>
      <c r="F34" s="141"/>
      <c r="G34" s="141"/>
      <c r="H34" s="142"/>
      <c r="I34" s="142"/>
      <c r="J34" s="144"/>
      <c r="K34" s="143">
        <v>1110317.0228513815</v>
      </c>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1110317.0228513815</v>
      </c>
      <c r="K36" s="107">
        <f>SUM(K33:K35)</f>
        <v>1110317.0228513815</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1110317.0228513815</v>
      </c>
      <c r="K41" s="144"/>
    </row>
    <row r="42" spans="1:12" ht="16.5" customHeight="1" x14ac:dyDescent="0.25">
      <c r="A42" s="54"/>
      <c r="B42" s="9"/>
      <c r="C42" s="9" t="s">
        <v>181</v>
      </c>
      <c r="D42" s="140"/>
      <c r="E42" s="140"/>
      <c r="F42" s="141"/>
      <c r="G42" s="141"/>
      <c r="H42" s="142"/>
      <c r="I42" s="142"/>
      <c r="J42" s="144"/>
      <c r="K42" s="143">
        <v>1110317.0228513815</v>
      </c>
    </row>
    <row r="43" spans="1:12" ht="16.5" customHeight="1" x14ac:dyDescent="0.25">
      <c r="A43" s="54"/>
      <c r="B43" s="130" t="s">
        <v>1640</v>
      </c>
      <c r="C43" s="16"/>
      <c r="D43" s="16"/>
      <c r="E43" s="16"/>
      <c r="F43" s="17"/>
      <c r="G43" s="17"/>
      <c r="H43" s="18"/>
      <c r="I43" s="18"/>
      <c r="J43" s="107">
        <f>SUM(J39:J42)</f>
        <v>1110317.0228513815</v>
      </c>
      <c r="K43" s="107">
        <f>SUM(K39:K42)</f>
        <v>1110317.0228513815</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1110317.0228513815</v>
      </c>
      <c r="K47" s="144"/>
    </row>
    <row r="48" spans="1:12" ht="16.5" customHeight="1" x14ac:dyDescent="0.25">
      <c r="A48" s="165" t="s">
        <v>1646</v>
      </c>
      <c r="B48" s="9"/>
      <c r="C48" s="9" t="s">
        <v>174</v>
      </c>
      <c r="D48" s="140"/>
      <c r="E48" s="140"/>
      <c r="F48" s="141"/>
      <c r="G48" s="141"/>
      <c r="H48" s="142"/>
      <c r="I48" s="142"/>
      <c r="J48" s="144"/>
      <c r="K48" s="143">
        <v>1110317.0228513815</v>
      </c>
    </row>
    <row r="49" spans="1:16" ht="16.5" customHeight="1" x14ac:dyDescent="0.25">
      <c r="A49" s="54"/>
      <c r="C49" s="16"/>
      <c r="D49" s="16"/>
      <c r="E49" s="16"/>
      <c r="F49" s="17"/>
      <c r="G49" s="17"/>
      <c r="H49" s="18"/>
      <c r="I49" s="18"/>
      <c r="J49" s="107">
        <f>SUM(J47:J48)</f>
        <v>1110317.0228513815</v>
      </c>
      <c r="K49" s="107">
        <f>SUM(K47:K48)</f>
        <v>1110317.0228513815</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10803</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10803</v>
      </c>
    </row>
    <row r="59" spans="1:16" ht="16.5" customHeight="1" x14ac:dyDescent="0.25">
      <c r="A59" s="54"/>
      <c r="C59" s="16"/>
      <c r="D59" s="16"/>
      <c r="E59" s="16"/>
      <c r="F59" s="17"/>
      <c r="G59" s="17"/>
      <c r="H59" s="18"/>
      <c r="I59" s="18"/>
      <c r="J59" s="107">
        <f>SUM(J55:J58)</f>
        <v>10803</v>
      </c>
      <c r="K59" s="107">
        <f>SUM(K55:K58)</f>
        <v>10803</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9970.2622328614634</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832.73776713853601</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10803</v>
      </c>
    </row>
    <row r="65" spans="1:12" ht="16.5" customHeight="1" x14ac:dyDescent="0.25">
      <c r="A65" s="54"/>
      <c r="C65" s="16"/>
      <c r="D65" s="16"/>
      <c r="E65" s="16"/>
      <c r="F65" s="17"/>
      <c r="G65" s="17"/>
      <c r="H65" s="18"/>
      <c r="I65" s="18"/>
      <c r="J65" s="107">
        <f>SUM(J62:J64)</f>
        <v>10803</v>
      </c>
      <c r="K65" s="107">
        <f>SUM(K62:K64)</f>
        <v>10803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9970.2622328614634</v>
      </c>
      <c r="K68" s="144"/>
    </row>
    <row r="69" spans="1:12" ht="16.5" customHeight="1" x14ac:dyDescent="0.25">
      <c r="A69" s="54"/>
      <c r="B69" s="9"/>
      <c r="C69" s="9" t="s">
        <v>186</v>
      </c>
      <c r="D69" s="140"/>
      <c r="E69" s="140"/>
      <c r="F69" s="141"/>
      <c r="G69" s="141"/>
      <c r="H69" s="142"/>
      <c r="I69" s="142"/>
      <c r="J69" s="144"/>
      <c r="K69" s="143">
        <v>9970.2622328614634</v>
      </c>
    </row>
    <row r="70" spans="1:12" ht="16.5" customHeight="1" x14ac:dyDescent="0.25">
      <c r="A70" s="54"/>
      <c r="C70" s="16"/>
      <c r="D70" s="16"/>
      <c r="E70" s="16"/>
      <c r="F70" s="17"/>
      <c r="G70" s="17"/>
      <c r="H70" s="18"/>
      <c r="I70" s="18"/>
      <c r="J70" s="107">
        <f>SUM(J68:J69)</f>
        <v>9970.2622328614634</v>
      </c>
      <c r="K70" s="107">
        <f>SUM(K68:K69)</f>
        <v>9970.2622328614634</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120552.01411239692</v>
      </c>
      <c r="K75" s="144"/>
    </row>
    <row r="76" spans="1:12" ht="16.5" customHeight="1" x14ac:dyDescent="0.25">
      <c r="A76" s="54"/>
      <c r="B76" s="9"/>
      <c r="C76" s="9" t="s">
        <v>194</v>
      </c>
      <c r="D76" s="140"/>
      <c r="E76" s="140"/>
      <c r="F76" s="141"/>
      <c r="G76" s="141"/>
      <c r="H76" s="142"/>
      <c r="I76" s="142"/>
      <c r="J76" s="144"/>
      <c r="K76" s="143">
        <v>120552.01411239692</v>
      </c>
    </row>
    <row r="77" spans="1:12" ht="16.5" customHeight="1" x14ac:dyDescent="0.2">
      <c r="A77" s="54"/>
      <c r="B77" s="189" t="s">
        <v>1735</v>
      </c>
      <c r="C77" s="189"/>
      <c r="D77" s="189"/>
      <c r="E77" s="189"/>
      <c r="F77" s="189"/>
      <c r="G77" s="189"/>
      <c r="H77" s="189"/>
      <c r="I77" s="189"/>
      <c r="J77" s="107">
        <f>SUM(J75:J76)</f>
        <v>120552.01411239692</v>
      </c>
      <c r="K77" s="107">
        <f>SUM(K75:K76)</f>
        <v>120552.01411239692</v>
      </c>
      <c r="L77" s="8" t="str">
        <f>IF(J77=K77,"&lt;- Debits and Credits equal each other.","&lt;- Debits and Credits do not equal each other.")</f>
        <v>&lt;- Debits and Credits equal each other.</v>
      </c>
    </row>
    <row r="78" spans="1:12" ht="16.5" customHeight="1" x14ac:dyDescent="0.2">
      <c r="A78" s="54"/>
      <c r="B78" s="189"/>
      <c r="C78" s="189"/>
      <c r="D78" s="189"/>
      <c r="E78" s="189"/>
      <c r="F78" s="189"/>
      <c r="G78" s="189"/>
      <c r="H78" s="189"/>
      <c r="I78" s="189"/>
      <c r="J78" s="107"/>
      <c r="K78" s="107"/>
      <c r="L78" s="8"/>
    </row>
    <row r="79" spans="1:12" ht="24.6" customHeight="1" x14ac:dyDescent="0.2">
      <c r="A79" s="54"/>
      <c r="B79" s="189"/>
      <c r="C79" s="189"/>
      <c r="D79" s="189"/>
      <c r="E79" s="189"/>
      <c r="F79" s="189"/>
      <c r="G79" s="189"/>
      <c r="H79" s="189"/>
      <c r="I79" s="189"/>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1110317.0228513815</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-10803</v>
      </c>
    </row>
    <row r="128" spans="1:12" ht="16.5" customHeight="1" x14ac:dyDescent="0.25">
      <c r="D128" s="140" t="s">
        <v>1657</v>
      </c>
      <c r="H128" s="10"/>
      <c r="K128" s="169">
        <f>-K23-K48+J68+J75+J96-K113</f>
        <v>-979794.74650612311</v>
      </c>
    </row>
    <row r="129" spans="4:11" ht="16.5" customHeight="1" x14ac:dyDescent="0.25">
      <c r="D129" s="140" t="s">
        <v>1658</v>
      </c>
      <c r="H129" s="10"/>
      <c r="K129" s="169">
        <f>-K76</f>
        <v>-120552.01411239692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D79B9511-7B77-4DC1-B773-3115FECBA0A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161A5C0-B850-494C-B748-BC0A67DA8A29}">
      <formula1>0</formula1>
    </dataValidation>
    <dataValidation operator="lessThan" allowBlank="1" showInputMessage="1" showErrorMessage="1" sqref="A3:A8" xr:uid="{84EC7FEC-9DE8-4C41-A8B5-4594B876E67B}"/>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9D0E665-BE59-429C-804F-8D81A678AD88}">
          <x14:formula1>
            <xm:f>'Drop Down Menus'!$E$1:$E$3</xm:f>
          </x14:formula1>
          <xm:sqref>F8</xm:sqref>
        </x14:dataValidation>
        <x14:dataValidation type="list" allowBlank="1" showInputMessage="1" showErrorMessage="1" xr:uid="{0D3B45E6-5BD5-4D9C-9EC5-4B146B473C3D}">
          <x14:formula1>
            <xm:f>'Drop Down Menus'!$B$1:$B$2</xm:f>
          </x14:formula1>
          <xm:sqref>F7</xm:sqref>
        </x14:dataValidation>
        <x14:dataValidation type="list" allowBlank="1" showInputMessage="1" showErrorMessage="1" xr:uid="{47ED8E42-1C6F-4ECF-BE24-5E1E05B743D5}">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80" zoomScaleNormal="80" workbookViewId="0">
      <selection activeCell="B14" sqref="B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150000000000006" customHeight="1" x14ac:dyDescent="0.25">
      <c r="A2" s="203" t="s">
        <v>138</v>
      </c>
      <c r="B2" s="203"/>
      <c r="C2" s="203"/>
      <c r="D2" s="203"/>
      <c r="E2" s="203"/>
      <c r="F2" s="203"/>
      <c r="G2" s="3"/>
      <c r="H2" s="3"/>
      <c r="I2" s="3"/>
      <c r="J2" s="3"/>
      <c r="K2" s="3"/>
      <c r="L2" s="3"/>
      <c r="M2" s="3"/>
    </row>
    <row r="3" spans="1:13" ht="31.9" customHeight="1" x14ac:dyDescent="0.25">
      <c r="A3" s="208" t="s">
        <v>195</v>
      </c>
      <c r="B3" s="208"/>
      <c r="C3" s="208"/>
      <c r="D3" s="24"/>
      <c r="E3" s="3"/>
      <c r="F3" s="3"/>
      <c r="G3" s="3"/>
      <c r="H3" s="3"/>
      <c r="I3" s="3"/>
      <c r="J3" s="3"/>
      <c r="K3" s="3"/>
      <c r="L3" s="3"/>
      <c r="M3" s="3"/>
    </row>
    <row r="4" spans="1:13" ht="31.15" customHeight="1" x14ac:dyDescent="0.25">
      <c r="A4" s="209" t="s">
        <v>5</v>
      </c>
      <c r="B4" s="209"/>
      <c r="C4" s="209"/>
      <c r="D4" s="24"/>
      <c r="E4" s="3"/>
      <c r="F4" s="3"/>
      <c r="G4" s="3"/>
      <c r="H4" s="3"/>
      <c r="I4" s="3"/>
      <c r="J4" s="3"/>
      <c r="K4" s="3"/>
      <c r="L4" s="3"/>
      <c r="M4" s="3"/>
    </row>
    <row r="5" spans="1:13" ht="31.1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3960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v>10313151.790000001</v>
      </c>
      <c r="C13" s="55">
        <v>59888.069999999992</v>
      </c>
      <c r="D13" s="197" t="s">
        <v>4</v>
      </c>
      <c r="E13" s="198"/>
      <c r="F13" s="198"/>
      <c r="G13" s="29"/>
      <c r="H13" s="29"/>
      <c r="I13" s="29"/>
      <c r="J13" s="29"/>
      <c r="K13" s="29"/>
      <c r="L13" s="29"/>
      <c r="M13" s="29"/>
    </row>
    <row r="14" spans="1:13" x14ac:dyDescent="0.2">
      <c r="A14" s="51" t="str">
        <f>LEFT(A13,4)+1&amp;"–"&amp;RIGHT(A13,4)+1</f>
        <v>2024–2025</v>
      </c>
      <c r="B14" s="55">
        <v>10490945.540000001</v>
      </c>
      <c r="C14" s="55">
        <v>49642.439999999995</v>
      </c>
      <c r="D14" s="197"/>
      <c r="E14" s="198"/>
      <c r="F14" s="198"/>
    </row>
    <row r="15" spans="1:13" ht="15.75" x14ac:dyDescent="0.2">
      <c r="A15" s="51" t="str">
        <f>LEFT(A14,4)+1&amp;"–"&amp;RIGHT(A14,4)+1</f>
        <v>2025–2026</v>
      </c>
      <c r="B15" s="55">
        <v>10676670.640000002</v>
      </c>
      <c r="C15" s="55">
        <v>39133.800000000003</v>
      </c>
      <c r="D15" s="194" t="s">
        <v>125</v>
      </c>
      <c r="E15" s="194"/>
      <c r="F15" s="194"/>
      <c r="G15" s="30"/>
      <c r="H15" s="30"/>
      <c r="I15" s="30"/>
      <c r="J15" s="30"/>
      <c r="K15" s="30"/>
      <c r="L15" s="30"/>
      <c r="M15" s="30"/>
    </row>
    <row r="16" spans="1:13" x14ac:dyDescent="0.2">
      <c r="A16" s="51" t="str">
        <f>LEFT(A15,4)+1&amp;"–"&amp;RIGHT(A15,4)+1</f>
        <v>2026–2027</v>
      </c>
      <c r="B16" s="55">
        <v>10912721.16</v>
      </c>
      <c r="C16" s="55">
        <v>28324.790000000005</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10485960.899999999</v>
      </c>
      <c r="C17" s="55">
        <v>17406.32</v>
      </c>
      <c r="D17" s="194"/>
      <c r="E17" s="194"/>
      <c r="F17" s="194"/>
      <c r="G17" s="31"/>
      <c r="H17" s="31"/>
      <c r="I17" s="31"/>
      <c r="J17" s="31"/>
      <c r="K17" s="31"/>
    </row>
    <row r="18" spans="1:13" ht="15" customHeight="1" x14ac:dyDescent="0.25">
      <c r="A18" s="51" t="str">
        <f>LEFT(A17,4)+1&amp;"–"&amp;RIGHT(A17,4)+5</f>
        <v>2028–2033</v>
      </c>
      <c r="B18" s="55">
        <v>9118879.6199999992</v>
      </c>
      <c r="C18" s="55">
        <v>10377.089999999997</v>
      </c>
      <c r="D18" s="197" t="s">
        <v>6</v>
      </c>
      <c r="E18" s="198"/>
      <c r="F18" s="198"/>
      <c r="G18" s="29"/>
      <c r="H18" s="29"/>
      <c r="I18" s="29"/>
      <c r="J18" s="29"/>
      <c r="K18" s="29"/>
      <c r="L18" s="29"/>
      <c r="M18" s="29"/>
    </row>
    <row r="19" spans="1:13" x14ac:dyDescent="0.2">
      <c r="A19" s="51" t="str">
        <f t="shared" ref="A19:A32" si="0">LEFT(A18,4)+5&amp;"–"&amp;RIGHT(A18,4)+5</f>
        <v>2033–2038</v>
      </c>
      <c r="B19" s="55"/>
      <c r="C19" s="55"/>
      <c r="D19" s="197"/>
      <c r="E19" s="198"/>
      <c r="F19" s="198"/>
    </row>
    <row r="20" spans="1:13" ht="15.75" x14ac:dyDescent="0.2">
      <c r="A20" s="51" t="str">
        <f t="shared" si="0"/>
        <v>2038–2043</v>
      </c>
      <c r="B20" s="55"/>
      <c r="C20" s="55"/>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3960</v>
      </c>
      <c r="C40" s="202"/>
      <c r="E40" s="32"/>
    </row>
    <row r="41" spans="1:13" ht="15.75" x14ac:dyDescent="0.25">
      <c r="A41" s="5" t="s">
        <v>192</v>
      </c>
      <c r="B41" s="200" t="str">
        <f>B10</f>
        <v>Department of Toxic Substances Control</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3960</v>
      </c>
      <c r="C71" s="202"/>
    </row>
    <row r="72" spans="1:13" ht="15.75" x14ac:dyDescent="0.25">
      <c r="A72" s="5" t="s">
        <v>192</v>
      </c>
      <c r="B72" s="200" t="str">
        <f>B10</f>
        <v>Department of Toxic Substances Control</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80" zoomScaleNormal="80" workbookViewId="0">
      <selection activeCell="R14" sqref="R1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 Fund 3084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3960 - Department of Toxic Substances Control</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f>ROUND(('LS Fund 0014 Journal Entries'!K23+'LS Fund 3084 Journal Entries'!K23),0)</f>
        <v>70797203</v>
      </c>
      <c r="G10" s="58"/>
      <c r="H10" s="61">
        <f>ROUND(('LS Fund 0014 Journal Entries'!K48+'LS Fund 0014 Journal Entries'!K113+'LS Fund 3084 Journal Entries'!K48+'LS Fund 3084 Journal Entries'!K113+'LS Fund 0557 Journal Entries'!K48+'LS Fund 0557 Journal Entries'!K113),0)</f>
        <v>1384417</v>
      </c>
      <c r="I10" s="58"/>
      <c r="J10" s="61">
        <f>ROUND(('LS Fund 0014 Journal Entries'!J68+'LS Fund 0014 Journal Entries'!J96+'LS Fund 3084 Journal Entries'!J68+'LS Fund 3084 Journal Entries'!J96+'LS Fund 0557 Journal Entries'!J68+'LS Fund 0557 Journal Entries'!J96),0)</f>
        <v>10183290</v>
      </c>
      <c r="K10" s="58"/>
      <c r="L10" s="63">
        <f>SUM(F10+H10-J10)</f>
        <v>61998330</v>
      </c>
      <c r="M10" s="58"/>
      <c r="N10" s="61">
        <f>ROUND(('LS Fund 0014 Journal Entries'!J75+'LS Fund 3084 Journal Entries'!J75+'LS Fund 0557 Journal Entries'!J75),0)</f>
        <v>10313152</v>
      </c>
      <c r="O10" s="58"/>
      <c r="P10" s="63">
        <f>L10-N10</f>
        <v>51685178</v>
      </c>
      <c r="Q10" s="43"/>
    </row>
    <row r="11" spans="2:17" ht="19.5" thickTop="1" thickBot="1" x14ac:dyDescent="0.3">
      <c r="B11" s="41"/>
      <c r="C11" s="45" t="s">
        <v>19</v>
      </c>
      <c r="F11" s="62">
        <f>SUM(F10:F10)</f>
        <v>70797203</v>
      </c>
      <c r="G11" s="58"/>
      <c r="H11" s="62">
        <f>SUM(H10:H10)</f>
        <v>1384417</v>
      </c>
      <c r="I11" s="58"/>
      <c r="J11" s="62">
        <f>SUM(J10:J10)</f>
        <v>10183290</v>
      </c>
      <c r="K11" s="58"/>
      <c r="L11" s="62">
        <f>SUM(L10:L10)</f>
        <v>61998330</v>
      </c>
      <c r="M11" s="58"/>
      <c r="N11" s="62">
        <f>SUM(N10:N10)</f>
        <v>10313152</v>
      </c>
      <c r="O11" s="58"/>
      <c r="P11" s="62">
        <f>SUM(P10:P10)</f>
        <v>51685178</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zoomScale="90" zoomScaleNormal="90" workbookViewId="0">
      <selection activeCell="D71" sqref="D71"/>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'LS Fund 0014 Journal Entries'!K23+'LS Fund 3084 Journal Entries'!K23+'LS Fund 0557 Journal Entries'!K23</f>
        <v>70797202.531369835</v>
      </c>
      <c r="C16" s="116" t="s">
        <v>146</v>
      </c>
      <c r="D16" s="84">
        <f>'LS Fund 0014 Journal Entries'!K48+'LS Fund 3084 Journal Entries'!K48+'LS Fund 0557 Journal Entries'!K48</f>
        <v>1110317.0228513815</v>
      </c>
      <c r="E16" s="118" t="s">
        <v>147</v>
      </c>
      <c r="F16" s="84">
        <f>'LS Fund 0014 Journal Entries'!J68+'LS Fund 3084 Journal Entries'!J68+'LS Fund 0557 Journal Entries'!J68</f>
        <v>9955756.6587385293</v>
      </c>
      <c r="G16" s="117" t="s">
        <v>147</v>
      </c>
      <c r="H16" s="84">
        <f>'LS Fund 0014 Journal Entries'!J96+'LS Fund 3084 Journal Entries'!J96+'LS Fund 0557 Journal Entries'!J96</f>
        <v>227533.24</v>
      </c>
      <c r="I16" s="117" t="s">
        <v>146</v>
      </c>
      <c r="J16" s="84">
        <f>'LS Fund 0014 Journal Entries'!K113+'LS Fund 3084 Journal Entries'!K113+'LS Fund 0557 Journal Entries'!K113</f>
        <v>274099.88</v>
      </c>
      <c r="K16" s="118" t="s">
        <v>150</v>
      </c>
      <c r="L16" s="87">
        <f>+B16+D16-F16-H16+J16</f>
        <v>61998329.535482682</v>
      </c>
      <c r="M16" s="86"/>
      <c r="N16" s="88">
        <f>SUM('LS-Department Note Disclosure'!B13:B36)</f>
        <v>61998329.650000006</v>
      </c>
      <c r="O16" s="85"/>
      <c r="P16" s="89">
        <f>L16-N16</f>
        <v>-0.11451732367277145</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 Fund 3084 Journal Entries'!$F$8="Proprietary - Internal Service Fund",'LS Fund 3084 Journal Entries'!$K$23,0)</f>
        <v>0</v>
      </c>
      <c r="C24" s="116" t="s">
        <v>146</v>
      </c>
      <c r="D24" s="84">
        <f>IF('LS Fund 3084 Journal Entries'!$F$8="Proprietary - Internal Service Fund",'LS Fund 3084 Journal Entries'!$K$48,0)</f>
        <v>0</v>
      </c>
      <c r="E24" s="118" t="s">
        <v>147</v>
      </c>
      <c r="F24" s="84">
        <f>IF('LS Fund 3084 Journal Entries'!$F$8="Proprietary - Internal Service Fund",'LS Fund 3084 Journal Entries'!$J$68,0)</f>
        <v>0</v>
      </c>
      <c r="G24" s="117" t="s">
        <v>147</v>
      </c>
      <c r="H24" s="84">
        <f>IF('LS Fund 3084 Journal Entries'!$F$8="Proprietary - Internal Service Fund",'LS Fund 3084 Journal Entries'!$J$96,0)</f>
        <v>0</v>
      </c>
      <c r="I24" s="117" t="s">
        <v>146</v>
      </c>
      <c r="J24" s="84">
        <f>IF('LS Fund 3084 Journal Entries'!$F$8="Proprietary - Internal Service Fund",'LS Fund 3084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 Fund 3084 Journal Entries'!$F$8="Proprietary - Enterprise Fund",'LS Fund 3084 Journal Entries'!$K$23,0)</f>
        <v>0</v>
      </c>
      <c r="C33" s="116" t="s">
        <v>146</v>
      </c>
      <c r="D33" s="84">
        <f>IF('LS Fund 3084 Journal Entries'!$F$8="Proprietary - Enterprise Fund",'LS Fund 3084 Journal Entries'!$K$48,0)</f>
        <v>0</v>
      </c>
      <c r="E33" s="118" t="s">
        <v>147</v>
      </c>
      <c r="F33" s="84">
        <f>IF('LS Fund 3084 Journal Entries'!$F$8="Proprietary - Enterprise Fund",'LS Fund 3084 Journal Entries'!$J$68,0)</f>
        <v>0</v>
      </c>
      <c r="G33" s="117" t="s">
        <v>147</v>
      </c>
      <c r="H33" s="84">
        <f>IF('LS Fund 3084 Journal Entries'!$F$8="Proprietary - Enterprise Fund",'LS Fund 3084 Journal Entries'!$J$96,0)</f>
        <v>0</v>
      </c>
      <c r="I33" s="117" t="s">
        <v>146</v>
      </c>
      <c r="J33" s="84">
        <f>IF('LS Fund 3084 Journal Entries'!$F$8="Proprietary - Enterprise Fund",'LS Fund 3084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'LS Fund 0014 Journal Entries'!K76+'LS Fund 3084 Journal Entries'!K76+'LS Fund 0557 Journal Entries'!K76</f>
        <v>10313151.791724555</v>
      </c>
      <c r="C42" s="92"/>
      <c r="E42" s="92"/>
      <c r="G42" s="115"/>
      <c r="H42" s="115"/>
      <c r="I42" s="115"/>
      <c r="J42" s="115"/>
      <c r="K42" s="92"/>
      <c r="L42" s="92"/>
      <c r="M42" s="93"/>
      <c r="N42" s="88">
        <f>'LS-Department Note Disclosure'!B13</f>
        <v>10313151.790000001</v>
      </c>
      <c r="O42" s="94"/>
      <c r="P42" s="89">
        <f>B42-N42</f>
        <v>1.7245542258024216E-3</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 Fund 3084 Journal Entries'!$F$8="Proprietary - Internal Service Fund",'LS Fund 3084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 Fund 3084 Journal Entries'!$F$8="Proprietary - Enterprise Fund",'LS Fund 3084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70797202.531369835</v>
      </c>
      <c r="J66" s="97">
        <f>SUM(D66)</f>
        <v>70797202.531369835</v>
      </c>
      <c r="L66" s="98" t="str">
        <f>CONCATENATE("Balance July 1, ",LEFT('LS-Department Note Disclosure'!$B$8,4))</f>
        <v>Balance July 1, 2022</v>
      </c>
      <c r="N66" s="97">
        <f>'LS-Lease Liabilities'!F10</f>
        <v>70797203</v>
      </c>
      <c r="P66" s="89">
        <f>J66-N66</f>
        <v>-0.46863016486167908</v>
      </c>
    </row>
    <row r="67" spans="1:17" x14ac:dyDescent="0.25">
      <c r="B67" s="79" t="s">
        <v>157</v>
      </c>
      <c r="D67" s="97">
        <f>$D$16</f>
        <v>1110317.0228513815</v>
      </c>
      <c r="E67" s="119" t="s">
        <v>146</v>
      </c>
      <c r="F67" s="79" t="s">
        <v>1756</v>
      </c>
      <c r="H67" s="97">
        <f>$J$16</f>
        <v>274099.88</v>
      </c>
      <c r="J67" s="97">
        <f>SUM(D67,H67)</f>
        <v>1384416.9028513813</v>
      </c>
      <c r="L67" s="98" t="s">
        <v>13</v>
      </c>
      <c r="N67" s="97">
        <f>'LS-Lease Liabilities'!H10</f>
        <v>1384417</v>
      </c>
      <c r="P67" s="89">
        <f t="shared" ref="P67:P69" si="0">J67-N67</f>
        <v>-9.7148618660867214E-2</v>
      </c>
    </row>
    <row r="68" spans="1:17" x14ac:dyDescent="0.25">
      <c r="B68" s="79" t="s">
        <v>152</v>
      </c>
      <c r="D68" s="97">
        <f>$F$16</f>
        <v>9955756.6587385293</v>
      </c>
      <c r="E68" s="119" t="s">
        <v>146</v>
      </c>
      <c r="F68" s="79" t="s">
        <v>1753</v>
      </c>
      <c r="H68" s="97">
        <f>$H$16</f>
        <v>227533.24</v>
      </c>
      <c r="J68" s="97">
        <f>SUM(D68,H68)</f>
        <v>10183289.89873853</v>
      </c>
      <c r="L68" s="98" t="s">
        <v>14</v>
      </c>
      <c r="N68" s="97">
        <f>'LS-Lease Liabilities'!J10</f>
        <v>10183290</v>
      </c>
      <c r="P68" s="89">
        <f t="shared" si="0"/>
        <v>-0.10126147046685219</v>
      </c>
    </row>
    <row r="69" spans="1:17" x14ac:dyDescent="0.25">
      <c r="B69" s="79" t="s">
        <v>156</v>
      </c>
      <c r="D69" s="97">
        <f>$B$42</f>
        <v>10313151.791724555</v>
      </c>
      <c r="J69" s="97">
        <f>SUM(D69)</f>
        <v>10313151.791724555</v>
      </c>
      <c r="L69" s="98" t="s">
        <v>15</v>
      </c>
      <c r="N69" s="97">
        <f>'LS-Lease Liabilities'!N10</f>
        <v>10313152</v>
      </c>
      <c r="P69" s="89">
        <f t="shared" si="0"/>
        <v>-0.2082754448056221</v>
      </c>
    </row>
    <row r="70" spans="1:17" x14ac:dyDescent="0.25">
      <c r="D70" s="99"/>
    </row>
    <row r="71" spans="1:17" ht="15.95" customHeight="1" x14ac:dyDescent="0.25">
      <c r="D71" s="91" t="str">
        <f>IF(OR(P66&gt;0, (P66&lt;0),P67&gt;0,P67&lt;0,P68&gt;0,P68&lt;0,P69&gt;0,P69&lt;0), "Please review and correct the variance.","")</f>
        <v>Please review and correct the variance.</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6A1731C-8251-495E-93C9-2101D9768877}"/>
</file>

<file path=customXml/itemProps2.xml><?xml version="1.0" encoding="utf-8"?>
<ds:datastoreItem xmlns:ds="http://schemas.openxmlformats.org/officeDocument/2006/customXml" ds:itemID="{FE69C208-90CF-488A-AC2F-F1F326D6386C}"/>
</file>

<file path=customXml/itemProps3.xml><?xml version="1.0" encoding="utf-8"?>
<ds:datastoreItem xmlns:ds="http://schemas.openxmlformats.org/officeDocument/2006/customXml" ds:itemID="{04BDFFBF-00A2-491A-9A60-FD6E5EF0C6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Drop Down Menus</vt:lpstr>
      <vt:lpstr>qryIndex02a</vt:lpstr>
      <vt:lpstr>LS-Version Changes</vt:lpstr>
      <vt:lpstr>LS Fund 0014 Journal Entries</vt:lpstr>
      <vt:lpstr>LS Fund 3084 Journal Entries</vt:lpstr>
      <vt:lpstr>LS Fund 0557 Journal Entries</vt:lpstr>
      <vt:lpstr>LS-Department Note Disclosure</vt:lpstr>
      <vt:lpstr>LS-Lease Liabilities</vt:lpstr>
      <vt:lpstr>LS-Check Figures  </vt:lpstr>
      <vt:lpstr>'LS Fund 0014 Journal Entries'!Print_Area</vt:lpstr>
      <vt:lpstr>'LS Fund 0557 Journal Entries'!Print_Area</vt:lpstr>
      <vt:lpstr>'LS Fund 3084 Journal Entries'!Print_Area</vt:lpstr>
      <vt:lpstr>'LS-Department Note Disclosure'!Print_Area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2024-06-15T19:55:25Z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