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codeName="ThisWorkbook"/>
  <mc:AlternateContent xmlns:mc="http://schemas.openxmlformats.org/markup-compatibility/2006">
    <mc:Choice Requires="x15">
      <x15ac:absPath xmlns:x15ac="http://schemas.microsoft.com/office/spreadsheetml/2010/11/ac" url="\\AD.SCONET.CA.GOV\Data\SARD\Group\State_Gov_Reporting\ADMIN - POLICY\GASB\GASB 87 - Leases\Project Tracking\Department Responses\Dump File (review and organize at a later date)\Dump 3860\"/>
    </mc:Choice>
  </mc:AlternateContent>
  <xr:revisionPtr revIDLastSave="0" documentId="8_{A7E6D877-47F6-47F4-A7FD-11805C0F9C3A}" xr6:coauthVersionLast="47" xr6:coauthVersionMax="47" xr10:uidLastSave="{00000000-0000-0000-0000-000000000000}"/>
  <bookViews>
    <workbookView xWindow="20370" yWindow="-120" windowWidth="29040" windowHeight="15840" tabRatio="921" firstSheet="13" activeTab="20"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140 Journal Entries" sheetId="16" r:id="rId5"/>
    <sheet name="LS-Fund 0465 Journal Entries" sheetId="17" r:id="rId6"/>
    <sheet name="LS-Fund 0890 Journal Entries" sheetId="18" r:id="rId7"/>
    <sheet name="LS-Fund 3057 Journal Entries" sheetId="19" r:id="rId8"/>
    <sheet name="LS-Fund 3228 Journal Entries" sheetId="29" r:id="rId9"/>
    <sheet name="LS-Fund 3237 Journal Entries" sheetId="20" r:id="rId10"/>
    <sheet name="LS-Fund 3398 Journal Entries" sheetId="21" r:id="rId11"/>
    <sheet name="LS-Fund 6001 Journal Entries" sheetId="22" r:id="rId12"/>
    <sheet name="LS-Fund 6005 Journal Entries" sheetId="23" r:id="rId13"/>
    <sheet name="LS-Fund 6026 Journal Entries" sheetId="30" r:id="rId14"/>
    <sheet name="LS-Fund 6031 Journal Entries" sheetId="24" r:id="rId15"/>
    <sheet name="LS-Fund 6051 Journal Entries" sheetId="25" r:id="rId16"/>
    <sheet name="LS-Fund 6083 Journal Entries" sheetId="27" r:id="rId17"/>
    <sheet name="LS-Fund 6088 Journal Entries" sheetId="28" r:id="rId18"/>
    <sheet name="LS-Department Note Disclosure" sheetId="3" r:id="rId19"/>
    <sheet name="LS-Lease Liabilities" sheetId="4" r:id="rId20"/>
    <sheet name="LS-Check Figures  " sheetId="7" r:id="rId21"/>
    <sheet name="LR-Version Changes" sheetId="15" r:id="rId22"/>
    <sheet name="LR-Fund #### Journal Entries" sheetId="5" r:id="rId23"/>
    <sheet name="LR-Department Note Disclosure" sheetId="6" r:id="rId24"/>
    <sheet name="LR-Check Figures" sheetId="12" r:id="rId25"/>
    <sheet name="FP-Version Changes" sheetId="14" r:id="rId26"/>
    <sheet name="FP-Fund #### Journal Entries" sheetId="8" r:id="rId27"/>
    <sheet name="FP-Lease Liabilities" sheetId="10" r:id="rId28"/>
  </sheets>
  <externalReferences>
    <externalReference r:id="rId2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5">#REF!</definedName>
    <definedName name="AgencyCode" localSheetId="24">#REF!</definedName>
    <definedName name="AgencyCode" localSheetId="21">#REF!</definedName>
    <definedName name="AgencyCode">#REF!</definedName>
    <definedName name="AgencyCode1" localSheetId="25">#REF!</definedName>
    <definedName name="AgencyCode1" localSheetId="24">#REF!</definedName>
    <definedName name="AgencyCode1" localSheetId="21">#REF!</definedName>
    <definedName name="AgencyCode1">#REF!</definedName>
    <definedName name="AnalystGASB">[1]DeveloperInfo!$D$20</definedName>
    <definedName name="Annuity" localSheetId="25">#REF!</definedName>
    <definedName name="Annuity" localSheetId="24">#REF!</definedName>
    <definedName name="Annuity" localSheetId="21">#REF!</definedName>
    <definedName name="Annuity">#REF!</definedName>
    <definedName name="Annuity1" localSheetId="25">#REF!</definedName>
    <definedName name="Annuity1" localSheetId="24">#REF!</definedName>
    <definedName name="Annuity1" localSheetId="21">#REF!</definedName>
    <definedName name="Annuity1">#REF!</definedName>
    <definedName name="AnnuityLY" localSheetId="25">#REF!</definedName>
    <definedName name="AnnuityLY" localSheetId="24">#REF!</definedName>
    <definedName name="AnnuityLY" localSheetId="2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5">#REF!</definedName>
    <definedName name="EmployerRates" localSheetId="24">#REF!</definedName>
    <definedName name="EmployerRates" localSheetId="21">#REF!</definedName>
    <definedName name="EmployerRates">#REF!</definedName>
    <definedName name="EmployerRates1" localSheetId="25">#REF!</definedName>
    <definedName name="EmployerRates1" localSheetId="24">#REF!</definedName>
    <definedName name="EmployerRates1" localSheetId="21">#REF!</definedName>
    <definedName name="EmployerRates1">#REF!</definedName>
    <definedName name="EmployerRatesLEO" localSheetId="25">#REF!</definedName>
    <definedName name="EmployerRatesLEO" localSheetId="24">#REF!</definedName>
    <definedName name="EmployerRatesLEO" localSheetId="21">#REF!</definedName>
    <definedName name="EmployerRatesLEO">#REF!</definedName>
    <definedName name="EmployerRatesLEO1" localSheetId="25">#REF!</definedName>
    <definedName name="EmployerRatesLEO1" localSheetId="24">#REF!</definedName>
    <definedName name="EmployerRatesLEO1" localSheetId="21">#REF!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5">#REF!</definedName>
    <definedName name="Pension" localSheetId="24">#REF!</definedName>
    <definedName name="Pension" localSheetId="21">#REF!</definedName>
    <definedName name="Pension">#REF!</definedName>
    <definedName name="Pension1" localSheetId="25">#REF!</definedName>
    <definedName name="Pension1" localSheetId="24">#REF!</definedName>
    <definedName name="Pension1" localSheetId="21">#REF!</definedName>
    <definedName name="Pension1">#REF!</definedName>
    <definedName name="PensionLY" localSheetId="25">#REF!</definedName>
    <definedName name="PensionLY" localSheetId="24">#REF!</definedName>
    <definedName name="PensionLY" localSheetId="21">#REF!</definedName>
    <definedName name="PensionLY">#REF!</definedName>
    <definedName name="PlanNameLongGASB">[1]DeveloperInfo!$D$7</definedName>
    <definedName name="PlanNameShortGASB">[1]DeveloperInfo!$D$8</definedName>
    <definedName name="_xlnm.Print_Area" localSheetId="26">'FP-Fund #### Journal Entries'!$A$1:$J$9</definedName>
    <definedName name="_xlnm.Print_Area" localSheetId="27">'FP-Lease Liabilities'!$B$2:$Q$17</definedName>
    <definedName name="_xlnm.Print_Area" localSheetId="23">'LR-Department Note Disclosure'!$A$1:$C$93</definedName>
    <definedName name="_xlnm.Print_Area" localSheetId="22">'LR-Fund #### Journal Entries'!$B$1:$K$67</definedName>
    <definedName name="_xlnm.Print_Area" localSheetId="18">'LS-Department Note Disclosure'!$A$1:$C$85</definedName>
    <definedName name="_xlnm.Print_Area" localSheetId="3">'LS-Fund 0001 Journal Entries'!$A$1:$J$9</definedName>
    <definedName name="_xlnm.Print_Area" localSheetId="4">'LS-Fund 0140 Journal Entries'!$A$1:$J$9</definedName>
    <definedName name="_xlnm.Print_Area" localSheetId="5">'LS-Fund 0465 Journal Entries'!$A$1:$J$9</definedName>
    <definedName name="_xlnm.Print_Area" localSheetId="6">'LS-Fund 0890 Journal Entries'!$A$1:$J$9</definedName>
    <definedName name="_xlnm.Print_Area" localSheetId="7">'LS-Fund 3057 Journal Entries'!$A$1:$J$9</definedName>
    <definedName name="_xlnm.Print_Area" localSheetId="8">'LS-Fund 3228 Journal Entries'!$A$1:$J$9</definedName>
    <definedName name="_xlnm.Print_Area" localSheetId="9">'LS-Fund 3237 Journal Entries'!$A$1:$J$9</definedName>
    <definedName name="_xlnm.Print_Area" localSheetId="10">'LS-Fund 3398 Journal Entries'!$A$1:$J$9</definedName>
    <definedName name="_xlnm.Print_Area" localSheetId="11">'LS-Fund 6001 Journal Entries'!$A$1:$J$9</definedName>
    <definedName name="_xlnm.Print_Area" localSheetId="12">'LS-Fund 6005 Journal Entries'!$A$1:$J$9</definedName>
    <definedName name="_xlnm.Print_Area" localSheetId="13">'LS-Fund 6026 Journal Entries'!$A$1:$J$9</definedName>
    <definedName name="_xlnm.Print_Area" localSheetId="14">'LS-Fund 6031 Journal Entries'!$A$1:$J$9</definedName>
    <definedName name="_xlnm.Print_Area" localSheetId="15">'LS-Fund 6051 Journal Entries'!$A$1:$J$9</definedName>
    <definedName name="_xlnm.Print_Area" localSheetId="16">'LS-Fund 6083 Journal Entries'!$A$1:$J$9</definedName>
    <definedName name="_xlnm.Print_Area" localSheetId="17">'LS-Fund 6088 Journal Entries'!$A$1:$J$9</definedName>
    <definedName name="_xlnm.Print_Area" localSheetId="19">'LS-Lease Liabilities'!$B$2:$Q$17</definedName>
    <definedName name="ProjDisc?">[1]DeveloperInfo!$D$65</definedName>
    <definedName name="ProValResults" localSheetId="25">#REF!</definedName>
    <definedName name="ProValResults" localSheetId="24">#REF!</definedName>
    <definedName name="ProValResults" localSheetId="21">#REF!</definedName>
    <definedName name="ProValResults">#REF!</definedName>
    <definedName name="ProValResults1" localSheetId="25">#REF!</definedName>
    <definedName name="ProValResults1" localSheetId="24">#REF!</definedName>
    <definedName name="ProValResults1" localSheetId="21">#REF!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5">#REF!</definedName>
    <definedName name="TableData" localSheetId="24">#REF!</definedName>
    <definedName name="TableData" localSheetId="21">#REF!</definedName>
    <definedName name="TableData">#REF!</definedName>
    <definedName name="TableData1" localSheetId="25">#REF!</definedName>
    <definedName name="TableData1" localSheetId="24">#REF!</definedName>
    <definedName name="TableData1" localSheetId="21">#REF!</definedName>
    <definedName name="TableData1">#REF!</definedName>
    <definedName name="Type" localSheetId="25">#REF!</definedName>
    <definedName name="Type" localSheetId="24">#REF!</definedName>
    <definedName name="Type" localSheetId="21">#REF!</definedName>
    <definedName name="Type">#REF!</definedName>
    <definedName name="TypeAnnuity" localSheetId="25">#REF!</definedName>
    <definedName name="TypeAnnuity" localSheetId="24">#REF!</definedName>
    <definedName name="TypeAnnuity" localSheetId="21">#REF!</definedName>
    <definedName name="TypeAnnuity">#REF!</definedName>
    <definedName name="TypeAnnuity1" localSheetId="25">#REF!</definedName>
    <definedName name="TypeAnnuity1" localSheetId="24">#REF!</definedName>
    <definedName name="TypeAnnuity1" localSheetId="21">#REF!</definedName>
    <definedName name="TypeAnnuity1">#REF!</definedName>
    <definedName name="TypePension" localSheetId="25">#REF!</definedName>
    <definedName name="TypePension" localSheetId="24">#REF!</definedName>
    <definedName name="TypePension" localSheetId="21">#REF!</definedName>
    <definedName name="TypePension">#REF!</definedName>
    <definedName name="TypePension1" localSheetId="25">#REF!</definedName>
    <definedName name="TypePension1" localSheetId="24">#REF!</definedName>
    <definedName name="TypePension1" localSheetId="21">#REF!</definedName>
    <definedName name="TypePension1">#REF!</definedName>
    <definedName name="UnfundedData" localSheetId="25">#REF!</definedName>
    <definedName name="UnfundedData" localSheetId="24">#REF!</definedName>
    <definedName name="UnfundedData" localSheetId="21">#REF!</definedName>
    <definedName name="UnfundedData">#REF!</definedName>
    <definedName name="UnfundedData1" localSheetId="25">#REF!</definedName>
    <definedName name="UnfundedData1" localSheetId="24">#REF!</definedName>
    <definedName name="UnfundedData1" localSheetId="21">#REF!</definedName>
    <definedName name="UnfundedData1">#REF!</definedName>
    <definedName name="UnfundedLY" localSheetId="25">#REF!</definedName>
    <definedName name="UnfundedLY" localSheetId="24">#REF!</definedName>
    <definedName name="UnfundedLY" localSheetId="21">#REF!</definedName>
    <definedName name="UnfundedLY">#REF!</definedName>
    <definedName name="UnfundedLY1" localSheetId="25">#REF!</definedName>
    <definedName name="UnfundedLY1" localSheetId="24">#REF!</definedName>
    <definedName name="UnfundedLY1" localSheetId="21">#REF!</definedName>
    <definedName name="UnfundedLY1">#REF!</definedName>
    <definedName name="UnfundedLYLEO1" localSheetId="25">#REF!</definedName>
    <definedName name="UnfundedLYLEO1" localSheetId="24">#REF!</definedName>
    <definedName name="UnfundedLYLEO1" localSheetId="21">#REF!</definedName>
    <definedName name="UnfundedLYLEO1">#REF!</definedName>
    <definedName name="UnfunedLYLEO" localSheetId="25">#REF!</definedName>
    <definedName name="UnfunedLYLEO" localSheetId="24">#REF!</definedName>
    <definedName name="UnfunedLYLEO" localSheetId="2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H16" i="7"/>
  <c r="F16" i="7"/>
  <c r="D16" i="7"/>
  <c r="B16" i="7"/>
  <c r="K129" i="30"/>
  <c r="K122" i="30"/>
  <c r="K114" i="30"/>
  <c r="J114" i="30"/>
  <c r="L114" i="30" s="1"/>
  <c r="K105" i="30"/>
  <c r="J105" i="30"/>
  <c r="C104" i="30"/>
  <c r="K91" i="30"/>
  <c r="J91" i="30"/>
  <c r="K77" i="30"/>
  <c r="J77" i="30"/>
  <c r="K70" i="30"/>
  <c r="J70" i="30"/>
  <c r="K65" i="30"/>
  <c r="J65" i="30"/>
  <c r="B63" i="30"/>
  <c r="K59" i="30"/>
  <c r="J59" i="30"/>
  <c r="K49" i="30"/>
  <c r="J49" i="30"/>
  <c r="K43" i="30"/>
  <c r="J43" i="30"/>
  <c r="K36" i="30"/>
  <c r="J36" i="30"/>
  <c r="S25" i="30"/>
  <c r="Q24" i="30"/>
  <c r="S24" i="30" s="1"/>
  <c r="S23" i="30"/>
  <c r="K23" i="30"/>
  <c r="K128" i="30" s="1"/>
  <c r="S22" i="30"/>
  <c r="K22" i="30"/>
  <c r="K127" i="30" s="1"/>
  <c r="S21" i="30"/>
  <c r="K21" i="30"/>
  <c r="K126" i="30" s="1"/>
  <c r="S20" i="30"/>
  <c r="K20" i="30"/>
  <c r="K125" i="30" s="1"/>
  <c r="S19" i="30"/>
  <c r="P18" i="30"/>
  <c r="S18" i="30" s="1"/>
  <c r="S17" i="30"/>
  <c r="J17" i="30"/>
  <c r="K124" i="30" s="1"/>
  <c r="S16" i="30"/>
  <c r="J16" i="30"/>
  <c r="K123" i="30" s="1"/>
  <c r="S15" i="30"/>
  <c r="J15" i="30"/>
  <c r="F9" i="30"/>
  <c r="B100" i="30" s="1"/>
  <c r="K129" i="29"/>
  <c r="K123" i="29"/>
  <c r="K122" i="29"/>
  <c r="K114" i="29"/>
  <c r="J114" i="29"/>
  <c r="L114" i="29" s="1"/>
  <c r="K105" i="29"/>
  <c r="J105" i="29"/>
  <c r="K91" i="29"/>
  <c r="J91" i="29"/>
  <c r="K77" i="29"/>
  <c r="J77" i="29"/>
  <c r="L77" i="29" s="1"/>
  <c r="K70" i="29"/>
  <c r="J70" i="29"/>
  <c r="K65" i="29"/>
  <c r="J65" i="29"/>
  <c r="B63" i="29"/>
  <c r="K59" i="29"/>
  <c r="J59" i="29"/>
  <c r="K49" i="29"/>
  <c r="J49" i="29"/>
  <c r="K43" i="29"/>
  <c r="J43" i="29"/>
  <c r="K36" i="29"/>
  <c r="J36" i="29"/>
  <c r="S25" i="29"/>
  <c r="Q24" i="29"/>
  <c r="S24" i="29" s="1"/>
  <c r="S23" i="29"/>
  <c r="K23" i="29"/>
  <c r="K128" i="29" s="1"/>
  <c r="S22" i="29"/>
  <c r="K22" i="29"/>
  <c r="K127" i="29" s="1"/>
  <c r="S21" i="29"/>
  <c r="K21" i="29"/>
  <c r="K126" i="29" s="1"/>
  <c r="S20" i="29"/>
  <c r="K20" i="29"/>
  <c r="K125" i="29" s="1"/>
  <c r="S19" i="29"/>
  <c r="P18" i="29"/>
  <c r="S18" i="29" s="1"/>
  <c r="S17" i="29"/>
  <c r="J17" i="29"/>
  <c r="K124" i="29" s="1"/>
  <c r="S16" i="29"/>
  <c r="J16" i="29"/>
  <c r="S15" i="29"/>
  <c r="J15" i="29"/>
  <c r="F9" i="29"/>
  <c r="B100" i="29" s="1"/>
  <c r="L105" i="30" l="1"/>
  <c r="L91" i="30"/>
  <c r="L77" i="30"/>
  <c r="L70" i="30"/>
  <c r="L65" i="30"/>
  <c r="L59" i="30"/>
  <c r="L49" i="30"/>
  <c r="L43" i="30"/>
  <c r="L36" i="30"/>
  <c r="J18" i="30"/>
  <c r="C64" i="30"/>
  <c r="K24" i="30"/>
  <c r="K25" i="30" s="1"/>
  <c r="C35" i="30"/>
  <c r="J18" i="29"/>
  <c r="K24" i="29"/>
  <c r="K25" i="29" s="1"/>
  <c r="K26" i="29" s="1"/>
  <c r="L105" i="29"/>
  <c r="L91" i="29"/>
  <c r="L70" i="29"/>
  <c r="L65" i="29"/>
  <c r="L59" i="29"/>
  <c r="L49" i="29"/>
  <c r="L43" i="29"/>
  <c r="L36" i="29"/>
  <c r="J19" i="29"/>
  <c r="J26" i="29" s="1"/>
  <c r="C64" i="29"/>
  <c r="C104" i="29"/>
  <c r="C35" i="29"/>
  <c r="K26" i="30" l="1"/>
  <c r="J19" i="30"/>
  <c r="J26" i="30" s="1"/>
  <c r="L26" i="29"/>
  <c r="L26" i="30" l="1"/>
  <c r="J59" i="16" l="1"/>
  <c r="K129" i="28"/>
  <c r="K123" i="28"/>
  <c r="K122" i="28"/>
  <c r="K114" i="28"/>
  <c r="J114" i="28"/>
  <c r="L114" i="28" s="1"/>
  <c r="K105" i="28"/>
  <c r="J105" i="28"/>
  <c r="K91" i="28"/>
  <c r="J91" i="28"/>
  <c r="L91" i="28" s="1"/>
  <c r="K77" i="28"/>
  <c r="J77" i="28"/>
  <c r="L77" i="28" s="1"/>
  <c r="K70" i="28"/>
  <c r="J70" i="28"/>
  <c r="L70" i="28" s="1"/>
  <c r="K65" i="28"/>
  <c r="J65" i="28"/>
  <c r="B63" i="28"/>
  <c r="K59" i="28"/>
  <c r="J59" i="28"/>
  <c r="K49" i="28"/>
  <c r="L49" i="28" s="1"/>
  <c r="J49" i="28"/>
  <c r="K43" i="28"/>
  <c r="J43" i="28"/>
  <c r="L36" i="28"/>
  <c r="K36" i="28"/>
  <c r="J36" i="28"/>
  <c r="S25" i="28"/>
  <c r="Q24" i="28"/>
  <c r="K24" i="28" s="1"/>
  <c r="S23" i="28"/>
  <c r="K23" i="28"/>
  <c r="K128" i="28" s="1"/>
  <c r="S22" i="28"/>
  <c r="K22" i="28"/>
  <c r="K127" i="28" s="1"/>
  <c r="S21" i="28"/>
  <c r="K21" i="28"/>
  <c r="K126" i="28" s="1"/>
  <c r="S20" i="28"/>
  <c r="K20" i="28"/>
  <c r="K125" i="28" s="1"/>
  <c r="S19" i="28"/>
  <c r="P18" i="28"/>
  <c r="S18" i="28" s="1"/>
  <c r="S17" i="28"/>
  <c r="J17" i="28"/>
  <c r="K124" i="28" s="1"/>
  <c r="S16" i="28"/>
  <c r="J16" i="28"/>
  <c r="S15" i="28"/>
  <c r="J15" i="28"/>
  <c r="F9" i="28"/>
  <c r="C35" i="28" s="1"/>
  <c r="K129" i="27"/>
  <c r="K122" i="27"/>
  <c r="L114" i="27"/>
  <c r="K114" i="27"/>
  <c r="J114" i="27"/>
  <c r="K105" i="27"/>
  <c r="L105" i="27" s="1"/>
  <c r="J105" i="27"/>
  <c r="K91" i="27"/>
  <c r="J91" i="27"/>
  <c r="K77" i="27"/>
  <c r="J77" i="27"/>
  <c r="K70" i="27"/>
  <c r="J70" i="27"/>
  <c r="K65" i="27"/>
  <c r="J65" i="27"/>
  <c r="B63" i="27"/>
  <c r="K59" i="27"/>
  <c r="J59" i="27"/>
  <c r="K49" i="27"/>
  <c r="J49" i="27"/>
  <c r="K43" i="27"/>
  <c r="J43" i="27"/>
  <c r="K36" i="27"/>
  <c r="J36" i="27"/>
  <c r="S25" i="27"/>
  <c r="Q24" i="27"/>
  <c r="S24" i="27" s="1"/>
  <c r="S23" i="27"/>
  <c r="K23" i="27"/>
  <c r="K128" i="27" s="1"/>
  <c r="S22" i="27"/>
  <c r="K22" i="27"/>
  <c r="K127" i="27" s="1"/>
  <c r="S21" i="27"/>
  <c r="K21" i="27"/>
  <c r="K126" i="27" s="1"/>
  <c r="S20" i="27"/>
  <c r="K20" i="27"/>
  <c r="K125" i="27" s="1"/>
  <c r="S19" i="27"/>
  <c r="P18" i="27"/>
  <c r="S18" i="27" s="1"/>
  <c r="S17" i="27"/>
  <c r="J17" i="27"/>
  <c r="K124" i="27" s="1"/>
  <c r="S16" i="27"/>
  <c r="J16" i="27"/>
  <c r="K123" i="27" s="1"/>
  <c r="S15" i="27"/>
  <c r="J15" i="27"/>
  <c r="F9" i="27"/>
  <c r="C35" i="27" s="1"/>
  <c r="K129" i="25"/>
  <c r="K123" i="25"/>
  <c r="K122" i="25"/>
  <c r="K114" i="25"/>
  <c r="L114" i="25" s="1"/>
  <c r="J114" i="25"/>
  <c r="K105" i="25"/>
  <c r="J105" i="25"/>
  <c r="L105" i="25" s="1"/>
  <c r="K91" i="25"/>
  <c r="J91" i="25"/>
  <c r="K77" i="25"/>
  <c r="J77" i="25"/>
  <c r="K70" i="25"/>
  <c r="J70" i="25"/>
  <c r="K65" i="25"/>
  <c r="J65" i="25"/>
  <c r="B63" i="25"/>
  <c r="K59" i="25"/>
  <c r="J59" i="25"/>
  <c r="K49" i="25"/>
  <c r="J49" i="25"/>
  <c r="K43" i="25"/>
  <c r="J43" i="25"/>
  <c r="K36" i="25"/>
  <c r="J36" i="25"/>
  <c r="S25" i="25"/>
  <c r="Q24" i="25"/>
  <c r="S24" i="25" s="1"/>
  <c r="S23" i="25"/>
  <c r="K23" i="25"/>
  <c r="K128" i="25" s="1"/>
  <c r="S22" i="25"/>
  <c r="K22" i="25"/>
  <c r="K127" i="25" s="1"/>
  <c r="S21" i="25"/>
  <c r="K21" i="25"/>
  <c r="K126" i="25" s="1"/>
  <c r="S20" i="25"/>
  <c r="K20" i="25"/>
  <c r="K125" i="25" s="1"/>
  <c r="S19" i="25"/>
  <c r="P18" i="25"/>
  <c r="J18" i="25" s="1"/>
  <c r="S17" i="25"/>
  <c r="J17" i="25"/>
  <c r="K124" i="25" s="1"/>
  <c r="S16" i="25"/>
  <c r="J16" i="25"/>
  <c r="S15" i="25"/>
  <c r="J15" i="25"/>
  <c r="F9" i="25"/>
  <c r="C64" i="25" s="1"/>
  <c r="K129" i="24"/>
  <c r="K126" i="24"/>
  <c r="K122" i="24"/>
  <c r="K114" i="24"/>
  <c r="J114" i="24"/>
  <c r="L114" i="24" s="1"/>
  <c r="K105" i="24"/>
  <c r="J105" i="24"/>
  <c r="L105" i="24" s="1"/>
  <c r="K91" i="24"/>
  <c r="J91" i="24"/>
  <c r="K77" i="24"/>
  <c r="J77" i="24"/>
  <c r="K70" i="24"/>
  <c r="J70" i="24"/>
  <c r="K65" i="24"/>
  <c r="J65" i="24"/>
  <c r="B63" i="24"/>
  <c r="K59" i="24"/>
  <c r="J59" i="24"/>
  <c r="L59" i="24" s="1"/>
  <c r="K49" i="24"/>
  <c r="L49" i="24" s="1"/>
  <c r="J49" i="24"/>
  <c r="K43" i="24"/>
  <c r="J43" i="24"/>
  <c r="K36" i="24"/>
  <c r="J36" i="24"/>
  <c r="S25" i="24"/>
  <c r="Q24" i="24"/>
  <c r="S24" i="24" s="1"/>
  <c r="S23" i="24"/>
  <c r="K23" i="24"/>
  <c r="K128" i="24" s="1"/>
  <c r="S22" i="24"/>
  <c r="K22" i="24"/>
  <c r="K127" i="24" s="1"/>
  <c r="S21" i="24"/>
  <c r="K21" i="24"/>
  <c r="S20" i="24"/>
  <c r="K20" i="24"/>
  <c r="S19" i="24"/>
  <c r="P18" i="24"/>
  <c r="S18" i="24" s="1"/>
  <c r="S17" i="24"/>
  <c r="J17" i="24"/>
  <c r="K124" i="24" s="1"/>
  <c r="S16" i="24"/>
  <c r="J16" i="24"/>
  <c r="K123" i="24" s="1"/>
  <c r="S15" i="24"/>
  <c r="J15" i="24"/>
  <c r="F9" i="24"/>
  <c r="C104" i="24" s="1"/>
  <c r="K129" i="23"/>
  <c r="K126" i="23"/>
  <c r="K122" i="23"/>
  <c r="K114" i="23"/>
  <c r="J114" i="23"/>
  <c r="L114" i="23" s="1"/>
  <c r="K105" i="23"/>
  <c r="J105" i="23"/>
  <c r="L105" i="23" s="1"/>
  <c r="K91" i="23"/>
  <c r="J91" i="23"/>
  <c r="K77" i="23"/>
  <c r="L77" i="23" s="1"/>
  <c r="J77" i="23"/>
  <c r="K70" i="23"/>
  <c r="J70" i="23"/>
  <c r="K65" i="23"/>
  <c r="J65" i="23"/>
  <c r="B63" i="23"/>
  <c r="K59" i="23"/>
  <c r="J59" i="23"/>
  <c r="K49" i="23"/>
  <c r="J49" i="23"/>
  <c r="K43" i="23"/>
  <c r="J43" i="23"/>
  <c r="K36" i="23"/>
  <c r="L36" i="23" s="1"/>
  <c r="J36" i="23"/>
  <c r="S25" i="23"/>
  <c r="Q24" i="23"/>
  <c r="S24" i="23" s="1"/>
  <c r="K24" i="23"/>
  <c r="S23" i="23"/>
  <c r="K23" i="23"/>
  <c r="K128" i="23" s="1"/>
  <c r="S22" i="23"/>
  <c r="K22" i="23"/>
  <c r="K127" i="23" s="1"/>
  <c r="S21" i="23"/>
  <c r="K21" i="23"/>
  <c r="S20" i="23"/>
  <c r="K20" i="23"/>
  <c r="K125" i="23" s="1"/>
  <c r="S19" i="23"/>
  <c r="P18" i="23"/>
  <c r="S18" i="23" s="1"/>
  <c r="J18" i="23"/>
  <c r="S17" i="23"/>
  <c r="J17" i="23"/>
  <c r="K124" i="23" s="1"/>
  <c r="S16" i="23"/>
  <c r="J16" i="23"/>
  <c r="K123" i="23" s="1"/>
  <c r="S15" i="23"/>
  <c r="J15" i="23"/>
  <c r="F9" i="23"/>
  <c r="C104" i="23" s="1"/>
  <c r="K129" i="22"/>
  <c r="K123" i="22"/>
  <c r="K122" i="22"/>
  <c r="K114" i="22"/>
  <c r="J114" i="22"/>
  <c r="L114" i="22" s="1"/>
  <c r="K105" i="22"/>
  <c r="J105" i="22"/>
  <c r="K91" i="22"/>
  <c r="J91" i="22"/>
  <c r="L91" i="22" s="1"/>
  <c r="K77" i="22"/>
  <c r="J77" i="22"/>
  <c r="L77" i="22" s="1"/>
  <c r="K70" i="22"/>
  <c r="J70" i="22"/>
  <c r="K65" i="22"/>
  <c r="J65" i="22"/>
  <c r="B63" i="22"/>
  <c r="K59" i="22"/>
  <c r="J59" i="22"/>
  <c r="L49" i="22"/>
  <c r="K49" i="22"/>
  <c r="J49" i="22"/>
  <c r="K43" i="22"/>
  <c r="J43" i="22"/>
  <c r="K36" i="22"/>
  <c r="J36" i="22"/>
  <c r="L36" i="22" s="1"/>
  <c r="S25" i="22"/>
  <c r="Q24" i="22"/>
  <c r="S24" i="22" s="1"/>
  <c r="S23" i="22"/>
  <c r="K23" i="22"/>
  <c r="K128" i="22" s="1"/>
  <c r="S22" i="22"/>
  <c r="K22" i="22"/>
  <c r="K127" i="22" s="1"/>
  <c r="S21" i="22"/>
  <c r="K21" i="22"/>
  <c r="K126" i="22" s="1"/>
  <c r="S20" i="22"/>
  <c r="K20" i="22"/>
  <c r="K125" i="22" s="1"/>
  <c r="S19" i="22"/>
  <c r="P18" i="22"/>
  <c r="S18" i="22" s="1"/>
  <c r="J18" i="22"/>
  <c r="S17" i="22"/>
  <c r="J17" i="22"/>
  <c r="K124" i="22" s="1"/>
  <c r="S16" i="22"/>
  <c r="J16" i="22"/>
  <c r="S15" i="22"/>
  <c r="J15" i="22"/>
  <c r="F9" i="22"/>
  <c r="C35" i="22" s="1"/>
  <c r="K129" i="21"/>
  <c r="K123" i="21"/>
  <c r="K122" i="21"/>
  <c r="L114" i="21"/>
  <c r="K114" i="21"/>
  <c r="J114" i="21"/>
  <c r="K105" i="21"/>
  <c r="J105" i="21"/>
  <c r="L105" i="21" s="1"/>
  <c r="K91" i="21"/>
  <c r="J91" i="21"/>
  <c r="K77" i="21"/>
  <c r="J77" i="21"/>
  <c r="L77" i="21" s="1"/>
  <c r="K70" i="21"/>
  <c r="J70" i="21"/>
  <c r="K65" i="21"/>
  <c r="J65" i="21"/>
  <c r="B63" i="21"/>
  <c r="K59" i="21"/>
  <c r="J59" i="21"/>
  <c r="K49" i="21"/>
  <c r="J49" i="21"/>
  <c r="K43" i="21"/>
  <c r="J43" i="21"/>
  <c r="K36" i="21"/>
  <c r="J36" i="21"/>
  <c r="S25" i="21"/>
  <c r="S24" i="21"/>
  <c r="Q24" i="21"/>
  <c r="K24" i="21"/>
  <c r="S23" i="21"/>
  <c r="K23" i="21"/>
  <c r="K128" i="21" s="1"/>
  <c r="S22" i="21"/>
  <c r="K22" i="21"/>
  <c r="K127" i="21" s="1"/>
  <c r="S21" i="21"/>
  <c r="K21" i="21"/>
  <c r="S20" i="21"/>
  <c r="K20" i="21"/>
  <c r="K125" i="21" s="1"/>
  <c r="S19" i="21"/>
  <c r="P18" i="21"/>
  <c r="S18" i="21" s="1"/>
  <c r="J18" i="21"/>
  <c r="S17" i="21"/>
  <c r="J17" i="21"/>
  <c r="K124" i="21" s="1"/>
  <c r="S16" i="21"/>
  <c r="J16" i="21"/>
  <c r="S15" i="21"/>
  <c r="J15" i="21"/>
  <c r="F9" i="21"/>
  <c r="C35" i="21" s="1"/>
  <c r="K129" i="20"/>
  <c r="K122" i="20"/>
  <c r="K114" i="20"/>
  <c r="L114" i="20" s="1"/>
  <c r="J114" i="20"/>
  <c r="K105" i="20"/>
  <c r="J105" i="20"/>
  <c r="K91" i="20"/>
  <c r="J91" i="20"/>
  <c r="K77" i="20"/>
  <c r="J77" i="20"/>
  <c r="K70" i="20"/>
  <c r="J70" i="20"/>
  <c r="K65" i="20"/>
  <c r="J65" i="20"/>
  <c r="B63" i="20"/>
  <c r="K59" i="20"/>
  <c r="J59" i="20"/>
  <c r="K49" i="20"/>
  <c r="J49" i="20"/>
  <c r="K43" i="20"/>
  <c r="J43" i="20"/>
  <c r="L43" i="20" s="1"/>
  <c r="K36" i="20"/>
  <c r="J36" i="20"/>
  <c r="S25" i="20"/>
  <c r="Q24" i="20"/>
  <c r="K24" i="20" s="1"/>
  <c r="S23" i="20"/>
  <c r="K23" i="20"/>
  <c r="K128" i="20" s="1"/>
  <c r="S22" i="20"/>
  <c r="K22" i="20"/>
  <c r="K127" i="20" s="1"/>
  <c r="S21" i="20"/>
  <c r="K21" i="20"/>
  <c r="S20" i="20"/>
  <c r="K20" i="20"/>
  <c r="K125" i="20" s="1"/>
  <c r="S19" i="20"/>
  <c r="P18" i="20"/>
  <c r="S18" i="20" s="1"/>
  <c r="S17" i="20"/>
  <c r="J17" i="20"/>
  <c r="K124" i="20" s="1"/>
  <c r="S16" i="20"/>
  <c r="J16" i="20"/>
  <c r="K123" i="20" s="1"/>
  <c r="S15" i="20"/>
  <c r="J15" i="20"/>
  <c r="F9" i="20"/>
  <c r="C35" i="20" s="1"/>
  <c r="K129" i="19"/>
  <c r="K122" i="19"/>
  <c r="K114" i="19"/>
  <c r="J114" i="19"/>
  <c r="L114" i="19" s="1"/>
  <c r="K105" i="19"/>
  <c r="K91" i="19"/>
  <c r="J91" i="19"/>
  <c r="K77" i="19"/>
  <c r="L77" i="19" s="1"/>
  <c r="J77" i="19"/>
  <c r="K70" i="19"/>
  <c r="J70" i="19"/>
  <c r="K65" i="19"/>
  <c r="J65" i="19"/>
  <c r="B63" i="19"/>
  <c r="K59" i="19"/>
  <c r="J59" i="19"/>
  <c r="K49" i="19"/>
  <c r="J49" i="19"/>
  <c r="K43" i="19"/>
  <c r="J43" i="19"/>
  <c r="L43" i="19" s="1"/>
  <c r="K36" i="19"/>
  <c r="J36" i="19"/>
  <c r="S25" i="19"/>
  <c r="Q24" i="19"/>
  <c r="S24" i="19" s="1"/>
  <c r="S23" i="19"/>
  <c r="K23" i="19"/>
  <c r="K128" i="19" s="1"/>
  <c r="S22" i="19"/>
  <c r="K22" i="19"/>
  <c r="K127" i="19" s="1"/>
  <c r="S21" i="19"/>
  <c r="K21" i="19"/>
  <c r="K126" i="19" s="1"/>
  <c r="S20" i="19"/>
  <c r="K20" i="19"/>
  <c r="K125" i="19" s="1"/>
  <c r="S19" i="19"/>
  <c r="P18" i="19"/>
  <c r="S18" i="19" s="1"/>
  <c r="S17" i="19"/>
  <c r="J17" i="19"/>
  <c r="K124" i="19" s="1"/>
  <c r="S16" i="19"/>
  <c r="J16" i="19"/>
  <c r="K123" i="19" s="1"/>
  <c r="S15" i="19"/>
  <c r="J15" i="19"/>
  <c r="F9" i="19"/>
  <c r="B100" i="19" s="1"/>
  <c r="K129" i="18"/>
  <c r="K122" i="18"/>
  <c r="L114" i="18"/>
  <c r="K114" i="18"/>
  <c r="J114" i="18"/>
  <c r="K105" i="18"/>
  <c r="J105" i="18"/>
  <c r="K91" i="18"/>
  <c r="J91" i="18"/>
  <c r="K77" i="18"/>
  <c r="J77" i="18"/>
  <c r="K70" i="18"/>
  <c r="J70" i="18"/>
  <c r="K65" i="18"/>
  <c r="J65" i="18"/>
  <c r="B63" i="18"/>
  <c r="K59" i="18"/>
  <c r="J59" i="18"/>
  <c r="K49" i="18"/>
  <c r="J49" i="18"/>
  <c r="K43" i="18"/>
  <c r="J43" i="18"/>
  <c r="K36" i="18"/>
  <c r="J36" i="18"/>
  <c r="S25" i="18"/>
  <c r="Q24" i="18"/>
  <c r="K24" i="18" s="1"/>
  <c r="S23" i="18"/>
  <c r="K23" i="18"/>
  <c r="K128" i="18" s="1"/>
  <c r="S22" i="18"/>
  <c r="K22" i="18"/>
  <c r="K127" i="18" s="1"/>
  <c r="S21" i="18"/>
  <c r="K21" i="18"/>
  <c r="K126" i="18" s="1"/>
  <c r="S20" i="18"/>
  <c r="K20" i="18"/>
  <c r="K125" i="18" s="1"/>
  <c r="S19" i="18"/>
  <c r="P18" i="18"/>
  <c r="J18" i="18" s="1"/>
  <c r="S17" i="18"/>
  <c r="J17" i="18"/>
  <c r="K124" i="18" s="1"/>
  <c r="S16" i="18"/>
  <c r="J16" i="18"/>
  <c r="K123" i="18" s="1"/>
  <c r="S15" i="18"/>
  <c r="J15" i="18"/>
  <c r="F9" i="18"/>
  <c r="C35" i="18" s="1"/>
  <c r="K129" i="17"/>
  <c r="K122" i="17"/>
  <c r="K114" i="17"/>
  <c r="L114" i="17" s="1"/>
  <c r="J114" i="17"/>
  <c r="K105" i="17"/>
  <c r="J105" i="17"/>
  <c r="L105" i="17" s="1"/>
  <c r="K91" i="17"/>
  <c r="L91" i="17" s="1"/>
  <c r="J91" i="17"/>
  <c r="K77" i="17"/>
  <c r="J77" i="17"/>
  <c r="K70" i="17"/>
  <c r="J70" i="17"/>
  <c r="K65" i="17"/>
  <c r="J65" i="17"/>
  <c r="B63" i="17"/>
  <c r="K59" i="17"/>
  <c r="J59" i="17"/>
  <c r="K49" i="17"/>
  <c r="J49" i="17"/>
  <c r="K43" i="17"/>
  <c r="J43" i="17"/>
  <c r="K36" i="17"/>
  <c r="J36" i="17"/>
  <c r="S25" i="17"/>
  <c r="Q24" i="17"/>
  <c r="K24" i="17" s="1"/>
  <c r="S23" i="17"/>
  <c r="K23" i="17"/>
  <c r="K128" i="17" s="1"/>
  <c r="S22" i="17"/>
  <c r="K22" i="17"/>
  <c r="K127" i="17" s="1"/>
  <c r="S21" i="17"/>
  <c r="K21" i="17"/>
  <c r="K126" i="17" s="1"/>
  <c r="S20" i="17"/>
  <c r="K20" i="17"/>
  <c r="K125" i="17" s="1"/>
  <c r="S19" i="17"/>
  <c r="P18" i="17"/>
  <c r="J18" i="17" s="1"/>
  <c r="S17" i="17"/>
  <c r="J17" i="17"/>
  <c r="K124" i="17" s="1"/>
  <c r="S16" i="17"/>
  <c r="J16" i="17"/>
  <c r="K123" i="17" s="1"/>
  <c r="S15" i="17"/>
  <c r="J15" i="17"/>
  <c r="F9" i="17"/>
  <c r="C35" i="17" s="1"/>
  <c r="K129" i="16"/>
  <c r="K123" i="16"/>
  <c r="K122" i="16"/>
  <c r="K114" i="16"/>
  <c r="J114" i="16"/>
  <c r="L114" i="16" s="1"/>
  <c r="K105" i="16"/>
  <c r="J105" i="16"/>
  <c r="L105" i="16" s="1"/>
  <c r="K91" i="16"/>
  <c r="J91" i="16"/>
  <c r="K77" i="16"/>
  <c r="J77" i="16"/>
  <c r="K70" i="16"/>
  <c r="J70" i="16"/>
  <c r="K65" i="16"/>
  <c r="J65" i="16"/>
  <c r="B63" i="16"/>
  <c r="K59" i="16"/>
  <c r="K49" i="16"/>
  <c r="J49" i="16"/>
  <c r="K43" i="16"/>
  <c r="J43" i="16"/>
  <c r="L43" i="16" s="1"/>
  <c r="K36" i="16"/>
  <c r="J36" i="16"/>
  <c r="S25" i="16"/>
  <c r="Q24" i="16"/>
  <c r="S24" i="16" s="1"/>
  <c r="S23" i="16"/>
  <c r="K23" i="16"/>
  <c r="K128" i="16" s="1"/>
  <c r="S22" i="16"/>
  <c r="K22" i="16"/>
  <c r="K127" i="16" s="1"/>
  <c r="S21" i="16"/>
  <c r="K21" i="16"/>
  <c r="K126" i="16" s="1"/>
  <c r="S20" i="16"/>
  <c r="K20" i="16"/>
  <c r="K125" i="16" s="1"/>
  <c r="S19" i="16"/>
  <c r="P18" i="16"/>
  <c r="S18" i="16" s="1"/>
  <c r="J18" i="16"/>
  <c r="S17" i="16"/>
  <c r="J17" i="16"/>
  <c r="K124" i="16" s="1"/>
  <c r="S16" i="16"/>
  <c r="J16" i="16"/>
  <c r="S15" i="16"/>
  <c r="J15" i="16"/>
  <c r="F9" i="16"/>
  <c r="C35" i="16" s="1"/>
  <c r="L59" i="28" l="1"/>
  <c r="L65" i="25"/>
  <c r="L59" i="25"/>
  <c r="L70" i="24"/>
  <c r="L70" i="22"/>
  <c r="L65" i="22"/>
  <c r="L65" i="21"/>
  <c r="L65" i="20"/>
  <c r="L59" i="20"/>
  <c r="L65" i="19"/>
  <c r="L59" i="19"/>
  <c r="L70" i="18"/>
  <c r="L70" i="17"/>
  <c r="L65" i="17"/>
  <c r="L105" i="28"/>
  <c r="L65" i="28"/>
  <c r="L43" i="28"/>
  <c r="L91" i="27"/>
  <c r="L77" i="27"/>
  <c r="L70" i="27"/>
  <c r="L65" i="27"/>
  <c r="L59" i="27"/>
  <c r="L49" i="27"/>
  <c r="L43" i="27"/>
  <c r="L36" i="27"/>
  <c r="J18" i="27"/>
  <c r="K24" i="27"/>
  <c r="B100" i="27"/>
  <c r="L91" i="25"/>
  <c r="L77" i="25"/>
  <c r="L70" i="25"/>
  <c r="L49" i="25"/>
  <c r="L43" i="25"/>
  <c r="L36" i="25"/>
  <c r="S18" i="25"/>
  <c r="C35" i="25"/>
  <c r="L91" i="24"/>
  <c r="L77" i="24"/>
  <c r="L65" i="24"/>
  <c r="L43" i="24"/>
  <c r="L36" i="24"/>
  <c r="K24" i="24"/>
  <c r="J19" i="24" s="1"/>
  <c r="J26" i="24" s="1"/>
  <c r="J18" i="24"/>
  <c r="C35" i="24"/>
  <c r="L91" i="23"/>
  <c r="L70" i="23"/>
  <c r="L65" i="23"/>
  <c r="L59" i="23"/>
  <c r="L49" i="23"/>
  <c r="L43" i="23"/>
  <c r="B100" i="23"/>
  <c r="C35" i="23"/>
  <c r="L105" i="22"/>
  <c r="L59" i="22"/>
  <c r="L43" i="22"/>
  <c r="B100" i="22"/>
  <c r="L91" i="21"/>
  <c r="L70" i="21"/>
  <c r="L59" i="21"/>
  <c r="L49" i="21"/>
  <c r="L43" i="21"/>
  <c r="L36" i="21"/>
  <c r="K25" i="21"/>
  <c r="K26" i="21" s="1"/>
  <c r="B100" i="21"/>
  <c r="L105" i="20"/>
  <c r="L91" i="20"/>
  <c r="L77" i="20"/>
  <c r="L70" i="20"/>
  <c r="L49" i="20"/>
  <c r="L36" i="20"/>
  <c r="J18" i="20"/>
  <c r="K25" i="20" s="1"/>
  <c r="K26" i="20" s="1"/>
  <c r="J105" i="19"/>
  <c r="L105" i="19" s="1"/>
  <c r="L91" i="19"/>
  <c r="L70" i="19"/>
  <c r="L49" i="19"/>
  <c r="L36" i="19"/>
  <c r="J18" i="19"/>
  <c r="K24" i="19"/>
  <c r="C35" i="19"/>
  <c r="L105" i="18"/>
  <c r="L91" i="18"/>
  <c r="L77" i="18"/>
  <c r="L65" i="18"/>
  <c r="L59" i="18"/>
  <c r="L49" i="18"/>
  <c r="L43" i="18"/>
  <c r="L36" i="18"/>
  <c r="S18" i="18"/>
  <c r="S24" i="18"/>
  <c r="L77" i="17"/>
  <c r="L59" i="17"/>
  <c r="L49" i="17"/>
  <c r="L43" i="17"/>
  <c r="L36" i="17"/>
  <c r="S18" i="17"/>
  <c r="L91" i="16"/>
  <c r="L77" i="16"/>
  <c r="L70" i="16"/>
  <c r="L65" i="16"/>
  <c r="L59" i="16"/>
  <c r="L49" i="16"/>
  <c r="L36" i="16"/>
  <c r="K25" i="23"/>
  <c r="K26" i="23" s="1"/>
  <c r="C64" i="24"/>
  <c r="K125" i="24"/>
  <c r="S24" i="28"/>
  <c r="J19" i="23"/>
  <c r="J26" i="23" s="1"/>
  <c r="C64" i="23"/>
  <c r="K24" i="25"/>
  <c r="J19" i="25" s="1"/>
  <c r="J26" i="25" s="1"/>
  <c r="J18" i="28"/>
  <c r="B100" i="28"/>
  <c r="C104" i="28"/>
  <c r="C104" i="27"/>
  <c r="B100" i="25"/>
  <c r="C64" i="28"/>
  <c r="B100" i="24"/>
  <c r="C104" i="25"/>
  <c r="C64" i="27"/>
  <c r="C104" i="21"/>
  <c r="C104" i="20"/>
  <c r="C64" i="22"/>
  <c r="C104" i="19"/>
  <c r="J19" i="21"/>
  <c r="J26" i="21" s="1"/>
  <c r="C64" i="21"/>
  <c r="C104" i="22"/>
  <c r="J19" i="20"/>
  <c r="J26" i="20" s="1"/>
  <c r="C64" i="20"/>
  <c r="K126" i="21"/>
  <c r="K24" i="22"/>
  <c r="K25" i="22" s="1"/>
  <c r="C64" i="19"/>
  <c r="K126" i="20"/>
  <c r="S24" i="20"/>
  <c r="B100" i="20"/>
  <c r="C104" i="18"/>
  <c r="K25" i="18"/>
  <c r="K26" i="18" s="1"/>
  <c r="C104" i="17"/>
  <c r="B100" i="18"/>
  <c r="J19" i="18"/>
  <c r="J26" i="18" s="1"/>
  <c r="C64" i="18"/>
  <c r="J19" i="17"/>
  <c r="J26" i="17" s="1"/>
  <c r="C64" i="17"/>
  <c r="B100" i="17"/>
  <c r="S24" i="17"/>
  <c r="K25" i="17"/>
  <c r="K26" i="17" s="1"/>
  <c r="B100" i="16"/>
  <c r="C104" i="16"/>
  <c r="C64" i="16"/>
  <c r="K24" i="16"/>
  <c r="K25" i="16" s="1"/>
  <c r="K25" i="28" l="1"/>
  <c r="K26" i="28" s="1"/>
  <c r="J19" i="28"/>
  <c r="J26" i="28" s="1"/>
  <c r="K25" i="27"/>
  <c r="K26" i="27" s="1"/>
  <c r="J19" i="27"/>
  <c r="J26" i="27" s="1"/>
  <c r="K25" i="25"/>
  <c r="K26" i="25" s="1"/>
  <c r="L26" i="25" s="1"/>
  <c r="K25" i="24"/>
  <c r="K26" i="24" s="1"/>
  <c r="L26" i="24" s="1"/>
  <c r="L26" i="23"/>
  <c r="J19" i="22"/>
  <c r="J26" i="22" s="1"/>
  <c r="K26" i="22"/>
  <c r="L26" i="21"/>
  <c r="L26" i="20"/>
  <c r="K25" i="19"/>
  <c r="K26" i="19" s="1"/>
  <c r="J19" i="19"/>
  <c r="J26" i="19" s="1"/>
  <c r="L26" i="18"/>
  <c r="L26" i="17"/>
  <c r="K26" i="16"/>
  <c r="J19" i="16"/>
  <c r="J26" i="16" s="1"/>
  <c r="L26" i="28" l="1"/>
  <c r="L26" i="27"/>
  <c r="L26" i="22"/>
  <c r="L26" i="19"/>
  <c r="L26" i="16"/>
  <c r="Q24" i="2"/>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17" i="5"/>
  <c r="K69" i="5" s="1"/>
  <c r="J14" i="5"/>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<sst xmlns="http://schemas.openxmlformats.org/spreadsheetml/2006/main" count="9931" uniqueCount="1884">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</sst>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sz val="11"/>
      <color rgb="FF000000"/>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6">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168" fontId="56" fillId="2"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59999389629810485"/>
  </sheetPr>
  <dimension ref="A1:F29"/>
  <sheetViews>
    <sheetView zoomScale="90" zoomScaleNormal="90" workbookViewId="0">
      <pane ySplit="10" topLeftCell="A17" activePane="bottomLeft" state="frozen"/>
      <selection activeCell="H56" sqref="H56"/>
      <selection pane="bottomLeft" activeCell="U21" sqref="U21"/>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1" t="s">
        <v>1767</v>
      </c>
      <c r="B1" s="252"/>
      <c r="C1" s="252"/>
      <c r="D1" s="252"/>
      <c r="E1" s="252"/>
      <c r="F1" s="253"/>
    </row>
    <row r="2" spans="1:6" x14ac:dyDescent="0.25">
      <c r="A2" s="254"/>
      <c r="B2" s="255"/>
      <c r="C2" s="255"/>
      <c r="D2" s="255"/>
      <c r="E2" s="255"/>
      <c r="F2" s="256"/>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59999389629810485"/>
    <pageSetUpPr fitToPage="1"/>
  </sheetPr>
  <dimension ref="A1:S193"/>
  <sheetViews>
    <sheetView topLeftCell="A67" zoomScale="70" zoomScaleNormal="70" workbookViewId="0">
      <selection activeCell="N47" sqref="N4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1</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12624075</v>
      </c>
      <c r="M17" s="196">
        <v>12624075</v>
      </c>
      <c r="P17" s="196">
        <v>11256722</v>
      </c>
      <c r="Q17" s="224"/>
      <c r="S17" s="223">
        <f t="shared" si="0"/>
        <v>-1367353</v>
      </c>
    </row>
    <row r="18" spans="1:19" ht="16.5" customHeight="1" x14ac:dyDescent="0.25">
      <c r="A18" s="99"/>
      <c r="B18" s="26" t="s">
        <v>179</v>
      </c>
      <c r="C18" s="26"/>
      <c r="D18" s="26"/>
      <c r="E18" s="193"/>
      <c r="F18" s="194"/>
      <c r="G18" s="194"/>
      <c r="H18" s="195"/>
      <c r="I18" s="195"/>
      <c r="J18" s="248">
        <f>P18</f>
        <v>150514</v>
      </c>
      <c r="M18" s="196">
        <v>186365</v>
      </c>
      <c r="P18" s="221">
        <f>IF(SUM($Q$20:$Q$23)&gt;SUM($P$15:$P$17),SUM($Q$20:$Q$23)-SUM($P$15:$P$17),0)</f>
        <v>150514</v>
      </c>
      <c r="Q18" s="224"/>
      <c r="S18" s="223">
        <f t="shared" si="0"/>
        <v>-35851</v>
      </c>
    </row>
    <row r="19" spans="1:19" ht="16.5" customHeight="1" x14ac:dyDescent="0.25">
      <c r="A19" s="99"/>
      <c r="B19" s="26" t="s">
        <v>180</v>
      </c>
      <c r="C19" s="26"/>
      <c r="D19" s="26"/>
      <c r="E19" s="193"/>
      <c r="F19" s="194"/>
      <c r="G19" s="194"/>
      <c r="H19" s="195"/>
      <c r="I19" s="195"/>
      <c r="J19" s="248">
        <f>IF(SUM($K$20:$K$24)&gt;SUM($J$15:$J$18),SUM($K$20:$K$24)-SUM($J$15:$J$18),0)</f>
        <v>18283</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2171134</v>
      </c>
      <c r="N22" s="196">
        <v>2171134</v>
      </c>
      <c r="P22" s="224"/>
      <c r="Q22" s="196">
        <v>1935973</v>
      </c>
      <c r="S22" s="223">
        <f t="shared" ref="S22:S25" si="1">Q22-N22</f>
        <v>-235161</v>
      </c>
    </row>
    <row r="23" spans="1:19" ht="16.5" customHeight="1" x14ac:dyDescent="0.25">
      <c r="A23" s="234" t="s">
        <v>1698</v>
      </c>
      <c r="B23" s="26"/>
      <c r="C23" s="26" t="s">
        <v>184</v>
      </c>
      <c r="D23" s="26"/>
      <c r="E23" s="193"/>
      <c r="F23" s="194"/>
      <c r="G23" s="194"/>
      <c r="H23" s="195"/>
      <c r="I23" s="195"/>
      <c r="J23" s="213"/>
      <c r="K23" s="248">
        <f>N23</f>
        <v>10621738</v>
      </c>
      <c r="N23" s="196">
        <v>10621738</v>
      </c>
      <c r="P23" s="224"/>
      <c r="Q23" s="196">
        <v>9471263</v>
      </c>
      <c r="S23" s="223">
        <f t="shared" si="1"/>
        <v>-1150475</v>
      </c>
    </row>
    <row r="24" spans="1:19" ht="16.5" customHeight="1" x14ac:dyDescent="0.25">
      <c r="A24" s="99"/>
      <c r="B24" s="26"/>
      <c r="C24" s="26" t="s">
        <v>186</v>
      </c>
      <c r="D24" s="26"/>
      <c r="E24" s="193"/>
      <c r="F24" s="194"/>
      <c r="G24" s="194"/>
      <c r="H24" s="195"/>
      <c r="I24" s="195"/>
      <c r="J24" s="213"/>
      <c r="K24" s="248">
        <f>Q24</f>
        <v>0</v>
      </c>
      <c r="N24" s="196">
        <v>17568</v>
      </c>
      <c r="P24" s="224"/>
      <c r="Q24" s="221">
        <f>IF(SUM($Q$20:$Q$23)&lt;SUM($P$15:$P$17),-SUM($Q$20:$Q$23)+SUM($P$15:$P$17),0)</f>
        <v>0</v>
      </c>
      <c r="S24" s="223">
        <f t="shared" si="1"/>
        <v>-17568</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12792872</v>
      </c>
      <c r="K26" s="155">
        <f>SUM(K15:K25)</f>
        <v>12792872</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3381839</v>
      </c>
      <c r="K33" s="197"/>
    </row>
    <row r="34" spans="1:12" ht="16.5" customHeight="1" x14ac:dyDescent="0.25">
      <c r="A34" s="99"/>
      <c r="B34" s="26"/>
      <c r="C34" s="26" t="s">
        <v>1861</v>
      </c>
      <c r="D34" s="193"/>
      <c r="E34" s="193"/>
      <c r="F34" s="194"/>
      <c r="G34" s="194"/>
      <c r="H34" s="195"/>
      <c r="I34" s="195"/>
      <c r="J34" s="197"/>
      <c r="K34" s="196">
        <v>3381839</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3381839</v>
      </c>
      <c r="K36" s="155">
        <f>SUM(K33:K35)</f>
        <v>3381839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3381839</v>
      </c>
      <c r="K41" s="197"/>
    </row>
    <row r="42" spans="1:12" ht="16.5" customHeight="1" x14ac:dyDescent="0.25">
      <c r="A42" s="99"/>
      <c r="B42" s="26"/>
      <c r="C42" s="26" t="s">
        <v>198</v>
      </c>
      <c r="D42" s="193"/>
      <c r="E42" s="193"/>
      <c r="F42" s="194"/>
      <c r="G42" s="194"/>
      <c r="H42" s="195"/>
      <c r="I42" s="195"/>
      <c r="J42" s="197"/>
      <c r="K42" s="196">
        <v>3381839</v>
      </c>
    </row>
    <row r="43" spans="1:12" ht="16.5" customHeight="1" x14ac:dyDescent="0.25">
      <c r="A43" s="99"/>
      <c r="B43" s="182" t="s">
        <v>1692</v>
      </c>
      <c r="C43" s="43"/>
      <c r="D43" s="43"/>
      <c r="E43" s="43"/>
      <c r="F43" s="44"/>
      <c r="G43" s="44"/>
      <c r="H43" s="45"/>
      <c r="I43" s="45"/>
      <c r="J43" s="155">
        <f>SUM(J39:J42)</f>
        <v>3381839</v>
      </c>
      <c r="K43" s="155">
        <f>SUM(K39:K42)</f>
        <v>3381839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3381839</v>
      </c>
      <c r="K47" s="197"/>
    </row>
    <row r="48" spans="1:12" ht="16.5" customHeight="1" x14ac:dyDescent="0.25">
      <c r="A48" s="234" t="s">
        <v>1698</v>
      </c>
      <c r="B48" s="26"/>
      <c r="C48" s="26" t="s">
        <v>184</v>
      </c>
      <c r="D48" s="193"/>
      <c r="E48" s="193"/>
      <c r="F48" s="194"/>
      <c r="G48" s="194"/>
      <c r="H48" s="195"/>
      <c r="I48" s="195"/>
      <c r="J48" s="197"/>
      <c r="K48" s="196">
        <v>3381839</v>
      </c>
    </row>
    <row r="49" spans="1:16" ht="16.5" customHeight="1" x14ac:dyDescent="0.25">
      <c r="A49" s="99"/>
      <c r="C49" s="43"/>
      <c r="D49" s="43"/>
      <c r="E49" s="43"/>
      <c r="F49" s="44"/>
      <c r="G49" s="44"/>
      <c r="H49" s="45"/>
      <c r="I49" s="45"/>
      <c r="J49" s="155">
        <f>SUM(J47:J48)</f>
        <v>3381839</v>
      </c>
      <c r="K49" s="155">
        <f>SUM(K47:K48)</f>
        <v>3381839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2422088</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2422088</v>
      </c>
    </row>
    <row r="59" spans="1:16" ht="16.5" customHeight="1" x14ac:dyDescent="0.25">
      <c r="A59" s="99"/>
      <c r="C59" s="43"/>
      <c r="D59" s="43"/>
      <c r="E59" s="43"/>
      <c r="F59" s="44"/>
      <c r="G59" s="44"/>
      <c r="H59" s="45"/>
      <c r="I59" s="45"/>
      <c r="J59" s="155">
        <f>SUM(J55:J58)</f>
        <v>2422088</v>
      </c>
      <c r="K59" s="155">
        <f>SUM(K55:K58)</f>
        <v>2422088</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2255811</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196473</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2452284</v>
      </c>
    </row>
    <row r="65" spans="1:12" ht="16.5" customHeight="1" x14ac:dyDescent="0.25">
      <c r="A65" s="99"/>
      <c r="C65" s="43"/>
      <c r="D65" s="43"/>
      <c r="E65" s="43"/>
      <c r="F65" s="44"/>
      <c r="G65" s="44"/>
      <c r="H65" s="45"/>
      <c r="I65" s="45"/>
      <c r="J65" s="155">
        <f>SUM(J62:J64)</f>
        <v>2452284</v>
      </c>
      <c r="K65" s="155">
        <f>SUM(K62:K64)</f>
        <v>2452284</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2255811</v>
      </c>
      <c r="K68" s="197"/>
    </row>
    <row r="69" spans="1:12" ht="16.5" customHeight="1" x14ac:dyDescent="0.25">
      <c r="A69" s="99"/>
      <c r="B69" s="26"/>
      <c r="C69" s="26" t="s">
        <v>203</v>
      </c>
      <c r="D69" s="193"/>
      <c r="E69" s="193"/>
      <c r="F69" s="194"/>
      <c r="G69" s="194"/>
      <c r="H69" s="195"/>
      <c r="I69" s="195"/>
      <c r="J69" s="197"/>
      <c r="K69" s="196">
        <v>2255811</v>
      </c>
    </row>
    <row r="70" spans="1:12" ht="16.5" customHeight="1" x14ac:dyDescent="0.25">
      <c r="A70" s="99"/>
      <c r="C70" s="43"/>
      <c r="D70" s="43"/>
      <c r="E70" s="43"/>
      <c r="F70" s="44"/>
      <c r="G70" s="44"/>
      <c r="H70" s="45"/>
      <c r="I70" s="45"/>
      <c r="J70" s="155">
        <f>SUM(J68:J69)</f>
        <v>2255811</v>
      </c>
      <c r="K70" s="155">
        <f>SUM(K68:K69)</f>
        <v>2255811</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1888086</v>
      </c>
      <c r="K75" s="197"/>
    </row>
    <row r="76" spans="1:12" ht="16.5" customHeight="1" x14ac:dyDescent="0.25">
      <c r="A76" s="99"/>
      <c r="B76" s="26"/>
      <c r="C76" s="26" t="s">
        <v>211</v>
      </c>
      <c r="D76" s="193"/>
      <c r="E76" s="193"/>
      <c r="F76" s="194"/>
      <c r="G76" s="194"/>
      <c r="H76" s="195"/>
      <c r="I76" s="195"/>
      <c r="J76" s="197"/>
      <c r="K76" s="196">
        <v>1888086</v>
      </c>
    </row>
    <row r="77" spans="1:12" ht="16.5" customHeight="1" x14ac:dyDescent="0.2">
      <c r="A77" s="99"/>
      <c r="B77" s="265" t="s">
        <v>1841</v>
      </c>
      <c r="C77" s="265"/>
      <c r="D77" s="265"/>
      <c r="E77" s="265"/>
      <c r="F77" s="265"/>
      <c r="G77" s="265"/>
      <c r="H77" s="265"/>
      <c r="I77" s="265"/>
      <c r="J77" s="155">
        <f>SUM(J75:J76)</f>
        <v>1888086</v>
      </c>
      <c r="K77" s="155">
        <f>SUM(K75:K76)</f>
        <v>1888086</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151535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151535</v>
      </c>
    </row>
    <row r="91" spans="1:16" ht="16.5" customHeight="1" x14ac:dyDescent="0.25">
      <c r="B91" s="182" t="s">
        <v>1693</v>
      </c>
      <c r="H91" s="37"/>
      <c r="J91" s="156">
        <f>SUM(J85:J90)</f>
        <v>151535</v>
      </c>
      <c r="K91" s="156">
        <f>SUM(K85:K90)</f>
        <v>151535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167947</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167947</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167947</v>
      </c>
      <c r="K105" s="156">
        <f>SUM(K96:K104)</f>
        <v>167947</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15686432</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-4441687</v>
      </c>
    </row>
    <row r="128" spans="1:12" ht="16.5" customHeight="1" x14ac:dyDescent="0.25">
      <c r="D128" s="193" t="s">
        <v>1709</v>
      </c>
      <c r="H128" s="37"/>
      <c r="K128" s="238">
        <f>-K23-K48+J68+J75+J96-K113</f>
        <v>-9691733</v>
      </c>
    </row>
    <row r="129" spans="4:11" ht="16.5" customHeight="1" x14ac:dyDescent="0.25">
      <c r="D129" s="193" t="s">
        <v>1710</v>
      </c>
      <c r="H129" s="37"/>
      <c r="K129" s="238">
        <f>-K76</f>
        <v>-1888086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C57CC-B106-4EB3-AC9A-907F2FB24916}">
  <sheetPr codeName="Sheet5">
    <tabColor theme="9" tint="0.59999389629810485"/>
    <pageSetUpPr fitToPage="1"/>
  </sheetPr>
  <dimension ref="A1:S193"/>
  <sheetViews>
    <sheetView topLeftCell="A67" zoomScale="70" zoomScaleNormal="70" workbookViewId="0">
      <selection activeCell="M18" sqref="M1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140</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172290</v>
      </c>
      <c r="M17" s="196">
        <v>172290</v>
      </c>
      <c r="P17" s="196">
        <v>230240</v>
      </c>
      <c r="Q17" s="224"/>
      <c r="S17" s="223">
        <f t="shared" si="0"/>
        <v>57950</v>
      </c>
    </row>
    <row r="18" spans="1:19" ht="16.5" customHeight="1" x14ac:dyDescent="0.25">
      <c r="A18" s="99"/>
      <c r="B18" s="26" t="s">
        <v>179</v>
      </c>
      <c r="C18" s="26"/>
      <c r="D18" s="26"/>
      <c r="E18" s="193"/>
      <c r="F18" s="194"/>
      <c r="G18" s="194"/>
      <c r="H18" s="195"/>
      <c r="I18" s="195"/>
      <c r="J18" s="248">
        <f>P18</f>
        <v>3078</v>
      </c>
      <c r="M18" s="196">
        <v>2543</v>
      </c>
      <c r="P18" s="221">
        <f>IF(SUM($Q$20:$Q$23)&gt;SUM($P$15:$P$17),SUM($Q$20:$Q$23)-SUM($P$15:$P$17),0)</f>
        <v>3078</v>
      </c>
      <c r="Q18" s="224"/>
      <c r="S18" s="223">
        <f t="shared" si="0"/>
        <v>535</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29631</v>
      </c>
      <c r="N22" s="196">
        <v>29631</v>
      </c>
      <c r="P22" s="224"/>
      <c r="Q22" s="196">
        <v>39597</v>
      </c>
      <c r="S22" s="223">
        <f t="shared" ref="S22:S25" si="1">Q22-N22</f>
        <v>9966</v>
      </c>
    </row>
    <row r="23" spans="1:19" ht="16.5" customHeight="1" x14ac:dyDescent="0.25">
      <c r="A23" s="234" t="s">
        <v>1698</v>
      </c>
      <c r="B23" s="26"/>
      <c r="C23" s="26" t="s">
        <v>184</v>
      </c>
      <c r="D23" s="26"/>
      <c r="E23" s="193"/>
      <c r="F23" s="194"/>
      <c r="G23" s="194"/>
      <c r="H23" s="195"/>
      <c r="I23" s="195"/>
      <c r="J23" s="213"/>
      <c r="K23" s="248">
        <f>N23</f>
        <v>144962</v>
      </c>
      <c r="N23" s="196">
        <v>144962</v>
      </c>
      <c r="P23" s="224"/>
      <c r="Q23" s="196">
        <v>193721</v>
      </c>
      <c r="S23" s="223">
        <f t="shared" si="1"/>
        <v>48759</v>
      </c>
    </row>
    <row r="24" spans="1:19" ht="16.5" customHeight="1" x14ac:dyDescent="0.25">
      <c r="A24" s="99"/>
      <c r="B24" s="26"/>
      <c r="C24" s="26" t="s">
        <v>186</v>
      </c>
      <c r="D24" s="26"/>
      <c r="E24" s="193"/>
      <c r="F24" s="194"/>
      <c r="G24" s="194"/>
      <c r="H24" s="195"/>
      <c r="I24" s="195"/>
      <c r="J24" s="213"/>
      <c r="K24" s="248">
        <f>Q24</f>
        <v>0</v>
      </c>
      <c r="N24" s="196">
        <v>240</v>
      </c>
      <c r="P24" s="224"/>
      <c r="Q24" s="221">
        <f>IF(SUM($Q$20:$Q$23)&lt;SUM($P$15:$P$17),-SUM($Q$20:$Q$23)+SUM($P$15:$P$17),0)</f>
        <v>0</v>
      </c>
      <c r="S24" s="223">
        <f t="shared" si="1"/>
        <v>-240</v>
      </c>
    </row>
    <row r="25" spans="1:19" ht="16.5" customHeight="1" x14ac:dyDescent="0.25">
      <c r="A25" s="99"/>
      <c r="B25" s="26"/>
      <c r="C25" s="26" t="s">
        <v>187</v>
      </c>
      <c r="D25" s="26"/>
      <c r="E25" s="193"/>
      <c r="F25" s="194"/>
      <c r="G25" s="194"/>
      <c r="H25" s="195"/>
      <c r="I25" s="195"/>
      <c r="J25" s="213"/>
      <c r="K25" s="248">
        <f>IF(SUM($K$20:$K$24)&lt;SUM($J$15:$J$18),-SUM($K$20:$K$24)+SUM($J$15:$J$18),0)</f>
        <v>775</v>
      </c>
      <c r="N25" s="196"/>
      <c r="P25" s="224"/>
      <c r="Q25" s="224"/>
      <c r="S25" s="223">
        <f t="shared" si="1"/>
        <v>0</v>
      </c>
    </row>
    <row r="26" spans="1:19" ht="16.5" customHeight="1" x14ac:dyDescent="0.25">
      <c r="A26" s="99"/>
      <c r="C26" s="47"/>
      <c r="D26" s="47"/>
      <c r="E26" s="47"/>
      <c r="F26" s="179"/>
      <c r="G26" s="179"/>
      <c r="H26" s="49"/>
      <c r="I26" s="49"/>
      <c r="J26" s="155">
        <f>SUM(J15:J25)</f>
        <v>175368</v>
      </c>
      <c r="K26" s="155">
        <f>SUM(K15:K25)</f>
        <v>175368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46154</v>
      </c>
      <c r="K33" s="197"/>
    </row>
    <row r="34" spans="1:12" ht="16.5" customHeight="1" x14ac:dyDescent="0.25">
      <c r="A34" s="99"/>
      <c r="B34" s="26"/>
      <c r="C34" s="26" t="s">
        <v>1861</v>
      </c>
      <c r="D34" s="193"/>
      <c r="E34" s="193"/>
      <c r="F34" s="194"/>
      <c r="G34" s="194"/>
      <c r="H34" s="195"/>
      <c r="I34" s="195"/>
      <c r="J34" s="197"/>
      <c r="K34" s="196">
        <v>46154</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46154</v>
      </c>
      <c r="K36" s="155">
        <f>SUM(K33:K35)</f>
        <v>46154</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46154</v>
      </c>
      <c r="K41" s="197"/>
    </row>
    <row r="42" spans="1:12" ht="16.5" customHeight="1" x14ac:dyDescent="0.25">
      <c r="A42" s="99"/>
      <c r="B42" s="26"/>
      <c r="C42" s="26" t="s">
        <v>198</v>
      </c>
      <c r="D42" s="193"/>
      <c r="E42" s="193"/>
      <c r="F42" s="194"/>
      <c r="G42" s="194"/>
      <c r="H42" s="195"/>
      <c r="I42" s="195"/>
      <c r="J42" s="197"/>
      <c r="K42" s="196">
        <v>46154</v>
      </c>
    </row>
    <row r="43" spans="1:12" ht="16.5" customHeight="1" x14ac:dyDescent="0.25">
      <c r="A43" s="99"/>
      <c r="B43" s="182" t="s">
        <v>1692</v>
      </c>
      <c r="C43" s="43"/>
      <c r="D43" s="43"/>
      <c r="E43" s="43"/>
      <c r="F43" s="44"/>
      <c r="G43" s="44"/>
      <c r="H43" s="45"/>
      <c r="I43" s="45"/>
      <c r="J43" s="155">
        <f>SUM(J39:J42)</f>
        <v>46154</v>
      </c>
      <c r="K43" s="155">
        <f>SUM(K39:K42)</f>
        <v>46154</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46154</v>
      </c>
      <c r="K47" s="197"/>
    </row>
    <row r="48" spans="1:12" ht="16.5" customHeight="1" x14ac:dyDescent="0.25">
      <c r="A48" s="234" t="s">
        <v>1698</v>
      </c>
      <c r="B48" s="26"/>
      <c r="C48" s="26" t="s">
        <v>184</v>
      </c>
      <c r="D48" s="193"/>
      <c r="E48" s="193"/>
      <c r="F48" s="194"/>
      <c r="G48" s="194"/>
      <c r="H48" s="195"/>
      <c r="I48" s="195"/>
      <c r="J48" s="197"/>
      <c r="K48" s="196">
        <v>46154</v>
      </c>
    </row>
    <row r="49" spans="1:16" ht="16.5" customHeight="1" x14ac:dyDescent="0.25">
      <c r="A49" s="99"/>
      <c r="C49" s="43"/>
      <c r="D49" s="43"/>
      <c r="E49" s="43"/>
      <c r="F49" s="44"/>
      <c r="G49" s="44"/>
      <c r="H49" s="45"/>
      <c r="I49" s="45"/>
      <c r="J49" s="155">
        <f>SUM(J47:J48)</f>
        <v>46154</v>
      </c>
      <c r="K49" s="155">
        <f>SUM(K47:K48)</f>
        <v>46154</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33056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33056</v>
      </c>
    </row>
    <row r="59" spans="1:16" ht="16.5" customHeight="1" x14ac:dyDescent="0.25">
      <c r="A59" s="99"/>
      <c r="C59" s="43"/>
      <c r="D59" s="43"/>
      <c r="E59" s="43"/>
      <c r="F59" s="44"/>
      <c r="G59" s="44"/>
      <c r="H59" s="45"/>
      <c r="I59" s="45"/>
      <c r="J59" s="155">
        <f>SUM(J55:J58)</f>
        <v>33056</v>
      </c>
      <c r="K59" s="155">
        <f>SUM(K55:K58)</f>
        <v>33056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30787</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2681</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33468</v>
      </c>
    </row>
    <row r="65" spans="1:12" ht="16.5" customHeight="1" x14ac:dyDescent="0.25">
      <c r="A65" s="99"/>
      <c r="C65" s="43"/>
      <c r="D65" s="43"/>
      <c r="E65" s="43"/>
      <c r="F65" s="44"/>
      <c r="G65" s="44"/>
      <c r="H65" s="45"/>
      <c r="I65" s="45"/>
      <c r="J65" s="155">
        <f>SUM(J62:J64)</f>
        <v>33468</v>
      </c>
      <c r="K65" s="155">
        <f>SUM(K62:K64)</f>
        <v>33468</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30787</v>
      </c>
      <c r="K68" s="197"/>
    </row>
    <row r="69" spans="1:12" ht="16.5" customHeight="1" x14ac:dyDescent="0.25">
      <c r="A69" s="99"/>
      <c r="B69" s="26"/>
      <c r="C69" s="26" t="s">
        <v>203</v>
      </c>
      <c r="D69" s="193"/>
      <c r="E69" s="193"/>
      <c r="F69" s="194"/>
      <c r="G69" s="194"/>
      <c r="H69" s="195"/>
      <c r="I69" s="195"/>
      <c r="J69" s="197"/>
      <c r="K69" s="196">
        <v>30787</v>
      </c>
    </row>
    <row r="70" spans="1:12" ht="16.5" customHeight="1" x14ac:dyDescent="0.25">
      <c r="A70" s="99"/>
      <c r="C70" s="43"/>
      <c r="D70" s="43"/>
      <c r="E70" s="43"/>
      <c r="F70" s="44"/>
      <c r="G70" s="44"/>
      <c r="H70" s="45"/>
      <c r="I70" s="45"/>
      <c r="J70" s="155">
        <f>SUM(J68:J69)</f>
        <v>30787</v>
      </c>
      <c r="K70" s="155">
        <f>SUM(K68:K69)</f>
        <v>30787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25768</v>
      </c>
      <c r="K75" s="197"/>
    </row>
    <row r="76" spans="1:12" ht="16.5" customHeight="1" x14ac:dyDescent="0.25">
      <c r="A76" s="99"/>
      <c r="B76" s="26"/>
      <c r="C76" s="26" t="s">
        <v>211</v>
      </c>
      <c r="D76" s="193"/>
      <c r="E76" s="193"/>
      <c r="F76" s="194"/>
      <c r="G76" s="194"/>
      <c r="H76" s="195"/>
      <c r="I76" s="195"/>
      <c r="J76" s="197"/>
      <c r="K76" s="196">
        <v>25768</v>
      </c>
    </row>
    <row r="77" spans="1:12" ht="16.5" customHeight="1" x14ac:dyDescent="0.2">
      <c r="A77" s="99"/>
      <c r="B77" s="265" t="s">
        <v>1841</v>
      </c>
      <c r="C77" s="265"/>
      <c r="D77" s="265"/>
      <c r="E77" s="265"/>
      <c r="F77" s="265"/>
      <c r="G77" s="265"/>
      <c r="H77" s="265"/>
      <c r="I77" s="265"/>
      <c r="J77" s="155">
        <f>SUM(J75:J76)</f>
        <v>25768</v>
      </c>
      <c r="K77" s="155">
        <f>SUM(K75:K76)</f>
        <v>25768</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2068</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2068</v>
      </c>
    </row>
    <row r="91" spans="1:16" ht="16.5" customHeight="1" x14ac:dyDescent="0.25">
      <c r="B91" s="182" t="s">
        <v>1693</v>
      </c>
      <c r="H91" s="37"/>
      <c r="J91" s="156">
        <f>SUM(J85:J90)</f>
        <v>2068</v>
      </c>
      <c r="K91" s="156">
        <f>SUM(K85:K90)</f>
        <v>2068</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2292</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2292</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2292</v>
      </c>
      <c r="K105" s="156">
        <f>SUM(K96:K104)</f>
        <v>2292</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214084</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-60619</v>
      </c>
    </row>
    <row r="128" spans="1:12" ht="16.5" customHeight="1" x14ac:dyDescent="0.25">
      <c r="D128" s="193" t="s">
        <v>1709</v>
      </c>
      <c r="H128" s="37"/>
      <c r="K128" s="238">
        <f>-K23-K48+J68+J75+J96-K113</f>
        <v>-132269</v>
      </c>
    </row>
    <row r="129" spans="4:11" ht="16.5" customHeight="1" x14ac:dyDescent="0.25">
      <c r="D129" s="193" t="s">
        <v>1710</v>
      </c>
      <c r="H129" s="37"/>
      <c r="K129" s="238">
        <f>-K76</f>
        <v>-25768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508D0017-E302-4F7C-A1A4-B3B3E9CD760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01A1823-329F-49BE-919D-33126BDAD5F6}">
      <formula1>0</formula1>
    </dataValidation>
    <dataValidation operator="lessThan" allowBlank="1" showInputMessage="1" showErrorMessage="1" sqref="A3:A8" xr:uid="{6A939125-AA6E-4B90-9D1F-95C48B048964}"/>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50D07E0-0A0F-45F1-8E8B-3B4044942CDF}">
          <x14:formula1>
            <xm:f>'Drop Down Menus'!$E$1:$E$3</xm:f>
          </x14:formula1>
          <xm:sqref>F8</xm:sqref>
        </x14:dataValidation>
        <x14:dataValidation type="list" allowBlank="1" showInputMessage="1" showErrorMessage="1" xr:uid="{016CBC2A-BF06-4FB7-A72F-9C8BDC9919D9}">
          <x14:formula1>
            <xm:f>'Drop Down Menus'!$B$1:$B$2</xm:f>
          </x14:formula1>
          <xm:sqref>F7</xm:sqref>
        </x14:dataValidation>
        <x14:dataValidation type="list" allowBlank="1" showInputMessage="1" showErrorMessage="1" xr:uid="{7F7A04D7-061C-4E2E-BA9E-C8A3839E6AC8}">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420C-B05C-44D2-B70A-1E17C3E041C9}">
  <sheetPr codeName="Sheet6">
    <tabColor theme="9" tint="0.59999389629810485"/>
    <pageSetUpPr fitToPage="1"/>
  </sheetPr>
  <dimension ref="A1:S193"/>
  <sheetViews>
    <sheetView topLeftCell="A50" zoomScale="70" zoomScaleNormal="70" workbookViewId="0">
      <selection activeCell="S31" sqref="S3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465</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328915</v>
      </c>
      <c r="M17" s="196">
        <v>328915</v>
      </c>
      <c r="P17" s="196">
        <v>407228</v>
      </c>
      <c r="Q17" s="224"/>
      <c r="S17" s="223">
        <f t="shared" si="0"/>
        <v>78313</v>
      </c>
    </row>
    <row r="18" spans="1:19" ht="16.5" customHeight="1" x14ac:dyDescent="0.25">
      <c r="A18" s="99"/>
      <c r="B18" s="26" t="s">
        <v>179</v>
      </c>
      <c r="C18" s="26"/>
      <c r="D18" s="26"/>
      <c r="E18" s="193"/>
      <c r="F18" s="194"/>
      <c r="G18" s="194"/>
      <c r="H18" s="195"/>
      <c r="I18" s="195"/>
      <c r="J18" s="248">
        <f>P18</f>
        <v>5445</v>
      </c>
      <c r="M18" s="196">
        <v>4856</v>
      </c>
      <c r="P18" s="221">
        <f>IF(SUM($Q$20:$Q$23)&gt;SUM($P$15:$P$17),SUM($Q$20:$Q$23)-SUM($P$15:$P$17),0)</f>
        <v>5445</v>
      </c>
      <c r="Q18" s="224"/>
      <c r="S18" s="223">
        <f t="shared" si="0"/>
        <v>589</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56568</v>
      </c>
      <c r="N22" s="196">
        <v>56568</v>
      </c>
      <c r="P22" s="224"/>
      <c r="Q22" s="196">
        <v>70037</v>
      </c>
      <c r="S22" s="223">
        <f t="shared" ref="S22:S25" si="1">Q22-N22</f>
        <v>13469</v>
      </c>
    </row>
    <row r="23" spans="1:19" ht="16.5" customHeight="1" x14ac:dyDescent="0.25">
      <c r="A23" s="234" t="s">
        <v>1698</v>
      </c>
      <c r="B23" s="26"/>
      <c r="C23" s="26" t="s">
        <v>184</v>
      </c>
      <c r="D23" s="26"/>
      <c r="E23" s="193"/>
      <c r="F23" s="194"/>
      <c r="G23" s="194"/>
      <c r="H23" s="195"/>
      <c r="I23" s="195"/>
      <c r="J23" s="213"/>
      <c r="K23" s="248">
        <f>N23</f>
        <v>276745</v>
      </c>
      <c r="N23" s="196">
        <v>276745</v>
      </c>
      <c r="P23" s="224"/>
      <c r="Q23" s="196">
        <v>342636</v>
      </c>
      <c r="S23" s="223">
        <f t="shared" si="1"/>
        <v>65891</v>
      </c>
    </row>
    <row r="24" spans="1:19" ht="16.5" customHeight="1" x14ac:dyDescent="0.25">
      <c r="A24" s="99"/>
      <c r="B24" s="26"/>
      <c r="C24" s="26" t="s">
        <v>186</v>
      </c>
      <c r="D24" s="26"/>
      <c r="E24" s="193"/>
      <c r="F24" s="194"/>
      <c r="G24" s="194"/>
      <c r="H24" s="195"/>
      <c r="I24" s="195"/>
      <c r="J24" s="213"/>
      <c r="K24" s="248">
        <f>Q24</f>
        <v>0</v>
      </c>
      <c r="N24" s="196">
        <v>458</v>
      </c>
      <c r="P24" s="224"/>
      <c r="Q24" s="221">
        <f>IF(SUM($Q$20:$Q$23)&lt;SUM($P$15:$P$17),-SUM($Q$20:$Q$23)+SUM($P$15:$P$17),0)</f>
        <v>0</v>
      </c>
      <c r="S24" s="223">
        <f t="shared" si="1"/>
        <v>-458</v>
      </c>
    </row>
    <row r="25" spans="1:19" ht="16.5" customHeight="1" x14ac:dyDescent="0.25">
      <c r="A25" s="99"/>
      <c r="B25" s="26"/>
      <c r="C25" s="26" t="s">
        <v>187</v>
      </c>
      <c r="D25" s="26"/>
      <c r="E25" s="193"/>
      <c r="F25" s="194"/>
      <c r="G25" s="194"/>
      <c r="H25" s="195"/>
      <c r="I25" s="195"/>
      <c r="J25" s="213"/>
      <c r="K25" s="248">
        <f>IF(SUM($K$20:$K$24)&lt;SUM($J$15:$J$18),-SUM($K$20:$K$24)+SUM($J$15:$J$18),0)</f>
        <v>1047</v>
      </c>
      <c r="N25" s="196"/>
      <c r="P25" s="224"/>
      <c r="Q25" s="224"/>
      <c r="S25" s="223">
        <f t="shared" si="1"/>
        <v>0</v>
      </c>
    </row>
    <row r="26" spans="1:19" ht="16.5" customHeight="1" x14ac:dyDescent="0.25">
      <c r="A26" s="99"/>
      <c r="C26" s="47"/>
      <c r="D26" s="47"/>
      <c r="E26" s="47"/>
      <c r="F26" s="179"/>
      <c r="G26" s="179"/>
      <c r="H26" s="49"/>
      <c r="I26" s="49"/>
      <c r="J26" s="155">
        <f>SUM(J15:J25)</f>
        <v>334360</v>
      </c>
      <c r="K26" s="155">
        <f>SUM(K15:K25)</f>
        <v>334360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88112</v>
      </c>
      <c r="K33" s="197"/>
    </row>
    <row r="34" spans="1:12" ht="16.5" customHeight="1" x14ac:dyDescent="0.25">
      <c r="A34" s="99"/>
      <c r="B34" s="26"/>
      <c r="C34" s="26" t="s">
        <v>1861</v>
      </c>
      <c r="D34" s="193"/>
      <c r="E34" s="193"/>
      <c r="F34" s="194"/>
      <c r="G34" s="194"/>
      <c r="H34" s="195"/>
      <c r="I34" s="195"/>
      <c r="J34" s="197"/>
      <c r="K34" s="196">
        <v>88112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88112</v>
      </c>
      <c r="K36" s="155">
        <f>SUM(K33:K35)</f>
        <v>88112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88112</v>
      </c>
      <c r="K41" s="197"/>
    </row>
    <row r="42" spans="1:12" ht="16.5" customHeight="1" x14ac:dyDescent="0.25">
      <c r="A42" s="99"/>
      <c r="B42" s="26"/>
      <c r="C42" s="26" t="s">
        <v>198</v>
      </c>
      <c r="D42" s="193"/>
      <c r="E42" s="193"/>
      <c r="F42" s="194"/>
      <c r="G42" s="194"/>
      <c r="H42" s="195"/>
      <c r="I42" s="195"/>
      <c r="J42" s="197"/>
      <c r="K42" s="196">
        <v>88112</v>
      </c>
    </row>
    <row r="43" spans="1:12" ht="16.5" customHeight="1" x14ac:dyDescent="0.25">
      <c r="A43" s="99"/>
      <c r="B43" s="182" t="s">
        <v>1692</v>
      </c>
      <c r="C43" s="43"/>
      <c r="D43" s="43"/>
      <c r="E43" s="43"/>
      <c r="F43" s="44"/>
      <c r="G43" s="44"/>
      <c r="H43" s="45"/>
      <c r="I43" s="45"/>
      <c r="J43" s="155">
        <f>SUM(J39:J42)</f>
        <v>88112</v>
      </c>
      <c r="K43" s="155">
        <f>SUM(K39:K42)</f>
        <v>88112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88112</v>
      </c>
      <c r="K47" s="197"/>
    </row>
    <row r="48" spans="1:12" ht="16.5" customHeight="1" x14ac:dyDescent="0.25">
      <c r="A48" s="234" t="s">
        <v>1698</v>
      </c>
      <c r="B48" s="26"/>
      <c r="C48" s="26" t="s">
        <v>184</v>
      </c>
      <c r="D48" s="193"/>
      <c r="E48" s="193"/>
      <c r="F48" s="194"/>
      <c r="G48" s="194"/>
      <c r="H48" s="195"/>
      <c r="I48" s="195"/>
      <c r="J48" s="197"/>
      <c r="K48" s="196">
        <v>88112</v>
      </c>
    </row>
    <row r="49" spans="1:16" ht="16.5" customHeight="1" x14ac:dyDescent="0.25">
      <c r="A49" s="99"/>
      <c r="C49" s="43"/>
      <c r="D49" s="43"/>
      <c r="E49" s="43"/>
      <c r="F49" s="44"/>
      <c r="G49" s="44"/>
      <c r="H49" s="45"/>
      <c r="I49" s="45"/>
      <c r="J49" s="155">
        <f>SUM(J47:J48)</f>
        <v>88112</v>
      </c>
      <c r="K49" s="155">
        <f>SUM(K47:K48)</f>
        <v>88112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63107</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63107</v>
      </c>
    </row>
    <row r="59" spans="1:16" ht="16.5" customHeight="1" x14ac:dyDescent="0.25">
      <c r="A59" s="99"/>
      <c r="C59" s="43"/>
      <c r="D59" s="43"/>
      <c r="E59" s="43"/>
      <c r="F59" s="44"/>
      <c r="G59" s="44"/>
      <c r="H59" s="45"/>
      <c r="I59" s="45"/>
      <c r="J59" s="155">
        <f>SUM(J55:J58)</f>
        <v>63107</v>
      </c>
      <c r="K59" s="155">
        <f>SUM(K55:K58)</f>
        <v>63107</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58774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5119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63893</v>
      </c>
    </row>
    <row r="65" spans="1:12" ht="16.5" customHeight="1" x14ac:dyDescent="0.25">
      <c r="A65" s="99"/>
      <c r="C65" s="43"/>
      <c r="D65" s="43"/>
      <c r="E65" s="43"/>
      <c r="F65" s="44"/>
      <c r="G65" s="44"/>
      <c r="H65" s="45"/>
      <c r="I65" s="45"/>
      <c r="J65" s="155">
        <f>SUM(J62:J64)</f>
        <v>63893</v>
      </c>
      <c r="K65" s="155">
        <f>SUM(K62:K64)</f>
        <v>63893</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58774</v>
      </c>
      <c r="K68" s="197"/>
    </row>
    <row r="69" spans="1:12" ht="16.5" customHeight="1" x14ac:dyDescent="0.25">
      <c r="A69" s="99"/>
      <c r="B69" s="26"/>
      <c r="C69" s="26" t="s">
        <v>203</v>
      </c>
      <c r="D69" s="193"/>
      <c r="E69" s="193"/>
      <c r="F69" s="194"/>
      <c r="G69" s="194"/>
      <c r="H69" s="195"/>
      <c r="I69" s="195"/>
      <c r="J69" s="197"/>
      <c r="K69" s="196">
        <v>58774</v>
      </c>
    </row>
    <row r="70" spans="1:12" ht="16.5" customHeight="1" x14ac:dyDescent="0.25">
      <c r="A70" s="99"/>
      <c r="C70" s="43"/>
      <c r="D70" s="43"/>
      <c r="E70" s="43"/>
      <c r="F70" s="44"/>
      <c r="G70" s="44"/>
      <c r="H70" s="45"/>
      <c r="I70" s="45"/>
      <c r="J70" s="155">
        <f>SUM(J68:J69)</f>
        <v>58774</v>
      </c>
      <c r="K70" s="155">
        <f>SUM(K68:K69)</f>
        <v>58774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49193</v>
      </c>
      <c r="K75" s="197"/>
    </row>
    <row r="76" spans="1:12" ht="16.5" customHeight="1" x14ac:dyDescent="0.25">
      <c r="A76" s="99"/>
      <c r="B76" s="26"/>
      <c r="C76" s="26" t="s">
        <v>211</v>
      </c>
      <c r="D76" s="193"/>
      <c r="E76" s="193"/>
      <c r="F76" s="194"/>
      <c r="G76" s="194"/>
      <c r="H76" s="195"/>
      <c r="I76" s="195"/>
      <c r="J76" s="197"/>
      <c r="K76" s="196">
        <v>49193</v>
      </c>
    </row>
    <row r="77" spans="1:12" ht="16.5" customHeight="1" x14ac:dyDescent="0.2">
      <c r="A77" s="99"/>
      <c r="B77" s="265" t="s">
        <v>1841</v>
      </c>
      <c r="C77" s="265"/>
      <c r="D77" s="265"/>
      <c r="E77" s="265"/>
      <c r="F77" s="265"/>
      <c r="G77" s="265"/>
      <c r="H77" s="265"/>
      <c r="I77" s="265"/>
      <c r="J77" s="155">
        <f>SUM(J75:J76)</f>
        <v>49193</v>
      </c>
      <c r="K77" s="155">
        <f>SUM(K75:K76)</f>
        <v>49193</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3948</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3948</v>
      </c>
    </row>
    <row r="91" spans="1:16" ht="16.5" customHeight="1" x14ac:dyDescent="0.25">
      <c r="B91" s="182" t="s">
        <v>1693</v>
      </c>
      <c r="H91" s="37"/>
      <c r="J91" s="156">
        <f>SUM(J85:J90)</f>
        <v>3948</v>
      </c>
      <c r="K91" s="156">
        <f>SUM(K85:K90)</f>
        <v>3948</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4376</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4376</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4376</v>
      </c>
      <c r="K105" s="156">
        <f>SUM(K96:K104)</f>
        <v>4376</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408703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-115727</v>
      </c>
    </row>
    <row r="128" spans="1:12" ht="16.5" customHeight="1" x14ac:dyDescent="0.25">
      <c r="D128" s="193" t="s">
        <v>1709</v>
      </c>
      <c r="H128" s="37"/>
      <c r="K128" s="238">
        <f>-K23-K48+J68+J75+J96-K113</f>
        <v>-252514</v>
      </c>
    </row>
    <row r="129" spans="4:11" ht="16.5" customHeight="1" x14ac:dyDescent="0.25">
      <c r="D129" s="193" t="s">
        <v>1710</v>
      </c>
      <c r="H129" s="37"/>
      <c r="K129" s="238">
        <f>-K76</f>
        <v>-49193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9FB0F477-FCCE-4AFE-8FAF-3BC9C5E90FB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1521BB-44CD-41BB-984D-1BB3143030A4}">
      <formula1>0</formula1>
    </dataValidation>
    <dataValidation operator="lessThan" allowBlank="1" showInputMessage="1" showErrorMessage="1" sqref="A3:A8" xr:uid="{C8CAEF70-86F4-4690-B2BE-4C6273368202}"/>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A867932-3E72-4BDF-A06E-5B683E652507}">
          <x14:formula1>
            <xm:f>'Drop Down Menus'!$E$1:$E$3</xm:f>
          </x14:formula1>
          <xm:sqref>F8</xm:sqref>
        </x14:dataValidation>
        <x14:dataValidation type="list" allowBlank="1" showInputMessage="1" showErrorMessage="1" xr:uid="{77D013B9-5D97-458F-92B4-0F56D1B1F79D}">
          <x14:formula1>
            <xm:f>'Drop Down Menus'!$B$1:$B$2</xm:f>
          </x14:formula1>
          <xm:sqref>F7</xm:sqref>
        </x14:dataValidation>
        <x14:dataValidation type="list" allowBlank="1" showInputMessage="1" showErrorMessage="1" xr:uid="{158181A2-CD48-4E55-B895-F5CE8AD22415}">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FA86C-6332-4014-94D8-A44A7B02E075}">
  <sheetPr codeName="Sheet7">
    <tabColor theme="9" tint="0.59999389629810485"/>
    <pageSetUpPr fitToPage="1"/>
  </sheetPr>
  <dimension ref="A1:S193"/>
  <sheetViews>
    <sheetView topLeftCell="A53" zoomScale="70" zoomScaleNormal="70" workbookViewId="0">
      <selection activeCell="M23" sqref="M2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890</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234940</v>
      </c>
      <c r="M17" s="196">
        <v>234940</v>
      </c>
      <c r="P17" s="196">
        <v>115903</v>
      </c>
      <c r="Q17" s="224"/>
      <c r="S17" s="223">
        <f t="shared" si="0"/>
        <v>-119037</v>
      </c>
    </row>
    <row r="18" spans="1:19" ht="16.5" customHeight="1" x14ac:dyDescent="0.25">
      <c r="A18" s="99"/>
      <c r="B18" s="26" t="s">
        <v>179</v>
      </c>
      <c r="C18" s="26"/>
      <c r="D18" s="26"/>
      <c r="E18" s="193"/>
      <c r="F18" s="194"/>
      <c r="G18" s="194"/>
      <c r="H18" s="195"/>
      <c r="I18" s="195"/>
      <c r="J18" s="248">
        <f>P18</f>
        <v>1549</v>
      </c>
      <c r="M18" s="196">
        <v>3468</v>
      </c>
      <c r="P18" s="221">
        <f>IF(SUM($Q$20:$Q$23)&gt;SUM($P$15:$P$17),SUM($Q$20:$Q$23)-SUM($P$15:$P$17),0)</f>
        <v>1549</v>
      </c>
      <c r="Q18" s="224"/>
      <c r="S18" s="223">
        <f t="shared" si="0"/>
        <v>-1919</v>
      </c>
    </row>
    <row r="19" spans="1:19" ht="16.5" customHeight="1" x14ac:dyDescent="0.25">
      <c r="A19" s="99"/>
      <c r="B19" s="26" t="s">
        <v>180</v>
      </c>
      <c r="C19" s="26"/>
      <c r="D19" s="26"/>
      <c r="E19" s="193"/>
      <c r="F19" s="194"/>
      <c r="G19" s="194"/>
      <c r="H19" s="195"/>
      <c r="I19" s="195"/>
      <c r="J19" s="248">
        <f>IF(SUM($K$20:$K$24)&gt;SUM($J$15:$J$18),SUM($K$20:$K$24)-SUM($J$15:$J$18),0)</f>
        <v>1592</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40406</v>
      </c>
      <c r="N22" s="196">
        <v>40406</v>
      </c>
      <c r="P22" s="224"/>
      <c r="Q22" s="196">
        <v>19933</v>
      </c>
      <c r="S22" s="223">
        <f t="shared" ref="S22:S25" si="1">Q22-N22</f>
        <v>-20473</v>
      </c>
    </row>
    <row r="23" spans="1:19" ht="16.5" customHeight="1" x14ac:dyDescent="0.25">
      <c r="A23" s="234" t="s">
        <v>1698</v>
      </c>
      <c r="B23" s="26"/>
      <c r="C23" s="26" t="s">
        <v>184</v>
      </c>
      <c r="D23" s="26"/>
      <c r="E23" s="193"/>
      <c r="F23" s="194"/>
      <c r="G23" s="194"/>
      <c r="H23" s="195"/>
      <c r="I23" s="195"/>
      <c r="J23" s="213"/>
      <c r="K23" s="248">
        <f>N23</f>
        <v>197675</v>
      </c>
      <c r="N23" s="196">
        <v>197675</v>
      </c>
      <c r="P23" s="224"/>
      <c r="Q23" s="196">
        <v>97519</v>
      </c>
      <c r="S23" s="223">
        <f t="shared" si="1"/>
        <v>-100156</v>
      </c>
    </row>
    <row r="24" spans="1:19" ht="16.5" customHeight="1" x14ac:dyDescent="0.25">
      <c r="A24" s="99"/>
      <c r="B24" s="26"/>
      <c r="C24" s="26" t="s">
        <v>186</v>
      </c>
      <c r="D24" s="26"/>
      <c r="E24" s="193"/>
      <c r="F24" s="194"/>
      <c r="G24" s="194"/>
      <c r="H24" s="195"/>
      <c r="I24" s="195"/>
      <c r="J24" s="213"/>
      <c r="K24" s="248">
        <f>Q24</f>
        <v>0</v>
      </c>
      <c r="N24" s="196">
        <v>327</v>
      </c>
      <c r="P24" s="224"/>
      <c r="Q24" s="221">
        <f>IF(SUM($Q$20:$Q$23)&lt;SUM($P$15:$P$17),-SUM($Q$20:$Q$23)+SUM($P$15:$P$17),0)</f>
        <v>0</v>
      </c>
      <c r="S24" s="223">
        <f t="shared" si="1"/>
        <v>-327</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238081</v>
      </c>
      <c r="K26" s="155">
        <f>SUM(K15:K25)</f>
        <v>238081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62937</v>
      </c>
      <c r="K33" s="197"/>
    </row>
    <row r="34" spans="1:12" ht="16.5" customHeight="1" x14ac:dyDescent="0.25">
      <c r="A34" s="99"/>
      <c r="B34" s="26"/>
      <c r="C34" s="26" t="s">
        <v>1861</v>
      </c>
      <c r="D34" s="193"/>
      <c r="E34" s="193"/>
      <c r="F34" s="194"/>
      <c r="G34" s="194"/>
      <c r="H34" s="195"/>
      <c r="I34" s="195"/>
      <c r="J34" s="197"/>
      <c r="K34" s="196">
        <v>62937</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62937</v>
      </c>
      <c r="K36" s="155">
        <f>SUM(K33:K35)</f>
        <v>62937</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62937</v>
      </c>
      <c r="K41" s="197"/>
    </row>
    <row r="42" spans="1:12" ht="16.5" customHeight="1" x14ac:dyDescent="0.25">
      <c r="A42" s="99"/>
      <c r="B42" s="26"/>
      <c r="C42" s="26" t="s">
        <v>198</v>
      </c>
      <c r="D42" s="193"/>
      <c r="E42" s="193"/>
      <c r="F42" s="194"/>
      <c r="G42" s="194"/>
      <c r="H42" s="195"/>
      <c r="I42" s="195"/>
      <c r="J42" s="197"/>
      <c r="K42" s="196">
        <v>62937</v>
      </c>
    </row>
    <row r="43" spans="1:12" ht="16.5" customHeight="1" x14ac:dyDescent="0.25">
      <c r="A43" s="99"/>
      <c r="B43" s="182" t="s">
        <v>1692</v>
      </c>
      <c r="C43" s="43"/>
      <c r="D43" s="43"/>
      <c r="E43" s="43"/>
      <c r="F43" s="44"/>
      <c r="G43" s="44"/>
      <c r="H43" s="45"/>
      <c r="I43" s="45"/>
      <c r="J43" s="155">
        <f>SUM(J39:J42)</f>
        <v>62937</v>
      </c>
      <c r="K43" s="155">
        <f>SUM(K39:K42)</f>
        <v>62937</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62937</v>
      </c>
      <c r="K47" s="197"/>
    </row>
    <row r="48" spans="1:12" ht="16.5" customHeight="1" x14ac:dyDescent="0.25">
      <c r="A48" s="234" t="s">
        <v>1698</v>
      </c>
      <c r="B48" s="26"/>
      <c r="C48" s="26" t="s">
        <v>184</v>
      </c>
      <c r="D48" s="193"/>
      <c r="E48" s="193"/>
      <c r="F48" s="194"/>
      <c r="G48" s="194"/>
      <c r="H48" s="195"/>
      <c r="I48" s="195"/>
      <c r="J48" s="197"/>
      <c r="K48" s="196">
        <v>62937</v>
      </c>
    </row>
    <row r="49" spans="1:16" ht="16.5" customHeight="1" x14ac:dyDescent="0.25">
      <c r="A49" s="99"/>
      <c r="C49" s="43"/>
      <c r="D49" s="43"/>
      <c r="E49" s="43"/>
      <c r="F49" s="44"/>
      <c r="G49" s="44"/>
      <c r="H49" s="45"/>
      <c r="I49" s="45"/>
      <c r="J49" s="155">
        <f>SUM(J47:J48)</f>
        <v>62937</v>
      </c>
      <c r="K49" s="155">
        <f>SUM(K47:K48)</f>
        <v>62937</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45076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45076</v>
      </c>
    </row>
    <row r="59" spans="1:16" ht="16.5" customHeight="1" x14ac:dyDescent="0.25">
      <c r="A59" s="99"/>
      <c r="C59" s="43"/>
      <c r="D59" s="43"/>
      <c r="E59" s="43"/>
      <c r="F59" s="44"/>
      <c r="G59" s="44"/>
      <c r="H59" s="45"/>
      <c r="I59" s="45"/>
      <c r="J59" s="155">
        <f>SUM(J55:J58)</f>
        <v>45076</v>
      </c>
      <c r="K59" s="155">
        <f>SUM(K55:K58)</f>
        <v>45076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41982</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3656</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45638</v>
      </c>
    </row>
    <row r="65" spans="1:12" ht="16.5" customHeight="1" x14ac:dyDescent="0.25">
      <c r="A65" s="99"/>
      <c r="C65" s="43"/>
      <c r="D65" s="43"/>
      <c r="E65" s="43"/>
      <c r="F65" s="44"/>
      <c r="G65" s="44"/>
      <c r="H65" s="45"/>
      <c r="I65" s="45"/>
      <c r="J65" s="155">
        <f>SUM(J62:J64)</f>
        <v>45638</v>
      </c>
      <c r="K65" s="155">
        <f>SUM(K62:K64)</f>
        <v>45638</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41982</v>
      </c>
      <c r="K68" s="197"/>
    </row>
    <row r="69" spans="1:12" ht="16.5" customHeight="1" x14ac:dyDescent="0.25">
      <c r="A69" s="99"/>
      <c r="B69" s="26"/>
      <c r="C69" s="26" t="s">
        <v>203</v>
      </c>
      <c r="D69" s="193"/>
      <c r="E69" s="193"/>
      <c r="F69" s="194"/>
      <c r="G69" s="194"/>
      <c r="H69" s="195"/>
      <c r="I69" s="195"/>
      <c r="J69" s="197"/>
      <c r="K69" s="196">
        <v>41982</v>
      </c>
    </row>
    <row r="70" spans="1:12" ht="16.5" customHeight="1" x14ac:dyDescent="0.25">
      <c r="A70" s="99"/>
      <c r="C70" s="43"/>
      <c r="D70" s="43"/>
      <c r="E70" s="43"/>
      <c r="F70" s="44"/>
      <c r="G70" s="44"/>
      <c r="H70" s="45"/>
      <c r="I70" s="45"/>
      <c r="J70" s="155">
        <f>SUM(J68:J69)</f>
        <v>41982</v>
      </c>
      <c r="K70" s="155">
        <f>SUM(K68:K69)</f>
        <v>41982</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35138</v>
      </c>
      <c r="K75" s="197"/>
    </row>
    <row r="76" spans="1:12" ht="16.5" customHeight="1" x14ac:dyDescent="0.25">
      <c r="A76" s="99"/>
      <c r="B76" s="26"/>
      <c r="C76" s="26" t="s">
        <v>211</v>
      </c>
      <c r="D76" s="193"/>
      <c r="E76" s="193"/>
      <c r="F76" s="194"/>
      <c r="G76" s="194"/>
      <c r="H76" s="195"/>
      <c r="I76" s="195"/>
      <c r="J76" s="197"/>
      <c r="K76" s="196">
        <v>35138</v>
      </c>
    </row>
    <row r="77" spans="1:12" ht="16.5" customHeight="1" x14ac:dyDescent="0.2">
      <c r="A77" s="99"/>
      <c r="B77" s="265" t="s">
        <v>1841</v>
      </c>
      <c r="C77" s="265"/>
      <c r="D77" s="265"/>
      <c r="E77" s="265"/>
      <c r="F77" s="265"/>
      <c r="G77" s="265"/>
      <c r="H77" s="265"/>
      <c r="I77" s="265"/>
      <c r="J77" s="155">
        <f>SUM(J75:J76)</f>
        <v>35138</v>
      </c>
      <c r="K77" s="155">
        <f>SUM(K75:K76)</f>
        <v>35138</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2820</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2820</v>
      </c>
    </row>
    <row r="91" spans="1:16" ht="16.5" customHeight="1" x14ac:dyDescent="0.25">
      <c r="B91" s="182" t="s">
        <v>1693</v>
      </c>
      <c r="H91" s="37"/>
      <c r="J91" s="156">
        <f>SUM(J85:J90)</f>
        <v>2820</v>
      </c>
      <c r="K91" s="156">
        <f>SUM(K85:K90)</f>
        <v>2820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3126</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3126</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3126</v>
      </c>
      <c r="K105" s="156">
        <f>SUM(K96:K104)</f>
        <v>3126</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291931</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-82662</v>
      </c>
    </row>
    <row r="128" spans="1:12" ht="16.5" customHeight="1" x14ac:dyDescent="0.25">
      <c r="D128" s="193" t="s">
        <v>1709</v>
      </c>
      <c r="H128" s="37"/>
      <c r="K128" s="238">
        <f>-K23-K48+J68+J75+J96-K113</f>
        <v>-180366</v>
      </c>
    </row>
    <row r="129" spans="4:11" ht="16.5" customHeight="1" x14ac:dyDescent="0.25">
      <c r="D129" s="193" t="s">
        <v>1710</v>
      </c>
      <c r="H129" s="37"/>
      <c r="K129" s="238">
        <f>-K76</f>
        <v>-35138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7AD0247B-9954-4463-A931-C209D4684DA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C90F3A8-6F0D-453C-B397-067991FA40AE}">
      <formula1>0</formula1>
    </dataValidation>
    <dataValidation type="textLength" operator="equal" allowBlank="1" showInputMessage="1" showErrorMessage="1" errorTitle="4-Digit Org Code" error="Enter the Org Code/BU as 4 digits." sqref="F5" xr:uid="{433537F9-506B-4298-92DF-4798AC2985E9}">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AB35590-E1F1-4495-A760-7CEA31BDA137}">
          <x14:formula1>
            <xm:f>'Drop Down Menus'!$A$1:$A$101</xm:f>
          </x14:formula1>
          <xm:sqref>F3</xm:sqref>
        </x14:dataValidation>
        <x14:dataValidation type="list" allowBlank="1" showInputMessage="1" showErrorMessage="1" xr:uid="{D43E8CB0-50B3-4C98-9A5E-C75AB7ED3C4B}">
          <x14:formula1>
            <xm:f>'Drop Down Menus'!$B$1:$B$2</xm:f>
          </x14:formula1>
          <xm:sqref>F7</xm:sqref>
        </x14:dataValidation>
        <x14:dataValidation type="list" allowBlank="1" showInputMessage="1" showErrorMessage="1" xr:uid="{7C69C8A0-08EC-4D6F-A191-3A3FD9394AA5}">
          <x14:formula1>
            <xm:f>'Drop Down Menus'!$E$1:$E$3</xm:f>
          </x14:formula1>
          <xm:sqref>F8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5F3E-20FB-4E8F-B755-AD5C18AA66B8}">
  <sheetPr codeName="Sheet8">
    <tabColor theme="9" tint="0.59999389629810485"/>
    <pageSetUpPr fitToPage="1"/>
  </sheetPr>
  <dimension ref="A1:S193"/>
  <sheetViews>
    <sheetView topLeftCell="A58" zoomScale="70" zoomScaleNormal="70" workbookViewId="0">
      <selection activeCell="K70" sqref="K7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3057</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1461843</v>
      </c>
      <c r="M17" s="196">
        <v>1461843</v>
      </c>
      <c r="P17" s="250">
        <v>1364214</v>
      </c>
      <c r="Q17" s="224"/>
      <c r="S17" s="223">
        <f t="shared" si="0"/>
        <v>-97629</v>
      </c>
    </row>
    <row r="18" spans="1:19" ht="16.5" customHeight="1" x14ac:dyDescent="0.25">
      <c r="A18" s="99"/>
      <c r="B18" s="26" t="s">
        <v>179</v>
      </c>
      <c r="C18" s="26"/>
      <c r="D18" s="26"/>
      <c r="E18" s="193"/>
      <c r="F18" s="194"/>
      <c r="G18" s="194"/>
      <c r="H18" s="195"/>
      <c r="I18" s="195"/>
      <c r="J18" s="248">
        <f>P18</f>
        <v>18241</v>
      </c>
      <c r="M18" s="196">
        <v>21581</v>
      </c>
      <c r="P18" s="221">
        <f>IF(SUM($Q$20:$Q$23)&gt;SUM($P$15:$P$17),SUM($Q$20:$Q$23)-SUM($P$15:$P$17),0)</f>
        <v>18241</v>
      </c>
      <c r="Q18" s="224"/>
      <c r="S18" s="223">
        <f t="shared" si="0"/>
        <v>-3340</v>
      </c>
    </row>
    <row r="19" spans="1:19" ht="16.5" customHeight="1" x14ac:dyDescent="0.25">
      <c r="A19" s="99"/>
      <c r="B19" s="26" t="s">
        <v>180</v>
      </c>
      <c r="C19" s="26"/>
      <c r="D19" s="26"/>
      <c r="E19" s="193"/>
      <c r="F19" s="194"/>
      <c r="G19" s="194"/>
      <c r="H19" s="195"/>
      <c r="I19" s="195"/>
      <c r="J19" s="248">
        <f>IF(SUM($K$20:$K$24)&gt;SUM($J$15:$J$18),SUM($K$20:$K$24)-SUM($J$15:$J$18),0)</f>
        <v>1306</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251413</v>
      </c>
      <c r="N22" s="196">
        <v>251413</v>
      </c>
      <c r="P22" s="224"/>
      <c r="Q22" s="250">
        <v>234623</v>
      </c>
      <c r="S22" s="223">
        <f t="shared" ref="S22:S25" si="1">Q22-N22</f>
        <v>-16790</v>
      </c>
    </row>
    <row r="23" spans="1:19" ht="16.5" customHeight="1" x14ac:dyDescent="0.25">
      <c r="A23" s="234" t="s">
        <v>1698</v>
      </c>
      <c r="B23" s="26"/>
      <c r="C23" s="26" t="s">
        <v>184</v>
      </c>
      <c r="D23" s="26"/>
      <c r="E23" s="193"/>
      <c r="F23" s="194"/>
      <c r="G23" s="194"/>
      <c r="H23" s="195"/>
      <c r="I23" s="195"/>
      <c r="J23" s="213"/>
      <c r="K23" s="248">
        <f>N23</f>
        <v>1229977</v>
      </c>
      <c r="N23" s="196">
        <v>1229977</v>
      </c>
      <c r="P23" s="224"/>
      <c r="Q23" s="250">
        <v>1147832</v>
      </c>
      <c r="S23" s="223">
        <f t="shared" si="1"/>
        <v>-82145</v>
      </c>
    </row>
    <row r="24" spans="1:19" ht="16.5" customHeight="1" x14ac:dyDescent="0.25">
      <c r="A24" s="99"/>
      <c r="B24" s="26"/>
      <c r="C24" s="26" t="s">
        <v>186</v>
      </c>
      <c r="D24" s="26"/>
      <c r="E24" s="193"/>
      <c r="F24" s="194"/>
      <c r="G24" s="194"/>
      <c r="H24" s="195"/>
      <c r="I24" s="195"/>
      <c r="J24" s="213"/>
      <c r="K24" s="248">
        <f>Q24</f>
        <v>0</v>
      </c>
      <c r="N24" s="196">
        <v>2034</v>
      </c>
      <c r="P24" s="224"/>
      <c r="Q24" s="221">
        <f>IF(SUM($Q$20:$Q$23)&lt;SUM($P$15:$P$17),-SUM($Q$20:$Q$23)+SUM($P$15:$P$17),0)</f>
        <v>0</v>
      </c>
      <c r="S24" s="223">
        <f t="shared" si="1"/>
        <v>-2034</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1481390</v>
      </c>
      <c r="K26" s="155">
        <f>SUM(K15:K25)</f>
        <v>1481390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391611</v>
      </c>
      <c r="K33" s="197"/>
    </row>
    <row r="34" spans="1:12" ht="16.5" customHeight="1" x14ac:dyDescent="0.25">
      <c r="A34" s="99"/>
      <c r="B34" s="26"/>
      <c r="C34" s="26" t="s">
        <v>1861</v>
      </c>
      <c r="D34" s="193"/>
      <c r="E34" s="193"/>
      <c r="F34" s="194"/>
      <c r="G34" s="194"/>
      <c r="H34" s="195"/>
      <c r="I34" s="195"/>
      <c r="J34" s="197"/>
      <c r="K34" s="196">
        <v>391611</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391611</v>
      </c>
      <c r="K36" s="155">
        <f>SUM(K33:K35)</f>
        <v>391611</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391611</v>
      </c>
      <c r="K41" s="197"/>
    </row>
    <row r="42" spans="1:12" ht="16.5" customHeight="1" x14ac:dyDescent="0.25">
      <c r="A42" s="99"/>
      <c r="B42" s="26"/>
      <c r="C42" s="26" t="s">
        <v>198</v>
      </c>
      <c r="D42" s="193"/>
      <c r="E42" s="193"/>
      <c r="F42" s="194"/>
      <c r="G42" s="194"/>
      <c r="H42" s="195"/>
      <c r="I42" s="195"/>
      <c r="J42" s="197"/>
      <c r="K42" s="196">
        <v>391611</v>
      </c>
    </row>
    <row r="43" spans="1:12" ht="16.5" customHeight="1" x14ac:dyDescent="0.25">
      <c r="A43" s="99"/>
      <c r="B43" s="182" t="s">
        <v>1692</v>
      </c>
      <c r="C43" s="43"/>
      <c r="D43" s="43"/>
      <c r="E43" s="43"/>
      <c r="F43" s="44"/>
      <c r="G43" s="44"/>
      <c r="H43" s="45"/>
      <c r="I43" s="45"/>
      <c r="J43" s="155">
        <f>SUM(J39:J42)</f>
        <v>391611</v>
      </c>
      <c r="K43" s="155">
        <f>SUM(K39:K42)</f>
        <v>391611</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391611</v>
      </c>
      <c r="K47" s="197"/>
    </row>
    <row r="48" spans="1:12" ht="16.5" customHeight="1" x14ac:dyDescent="0.25">
      <c r="A48" s="234" t="s">
        <v>1698</v>
      </c>
      <c r="B48" s="26"/>
      <c r="C48" s="26" t="s">
        <v>184</v>
      </c>
      <c r="D48" s="193"/>
      <c r="E48" s="193"/>
      <c r="F48" s="194"/>
      <c r="G48" s="194"/>
      <c r="H48" s="195"/>
      <c r="I48" s="195"/>
      <c r="J48" s="197"/>
      <c r="K48" s="196">
        <v>391611</v>
      </c>
    </row>
    <row r="49" spans="1:16" ht="16.5" customHeight="1" x14ac:dyDescent="0.25">
      <c r="A49" s="99"/>
      <c r="C49" s="43"/>
      <c r="D49" s="43"/>
      <c r="E49" s="43"/>
      <c r="F49" s="44"/>
      <c r="G49" s="44"/>
      <c r="H49" s="45"/>
      <c r="I49" s="45"/>
      <c r="J49" s="155">
        <f>SUM(J47:J48)</f>
        <v>391611</v>
      </c>
      <c r="K49" s="155">
        <f>SUM(K47:K48)</f>
        <v>391611</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280473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280473</v>
      </c>
    </row>
    <row r="59" spans="1:16" ht="16.5" customHeight="1" x14ac:dyDescent="0.25">
      <c r="A59" s="99"/>
      <c r="C59" s="43"/>
      <c r="D59" s="43"/>
      <c r="E59" s="43"/>
      <c r="F59" s="44"/>
      <c r="G59" s="44"/>
      <c r="H59" s="45"/>
      <c r="I59" s="45"/>
      <c r="J59" s="155">
        <f>SUM(J55:J58)</f>
        <v>280473</v>
      </c>
      <c r="K59" s="155">
        <f>SUM(K55:K58)</f>
        <v>280473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261219</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22751</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283970</v>
      </c>
    </row>
    <row r="65" spans="1:12" ht="16.5" customHeight="1" x14ac:dyDescent="0.25">
      <c r="A65" s="99"/>
      <c r="C65" s="43"/>
      <c r="D65" s="43"/>
      <c r="E65" s="43"/>
      <c r="F65" s="44"/>
      <c r="G65" s="44"/>
      <c r="H65" s="45"/>
      <c r="I65" s="45"/>
      <c r="J65" s="155">
        <f>SUM(J62:J64)</f>
        <v>283970</v>
      </c>
      <c r="K65" s="155">
        <f>SUM(K62:K64)</f>
        <v>283970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261219</v>
      </c>
      <c r="K68" s="197"/>
    </row>
    <row r="69" spans="1:12" ht="16.5" customHeight="1" x14ac:dyDescent="0.25">
      <c r="A69" s="99"/>
      <c r="B69" s="26"/>
      <c r="C69" s="26" t="s">
        <v>203</v>
      </c>
      <c r="D69" s="193"/>
      <c r="E69" s="193"/>
      <c r="F69" s="194"/>
      <c r="G69" s="194"/>
      <c r="H69" s="195"/>
      <c r="I69" s="195"/>
      <c r="J69" s="197"/>
      <c r="K69" s="196">
        <v>261219</v>
      </c>
    </row>
    <row r="70" spans="1:12" ht="16.5" customHeight="1" x14ac:dyDescent="0.25">
      <c r="A70" s="99"/>
      <c r="C70" s="43"/>
      <c r="D70" s="43"/>
      <c r="E70" s="43"/>
      <c r="F70" s="44"/>
      <c r="G70" s="44"/>
      <c r="H70" s="45"/>
      <c r="I70" s="45"/>
      <c r="J70" s="155">
        <f>SUM(J68:J69)</f>
        <v>261219</v>
      </c>
      <c r="K70" s="155">
        <f>SUM(K68:K69)</f>
        <v>261219</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218637</v>
      </c>
      <c r="K75" s="197"/>
    </row>
    <row r="76" spans="1:12" ht="16.5" customHeight="1" x14ac:dyDescent="0.25">
      <c r="A76" s="99"/>
      <c r="B76" s="26"/>
      <c r="C76" s="26" t="s">
        <v>211</v>
      </c>
      <c r="D76" s="193"/>
      <c r="E76" s="193"/>
      <c r="F76" s="194"/>
      <c r="G76" s="194"/>
      <c r="H76" s="195"/>
      <c r="I76" s="195"/>
      <c r="J76" s="197"/>
      <c r="K76" s="196">
        <v>218637</v>
      </c>
    </row>
    <row r="77" spans="1:12" ht="16.5" customHeight="1" x14ac:dyDescent="0.2">
      <c r="A77" s="99"/>
      <c r="B77" s="265" t="s">
        <v>1841</v>
      </c>
      <c r="C77" s="265"/>
      <c r="D77" s="265"/>
      <c r="E77" s="265"/>
      <c r="F77" s="265"/>
      <c r="G77" s="265"/>
      <c r="H77" s="265"/>
      <c r="I77" s="265"/>
      <c r="J77" s="155">
        <f>SUM(J75:J76)</f>
        <v>218637</v>
      </c>
      <c r="K77" s="155">
        <f>SUM(K75:K76)</f>
        <v>218637</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17548</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17548</v>
      </c>
    </row>
    <row r="91" spans="1:16" ht="16.5" customHeight="1" x14ac:dyDescent="0.25">
      <c r="B91" s="182" t="s">
        <v>1693</v>
      </c>
      <c r="H91" s="37"/>
      <c r="J91" s="156">
        <f>SUM(J85:J90)</f>
        <v>17548</v>
      </c>
      <c r="K91" s="156">
        <f>SUM(K85:K90)</f>
        <v>17548</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19448</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19448</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19448</v>
      </c>
      <c r="K105" s="156">
        <f>SUM(K96:K104)</f>
        <v>19448</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1816458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-514338</v>
      </c>
    </row>
    <row r="128" spans="1:12" ht="16.5" customHeight="1" x14ac:dyDescent="0.25">
      <c r="D128" s="193" t="s">
        <v>1709</v>
      </c>
      <c r="H128" s="37"/>
      <c r="K128" s="238">
        <f>-K23-K48+J68+J75+J96-K113</f>
        <v>-1122284</v>
      </c>
    </row>
    <row r="129" spans="4:11" ht="16.5" customHeight="1" x14ac:dyDescent="0.25">
      <c r="D129" s="193" t="s">
        <v>1710</v>
      </c>
      <c r="H129" s="37"/>
      <c r="K129" s="238">
        <f>-K76</f>
        <v>-218637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34B1DE1F-C34A-4B46-A7A9-589E79E854E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EE00A37-D2F3-4D7A-A553-E871D0A18D5D}">
      <formula1>0</formula1>
    </dataValidation>
    <dataValidation operator="lessThan" allowBlank="1" showInputMessage="1" showErrorMessage="1" sqref="A3:A8" xr:uid="{EFE4BCD3-C077-4D89-A4B0-6BE58C0587A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621A222-0600-43D2-A1FC-8658860E49AC}">
          <x14:formula1>
            <xm:f>'Drop Down Menus'!$E$1:$E$3</xm:f>
          </x14:formula1>
          <xm:sqref>F8</xm:sqref>
        </x14:dataValidation>
        <x14:dataValidation type="list" allowBlank="1" showInputMessage="1" showErrorMessage="1" xr:uid="{F7D22BC4-CBD3-43F7-AB53-CA89174F28B5}">
          <x14:formula1>
            <xm:f>'Drop Down Menus'!$B$1:$B$2</xm:f>
          </x14:formula1>
          <xm:sqref>F7</xm:sqref>
        </x14:dataValidation>
        <x14:dataValidation type="list" allowBlank="1" showInputMessage="1" showErrorMessage="1" xr:uid="{67354527-62E3-49EC-BEE0-3EA7FF1C078B}">
          <x14:formula1>
            <xm:f>'Drop Down Menus'!$A$1:$A$101</xm:f>
          </x14:formula1>
          <xm:sqref>F3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4D8D-B84B-4C8A-82D7-B4D9B33C4763}">
  <sheetPr>
    <tabColor theme="9" tint="0.59999389629810485"/>
    <pageSetUpPr fitToPage="1"/>
  </sheetPr>
  <dimension ref="A1:S193"/>
  <sheetViews>
    <sheetView topLeftCell="A47" zoomScale="70" zoomScaleNormal="70" workbookViewId="0">
      <selection activeCell="Q32" sqref="Q3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3228</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0</v>
      </c>
      <c r="M17" s="196"/>
      <c r="P17" s="250">
        <v>5743</v>
      </c>
      <c r="Q17" s="224"/>
      <c r="S17" s="223">
        <f t="shared" si="0"/>
        <v>5743</v>
      </c>
    </row>
    <row r="18" spans="1:19" ht="16.5" customHeight="1" x14ac:dyDescent="0.25">
      <c r="A18" s="99"/>
      <c r="B18" s="26" t="s">
        <v>179</v>
      </c>
      <c r="C18" s="26"/>
      <c r="D18" s="26"/>
      <c r="E18" s="193"/>
      <c r="F18" s="194"/>
      <c r="G18" s="194"/>
      <c r="H18" s="195"/>
      <c r="I18" s="195"/>
      <c r="J18" s="248">
        <f>P18</f>
        <v>77</v>
      </c>
      <c r="M18" s="196"/>
      <c r="P18" s="221">
        <f>IF(SUM($Q$20:$Q$23)&gt;SUM($P$15:$P$17),SUM($Q$20:$Q$23)-SUM($P$15:$P$17),0)</f>
        <v>77</v>
      </c>
      <c r="Q18" s="224"/>
      <c r="S18" s="223">
        <f t="shared" si="0"/>
        <v>77</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0</v>
      </c>
      <c r="N22" s="196"/>
      <c r="P22" s="224"/>
      <c r="Q22" s="250">
        <v>988</v>
      </c>
      <c r="S22" s="223">
        <f t="shared" ref="S22:S25" si="1">Q22-N22</f>
        <v>988</v>
      </c>
    </row>
    <row r="23" spans="1:19" ht="16.5" customHeight="1" x14ac:dyDescent="0.25">
      <c r="A23" s="234" t="s">
        <v>1698</v>
      </c>
      <c r="B23" s="26"/>
      <c r="C23" s="26" t="s">
        <v>184</v>
      </c>
      <c r="D23" s="26"/>
      <c r="E23" s="193"/>
      <c r="F23" s="194"/>
      <c r="G23" s="194"/>
      <c r="H23" s="195"/>
      <c r="I23" s="195"/>
      <c r="J23" s="213"/>
      <c r="K23" s="248">
        <f>N23</f>
        <v>0</v>
      </c>
      <c r="N23" s="196"/>
      <c r="P23" s="224"/>
      <c r="Q23" s="250">
        <v>4832</v>
      </c>
      <c r="S23" s="223">
        <f t="shared" si="1"/>
        <v>4832</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77</v>
      </c>
      <c r="N25" s="196"/>
      <c r="P25" s="224"/>
      <c r="Q25" s="224"/>
      <c r="S25" s="223">
        <f t="shared" si="1"/>
        <v>0</v>
      </c>
    </row>
    <row r="26" spans="1:19" ht="16.5" customHeight="1" x14ac:dyDescent="0.25">
      <c r="A26" s="99"/>
      <c r="C26" s="47"/>
      <c r="D26" s="47"/>
      <c r="E26" s="47"/>
      <c r="F26" s="179"/>
      <c r="G26" s="179"/>
      <c r="H26" s="49"/>
      <c r="I26" s="49"/>
      <c r="J26" s="155">
        <f>SUM(J15:J25)</f>
        <v>77</v>
      </c>
      <c r="K26" s="155">
        <f>SUM(K15:K25)</f>
        <v>77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c r="K68" s="197"/>
    </row>
    <row r="69" spans="1:12" ht="16.5" customHeight="1" x14ac:dyDescent="0.25">
      <c r="A69" s="99"/>
      <c r="B69" s="26"/>
      <c r="C69" s="26" t="s">
        <v>203</v>
      </c>
      <c r="D69" s="193"/>
      <c r="E69" s="193"/>
      <c r="F69" s="194"/>
      <c r="G69" s="194"/>
      <c r="H69" s="195"/>
      <c r="I69" s="195"/>
      <c r="J69" s="197"/>
      <c r="K69" s="196"/>
    </row>
    <row r="70" spans="1:12" ht="16.5" customHeight="1" x14ac:dyDescent="0.25">
      <c r="A70" s="99"/>
      <c r="C70" s="43"/>
      <c r="D70" s="43"/>
      <c r="E70" s="43"/>
      <c r="F70" s="44"/>
      <c r="G70" s="44"/>
      <c r="H70" s="45"/>
      <c r="I70" s="45"/>
      <c r="J70" s="155">
        <f>SUM(J68:J69)</f>
        <v>0</v>
      </c>
      <c r="K70" s="155">
        <f>SUM(K68:K69)</f>
        <v>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c r="K75" s="197"/>
    </row>
    <row r="76" spans="1:12" ht="16.5" customHeight="1" x14ac:dyDescent="0.25">
      <c r="A76" s="99"/>
      <c r="B76" s="26"/>
      <c r="C76" s="26" t="s">
        <v>211</v>
      </c>
      <c r="D76" s="193"/>
      <c r="E76" s="193"/>
      <c r="F76" s="194"/>
      <c r="G76" s="194"/>
      <c r="H76" s="195"/>
      <c r="I76" s="195"/>
      <c r="J76" s="197"/>
      <c r="K76" s="196"/>
    </row>
    <row r="77" spans="1:12" ht="16.5" customHeight="1" x14ac:dyDescent="0.2">
      <c r="A77" s="99"/>
      <c r="B77" s="265" t="s">
        <v>1841</v>
      </c>
      <c r="C77" s="265"/>
      <c r="D77" s="265"/>
      <c r="E77" s="265"/>
      <c r="F77" s="265"/>
      <c r="G77" s="265"/>
      <c r="H77" s="265"/>
      <c r="I77" s="265"/>
      <c r="J77" s="155">
        <f>SUM(J75:J76)</f>
        <v>0</v>
      </c>
      <c r="K77" s="155">
        <f>SUM(K75:K76)</f>
        <v>0</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0</v>
      </c>
    </row>
    <row r="128" spans="1:12" ht="16.5" customHeight="1" x14ac:dyDescent="0.25">
      <c r="D128" s="193" t="s">
        <v>1709</v>
      </c>
      <c r="H128" s="37"/>
      <c r="K128" s="238">
        <f>-K23-K48+J68+J75+J96-K113</f>
        <v>0</v>
      </c>
    </row>
    <row r="129" spans="4:11" ht="16.5" customHeight="1" x14ac:dyDescent="0.25">
      <c r="D129" s="193" t="s">
        <v>1710</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BF26D76F-0808-4199-A2A2-85CE106542CA}"/>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332D9D6-C603-41CC-8712-DCFA6B516F99}">
      <formula1>0</formula1>
    </dataValidation>
    <dataValidation type="textLength" operator="equal" allowBlank="1" showInputMessage="1" showErrorMessage="1" errorTitle="4-Digit Org Code" error="Enter the Org Code/BU as 4 digits." sqref="F5" xr:uid="{142C6C99-8804-43FB-A464-BC4B7D501C7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7772E83-AC93-4BF9-A99D-354B8D15CD3C}">
          <x14:formula1>
            <xm:f>'Drop Down Menus'!$A$1:$A$101</xm:f>
          </x14:formula1>
          <xm:sqref>F3</xm:sqref>
        </x14:dataValidation>
        <x14:dataValidation type="list" allowBlank="1" showInputMessage="1" showErrorMessage="1" xr:uid="{0A2F198B-4AF3-4DB2-A7A8-898FD8FAC22B}">
          <x14:formula1>
            <xm:f>'Drop Down Menus'!$B$1:$B$2</xm:f>
          </x14:formula1>
          <xm:sqref>F7</xm:sqref>
        </x14:dataValidation>
        <x14:dataValidation type="list" allowBlank="1" showInputMessage="1" showErrorMessage="1" xr:uid="{E3082BC7-833D-4122-8068-3E6F9C47F434}">
          <x14:formula1>
            <xm:f>'Drop Down Menus'!$E$1:$E$3</xm:f>
          </x14:formula1>
          <xm:sqref>F8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0B84-E997-44DA-97C9-FEF8059263D8}">
  <sheetPr codeName="Sheet9">
    <tabColor theme="9" tint="0.59999389629810485"/>
    <pageSetUpPr fitToPage="1"/>
  </sheetPr>
  <dimension ref="A1:S193"/>
  <sheetViews>
    <sheetView topLeftCell="A58" zoomScale="70" zoomScaleNormal="70" workbookViewId="0">
      <selection activeCell="Q33" sqref="Q3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3237</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10443</v>
      </c>
      <c r="M17" s="196">
        <v>10443</v>
      </c>
      <c r="P17" s="250">
        <v>18273</v>
      </c>
      <c r="Q17" s="224"/>
      <c r="S17" s="223">
        <f t="shared" si="0"/>
        <v>7830</v>
      </c>
    </row>
    <row r="18" spans="1:19" ht="16.5" customHeight="1" x14ac:dyDescent="0.25">
      <c r="A18" s="99"/>
      <c r="B18" s="26" t="s">
        <v>179</v>
      </c>
      <c r="C18" s="26"/>
      <c r="D18" s="26"/>
      <c r="E18" s="193"/>
      <c r="F18" s="194"/>
      <c r="G18" s="194"/>
      <c r="H18" s="195"/>
      <c r="I18" s="195"/>
      <c r="J18" s="248">
        <f>P18</f>
        <v>245</v>
      </c>
      <c r="M18" s="196">
        <v>154</v>
      </c>
      <c r="P18" s="221">
        <f>IF(SUM($Q$20:$Q$23)&gt;SUM($P$15:$P$17),SUM($Q$20:$Q$23)-SUM($P$15:$P$17),0)</f>
        <v>245</v>
      </c>
      <c r="Q18" s="224"/>
      <c r="S18" s="223">
        <f t="shared" si="0"/>
        <v>91</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1796</v>
      </c>
      <c r="N22" s="196">
        <v>1796</v>
      </c>
      <c r="P22" s="224"/>
      <c r="Q22" s="250">
        <v>3143</v>
      </c>
      <c r="S22" s="223">
        <f t="shared" ref="S22:S25" si="1">Q22-N22</f>
        <v>1347</v>
      </c>
    </row>
    <row r="23" spans="1:19" ht="16.5" customHeight="1" x14ac:dyDescent="0.25">
      <c r="A23" s="234" t="s">
        <v>1698</v>
      </c>
      <c r="B23" s="26"/>
      <c r="C23" s="26" t="s">
        <v>184</v>
      </c>
      <c r="D23" s="26"/>
      <c r="E23" s="193"/>
      <c r="F23" s="194"/>
      <c r="G23" s="194"/>
      <c r="H23" s="195"/>
      <c r="I23" s="195"/>
      <c r="J23" s="213"/>
      <c r="K23" s="248">
        <f>N23</f>
        <v>8786</v>
      </c>
      <c r="N23" s="196">
        <v>8786</v>
      </c>
      <c r="P23" s="224"/>
      <c r="Q23" s="250">
        <v>15375</v>
      </c>
      <c r="S23" s="223">
        <f t="shared" si="1"/>
        <v>6589</v>
      </c>
    </row>
    <row r="24" spans="1:19" ht="16.5" customHeight="1" x14ac:dyDescent="0.25">
      <c r="A24" s="99"/>
      <c r="B24" s="26"/>
      <c r="C24" s="26" t="s">
        <v>186</v>
      </c>
      <c r="D24" s="26"/>
      <c r="E24" s="193"/>
      <c r="F24" s="194"/>
      <c r="G24" s="194"/>
      <c r="H24" s="195"/>
      <c r="I24" s="195"/>
      <c r="J24" s="213"/>
      <c r="K24" s="248">
        <f>Q24</f>
        <v>0</v>
      </c>
      <c r="N24" s="196">
        <v>15</v>
      </c>
      <c r="P24" s="224"/>
      <c r="Q24" s="221">
        <f>IF(SUM($Q$20:$Q$23)&lt;SUM($P$15:$P$17),-SUM($Q$20:$Q$23)+SUM($P$15:$P$17),0)</f>
        <v>0</v>
      </c>
      <c r="S24" s="223">
        <f t="shared" si="1"/>
        <v>-15</v>
      </c>
    </row>
    <row r="25" spans="1:19" ht="16.5" customHeight="1" x14ac:dyDescent="0.25">
      <c r="A25" s="99"/>
      <c r="B25" s="26"/>
      <c r="C25" s="26" t="s">
        <v>187</v>
      </c>
      <c r="D25" s="26"/>
      <c r="E25" s="193"/>
      <c r="F25" s="194"/>
      <c r="G25" s="194"/>
      <c r="H25" s="195"/>
      <c r="I25" s="195"/>
      <c r="J25" s="213"/>
      <c r="K25" s="248">
        <f>IF(SUM($K$20:$K$24)&lt;SUM($J$15:$J$18),-SUM($K$20:$K$24)+SUM($J$15:$J$18),0)</f>
        <v>106</v>
      </c>
      <c r="N25" s="196"/>
      <c r="P25" s="224"/>
      <c r="Q25" s="224"/>
      <c r="S25" s="223">
        <f t="shared" si="1"/>
        <v>0</v>
      </c>
    </row>
    <row r="26" spans="1:19" ht="16.5" customHeight="1" x14ac:dyDescent="0.25">
      <c r="A26" s="99"/>
      <c r="C26" s="47"/>
      <c r="D26" s="47"/>
      <c r="E26" s="47"/>
      <c r="F26" s="179"/>
      <c r="G26" s="179"/>
      <c r="H26" s="49"/>
      <c r="I26" s="49"/>
      <c r="J26" s="155">
        <f>SUM(J15:J25)</f>
        <v>10688</v>
      </c>
      <c r="K26" s="155">
        <f>SUM(K15:K25)</f>
        <v>10688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2797</v>
      </c>
      <c r="K33" s="197"/>
    </row>
    <row r="34" spans="1:12" ht="16.5" customHeight="1" x14ac:dyDescent="0.25">
      <c r="A34" s="99"/>
      <c r="B34" s="26"/>
      <c r="C34" s="26" t="s">
        <v>1861</v>
      </c>
      <c r="D34" s="193"/>
      <c r="E34" s="193"/>
      <c r="F34" s="194"/>
      <c r="G34" s="194"/>
      <c r="H34" s="195"/>
      <c r="I34" s="195"/>
      <c r="J34" s="197"/>
      <c r="K34" s="196">
        <v>2797</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2797</v>
      </c>
      <c r="K36" s="155">
        <f>SUM(K33:K35)</f>
        <v>2797</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2797</v>
      </c>
      <c r="K41" s="197"/>
    </row>
    <row r="42" spans="1:12" ht="16.5" customHeight="1" x14ac:dyDescent="0.25">
      <c r="A42" s="99"/>
      <c r="B42" s="26"/>
      <c r="C42" s="26" t="s">
        <v>198</v>
      </c>
      <c r="D42" s="193"/>
      <c r="E42" s="193"/>
      <c r="F42" s="194"/>
      <c r="G42" s="194"/>
      <c r="H42" s="195"/>
      <c r="I42" s="195"/>
      <c r="J42" s="197"/>
      <c r="K42" s="196">
        <v>2797</v>
      </c>
    </row>
    <row r="43" spans="1:12" ht="16.5" customHeight="1" x14ac:dyDescent="0.25">
      <c r="A43" s="99"/>
      <c r="B43" s="182" t="s">
        <v>1692</v>
      </c>
      <c r="C43" s="43"/>
      <c r="D43" s="43"/>
      <c r="E43" s="43"/>
      <c r="F43" s="44"/>
      <c r="G43" s="44"/>
      <c r="H43" s="45"/>
      <c r="I43" s="45"/>
      <c r="J43" s="155">
        <f>SUM(J39:J42)</f>
        <v>2797</v>
      </c>
      <c r="K43" s="155">
        <f>SUM(K39:K42)</f>
        <v>2797</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2797</v>
      </c>
      <c r="K47" s="197"/>
    </row>
    <row r="48" spans="1:12" ht="16.5" customHeight="1" x14ac:dyDescent="0.25">
      <c r="A48" s="234" t="s">
        <v>1698</v>
      </c>
      <c r="B48" s="26"/>
      <c r="C48" s="26" t="s">
        <v>184</v>
      </c>
      <c r="D48" s="193"/>
      <c r="E48" s="193"/>
      <c r="F48" s="194"/>
      <c r="G48" s="194"/>
      <c r="H48" s="195"/>
      <c r="I48" s="195"/>
      <c r="J48" s="197"/>
      <c r="K48" s="196">
        <v>2797</v>
      </c>
    </row>
    <row r="49" spans="1:16" ht="16.5" customHeight="1" x14ac:dyDescent="0.25">
      <c r="A49" s="99"/>
      <c r="C49" s="43"/>
      <c r="D49" s="43"/>
      <c r="E49" s="43"/>
      <c r="F49" s="44"/>
      <c r="G49" s="44"/>
      <c r="H49" s="45"/>
      <c r="I49" s="45"/>
      <c r="J49" s="155">
        <f>SUM(J47:J48)</f>
        <v>2797</v>
      </c>
      <c r="K49" s="155">
        <f>SUM(K47:K48)</f>
        <v>2797</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2003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2003</v>
      </c>
    </row>
    <row r="59" spans="1:16" ht="16.5" customHeight="1" x14ac:dyDescent="0.25">
      <c r="A59" s="99"/>
      <c r="C59" s="43"/>
      <c r="D59" s="43"/>
      <c r="E59" s="43"/>
      <c r="F59" s="44"/>
      <c r="G59" s="44"/>
      <c r="H59" s="45"/>
      <c r="I59" s="45"/>
      <c r="J59" s="155">
        <f>SUM(J55:J58)</f>
        <v>2003</v>
      </c>
      <c r="K59" s="155">
        <f>SUM(K55:K58)</f>
        <v>2003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1866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163</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2029</v>
      </c>
    </row>
    <row r="65" spans="1:12" ht="16.5" customHeight="1" x14ac:dyDescent="0.25">
      <c r="A65" s="99"/>
      <c r="C65" s="43"/>
      <c r="D65" s="43"/>
      <c r="E65" s="43"/>
      <c r="F65" s="44"/>
      <c r="G65" s="44"/>
      <c r="H65" s="45"/>
      <c r="I65" s="45"/>
      <c r="J65" s="155">
        <f>SUM(J62:J64)</f>
        <v>2029</v>
      </c>
      <c r="K65" s="155">
        <f>SUM(K62:K64)</f>
        <v>2029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1866</v>
      </c>
      <c r="K68" s="197"/>
    </row>
    <row r="69" spans="1:12" ht="16.5" customHeight="1" x14ac:dyDescent="0.25">
      <c r="A69" s="99"/>
      <c r="B69" s="26"/>
      <c r="C69" s="26" t="s">
        <v>203</v>
      </c>
      <c r="D69" s="193"/>
      <c r="E69" s="193"/>
      <c r="F69" s="194"/>
      <c r="G69" s="194"/>
      <c r="H69" s="195"/>
      <c r="I69" s="195"/>
      <c r="J69" s="197"/>
      <c r="K69" s="196">
        <v>1866</v>
      </c>
    </row>
    <row r="70" spans="1:12" ht="16.5" customHeight="1" x14ac:dyDescent="0.25">
      <c r="A70" s="99"/>
      <c r="C70" s="43"/>
      <c r="D70" s="43"/>
      <c r="E70" s="43"/>
      <c r="F70" s="44"/>
      <c r="G70" s="44"/>
      <c r="H70" s="45"/>
      <c r="I70" s="45"/>
      <c r="J70" s="155">
        <f>SUM(J68:J69)</f>
        <v>1866</v>
      </c>
      <c r="K70" s="155">
        <f>SUM(K68:K69)</f>
        <v>1866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1562</v>
      </c>
      <c r="K75" s="197"/>
    </row>
    <row r="76" spans="1:12" ht="16.5" customHeight="1" x14ac:dyDescent="0.25">
      <c r="A76" s="99"/>
      <c r="B76" s="26"/>
      <c r="C76" s="26" t="s">
        <v>211</v>
      </c>
      <c r="D76" s="193"/>
      <c r="E76" s="193"/>
      <c r="F76" s="194"/>
      <c r="G76" s="194"/>
      <c r="H76" s="195"/>
      <c r="I76" s="195"/>
      <c r="J76" s="197"/>
      <c r="K76" s="196">
        <v>1562</v>
      </c>
    </row>
    <row r="77" spans="1:12" ht="16.5" customHeight="1" x14ac:dyDescent="0.2">
      <c r="A77" s="99"/>
      <c r="B77" s="265" t="s">
        <v>1841</v>
      </c>
      <c r="C77" s="265"/>
      <c r="D77" s="265"/>
      <c r="E77" s="265"/>
      <c r="F77" s="265"/>
      <c r="G77" s="265"/>
      <c r="H77" s="265"/>
      <c r="I77" s="265"/>
      <c r="J77" s="155">
        <f>SUM(J75:J76)</f>
        <v>1562</v>
      </c>
      <c r="K77" s="155">
        <f>SUM(K75:K76)</f>
        <v>1562</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125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125</v>
      </c>
    </row>
    <row r="91" spans="1:16" ht="16.5" customHeight="1" x14ac:dyDescent="0.25">
      <c r="B91" s="182" t="s">
        <v>1693</v>
      </c>
      <c r="H91" s="37"/>
      <c r="J91" s="156">
        <f>SUM(J85:J90)</f>
        <v>125</v>
      </c>
      <c r="K91" s="156">
        <f>SUM(K85:K90)</f>
        <v>125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139</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139</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139</v>
      </c>
      <c r="K105" s="156">
        <f>SUM(K96:K104)</f>
        <v>139</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12976</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-3674</v>
      </c>
    </row>
    <row r="128" spans="1:12" ht="16.5" customHeight="1" x14ac:dyDescent="0.25">
      <c r="D128" s="193" t="s">
        <v>1709</v>
      </c>
      <c r="H128" s="37"/>
      <c r="K128" s="238">
        <f>-K23-K48+J68+J75+J96-K113</f>
        <v>-8016</v>
      </c>
    </row>
    <row r="129" spans="4:11" ht="16.5" customHeight="1" x14ac:dyDescent="0.25">
      <c r="D129" s="193" t="s">
        <v>1710</v>
      </c>
      <c r="H129" s="37"/>
      <c r="K129" s="238">
        <f>-K76</f>
        <v>-1562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E61E702D-EE7A-4F45-83BA-40C3B5F4EF43}"/>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44A1F6F-6B8E-4073-82DB-7A27FA764450}">
      <formula1>0</formula1>
    </dataValidation>
    <dataValidation type="textLength" operator="equal" allowBlank="1" showInputMessage="1" showErrorMessage="1" errorTitle="4-Digit Org Code" error="Enter the Org Code/BU as 4 digits." sqref="F5" xr:uid="{C77CF17E-E77E-45F3-9BD5-D42F26DD6E07}">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4C4D0087-CE03-4FBC-B353-11CC32670BD3}">
          <x14:formula1>
            <xm:f>'Drop Down Menus'!$A$1:$A$101</xm:f>
          </x14:formula1>
          <xm:sqref>F3</xm:sqref>
        </x14:dataValidation>
        <x14:dataValidation type="list" allowBlank="1" showInputMessage="1" showErrorMessage="1" xr:uid="{A7AE915A-E287-4080-81BE-56CDFF9D89A0}">
          <x14:formula1>
            <xm:f>'Drop Down Menus'!$B$1:$B$2</xm:f>
          </x14:formula1>
          <xm:sqref>F7</xm:sqref>
        </x14:dataValidation>
        <x14:dataValidation type="list" allowBlank="1" showInputMessage="1" showErrorMessage="1" xr:uid="{18BCC3E6-DF6E-4F7A-8A54-A10BF1526AB0}">
          <x14:formula1>
            <xm:f>'Drop Down Menus'!$E$1:$E$3</xm:f>
          </x14:formula1>
          <xm:sqref>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F65EA-3467-4412-A262-B2C1FE3B9967}">
  <sheetPr codeName="Sheet10">
    <tabColor theme="9" tint="0.59999389629810485"/>
    <pageSetUpPr fitToPage="1"/>
  </sheetPr>
  <dimension ref="A1:S193"/>
  <sheetViews>
    <sheetView topLeftCell="A53" zoomScale="70" zoomScaleNormal="70" workbookViewId="0">
      <selection activeCell="N12" sqref="N1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3398</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114859</v>
      </c>
      <c r="M17" s="196">
        <v>114859</v>
      </c>
      <c r="P17" s="196"/>
      <c r="Q17" s="224"/>
      <c r="S17" s="223">
        <f t="shared" si="0"/>
        <v>-114859</v>
      </c>
    </row>
    <row r="18" spans="1:19" ht="16.5" customHeight="1" x14ac:dyDescent="0.25">
      <c r="A18" s="99"/>
      <c r="B18" s="26" t="s">
        <v>179</v>
      </c>
      <c r="C18" s="26"/>
      <c r="D18" s="26"/>
      <c r="E18" s="193"/>
      <c r="F18" s="194"/>
      <c r="G18" s="194"/>
      <c r="H18" s="195"/>
      <c r="I18" s="195"/>
      <c r="J18" s="248">
        <f>P18</f>
        <v>0</v>
      </c>
      <c r="M18" s="196">
        <v>1696</v>
      </c>
      <c r="P18" s="221">
        <f>IF(SUM($Q$20:$Q$23)&gt;SUM($P$15:$P$17),SUM($Q$20:$Q$23)-SUM($P$15:$P$17),0)</f>
        <v>0</v>
      </c>
      <c r="Q18" s="224"/>
      <c r="S18" s="223">
        <f t="shared" si="0"/>
        <v>-1696</v>
      </c>
    </row>
    <row r="19" spans="1:19" ht="16.5" customHeight="1" x14ac:dyDescent="0.25">
      <c r="A19" s="99"/>
      <c r="B19" s="26" t="s">
        <v>180</v>
      </c>
      <c r="C19" s="26"/>
      <c r="D19" s="26"/>
      <c r="E19" s="193"/>
      <c r="F19" s="194"/>
      <c r="G19" s="194"/>
      <c r="H19" s="195"/>
      <c r="I19" s="195"/>
      <c r="J19" s="248">
        <f>IF(SUM($K$20:$K$24)&gt;SUM($J$15:$J$18),SUM($K$20:$K$24)-SUM($J$15:$J$18),0)</f>
        <v>1536</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19754</v>
      </c>
      <c r="N22" s="196">
        <v>19754</v>
      </c>
      <c r="P22" s="224"/>
      <c r="Q22" s="196"/>
      <c r="S22" s="223">
        <f t="shared" ref="S22:S25" si="1">Q22-N22</f>
        <v>-19754</v>
      </c>
    </row>
    <row r="23" spans="1:19" ht="16.5" customHeight="1" x14ac:dyDescent="0.25">
      <c r="A23" s="234" t="s">
        <v>1698</v>
      </c>
      <c r="B23" s="26"/>
      <c r="C23" s="26" t="s">
        <v>184</v>
      </c>
      <c r="D23" s="26"/>
      <c r="E23" s="193"/>
      <c r="F23" s="194"/>
      <c r="G23" s="194"/>
      <c r="H23" s="195"/>
      <c r="I23" s="195"/>
      <c r="J23" s="213"/>
      <c r="K23" s="248">
        <f>N23</f>
        <v>96641</v>
      </c>
      <c r="N23" s="196">
        <v>96641</v>
      </c>
      <c r="P23" s="224"/>
      <c r="Q23" s="196"/>
      <c r="S23" s="223">
        <f t="shared" si="1"/>
        <v>-96641</v>
      </c>
    </row>
    <row r="24" spans="1:19" ht="16.5" customHeight="1" x14ac:dyDescent="0.25">
      <c r="A24" s="99"/>
      <c r="B24" s="26"/>
      <c r="C24" s="26" t="s">
        <v>186</v>
      </c>
      <c r="D24" s="26"/>
      <c r="E24" s="193"/>
      <c r="F24" s="194"/>
      <c r="G24" s="194"/>
      <c r="H24" s="195"/>
      <c r="I24" s="195"/>
      <c r="J24" s="213"/>
      <c r="K24" s="248">
        <f>Q24</f>
        <v>0</v>
      </c>
      <c r="N24" s="196">
        <v>160</v>
      </c>
      <c r="P24" s="224"/>
      <c r="Q24" s="221">
        <f>IF(SUM($Q$20:$Q$23)&lt;SUM($P$15:$P$17),-SUM($Q$20:$Q$23)+SUM($P$15:$P$17),0)</f>
        <v>0</v>
      </c>
      <c r="S24" s="223">
        <f t="shared" si="1"/>
        <v>-160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116395</v>
      </c>
      <c r="K26" s="155">
        <f>SUM(K15:K25)</f>
        <v>116395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30769</v>
      </c>
      <c r="K33" s="197"/>
    </row>
    <row r="34" spans="1:12" ht="16.5" customHeight="1" x14ac:dyDescent="0.25">
      <c r="A34" s="99"/>
      <c r="B34" s="26"/>
      <c r="C34" s="26" t="s">
        <v>1861</v>
      </c>
      <c r="D34" s="193"/>
      <c r="E34" s="193"/>
      <c r="F34" s="194"/>
      <c r="G34" s="194"/>
      <c r="H34" s="195"/>
      <c r="I34" s="195"/>
      <c r="J34" s="197"/>
      <c r="K34" s="196">
        <v>30769</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30769</v>
      </c>
      <c r="K36" s="155">
        <f>SUM(K33:K35)</f>
        <v>30769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30769</v>
      </c>
      <c r="K41" s="197"/>
    </row>
    <row r="42" spans="1:12" ht="16.5" customHeight="1" x14ac:dyDescent="0.25">
      <c r="A42" s="99"/>
      <c r="B42" s="26"/>
      <c r="C42" s="26" t="s">
        <v>198</v>
      </c>
      <c r="D42" s="193"/>
      <c r="E42" s="193"/>
      <c r="F42" s="194"/>
      <c r="G42" s="194"/>
      <c r="H42" s="195"/>
      <c r="I42" s="195"/>
      <c r="J42" s="197"/>
      <c r="K42" s="196">
        <v>30769</v>
      </c>
    </row>
    <row r="43" spans="1:12" ht="16.5" customHeight="1" x14ac:dyDescent="0.25">
      <c r="A43" s="99"/>
      <c r="B43" s="182" t="s">
        <v>1692</v>
      </c>
      <c r="C43" s="43"/>
      <c r="D43" s="43"/>
      <c r="E43" s="43"/>
      <c r="F43" s="44"/>
      <c r="G43" s="44"/>
      <c r="H43" s="45"/>
      <c r="I43" s="45"/>
      <c r="J43" s="155">
        <f>SUM(J39:J42)</f>
        <v>30769</v>
      </c>
      <c r="K43" s="155">
        <f>SUM(K39:K42)</f>
        <v>30769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30769</v>
      </c>
      <c r="K47" s="197"/>
    </row>
    <row r="48" spans="1:12" ht="16.5" customHeight="1" x14ac:dyDescent="0.25">
      <c r="A48" s="234" t="s">
        <v>1698</v>
      </c>
      <c r="B48" s="26"/>
      <c r="C48" s="26" t="s">
        <v>184</v>
      </c>
      <c r="D48" s="193"/>
      <c r="E48" s="193"/>
      <c r="F48" s="194"/>
      <c r="G48" s="194"/>
      <c r="H48" s="195"/>
      <c r="I48" s="195"/>
      <c r="J48" s="197"/>
      <c r="K48" s="196">
        <v>30769</v>
      </c>
    </row>
    <row r="49" spans="1:16" ht="16.5" customHeight="1" x14ac:dyDescent="0.25">
      <c r="A49" s="99"/>
      <c r="C49" s="43"/>
      <c r="D49" s="43"/>
      <c r="E49" s="43"/>
      <c r="F49" s="44"/>
      <c r="G49" s="44"/>
      <c r="H49" s="45"/>
      <c r="I49" s="45"/>
      <c r="J49" s="155">
        <f>SUM(J47:J48)</f>
        <v>30769</v>
      </c>
      <c r="K49" s="155">
        <f>SUM(K47:K48)</f>
        <v>30769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22037</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22037</v>
      </c>
    </row>
    <row r="59" spans="1:16" ht="16.5" customHeight="1" x14ac:dyDescent="0.25">
      <c r="A59" s="99"/>
      <c r="C59" s="43"/>
      <c r="D59" s="43"/>
      <c r="E59" s="43"/>
      <c r="F59" s="44"/>
      <c r="G59" s="44"/>
      <c r="H59" s="45"/>
      <c r="I59" s="45"/>
      <c r="J59" s="155">
        <f>SUM(J55:J58)</f>
        <v>22037</v>
      </c>
      <c r="K59" s="155">
        <f>SUM(K55:K58)</f>
        <v>22037</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20524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1788</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22312</v>
      </c>
    </row>
    <row r="65" spans="1:12" ht="16.5" customHeight="1" x14ac:dyDescent="0.25">
      <c r="A65" s="99"/>
      <c r="C65" s="43"/>
      <c r="D65" s="43"/>
      <c r="E65" s="43"/>
      <c r="F65" s="44"/>
      <c r="G65" s="44"/>
      <c r="H65" s="45"/>
      <c r="I65" s="45"/>
      <c r="J65" s="155">
        <f>SUM(J62:J64)</f>
        <v>22312</v>
      </c>
      <c r="K65" s="155">
        <f>SUM(K62:K64)</f>
        <v>22312</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20524</v>
      </c>
      <c r="K68" s="197"/>
    </row>
    <row r="69" spans="1:12" ht="16.5" customHeight="1" x14ac:dyDescent="0.25">
      <c r="A69" s="99"/>
      <c r="B69" s="26"/>
      <c r="C69" s="26" t="s">
        <v>203</v>
      </c>
      <c r="D69" s="193"/>
      <c r="E69" s="193"/>
      <c r="F69" s="194"/>
      <c r="G69" s="194"/>
      <c r="H69" s="195"/>
      <c r="I69" s="195"/>
      <c r="J69" s="197"/>
      <c r="K69" s="196">
        <v>20524</v>
      </c>
    </row>
    <row r="70" spans="1:12" ht="16.5" customHeight="1" x14ac:dyDescent="0.25">
      <c r="A70" s="99"/>
      <c r="C70" s="43"/>
      <c r="D70" s="43"/>
      <c r="E70" s="43"/>
      <c r="F70" s="44"/>
      <c r="G70" s="44"/>
      <c r="H70" s="45"/>
      <c r="I70" s="45"/>
      <c r="J70" s="155">
        <f>SUM(J68:J69)</f>
        <v>20524</v>
      </c>
      <c r="K70" s="155">
        <f>SUM(K68:K69)</f>
        <v>20524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17179</v>
      </c>
      <c r="K75" s="197"/>
    </row>
    <row r="76" spans="1:12" ht="16.5" customHeight="1" x14ac:dyDescent="0.25">
      <c r="A76" s="99"/>
      <c r="B76" s="26"/>
      <c r="C76" s="26" t="s">
        <v>211</v>
      </c>
      <c r="D76" s="193"/>
      <c r="E76" s="193"/>
      <c r="F76" s="194"/>
      <c r="G76" s="194"/>
      <c r="H76" s="195"/>
      <c r="I76" s="195"/>
      <c r="J76" s="197"/>
      <c r="K76" s="196">
        <v>17179</v>
      </c>
    </row>
    <row r="77" spans="1:12" ht="16.5" customHeight="1" x14ac:dyDescent="0.2">
      <c r="A77" s="99"/>
      <c r="B77" s="265" t="s">
        <v>1841</v>
      </c>
      <c r="C77" s="265"/>
      <c r="D77" s="265"/>
      <c r="E77" s="265"/>
      <c r="F77" s="265"/>
      <c r="G77" s="265"/>
      <c r="H77" s="265"/>
      <c r="I77" s="265"/>
      <c r="J77" s="155">
        <f>SUM(J75:J76)</f>
        <v>17179</v>
      </c>
      <c r="K77" s="155">
        <f>SUM(K75:K76)</f>
        <v>17179</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1379</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1379</v>
      </c>
    </row>
    <row r="91" spans="1:16" ht="16.5" customHeight="1" x14ac:dyDescent="0.25">
      <c r="B91" s="182" t="s">
        <v>1693</v>
      </c>
      <c r="H91" s="37"/>
      <c r="J91" s="156">
        <f>SUM(J85:J90)</f>
        <v>1379</v>
      </c>
      <c r="K91" s="156">
        <f>SUM(K85:K90)</f>
        <v>1379</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1528</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1528</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1528</v>
      </c>
      <c r="K105" s="156">
        <f>SUM(K96:K104)</f>
        <v>1528</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142721</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-40412</v>
      </c>
    </row>
    <row r="128" spans="1:12" ht="16.5" customHeight="1" x14ac:dyDescent="0.25">
      <c r="D128" s="193" t="s">
        <v>1709</v>
      </c>
      <c r="H128" s="37"/>
      <c r="K128" s="238">
        <f>-K23-K48+J68+J75+J96-K113</f>
        <v>-88179</v>
      </c>
    </row>
    <row r="129" spans="4:11" ht="16.5" customHeight="1" x14ac:dyDescent="0.25">
      <c r="D129" s="193" t="s">
        <v>1710</v>
      </c>
      <c r="H129" s="37"/>
      <c r="K129" s="238">
        <f>-K76</f>
        <v>-17179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6A462BF8-7090-48D7-9959-B173B082C21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67CAE3E-43FB-4E80-AC09-436A0F9BD7C1}">
      <formula1>0</formula1>
    </dataValidation>
    <dataValidation type="textLength" operator="equal" allowBlank="1" showInputMessage="1" showErrorMessage="1" errorTitle="4-Digit Org Code" error="Enter the Org Code/BU as 4 digits." sqref="F5" xr:uid="{5FF2A81F-7522-487D-85C4-3DF06B93C3B7}">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73542A7-3AC0-4252-A135-E3C935F8D0D6}">
          <x14:formula1>
            <xm:f>'Drop Down Menus'!$A$1:$A$101</xm:f>
          </x14:formula1>
          <xm:sqref>F3</xm:sqref>
        </x14:dataValidation>
        <x14:dataValidation type="list" allowBlank="1" showInputMessage="1" showErrorMessage="1" xr:uid="{7CEE40C5-2A95-41E5-9D5C-07DAF88348D2}">
          <x14:formula1>
            <xm:f>'Drop Down Menus'!$B$1:$B$2</xm:f>
          </x14:formula1>
          <xm:sqref>F7</xm:sqref>
        </x14:dataValidation>
        <x14:dataValidation type="list" allowBlank="1" showInputMessage="1" showErrorMessage="1" xr:uid="{7DD6388B-0C80-4C31-B3F3-66D202998B2D}">
          <x14:formula1>
            <xm:f>'Drop Down Menus'!$E$1:$E$3</xm:f>
          </x14:formula1>
          <xm:sqref>F8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81116-48C8-430C-913B-B090F3B2F8DF}">
  <sheetPr codeName="Sheet11">
    <tabColor theme="9" tint="0.59999389629810485"/>
    <pageSetUpPr fitToPage="1"/>
  </sheetPr>
  <dimension ref="A1:S193"/>
  <sheetViews>
    <sheetView topLeftCell="A52" zoomScale="70" zoomScaleNormal="70" workbookViewId="0">
      <selection activeCell="P58" sqref="P5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6001</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36546</v>
      </c>
      <c r="M17" s="196">
        <v>36546</v>
      </c>
      <c r="P17" s="250">
        <v>41767</v>
      </c>
      <c r="Q17" s="224"/>
      <c r="S17" s="223">
        <f t="shared" si="0"/>
        <v>5221</v>
      </c>
    </row>
    <row r="18" spans="1:19" ht="16.5" customHeight="1" x14ac:dyDescent="0.25">
      <c r="A18" s="99"/>
      <c r="B18" s="26" t="s">
        <v>179</v>
      </c>
      <c r="C18" s="26"/>
      <c r="D18" s="26"/>
      <c r="E18" s="193"/>
      <c r="F18" s="194"/>
      <c r="G18" s="194"/>
      <c r="H18" s="195"/>
      <c r="I18" s="195"/>
      <c r="J18" s="248">
        <f>P18</f>
        <v>558</v>
      </c>
      <c r="M18" s="196">
        <v>540</v>
      </c>
      <c r="P18" s="221">
        <f>IF(SUM($Q$20:$Q$23)&gt;SUM($P$15:$P$17),SUM($Q$20:$Q$23)-SUM($P$15:$P$17),0)</f>
        <v>558</v>
      </c>
      <c r="Q18" s="224"/>
      <c r="S18" s="223">
        <f t="shared" si="0"/>
        <v>18</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6285</v>
      </c>
      <c r="N22" s="196">
        <v>6285</v>
      </c>
      <c r="P22" s="224"/>
      <c r="Q22" s="196">
        <v>7183</v>
      </c>
      <c r="S22" s="223">
        <f t="shared" ref="S22:S25" si="1">Q22-N22</f>
        <v>898</v>
      </c>
    </row>
    <row r="23" spans="1:19" ht="16.5" customHeight="1" x14ac:dyDescent="0.25">
      <c r="A23" s="234" t="s">
        <v>1698</v>
      </c>
      <c r="B23" s="26"/>
      <c r="C23" s="26" t="s">
        <v>184</v>
      </c>
      <c r="D23" s="26"/>
      <c r="E23" s="193"/>
      <c r="F23" s="194"/>
      <c r="G23" s="194"/>
      <c r="H23" s="195"/>
      <c r="I23" s="195"/>
      <c r="J23" s="213"/>
      <c r="K23" s="248">
        <f>N23</f>
        <v>30749</v>
      </c>
      <c r="N23" s="196">
        <v>30749</v>
      </c>
      <c r="P23" s="224"/>
      <c r="Q23" s="250">
        <v>35142</v>
      </c>
      <c r="S23" s="223">
        <f t="shared" si="1"/>
        <v>4393</v>
      </c>
    </row>
    <row r="24" spans="1:19" ht="16.5" customHeight="1" x14ac:dyDescent="0.25">
      <c r="A24" s="99"/>
      <c r="B24" s="26"/>
      <c r="C24" s="26" t="s">
        <v>186</v>
      </c>
      <c r="D24" s="26"/>
      <c r="E24" s="193"/>
      <c r="F24" s="194"/>
      <c r="G24" s="194"/>
      <c r="H24" s="195"/>
      <c r="I24" s="195"/>
      <c r="J24" s="213"/>
      <c r="K24" s="248">
        <f>Q24</f>
        <v>0</v>
      </c>
      <c r="N24" s="196">
        <v>51</v>
      </c>
      <c r="P24" s="224"/>
      <c r="Q24" s="221">
        <f>IF(SUM($Q$20:$Q$23)&lt;SUM($P$15:$P$17),-SUM($Q$20:$Q$23)+SUM($P$15:$P$17),0)</f>
        <v>0</v>
      </c>
      <c r="S24" s="223">
        <f t="shared" si="1"/>
        <v>-51</v>
      </c>
    </row>
    <row r="25" spans="1:19" ht="16.5" customHeight="1" x14ac:dyDescent="0.25">
      <c r="A25" s="99"/>
      <c r="B25" s="26"/>
      <c r="C25" s="26" t="s">
        <v>187</v>
      </c>
      <c r="D25" s="26"/>
      <c r="E25" s="193"/>
      <c r="F25" s="194"/>
      <c r="G25" s="194"/>
      <c r="H25" s="195"/>
      <c r="I25" s="195"/>
      <c r="J25" s="213"/>
      <c r="K25" s="248">
        <f>IF(SUM($K$20:$K$24)&lt;SUM($J$15:$J$18),-SUM($K$20:$K$24)+SUM($J$15:$J$18),0)</f>
        <v>70</v>
      </c>
      <c r="N25" s="196"/>
      <c r="P25" s="224"/>
      <c r="Q25" s="224"/>
      <c r="S25" s="223">
        <f t="shared" si="1"/>
        <v>0</v>
      </c>
    </row>
    <row r="26" spans="1:19" ht="16.5" customHeight="1" x14ac:dyDescent="0.25">
      <c r="A26" s="99"/>
      <c r="C26" s="47"/>
      <c r="D26" s="47"/>
      <c r="E26" s="47"/>
      <c r="F26" s="179"/>
      <c r="G26" s="179"/>
      <c r="H26" s="49"/>
      <c r="I26" s="49"/>
      <c r="J26" s="155">
        <f>SUM(J15:J25)</f>
        <v>37104</v>
      </c>
      <c r="K26" s="155">
        <f>SUM(K15:K25)</f>
        <v>37104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9790</v>
      </c>
      <c r="K33" s="197"/>
    </row>
    <row r="34" spans="1:12" ht="16.5" customHeight="1" x14ac:dyDescent="0.25">
      <c r="A34" s="99"/>
      <c r="B34" s="26"/>
      <c r="C34" s="26" t="s">
        <v>1861</v>
      </c>
      <c r="D34" s="193"/>
      <c r="E34" s="193"/>
      <c r="F34" s="194"/>
      <c r="G34" s="194"/>
      <c r="H34" s="195"/>
      <c r="I34" s="195"/>
      <c r="J34" s="197"/>
      <c r="K34" s="196">
        <v>9790</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9790</v>
      </c>
      <c r="K36" s="155">
        <f>SUM(K33:K35)</f>
        <v>9790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9790</v>
      </c>
      <c r="K41" s="197"/>
    </row>
    <row r="42" spans="1:12" ht="16.5" customHeight="1" x14ac:dyDescent="0.25">
      <c r="A42" s="99"/>
      <c r="B42" s="26"/>
      <c r="C42" s="26" t="s">
        <v>198</v>
      </c>
      <c r="D42" s="193"/>
      <c r="E42" s="193"/>
      <c r="F42" s="194"/>
      <c r="G42" s="194"/>
      <c r="H42" s="195"/>
      <c r="I42" s="195"/>
      <c r="J42" s="197"/>
      <c r="K42" s="196">
        <v>9790</v>
      </c>
    </row>
    <row r="43" spans="1:12" ht="16.5" customHeight="1" x14ac:dyDescent="0.25">
      <c r="A43" s="99"/>
      <c r="B43" s="182" t="s">
        <v>1692</v>
      </c>
      <c r="C43" s="43"/>
      <c r="D43" s="43"/>
      <c r="E43" s="43"/>
      <c r="F43" s="44"/>
      <c r="G43" s="44"/>
      <c r="H43" s="45"/>
      <c r="I43" s="45"/>
      <c r="J43" s="155">
        <f>SUM(J39:J42)</f>
        <v>9790</v>
      </c>
      <c r="K43" s="155">
        <f>SUM(K39:K42)</f>
        <v>9790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9790</v>
      </c>
      <c r="K47" s="197"/>
    </row>
    <row r="48" spans="1:12" ht="16.5" customHeight="1" x14ac:dyDescent="0.25">
      <c r="A48" s="234" t="s">
        <v>1698</v>
      </c>
      <c r="B48" s="26"/>
      <c r="C48" s="26" t="s">
        <v>184</v>
      </c>
      <c r="D48" s="193"/>
      <c r="E48" s="193"/>
      <c r="F48" s="194"/>
      <c r="G48" s="194"/>
      <c r="H48" s="195"/>
      <c r="I48" s="195"/>
      <c r="J48" s="197"/>
      <c r="K48" s="196">
        <v>9790</v>
      </c>
    </row>
    <row r="49" spans="1:16" ht="16.5" customHeight="1" x14ac:dyDescent="0.25">
      <c r="A49" s="99"/>
      <c r="C49" s="43"/>
      <c r="D49" s="43"/>
      <c r="E49" s="43"/>
      <c r="F49" s="44"/>
      <c r="G49" s="44"/>
      <c r="H49" s="45"/>
      <c r="I49" s="45"/>
      <c r="J49" s="155">
        <f>SUM(J47:J48)</f>
        <v>9790</v>
      </c>
      <c r="K49" s="155">
        <f>SUM(K47:K48)</f>
        <v>9790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7012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7012</v>
      </c>
    </row>
    <row r="59" spans="1:16" ht="16.5" customHeight="1" x14ac:dyDescent="0.25">
      <c r="A59" s="99"/>
      <c r="C59" s="43"/>
      <c r="D59" s="43"/>
      <c r="E59" s="43"/>
      <c r="F59" s="44"/>
      <c r="G59" s="44"/>
      <c r="H59" s="45"/>
      <c r="I59" s="45"/>
      <c r="J59" s="155">
        <f>SUM(J55:J58)</f>
        <v>7012</v>
      </c>
      <c r="K59" s="155">
        <f>SUM(K55:K58)</f>
        <v>7012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6530</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569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7099</v>
      </c>
    </row>
    <row r="65" spans="1:12" ht="16.5" customHeight="1" x14ac:dyDescent="0.25">
      <c r="A65" s="99"/>
      <c r="C65" s="43"/>
      <c r="D65" s="43"/>
      <c r="E65" s="43"/>
      <c r="F65" s="44"/>
      <c r="G65" s="44"/>
      <c r="H65" s="45"/>
      <c r="I65" s="45"/>
      <c r="J65" s="155">
        <f>SUM(J62:J64)</f>
        <v>7099</v>
      </c>
      <c r="K65" s="155">
        <f>SUM(K62:K64)</f>
        <v>7099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6530</v>
      </c>
      <c r="K68" s="197"/>
    </row>
    <row r="69" spans="1:12" ht="16.5" customHeight="1" x14ac:dyDescent="0.25">
      <c r="A69" s="99"/>
      <c r="B69" s="26"/>
      <c r="C69" s="26" t="s">
        <v>203</v>
      </c>
      <c r="D69" s="193"/>
      <c r="E69" s="193"/>
      <c r="F69" s="194"/>
      <c r="G69" s="194"/>
      <c r="H69" s="195"/>
      <c r="I69" s="195"/>
      <c r="J69" s="197"/>
      <c r="K69" s="196">
        <v>6530</v>
      </c>
    </row>
    <row r="70" spans="1:12" ht="16.5" customHeight="1" x14ac:dyDescent="0.25">
      <c r="A70" s="99"/>
      <c r="C70" s="43"/>
      <c r="D70" s="43"/>
      <c r="E70" s="43"/>
      <c r="F70" s="44"/>
      <c r="G70" s="44"/>
      <c r="H70" s="45"/>
      <c r="I70" s="45"/>
      <c r="J70" s="155">
        <f>SUM(J68:J69)</f>
        <v>6530</v>
      </c>
      <c r="K70" s="155">
        <f>SUM(K68:K69)</f>
        <v>6530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5466</v>
      </c>
      <c r="K75" s="197"/>
    </row>
    <row r="76" spans="1:12" ht="16.5" customHeight="1" x14ac:dyDescent="0.25">
      <c r="A76" s="99"/>
      <c r="B76" s="26"/>
      <c r="C76" s="26" t="s">
        <v>211</v>
      </c>
      <c r="D76" s="193"/>
      <c r="E76" s="193"/>
      <c r="F76" s="194"/>
      <c r="G76" s="194"/>
      <c r="H76" s="195"/>
      <c r="I76" s="195"/>
      <c r="J76" s="197"/>
      <c r="K76" s="196">
        <v>5466</v>
      </c>
    </row>
    <row r="77" spans="1:12" ht="16.5" customHeight="1" x14ac:dyDescent="0.2">
      <c r="A77" s="99"/>
      <c r="B77" s="265" t="s">
        <v>1841</v>
      </c>
      <c r="C77" s="265"/>
      <c r="D77" s="265"/>
      <c r="E77" s="265"/>
      <c r="F77" s="265"/>
      <c r="G77" s="265"/>
      <c r="H77" s="265"/>
      <c r="I77" s="265"/>
      <c r="J77" s="155">
        <f>SUM(J75:J76)</f>
        <v>5466</v>
      </c>
      <c r="K77" s="155">
        <f>SUM(K75:K76)</f>
        <v>5466</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439</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439</v>
      </c>
    </row>
    <row r="91" spans="1:16" ht="16.5" customHeight="1" x14ac:dyDescent="0.25">
      <c r="B91" s="182" t="s">
        <v>1693</v>
      </c>
      <c r="H91" s="37"/>
      <c r="J91" s="156">
        <f>SUM(J85:J90)</f>
        <v>439</v>
      </c>
      <c r="K91" s="156">
        <f>SUM(K85:K90)</f>
        <v>439</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486</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486</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486</v>
      </c>
      <c r="K105" s="156">
        <f>SUM(K96:K104)</f>
        <v>486</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45411</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-12858</v>
      </c>
    </row>
    <row r="128" spans="1:12" ht="16.5" customHeight="1" x14ac:dyDescent="0.25">
      <c r="D128" s="193" t="s">
        <v>1709</v>
      </c>
      <c r="H128" s="37"/>
      <c r="K128" s="238">
        <f>-K23-K48+J68+J75+J96-K113</f>
        <v>-28057</v>
      </c>
    </row>
    <row r="129" spans="4:11" ht="16.5" customHeight="1" x14ac:dyDescent="0.25">
      <c r="D129" s="193" t="s">
        <v>1710</v>
      </c>
      <c r="H129" s="37"/>
      <c r="K129" s="238">
        <f>-K76</f>
        <v>-5466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FAF81A16-8597-47D0-8F54-504ACD76F45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9728B6B-C5F3-4952-88F9-BD392E80487B}">
      <formula1>0</formula1>
    </dataValidation>
    <dataValidation operator="lessThan" allowBlank="1" showInputMessage="1" showErrorMessage="1" sqref="A3:A8" xr:uid="{672CBC52-31DE-45CC-A3D5-D3380D772B3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51C1641-EC22-48B7-9977-02BB11086BBC}">
          <x14:formula1>
            <xm:f>'Drop Down Menus'!$E$1:$E$3</xm:f>
          </x14:formula1>
          <xm:sqref>F8</xm:sqref>
        </x14:dataValidation>
        <x14:dataValidation type="list" allowBlank="1" showInputMessage="1" showErrorMessage="1" xr:uid="{FD2E700D-642D-4D8B-82A4-A31BCFCCBDA1}">
          <x14:formula1>
            <xm:f>'Drop Down Menus'!$B$1:$B$2</xm:f>
          </x14:formula1>
          <xm:sqref>F7</xm:sqref>
        </x14:dataValidation>
        <x14:dataValidation type="list" allowBlank="1" showInputMessage="1" showErrorMessage="1" xr:uid="{29DAF624-1673-48AB-AD1F-0F2CC105EF42}">
          <x14:formula1>
            <xm:f>'Drop Down Menus'!$A$1:$A$101</xm:f>
          </x14:formula1>
          <xm:sqref>F3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C483-1E49-441C-9751-0BFC63F4319D}">
  <sheetPr codeName="Sheet12">
    <tabColor theme="9" tint="0.59999389629810485"/>
    <pageSetUpPr fitToPage="1"/>
  </sheetPr>
  <dimension ref="A1:S193"/>
  <sheetViews>
    <sheetView topLeftCell="A55" zoomScale="70" zoomScaleNormal="70" workbookViewId="0">
      <selection activeCell="N76" sqref="N7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6005</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10443</v>
      </c>
      <c r="M17" s="196">
        <v>10443</v>
      </c>
      <c r="P17" s="196"/>
      <c r="Q17" s="224"/>
      <c r="S17" s="223">
        <f t="shared" si="0"/>
        <v>-10443</v>
      </c>
    </row>
    <row r="18" spans="1:19" ht="16.5" customHeight="1" x14ac:dyDescent="0.25">
      <c r="A18" s="99"/>
      <c r="B18" s="26" t="s">
        <v>179</v>
      </c>
      <c r="C18" s="26"/>
      <c r="D18" s="26"/>
      <c r="E18" s="193"/>
      <c r="F18" s="194"/>
      <c r="G18" s="194"/>
      <c r="H18" s="195"/>
      <c r="I18" s="195"/>
      <c r="J18" s="248">
        <f>P18</f>
        <v>0</v>
      </c>
      <c r="M18" s="196">
        <v>154</v>
      </c>
      <c r="P18" s="221">
        <f>IF(SUM($Q$20:$Q$23)&gt;SUM($P$15:$P$17),SUM($Q$20:$Q$23)-SUM($P$15:$P$17),0)</f>
        <v>0</v>
      </c>
      <c r="Q18" s="224"/>
      <c r="S18" s="223">
        <f t="shared" si="0"/>
        <v>-154</v>
      </c>
    </row>
    <row r="19" spans="1:19" ht="16.5" customHeight="1" x14ac:dyDescent="0.25">
      <c r="A19" s="99"/>
      <c r="B19" s="26" t="s">
        <v>180</v>
      </c>
      <c r="C19" s="26"/>
      <c r="D19" s="26"/>
      <c r="E19" s="193"/>
      <c r="F19" s="194"/>
      <c r="G19" s="194"/>
      <c r="H19" s="195"/>
      <c r="I19" s="195"/>
      <c r="J19" s="248">
        <f>IF(SUM($K$20:$K$24)&gt;SUM($J$15:$J$18),SUM($K$20:$K$24)-SUM($J$15:$J$18),0)</f>
        <v>139</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1796</v>
      </c>
      <c r="N22" s="196">
        <v>1796</v>
      </c>
      <c r="P22" s="224"/>
      <c r="Q22" s="196"/>
      <c r="S22" s="223">
        <f t="shared" ref="S22:S25" si="1">Q22-N22</f>
        <v>-1796</v>
      </c>
    </row>
    <row r="23" spans="1:19" ht="16.5" customHeight="1" x14ac:dyDescent="0.25">
      <c r="A23" s="234" t="s">
        <v>1698</v>
      </c>
      <c r="B23" s="26"/>
      <c r="C23" s="26" t="s">
        <v>184</v>
      </c>
      <c r="D23" s="26"/>
      <c r="E23" s="193"/>
      <c r="F23" s="194"/>
      <c r="G23" s="194"/>
      <c r="H23" s="195"/>
      <c r="I23" s="195"/>
      <c r="J23" s="213"/>
      <c r="K23" s="248">
        <f>N23</f>
        <v>8786</v>
      </c>
      <c r="N23" s="196">
        <v>8786</v>
      </c>
      <c r="P23" s="224"/>
      <c r="Q23" s="196"/>
      <c r="S23" s="223">
        <f t="shared" si="1"/>
        <v>-8786</v>
      </c>
    </row>
    <row r="24" spans="1:19" ht="16.5" customHeight="1" x14ac:dyDescent="0.25">
      <c r="A24" s="99"/>
      <c r="B24" s="26"/>
      <c r="C24" s="26" t="s">
        <v>186</v>
      </c>
      <c r="D24" s="26"/>
      <c r="E24" s="193"/>
      <c r="F24" s="194"/>
      <c r="G24" s="194"/>
      <c r="H24" s="195"/>
      <c r="I24" s="195"/>
      <c r="J24" s="213"/>
      <c r="K24" s="248">
        <f>Q24</f>
        <v>0</v>
      </c>
      <c r="N24" s="196">
        <v>15</v>
      </c>
      <c r="P24" s="224"/>
      <c r="Q24" s="221">
        <f>IF(SUM($Q$20:$Q$23)&lt;SUM($P$15:$P$17),-SUM($Q$20:$Q$23)+SUM($P$15:$P$17),0)</f>
        <v>0</v>
      </c>
      <c r="S24" s="223">
        <f t="shared" si="1"/>
        <v>-15</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10582</v>
      </c>
      <c r="K26" s="155">
        <f>SUM(K15:K25)</f>
        <v>10582</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2797</v>
      </c>
      <c r="K33" s="197"/>
    </row>
    <row r="34" spans="1:12" ht="16.5" customHeight="1" x14ac:dyDescent="0.25">
      <c r="A34" s="99"/>
      <c r="B34" s="26"/>
      <c r="C34" s="26" t="s">
        <v>1861</v>
      </c>
      <c r="D34" s="193"/>
      <c r="E34" s="193"/>
      <c r="F34" s="194"/>
      <c r="G34" s="194"/>
      <c r="H34" s="195"/>
      <c r="I34" s="195"/>
      <c r="J34" s="197"/>
      <c r="K34" s="196">
        <v>2797</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2797</v>
      </c>
      <c r="K36" s="155">
        <f>SUM(K33:K35)</f>
        <v>2797</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2797</v>
      </c>
      <c r="K41" s="197"/>
    </row>
    <row r="42" spans="1:12" ht="16.5" customHeight="1" x14ac:dyDescent="0.25">
      <c r="A42" s="99"/>
      <c r="B42" s="26"/>
      <c r="C42" s="26" t="s">
        <v>198</v>
      </c>
      <c r="D42" s="193"/>
      <c r="E42" s="193"/>
      <c r="F42" s="194"/>
      <c r="G42" s="194"/>
      <c r="H42" s="195"/>
      <c r="I42" s="195"/>
      <c r="J42" s="197"/>
      <c r="K42" s="196">
        <v>2797</v>
      </c>
    </row>
    <row r="43" spans="1:12" ht="16.5" customHeight="1" x14ac:dyDescent="0.25">
      <c r="A43" s="99"/>
      <c r="B43" s="182" t="s">
        <v>1692</v>
      </c>
      <c r="C43" s="43"/>
      <c r="D43" s="43"/>
      <c r="E43" s="43"/>
      <c r="F43" s="44"/>
      <c r="G43" s="44"/>
      <c r="H43" s="45"/>
      <c r="I43" s="45"/>
      <c r="J43" s="155">
        <f>SUM(J39:J42)</f>
        <v>2797</v>
      </c>
      <c r="K43" s="155">
        <f>SUM(K39:K42)</f>
        <v>2797</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2797</v>
      </c>
      <c r="K47" s="197"/>
    </row>
    <row r="48" spans="1:12" ht="16.5" customHeight="1" x14ac:dyDescent="0.25">
      <c r="A48" s="234" t="s">
        <v>1698</v>
      </c>
      <c r="B48" s="26"/>
      <c r="C48" s="26" t="s">
        <v>184</v>
      </c>
      <c r="D48" s="193"/>
      <c r="E48" s="193"/>
      <c r="F48" s="194"/>
      <c r="G48" s="194"/>
      <c r="H48" s="195"/>
      <c r="I48" s="195"/>
      <c r="J48" s="197"/>
      <c r="K48" s="196">
        <v>2797</v>
      </c>
    </row>
    <row r="49" spans="1:16" ht="16.5" customHeight="1" x14ac:dyDescent="0.25">
      <c r="A49" s="99"/>
      <c r="C49" s="43"/>
      <c r="D49" s="43"/>
      <c r="E49" s="43"/>
      <c r="F49" s="44"/>
      <c r="G49" s="44"/>
      <c r="H49" s="45"/>
      <c r="I49" s="45"/>
      <c r="J49" s="155">
        <f>SUM(J47:J48)</f>
        <v>2797</v>
      </c>
      <c r="K49" s="155">
        <f>SUM(K47:K48)</f>
        <v>2797</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2003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2003</v>
      </c>
    </row>
    <row r="59" spans="1:16" ht="16.5" customHeight="1" x14ac:dyDescent="0.25">
      <c r="A59" s="99"/>
      <c r="C59" s="43"/>
      <c r="D59" s="43"/>
      <c r="E59" s="43"/>
      <c r="F59" s="44"/>
      <c r="G59" s="44"/>
      <c r="H59" s="45"/>
      <c r="I59" s="45"/>
      <c r="J59" s="155">
        <f>SUM(J55:J58)</f>
        <v>2003</v>
      </c>
      <c r="K59" s="155">
        <f>SUM(K55:K58)</f>
        <v>2003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1866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163</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2029</v>
      </c>
    </row>
    <row r="65" spans="1:12" ht="16.5" customHeight="1" x14ac:dyDescent="0.25">
      <c r="A65" s="99"/>
      <c r="C65" s="43"/>
      <c r="D65" s="43"/>
      <c r="E65" s="43"/>
      <c r="F65" s="44"/>
      <c r="G65" s="44"/>
      <c r="H65" s="45"/>
      <c r="I65" s="45"/>
      <c r="J65" s="155">
        <f>SUM(J62:J64)</f>
        <v>2029</v>
      </c>
      <c r="K65" s="155">
        <f>SUM(K62:K64)</f>
        <v>2029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1866</v>
      </c>
      <c r="K68" s="197"/>
    </row>
    <row r="69" spans="1:12" ht="16.5" customHeight="1" x14ac:dyDescent="0.25">
      <c r="A69" s="99"/>
      <c r="B69" s="26"/>
      <c r="C69" s="26" t="s">
        <v>203</v>
      </c>
      <c r="D69" s="193"/>
      <c r="E69" s="193"/>
      <c r="F69" s="194"/>
      <c r="G69" s="194"/>
      <c r="H69" s="195"/>
      <c r="I69" s="195"/>
      <c r="J69" s="197"/>
      <c r="K69" s="196">
        <v>1866</v>
      </c>
    </row>
    <row r="70" spans="1:12" ht="16.5" customHeight="1" x14ac:dyDescent="0.25">
      <c r="A70" s="99"/>
      <c r="C70" s="43"/>
      <c r="D70" s="43"/>
      <c r="E70" s="43"/>
      <c r="F70" s="44"/>
      <c r="G70" s="44"/>
      <c r="H70" s="45"/>
      <c r="I70" s="45"/>
      <c r="J70" s="155">
        <f>SUM(J68:J69)</f>
        <v>1866</v>
      </c>
      <c r="K70" s="155">
        <f>SUM(K68:K69)</f>
        <v>1866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1562</v>
      </c>
      <c r="K75" s="197"/>
    </row>
    <row r="76" spans="1:12" ht="16.5" customHeight="1" x14ac:dyDescent="0.25">
      <c r="A76" s="99"/>
      <c r="B76" s="26"/>
      <c r="C76" s="26" t="s">
        <v>211</v>
      </c>
      <c r="D76" s="193"/>
      <c r="E76" s="193"/>
      <c r="F76" s="194"/>
      <c r="G76" s="194"/>
      <c r="H76" s="195"/>
      <c r="I76" s="195"/>
      <c r="J76" s="197"/>
      <c r="K76" s="196">
        <v>1562</v>
      </c>
    </row>
    <row r="77" spans="1:12" ht="16.5" customHeight="1" x14ac:dyDescent="0.2">
      <c r="A77" s="99"/>
      <c r="B77" s="265" t="s">
        <v>1841</v>
      </c>
      <c r="C77" s="265"/>
      <c r="D77" s="265"/>
      <c r="E77" s="265"/>
      <c r="F77" s="265"/>
      <c r="G77" s="265"/>
      <c r="H77" s="265"/>
      <c r="I77" s="265"/>
      <c r="J77" s="155">
        <f>SUM(J75:J76)</f>
        <v>1562</v>
      </c>
      <c r="K77" s="155">
        <f>SUM(K75:K76)</f>
        <v>1562</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125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125</v>
      </c>
    </row>
    <row r="91" spans="1:16" ht="16.5" customHeight="1" x14ac:dyDescent="0.25">
      <c r="B91" s="182" t="s">
        <v>1693</v>
      </c>
      <c r="H91" s="37"/>
      <c r="J91" s="156">
        <f>SUM(J85:J90)</f>
        <v>125</v>
      </c>
      <c r="K91" s="156">
        <f>SUM(K85:K90)</f>
        <v>125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139</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139</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139</v>
      </c>
      <c r="K105" s="156">
        <f>SUM(K96:K104)</f>
        <v>139</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12976</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-3674</v>
      </c>
    </row>
    <row r="128" spans="1:12" ht="16.5" customHeight="1" x14ac:dyDescent="0.25">
      <c r="D128" s="193" t="s">
        <v>1709</v>
      </c>
      <c r="H128" s="37"/>
      <c r="K128" s="238">
        <f>-K23-K48+J68+J75+J96-K113</f>
        <v>-8016</v>
      </c>
    </row>
    <row r="129" spans="4:11" ht="16.5" customHeight="1" x14ac:dyDescent="0.25">
      <c r="D129" s="193" t="s">
        <v>1710</v>
      </c>
      <c r="H129" s="37"/>
      <c r="K129" s="238">
        <f>-K76</f>
        <v>-1562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BC518D58-8CDE-4983-98FC-D4DA6176AA9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B6510B4-C516-4FA5-A354-7C8D6976A9A8}">
      <formula1>0</formula1>
    </dataValidation>
    <dataValidation operator="lessThan" allowBlank="1" showInputMessage="1" showErrorMessage="1" sqref="A3:A8" xr:uid="{CFC12E3A-12E7-4C47-B48C-C7AE4E1E8E37}"/>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71D6D2E-C478-4941-BBFB-C6D7067E725E}">
          <x14:formula1>
            <xm:f>'Drop Down Menus'!$E$1:$E$3</xm:f>
          </x14:formula1>
          <xm:sqref>F8</xm:sqref>
        </x14:dataValidation>
        <x14:dataValidation type="list" allowBlank="1" showInputMessage="1" showErrorMessage="1" xr:uid="{5308DD3F-E75A-4BB8-B455-E5E4B7A49311}">
          <x14:formula1>
            <xm:f>'Drop Down Menus'!$B$1:$B$2</xm:f>
          </x14:formula1>
          <xm:sqref>F7</xm:sqref>
        </x14:dataValidation>
        <x14:dataValidation type="list" allowBlank="1" showInputMessage="1" showErrorMessage="1" xr:uid="{D8A387D0-E06F-47D4-BFBC-D23C2833D4BC}">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D0D8-CE1B-4F48-9140-0D785E3E5850}">
  <sheetPr>
    <tabColor theme="9" tint="0.59999389629810485"/>
    <pageSetUpPr fitToPage="1"/>
  </sheetPr>
  <dimension ref="A1:S193"/>
  <sheetViews>
    <sheetView topLeftCell="A53" zoomScale="70" zoomScaleNormal="70" workbookViewId="0">
      <selection activeCell="O9" sqref="O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6026</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0</v>
      </c>
      <c r="M17" s="196"/>
      <c r="P17" s="196">
        <v>8353</v>
      </c>
      <c r="Q17" s="224"/>
      <c r="S17" s="223">
        <f t="shared" si="0"/>
        <v>8353</v>
      </c>
    </row>
    <row r="18" spans="1:19" ht="16.5" customHeight="1" x14ac:dyDescent="0.25">
      <c r="A18" s="99"/>
      <c r="B18" s="26" t="s">
        <v>179</v>
      </c>
      <c r="C18" s="26"/>
      <c r="D18" s="26"/>
      <c r="E18" s="193"/>
      <c r="F18" s="194"/>
      <c r="G18" s="194"/>
      <c r="H18" s="195"/>
      <c r="I18" s="195"/>
      <c r="J18" s="248">
        <f>P18</f>
        <v>111</v>
      </c>
      <c r="M18" s="196"/>
      <c r="P18" s="221">
        <f>IF(SUM($Q$20:$Q$23)&gt;SUM($P$15:$P$17),SUM($Q$20:$Q$23)-SUM($P$15:$P$17),0)</f>
        <v>111</v>
      </c>
      <c r="Q18" s="224"/>
      <c r="S18" s="223">
        <f t="shared" si="0"/>
        <v>111</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0</v>
      </c>
      <c r="N22" s="196"/>
      <c r="P22" s="224"/>
      <c r="Q22" s="196">
        <v>1436</v>
      </c>
      <c r="S22" s="223">
        <f t="shared" ref="S22:S25" si="1">Q22-N22</f>
        <v>1436</v>
      </c>
    </row>
    <row r="23" spans="1:19" ht="16.5" customHeight="1" x14ac:dyDescent="0.25">
      <c r="A23" s="234" t="s">
        <v>1698</v>
      </c>
      <c r="B23" s="26"/>
      <c r="C23" s="26" t="s">
        <v>184</v>
      </c>
      <c r="D23" s="26"/>
      <c r="E23" s="193"/>
      <c r="F23" s="194"/>
      <c r="G23" s="194"/>
      <c r="H23" s="195"/>
      <c r="I23" s="195"/>
      <c r="J23" s="213"/>
      <c r="K23" s="248">
        <f>N23</f>
        <v>0</v>
      </c>
      <c r="N23" s="196"/>
      <c r="P23" s="224"/>
      <c r="Q23" s="196">
        <v>7028</v>
      </c>
      <c r="S23" s="223">
        <f t="shared" si="1"/>
        <v>7028</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111</v>
      </c>
      <c r="N25" s="196"/>
      <c r="P25" s="224"/>
      <c r="Q25" s="224"/>
      <c r="S25" s="223">
        <f t="shared" si="1"/>
        <v>0</v>
      </c>
    </row>
    <row r="26" spans="1:19" ht="16.5" customHeight="1" x14ac:dyDescent="0.25">
      <c r="A26" s="99"/>
      <c r="C26" s="47"/>
      <c r="D26" s="47"/>
      <c r="E26" s="47"/>
      <c r="F26" s="179"/>
      <c r="G26" s="179"/>
      <c r="H26" s="49"/>
      <c r="I26" s="49"/>
      <c r="J26" s="155">
        <f>SUM(J15:J25)</f>
        <v>111</v>
      </c>
      <c r="K26" s="155">
        <f>SUM(K15:K25)</f>
        <v>111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c r="K68" s="197"/>
    </row>
    <row r="69" spans="1:12" ht="16.5" customHeight="1" x14ac:dyDescent="0.25">
      <c r="A69" s="99"/>
      <c r="B69" s="26"/>
      <c r="C69" s="26" t="s">
        <v>203</v>
      </c>
      <c r="D69" s="193"/>
      <c r="E69" s="193"/>
      <c r="F69" s="194"/>
      <c r="G69" s="194"/>
      <c r="H69" s="195"/>
      <c r="I69" s="195"/>
      <c r="J69" s="197"/>
      <c r="K69" s="196"/>
    </row>
    <row r="70" spans="1:12" ht="16.5" customHeight="1" x14ac:dyDescent="0.25">
      <c r="A70" s="99"/>
      <c r="C70" s="43"/>
      <c r="D70" s="43"/>
      <c r="E70" s="43"/>
      <c r="F70" s="44"/>
      <c r="G70" s="44"/>
      <c r="H70" s="45"/>
      <c r="I70" s="45"/>
      <c r="J70" s="155">
        <f>SUM(J68:J69)</f>
        <v>0</v>
      </c>
      <c r="K70" s="155">
        <f>SUM(K68:K69)</f>
        <v>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c r="K75" s="197"/>
    </row>
    <row r="76" spans="1:12" ht="16.5" customHeight="1" x14ac:dyDescent="0.25">
      <c r="A76" s="99"/>
      <c r="B76" s="26"/>
      <c r="C76" s="26" t="s">
        <v>211</v>
      </c>
      <c r="D76" s="193"/>
      <c r="E76" s="193"/>
      <c r="F76" s="194"/>
      <c r="G76" s="194"/>
      <c r="H76" s="195"/>
      <c r="I76" s="195"/>
      <c r="J76" s="197"/>
      <c r="K76" s="196"/>
    </row>
    <row r="77" spans="1:12" ht="16.5" customHeight="1" x14ac:dyDescent="0.2">
      <c r="A77" s="99"/>
      <c r="B77" s="265" t="s">
        <v>1841</v>
      </c>
      <c r="C77" s="265"/>
      <c r="D77" s="265"/>
      <c r="E77" s="265"/>
      <c r="F77" s="265"/>
      <c r="G77" s="265"/>
      <c r="H77" s="265"/>
      <c r="I77" s="265"/>
      <c r="J77" s="155">
        <f>SUM(J75:J76)</f>
        <v>0</v>
      </c>
      <c r="K77" s="155">
        <f>SUM(K75:K76)</f>
        <v>0</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0</v>
      </c>
    </row>
    <row r="128" spans="1:12" ht="16.5" customHeight="1" x14ac:dyDescent="0.25">
      <c r="D128" s="193" t="s">
        <v>1709</v>
      </c>
      <c r="H128" s="37"/>
      <c r="K128" s="238">
        <f>-K23-K48+J68+J75+J96-K113</f>
        <v>0</v>
      </c>
    </row>
    <row r="129" spans="4:11" ht="16.5" customHeight="1" x14ac:dyDescent="0.25">
      <c r="D129" s="193" t="s">
        <v>1710</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B38D2784-DC53-4D5E-BC19-518101B9E8E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9ABA986-41D2-4AE7-9825-1D62F9C433DB}">
      <formula1>0</formula1>
    </dataValidation>
    <dataValidation type="textLength" operator="equal" allowBlank="1" showInputMessage="1" showErrorMessage="1" errorTitle="4-Digit Org Code" error="Enter the Org Code/BU as 4 digits." sqref="F5" xr:uid="{89092C5A-8E67-4D82-80FC-742233B4C2F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E3BEBF7-C58B-493D-8A9A-497D4EB6ABA3}">
          <x14:formula1>
            <xm:f>'Drop Down Menus'!$A$1:$A$101</xm:f>
          </x14:formula1>
          <xm:sqref>F3</xm:sqref>
        </x14:dataValidation>
        <x14:dataValidation type="list" allowBlank="1" showInputMessage="1" showErrorMessage="1" xr:uid="{18BB8022-FEBD-4BFB-8A4D-91BC71A6704B}">
          <x14:formula1>
            <xm:f>'Drop Down Menus'!$B$1:$B$2</xm:f>
          </x14:formula1>
          <xm:sqref>F7</xm:sqref>
        </x14:dataValidation>
        <x14:dataValidation type="list" allowBlank="1" showInputMessage="1" showErrorMessage="1" xr:uid="{20D279E7-A47F-45E6-95FC-787C0AF09D28}">
          <x14:formula1>
            <xm:f>'Drop Down Menus'!$E$1:$E$3</xm:f>
          </x14:formula1>
          <xm:sqref>F8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D69F-1820-4FBF-B7F4-6891EF43780A}">
  <sheetPr codeName="Sheet13">
    <tabColor theme="9" tint="0.59999389629810485"/>
    <pageSetUpPr fitToPage="1"/>
  </sheetPr>
  <dimension ref="A1:S193"/>
  <sheetViews>
    <sheetView topLeftCell="A44" zoomScale="70" zoomScaleNormal="70" workbookViewId="0">
      <selection activeCell="J76" sqref="J7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6031</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46987</v>
      </c>
      <c r="M17" s="196">
        <v>46987</v>
      </c>
      <c r="P17" s="250">
        <v>235461</v>
      </c>
      <c r="Q17" s="224"/>
      <c r="S17" s="223">
        <f t="shared" si="0"/>
        <v>188474</v>
      </c>
    </row>
    <row r="18" spans="1:19" ht="16.5" customHeight="1" x14ac:dyDescent="0.25">
      <c r="A18" s="99"/>
      <c r="B18" s="26" t="s">
        <v>179</v>
      </c>
      <c r="C18" s="26"/>
      <c r="D18" s="26"/>
      <c r="E18" s="193"/>
      <c r="F18" s="194"/>
      <c r="G18" s="194"/>
      <c r="H18" s="195"/>
      <c r="I18" s="195"/>
      <c r="J18" s="248">
        <f>P18</f>
        <v>3148</v>
      </c>
      <c r="M18" s="196">
        <v>694</v>
      </c>
      <c r="P18" s="221">
        <f>IF(SUM($Q$20:$Q$23)&gt;SUM($P$15:$P$17),SUM($Q$20:$Q$23)-SUM($P$15:$P$17),0)</f>
        <v>3148</v>
      </c>
      <c r="Q18" s="224"/>
      <c r="S18" s="223">
        <f t="shared" si="0"/>
        <v>2454</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8081</v>
      </c>
      <c r="N22" s="196">
        <v>8081</v>
      </c>
      <c r="P22" s="224"/>
      <c r="Q22" s="250">
        <v>40495</v>
      </c>
      <c r="S22" s="223">
        <f t="shared" ref="S22:S25" si="1">Q22-N22</f>
        <v>32414</v>
      </c>
    </row>
    <row r="23" spans="1:19" ht="16.5" customHeight="1" x14ac:dyDescent="0.25">
      <c r="A23" s="234" t="s">
        <v>1698</v>
      </c>
      <c r="B23" s="26"/>
      <c r="C23" s="26" t="s">
        <v>184</v>
      </c>
      <c r="D23" s="26"/>
      <c r="E23" s="193"/>
      <c r="F23" s="194"/>
      <c r="G23" s="194"/>
      <c r="H23" s="195"/>
      <c r="I23" s="195"/>
      <c r="J23" s="213"/>
      <c r="K23" s="248">
        <f>N23</f>
        <v>39535</v>
      </c>
      <c r="N23" s="196">
        <v>39535</v>
      </c>
      <c r="P23" s="224"/>
      <c r="Q23" s="250">
        <v>198114</v>
      </c>
      <c r="S23" s="223">
        <f t="shared" si="1"/>
        <v>158579</v>
      </c>
    </row>
    <row r="24" spans="1:19" ht="16.5" customHeight="1" x14ac:dyDescent="0.25">
      <c r="A24" s="99"/>
      <c r="B24" s="26"/>
      <c r="C24" s="26" t="s">
        <v>186</v>
      </c>
      <c r="D24" s="26"/>
      <c r="E24" s="193"/>
      <c r="F24" s="194"/>
      <c r="G24" s="194"/>
      <c r="H24" s="195"/>
      <c r="I24" s="195"/>
      <c r="J24" s="213"/>
      <c r="K24" s="248">
        <f>Q24</f>
        <v>0</v>
      </c>
      <c r="N24" s="196">
        <v>65</v>
      </c>
      <c r="P24" s="224"/>
      <c r="Q24" s="221">
        <f>IF(SUM($Q$20:$Q$23)&lt;SUM($P$15:$P$17),-SUM($Q$20:$Q$23)+SUM($P$15:$P$17),0)</f>
        <v>0</v>
      </c>
      <c r="S24" s="223">
        <f t="shared" si="1"/>
        <v>-65</v>
      </c>
    </row>
    <row r="25" spans="1:19" ht="16.5" customHeight="1" x14ac:dyDescent="0.25">
      <c r="A25" s="99"/>
      <c r="B25" s="26"/>
      <c r="C25" s="26" t="s">
        <v>187</v>
      </c>
      <c r="D25" s="26"/>
      <c r="E25" s="193"/>
      <c r="F25" s="194"/>
      <c r="G25" s="194"/>
      <c r="H25" s="195"/>
      <c r="I25" s="195"/>
      <c r="J25" s="213"/>
      <c r="K25" s="248">
        <f>IF(SUM($K$20:$K$24)&lt;SUM($J$15:$J$18),-SUM($K$20:$K$24)+SUM($J$15:$J$18),0)</f>
        <v>2519</v>
      </c>
      <c r="N25" s="196"/>
      <c r="P25" s="224"/>
      <c r="Q25" s="224"/>
      <c r="S25" s="223">
        <f t="shared" si="1"/>
        <v>0</v>
      </c>
    </row>
    <row r="26" spans="1:19" ht="16.5" customHeight="1" x14ac:dyDescent="0.25">
      <c r="A26" s="99"/>
      <c r="C26" s="47"/>
      <c r="D26" s="47"/>
      <c r="E26" s="47"/>
      <c r="F26" s="179"/>
      <c r="G26" s="179"/>
      <c r="H26" s="49"/>
      <c r="I26" s="49"/>
      <c r="J26" s="155">
        <f>SUM(J15:J25)</f>
        <v>50135</v>
      </c>
      <c r="K26" s="155">
        <f>SUM(K15:K25)</f>
        <v>50135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12587</v>
      </c>
      <c r="K33" s="197"/>
    </row>
    <row r="34" spans="1:12" ht="16.5" customHeight="1" x14ac:dyDescent="0.25">
      <c r="A34" s="99"/>
      <c r="B34" s="26"/>
      <c r="C34" s="26" t="s">
        <v>1861</v>
      </c>
      <c r="D34" s="193"/>
      <c r="E34" s="193"/>
      <c r="F34" s="194"/>
      <c r="G34" s="194"/>
      <c r="H34" s="195"/>
      <c r="I34" s="195"/>
      <c r="J34" s="197"/>
      <c r="K34" s="196">
        <v>12587</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12587</v>
      </c>
      <c r="K36" s="155">
        <f>SUM(K33:K35)</f>
        <v>12587</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12587</v>
      </c>
      <c r="K41" s="197"/>
    </row>
    <row r="42" spans="1:12" ht="16.5" customHeight="1" x14ac:dyDescent="0.25">
      <c r="A42" s="99"/>
      <c r="B42" s="26"/>
      <c r="C42" s="26" t="s">
        <v>198</v>
      </c>
      <c r="D42" s="193"/>
      <c r="E42" s="193"/>
      <c r="F42" s="194"/>
      <c r="G42" s="194"/>
      <c r="H42" s="195"/>
      <c r="I42" s="195"/>
      <c r="J42" s="197"/>
      <c r="K42" s="196">
        <v>12587</v>
      </c>
    </row>
    <row r="43" spans="1:12" ht="16.5" customHeight="1" x14ac:dyDescent="0.25">
      <c r="A43" s="99"/>
      <c r="B43" s="182" t="s">
        <v>1692</v>
      </c>
      <c r="C43" s="43"/>
      <c r="D43" s="43"/>
      <c r="E43" s="43"/>
      <c r="F43" s="44"/>
      <c r="G43" s="44"/>
      <c r="H43" s="45"/>
      <c r="I43" s="45"/>
      <c r="J43" s="155">
        <f>SUM(J39:J42)</f>
        <v>12587</v>
      </c>
      <c r="K43" s="155">
        <f>SUM(K39:K42)</f>
        <v>12587</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12587</v>
      </c>
      <c r="K47" s="197"/>
    </row>
    <row r="48" spans="1:12" ht="16.5" customHeight="1" x14ac:dyDescent="0.25">
      <c r="A48" s="234" t="s">
        <v>1698</v>
      </c>
      <c r="B48" s="26"/>
      <c r="C48" s="26" t="s">
        <v>184</v>
      </c>
      <c r="D48" s="193"/>
      <c r="E48" s="193"/>
      <c r="F48" s="194"/>
      <c r="G48" s="194"/>
      <c r="H48" s="195"/>
      <c r="I48" s="195"/>
      <c r="J48" s="197"/>
      <c r="K48" s="196">
        <v>12587</v>
      </c>
    </row>
    <row r="49" spans="1:16" ht="16.5" customHeight="1" x14ac:dyDescent="0.25">
      <c r="A49" s="99"/>
      <c r="C49" s="43"/>
      <c r="D49" s="43"/>
      <c r="E49" s="43"/>
      <c r="F49" s="44"/>
      <c r="G49" s="44"/>
      <c r="H49" s="45"/>
      <c r="I49" s="45"/>
      <c r="J49" s="155">
        <f>SUM(J47:J48)</f>
        <v>12587</v>
      </c>
      <c r="K49" s="155">
        <f>SUM(K47:K48)</f>
        <v>12587</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9015</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9015</v>
      </c>
    </row>
    <row r="59" spans="1:16" ht="16.5" customHeight="1" x14ac:dyDescent="0.25">
      <c r="A59" s="99"/>
      <c r="C59" s="43"/>
      <c r="D59" s="43"/>
      <c r="E59" s="43"/>
      <c r="F59" s="44"/>
      <c r="G59" s="44"/>
      <c r="H59" s="45"/>
      <c r="I59" s="45"/>
      <c r="J59" s="155">
        <f>SUM(J55:J58)</f>
        <v>9015</v>
      </c>
      <c r="K59" s="155">
        <f>SUM(K55:K58)</f>
        <v>9015</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8396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732</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9128</v>
      </c>
    </row>
    <row r="65" spans="1:12" ht="16.5" customHeight="1" x14ac:dyDescent="0.25">
      <c r="A65" s="99"/>
      <c r="C65" s="43"/>
      <c r="D65" s="43"/>
      <c r="E65" s="43"/>
      <c r="F65" s="44"/>
      <c r="G65" s="44"/>
      <c r="H65" s="45"/>
      <c r="I65" s="45"/>
      <c r="J65" s="155">
        <f>SUM(J62:J64)</f>
        <v>9128</v>
      </c>
      <c r="K65" s="155">
        <f>SUM(K62:K64)</f>
        <v>9128</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8396</v>
      </c>
      <c r="K68" s="197"/>
    </row>
    <row r="69" spans="1:12" ht="16.5" customHeight="1" x14ac:dyDescent="0.25">
      <c r="A69" s="99"/>
      <c r="B69" s="26"/>
      <c r="C69" s="26" t="s">
        <v>203</v>
      </c>
      <c r="D69" s="193"/>
      <c r="E69" s="193"/>
      <c r="F69" s="194"/>
      <c r="G69" s="194"/>
      <c r="H69" s="195"/>
      <c r="I69" s="195"/>
      <c r="J69" s="197"/>
      <c r="K69" s="196">
        <v>8396</v>
      </c>
    </row>
    <row r="70" spans="1:12" ht="16.5" customHeight="1" x14ac:dyDescent="0.25">
      <c r="A70" s="99"/>
      <c r="C70" s="43"/>
      <c r="D70" s="43"/>
      <c r="E70" s="43"/>
      <c r="F70" s="44"/>
      <c r="G70" s="44"/>
      <c r="H70" s="45"/>
      <c r="I70" s="45"/>
      <c r="J70" s="155">
        <f>SUM(J68:J69)</f>
        <v>8396</v>
      </c>
      <c r="K70" s="155">
        <f>SUM(K68:K69)</f>
        <v>8396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7028</v>
      </c>
      <c r="K75" s="197"/>
    </row>
    <row r="76" spans="1:12" ht="16.5" customHeight="1" x14ac:dyDescent="0.25">
      <c r="A76" s="99"/>
      <c r="B76" s="26"/>
      <c r="C76" s="26" t="s">
        <v>211</v>
      </c>
      <c r="D76" s="193"/>
      <c r="E76" s="193"/>
      <c r="F76" s="194"/>
      <c r="G76" s="194"/>
      <c r="H76" s="195"/>
      <c r="I76" s="195"/>
      <c r="J76" s="197"/>
      <c r="K76" s="196">
        <v>7028</v>
      </c>
    </row>
    <row r="77" spans="1:12" ht="16.5" customHeight="1" x14ac:dyDescent="0.2">
      <c r="A77" s="99"/>
      <c r="B77" s="265" t="s">
        <v>1841</v>
      </c>
      <c r="C77" s="265"/>
      <c r="D77" s="265"/>
      <c r="E77" s="265"/>
      <c r="F77" s="265"/>
      <c r="G77" s="265"/>
      <c r="H77" s="265"/>
      <c r="I77" s="265"/>
      <c r="J77" s="155">
        <f>SUM(J75:J76)</f>
        <v>7028</v>
      </c>
      <c r="K77" s="155">
        <f>SUM(K75:K76)</f>
        <v>7028</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564</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564</v>
      </c>
    </row>
    <row r="91" spans="1:16" ht="16.5" customHeight="1" x14ac:dyDescent="0.25">
      <c r="B91" s="182" t="s">
        <v>1693</v>
      </c>
      <c r="H91" s="37"/>
      <c r="J91" s="156">
        <f>SUM(J85:J90)</f>
        <v>564</v>
      </c>
      <c r="K91" s="156">
        <f>SUM(K85:K90)</f>
        <v>564</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625</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625</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625</v>
      </c>
      <c r="K105" s="156">
        <f>SUM(K96:K104)</f>
        <v>625</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58385</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-16532</v>
      </c>
    </row>
    <row r="128" spans="1:12" ht="16.5" customHeight="1" x14ac:dyDescent="0.25">
      <c r="D128" s="193" t="s">
        <v>1709</v>
      </c>
      <c r="H128" s="37"/>
      <c r="K128" s="238">
        <f>-K23-K48+J68+J75+J96-K113</f>
        <v>-36073</v>
      </c>
    </row>
    <row r="129" spans="4:11" ht="16.5" customHeight="1" x14ac:dyDescent="0.25">
      <c r="D129" s="193" t="s">
        <v>1710</v>
      </c>
      <c r="H129" s="37"/>
      <c r="K129" s="238">
        <f>-K76</f>
        <v>-7028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3557AE1C-A853-4EA0-A1E9-4370A4222A1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13426A9-BA62-416C-9753-22FE75C56FA1}">
      <formula1>0</formula1>
    </dataValidation>
    <dataValidation type="textLength" operator="equal" allowBlank="1" showInputMessage="1" showErrorMessage="1" errorTitle="4-Digit Org Code" error="Enter the Org Code/BU as 4 digits." sqref="F5" xr:uid="{A86EA550-5830-4523-9EBF-396DEBA84F9A}">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859DC0B-1ACE-42EF-A076-CAEF9EEC9717}">
          <x14:formula1>
            <xm:f>'Drop Down Menus'!$A$1:$A$101</xm:f>
          </x14:formula1>
          <xm:sqref>F3</xm:sqref>
        </x14:dataValidation>
        <x14:dataValidation type="list" allowBlank="1" showInputMessage="1" showErrorMessage="1" xr:uid="{E8012BD7-6FFE-48B0-836E-B4464D81BA5A}">
          <x14:formula1>
            <xm:f>'Drop Down Menus'!$B$1:$B$2</xm:f>
          </x14:formula1>
          <xm:sqref>F7</xm:sqref>
        </x14:dataValidation>
        <x14:dataValidation type="list" allowBlank="1" showInputMessage="1" showErrorMessage="1" xr:uid="{267C5BE9-66C9-4804-999C-0B8675589BE5}">
          <x14:formula1>
            <xm:f>'Drop Down Menus'!$E$1:$E$3</xm:f>
          </x14:formula1>
          <xm:sqref>F8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6DEB-66F0-474B-9300-A075110CFBDB}">
  <sheetPr codeName="Sheet14">
    <tabColor theme="9" tint="0.59999389629810485"/>
    <pageSetUpPr fitToPage="1"/>
  </sheetPr>
  <dimension ref="A1:S193"/>
  <sheetViews>
    <sheetView topLeftCell="A53" zoomScale="70" zoomScaleNormal="70" workbookViewId="0">
      <selection activeCell="Q76" sqref="Q7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6051</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318472</v>
      </c>
      <c r="M17" s="196">
        <v>318472</v>
      </c>
      <c r="P17" s="250">
        <v>1257708</v>
      </c>
      <c r="Q17" s="224"/>
      <c r="S17" s="223">
        <f t="shared" si="0"/>
        <v>939236</v>
      </c>
    </row>
    <row r="18" spans="1:19" ht="16.5" customHeight="1" x14ac:dyDescent="0.25">
      <c r="A18" s="99"/>
      <c r="B18" s="26" t="s">
        <v>179</v>
      </c>
      <c r="C18" s="26"/>
      <c r="D18" s="26"/>
      <c r="E18" s="193"/>
      <c r="F18" s="194"/>
      <c r="G18" s="194"/>
      <c r="H18" s="195"/>
      <c r="I18" s="195"/>
      <c r="J18" s="248">
        <f>P18</f>
        <v>16817</v>
      </c>
      <c r="M18" s="196">
        <v>4702</v>
      </c>
      <c r="P18" s="221">
        <f>IF(SUM($Q$20:$Q$23)&gt;SUM($P$15:$P$17),SUM($Q$20:$Q$23)-SUM($P$15:$P$17),0)</f>
        <v>16817</v>
      </c>
      <c r="Q18" s="224"/>
      <c r="S18" s="223">
        <f t="shared" si="0"/>
        <v>12115</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54772</v>
      </c>
      <c r="N22" s="196">
        <v>54772</v>
      </c>
      <c r="P22" s="224"/>
      <c r="Q22" s="250">
        <v>216305</v>
      </c>
      <c r="S22" s="223">
        <f t="shared" ref="S22:S25" si="1">Q22-N22</f>
        <v>161533</v>
      </c>
    </row>
    <row r="23" spans="1:19" ht="16.5" customHeight="1" x14ac:dyDescent="0.25">
      <c r="A23" s="234" t="s">
        <v>1698</v>
      </c>
      <c r="B23" s="26"/>
      <c r="C23" s="26" t="s">
        <v>184</v>
      </c>
      <c r="D23" s="26"/>
      <c r="E23" s="193"/>
      <c r="F23" s="194"/>
      <c r="G23" s="194"/>
      <c r="H23" s="195"/>
      <c r="I23" s="195"/>
      <c r="J23" s="213"/>
      <c r="K23" s="248">
        <f>N23</f>
        <v>267959</v>
      </c>
      <c r="N23" s="196">
        <v>267959</v>
      </c>
      <c r="P23" s="224"/>
      <c r="Q23" s="250">
        <v>1058220</v>
      </c>
      <c r="S23" s="223">
        <f t="shared" si="1"/>
        <v>790261</v>
      </c>
    </row>
    <row r="24" spans="1:19" ht="16.5" customHeight="1" x14ac:dyDescent="0.25">
      <c r="A24" s="99"/>
      <c r="B24" s="26"/>
      <c r="C24" s="26" t="s">
        <v>186</v>
      </c>
      <c r="D24" s="26"/>
      <c r="E24" s="193"/>
      <c r="F24" s="194"/>
      <c r="G24" s="194"/>
      <c r="H24" s="195"/>
      <c r="I24" s="195"/>
      <c r="J24" s="213"/>
      <c r="K24" s="248">
        <f>Q24</f>
        <v>0</v>
      </c>
      <c r="N24" s="196">
        <v>443</v>
      </c>
      <c r="P24" s="224"/>
      <c r="Q24" s="221">
        <f>IF(SUM($Q$20:$Q$23)&lt;SUM($P$15:$P$17),-SUM($Q$20:$Q$23)+SUM($P$15:$P$17),0)</f>
        <v>0</v>
      </c>
      <c r="S24" s="223">
        <f t="shared" si="1"/>
        <v>-443</v>
      </c>
    </row>
    <row r="25" spans="1:19" ht="16.5" customHeight="1" x14ac:dyDescent="0.25">
      <c r="A25" s="99"/>
      <c r="B25" s="26"/>
      <c r="C25" s="26" t="s">
        <v>187</v>
      </c>
      <c r="D25" s="26"/>
      <c r="E25" s="193"/>
      <c r="F25" s="194"/>
      <c r="G25" s="194"/>
      <c r="H25" s="195"/>
      <c r="I25" s="195"/>
      <c r="J25" s="213"/>
      <c r="K25" s="248">
        <f>IF(SUM($K$20:$K$24)&lt;SUM($J$15:$J$18),-SUM($K$20:$K$24)+SUM($J$15:$J$18),0)</f>
        <v>12558</v>
      </c>
      <c r="N25" s="196"/>
      <c r="P25" s="224"/>
      <c r="Q25" s="224"/>
      <c r="S25" s="223">
        <f t="shared" si="1"/>
        <v>0</v>
      </c>
    </row>
    <row r="26" spans="1:19" ht="16.5" customHeight="1" x14ac:dyDescent="0.25">
      <c r="A26" s="99"/>
      <c r="C26" s="47"/>
      <c r="D26" s="47"/>
      <c r="E26" s="47"/>
      <c r="F26" s="179"/>
      <c r="G26" s="179"/>
      <c r="H26" s="49"/>
      <c r="I26" s="49"/>
      <c r="J26" s="155">
        <f>SUM(J15:J25)</f>
        <v>335289</v>
      </c>
      <c r="K26" s="155">
        <f>SUM(K15:K25)</f>
        <v>335289</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85315</v>
      </c>
      <c r="K33" s="197"/>
    </row>
    <row r="34" spans="1:12" ht="16.5" customHeight="1" x14ac:dyDescent="0.25">
      <c r="A34" s="99"/>
      <c r="B34" s="26"/>
      <c r="C34" s="26" t="s">
        <v>1861</v>
      </c>
      <c r="D34" s="193"/>
      <c r="E34" s="193"/>
      <c r="F34" s="194"/>
      <c r="G34" s="194"/>
      <c r="H34" s="195"/>
      <c r="I34" s="195"/>
      <c r="J34" s="197"/>
      <c r="K34" s="196">
        <v>85315</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85315</v>
      </c>
      <c r="K36" s="155">
        <f>SUM(K33:K35)</f>
        <v>85315</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85315</v>
      </c>
      <c r="K41" s="197"/>
    </row>
    <row r="42" spans="1:12" ht="16.5" customHeight="1" x14ac:dyDescent="0.25">
      <c r="A42" s="99"/>
      <c r="B42" s="26"/>
      <c r="C42" s="26" t="s">
        <v>198</v>
      </c>
      <c r="D42" s="193"/>
      <c r="E42" s="193"/>
      <c r="F42" s="194"/>
      <c r="G42" s="194"/>
      <c r="H42" s="195"/>
      <c r="I42" s="195"/>
      <c r="J42" s="197"/>
      <c r="K42" s="196">
        <v>85315</v>
      </c>
    </row>
    <row r="43" spans="1:12" ht="16.5" customHeight="1" x14ac:dyDescent="0.25">
      <c r="A43" s="99"/>
      <c r="B43" s="182" t="s">
        <v>1692</v>
      </c>
      <c r="C43" s="43"/>
      <c r="D43" s="43"/>
      <c r="E43" s="43"/>
      <c r="F43" s="44"/>
      <c r="G43" s="44"/>
      <c r="H43" s="45"/>
      <c r="I43" s="45"/>
      <c r="J43" s="155">
        <f>SUM(J39:J42)</f>
        <v>85315</v>
      </c>
      <c r="K43" s="155">
        <f>SUM(K39:K42)</f>
        <v>85315</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85315</v>
      </c>
      <c r="K47" s="197"/>
    </row>
    <row r="48" spans="1:12" ht="16.5" customHeight="1" x14ac:dyDescent="0.25">
      <c r="A48" s="234" t="s">
        <v>1698</v>
      </c>
      <c r="B48" s="26"/>
      <c r="C48" s="26" t="s">
        <v>184</v>
      </c>
      <c r="D48" s="193"/>
      <c r="E48" s="193"/>
      <c r="F48" s="194"/>
      <c r="G48" s="194"/>
      <c r="H48" s="195"/>
      <c r="I48" s="195"/>
      <c r="J48" s="197"/>
      <c r="K48" s="196">
        <v>85315</v>
      </c>
    </row>
    <row r="49" spans="1:16" ht="16.5" customHeight="1" x14ac:dyDescent="0.25">
      <c r="A49" s="99"/>
      <c r="C49" s="43"/>
      <c r="D49" s="43"/>
      <c r="E49" s="43"/>
      <c r="F49" s="44"/>
      <c r="G49" s="44"/>
      <c r="H49" s="45"/>
      <c r="I49" s="45"/>
      <c r="J49" s="155">
        <f>SUM(J47:J48)</f>
        <v>85315</v>
      </c>
      <c r="K49" s="155">
        <f>SUM(K47:K48)</f>
        <v>85315</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61103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61103</v>
      </c>
    </row>
    <row r="59" spans="1:16" ht="16.5" customHeight="1" x14ac:dyDescent="0.25">
      <c r="A59" s="99"/>
      <c r="C59" s="43"/>
      <c r="D59" s="43"/>
      <c r="E59" s="43"/>
      <c r="F59" s="44"/>
      <c r="G59" s="44"/>
      <c r="H59" s="45"/>
      <c r="I59" s="45"/>
      <c r="J59" s="155">
        <f>SUM(J55:J58)</f>
        <v>61103</v>
      </c>
      <c r="K59" s="155">
        <f>SUM(K55:K58)</f>
        <v>61103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56908</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4957</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61865</v>
      </c>
    </row>
    <row r="65" spans="1:12" ht="16.5" customHeight="1" x14ac:dyDescent="0.25">
      <c r="A65" s="99"/>
      <c r="C65" s="43"/>
      <c r="D65" s="43"/>
      <c r="E65" s="43"/>
      <c r="F65" s="44"/>
      <c r="G65" s="44"/>
      <c r="H65" s="45"/>
      <c r="I65" s="45"/>
      <c r="J65" s="155">
        <f>SUM(J62:J64)</f>
        <v>61865</v>
      </c>
      <c r="K65" s="155">
        <f>SUM(K62:K64)</f>
        <v>61865</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56908</v>
      </c>
      <c r="K68" s="197"/>
    </row>
    <row r="69" spans="1:12" ht="16.5" customHeight="1" x14ac:dyDescent="0.25">
      <c r="A69" s="99"/>
      <c r="B69" s="26"/>
      <c r="C69" s="26" t="s">
        <v>203</v>
      </c>
      <c r="D69" s="193"/>
      <c r="E69" s="193"/>
      <c r="F69" s="194"/>
      <c r="G69" s="194"/>
      <c r="H69" s="195"/>
      <c r="I69" s="195"/>
      <c r="J69" s="197"/>
      <c r="K69" s="196">
        <v>56908</v>
      </c>
    </row>
    <row r="70" spans="1:12" ht="16.5" customHeight="1" x14ac:dyDescent="0.25">
      <c r="A70" s="99"/>
      <c r="C70" s="43"/>
      <c r="D70" s="43"/>
      <c r="E70" s="43"/>
      <c r="F70" s="44"/>
      <c r="G70" s="44"/>
      <c r="H70" s="45"/>
      <c r="I70" s="45"/>
      <c r="J70" s="155">
        <f>SUM(J68:J69)</f>
        <v>56908</v>
      </c>
      <c r="K70" s="155">
        <f>SUM(K68:K69)</f>
        <v>56908</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47632</v>
      </c>
      <c r="K75" s="197"/>
    </row>
    <row r="76" spans="1:12" ht="16.5" customHeight="1" x14ac:dyDescent="0.25">
      <c r="A76" s="99"/>
      <c r="B76" s="26"/>
      <c r="C76" s="26" t="s">
        <v>211</v>
      </c>
      <c r="D76" s="193"/>
      <c r="E76" s="193"/>
      <c r="F76" s="194"/>
      <c r="G76" s="194"/>
      <c r="H76" s="195"/>
      <c r="I76" s="195"/>
      <c r="J76" s="197"/>
      <c r="K76" s="196">
        <v>47632</v>
      </c>
    </row>
    <row r="77" spans="1:12" ht="16.5" customHeight="1" x14ac:dyDescent="0.2">
      <c r="A77" s="99"/>
      <c r="B77" s="265" t="s">
        <v>1841</v>
      </c>
      <c r="C77" s="265"/>
      <c r="D77" s="265"/>
      <c r="E77" s="265"/>
      <c r="F77" s="265"/>
      <c r="G77" s="265"/>
      <c r="H77" s="265"/>
      <c r="I77" s="265"/>
      <c r="J77" s="155">
        <f>SUM(J75:J76)</f>
        <v>47632</v>
      </c>
      <c r="K77" s="155">
        <f>SUM(K75:K76)</f>
        <v>47632</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3823</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3823</v>
      </c>
    </row>
    <row r="91" spans="1:16" ht="16.5" customHeight="1" x14ac:dyDescent="0.25">
      <c r="B91" s="182" t="s">
        <v>1693</v>
      </c>
      <c r="H91" s="37"/>
      <c r="J91" s="156">
        <f>SUM(J85:J90)</f>
        <v>3823</v>
      </c>
      <c r="K91" s="156">
        <f>SUM(K85:K90)</f>
        <v>3823</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4237</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4237</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4237</v>
      </c>
      <c r="K105" s="156">
        <f>SUM(K96:K104)</f>
        <v>4237</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395727</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-112052</v>
      </c>
    </row>
    <row r="128" spans="1:12" ht="16.5" customHeight="1" x14ac:dyDescent="0.25">
      <c r="D128" s="193" t="s">
        <v>1709</v>
      </c>
      <c r="H128" s="37"/>
      <c r="K128" s="238">
        <f>-K23-K48+J68+J75+J96-K113</f>
        <v>-244497</v>
      </c>
    </row>
    <row r="129" spans="4:11" ht="16.5" customHeight="1" x14ac:dyDescent="0.25">
      <c r="D129" s="193" t="s">
        <v>1710</v>
      </c>
      <c r="H129" s="37"/>
      <c r="K129" s="238">
        <f>-K76</f>
        <v>-47632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A2EEBA87-ED64-42CB-8DF1-97D16CEF1BDA}"/>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CB91471-0AFF-4153-814B-E2CA6139400F}">
      <formula1>0</formula1>
    </dataValidation>
    <dataValidation type="textLength" operator="equal" allowBlank="1" showInputMessage="1" showErrorMessage="1" errorTitle="4-Digit Org Code" error="Enter the Org Code/BU as 4 digits." sqref="F5" xr:uid="{1338C5C5-7F38-4B5A-B7A4-107D50E3D401}">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2D092AF-B9B0-4887-902E-4D7232B95167}">
          <x14:formula1>
            <xm:f>'Drop Down Menus'!$A$1:$A$101</xm:f>
          </x14:formula1>
          <xm:sqref>F3</xm:sqref>
        </x14:dataValidation>
        <x14:dataValidation type="list" allowBlank="1" showInputMessage="1" showErrorMessage="1" xr:uid="{F234CA4F-81AE-4193-9461-744881E31CA0}">
          <x14:formula1>
            <xm:f>'Drop Down Menus'!$B$1:$B$2</xm:f>
          </x14:formula1>
          <xm:sqref>F7</xm:sqref>
        </x14:dataValidation>
        <x14:dataValidation type="list" allowBlank="1" showInputMessage="1" showErrorMessage="1" xr:uid="{6299A12C-4B93-403B-B698-BB3FB95990CE}">
          <x14:formula1>
            <xm:f>'Drop Down Menus'!$E$1:$E$3</xm:f>
          </x14:formula1>
          <xm:sqref>F8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502B-B923-40E6-BFB5-419B01759315}">
  <sheetPr codeName="Sheet16">
    <tabColor theme="9" tint="0.59999389629810485"/>
    <pageSetUpPr fitToPage="1"/>
  </sheetPr>
  <dimension ref="A1:S193"/>
  <sheetViews>
    <sheetView topLeftCell="A60" zoomScale="70" zoomScaleNormal="70" workbookViewId="0">
      <selection activeCell="P119" sqref="P11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6083</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1085941</v>
      </c>
      <c r="M17" s="196">
        <v>1085941</v>
      </c>
      <c r="P17" s="250">
        <v>1491081</v>
      </c>
      <c r="Q17" s="224"/>
      <c r="S17" s="223">
        <f t="shared" si="0"/>
        <v>405140</v>
      </c>
    </row>
    <row r="18" spans="1:19" ht="16.5" customHeight="1" x14ac:dyDescent="0.25">
      <c r="A18" s="99"/>
      <c r="B18" s="26" t="s">
        <v>179</v>
      </c>
      <c r="C18" s="26"/>
      <c r="D18" s="26"/>
      <c r="E18" s="193"/>
      <c r="F18" s="194"/>
      <c r="G18" s="194"/>
      <c r="H18" s="195"/>
      <c r="I18" s="195"/>
      <c r="J18" s="248">
        <f>P18</f>
        <v>19938</v>
      </c>
      <c r="M18" s="196">
        <v>16031</v>
      </c>
      <c r="P18" s="221">
        <f>IF(SUM($Q$20:$Q$23)&gt;SUM($P$15:$P$17),SUM($Q$20:$Q$23)-SUM($P$15:$P$17),0)</f>
        <v>19938</v>
      </c>
      <c r="Q18" s="224"/>
      <c r="S18" s="223">
        <f t="shared" si="0"/>
        <v>3907</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186764</v>
      </c>
      <c r="N22" s="196">
        <v>186764</v>
      </c>
      <c r="P22" s="224"/>
      <c r="Q22" s="250">
        <v>256442</v>
      </c>
      <c r="S22" s="223">
        <f t="shared" ref="S22:S25" si="1">Q22-N22</f>
        <v>69678</v>
      </c>
    </row>
    <row r="23" spans="1:19" ht="16.5" customHeight="1" x14ac:dyDescent="0.25">
      <c r="A23" s="234" t="s">
        <v>1698</v>
      </c>
      <c r="B23" s="26"/>
      <c r="C23" s="26" t="s">
        <v>184</v>
      </c>
      <c r="D23" s="26"/>
      <c r="E23" s="193"/>
      <c r="F23" s="194"/>
      <c r="G23" s="194"/>
      <c r="H23" s="195"/>
      <c r="I23" s="195"/>
      <c r="J23" s="213"/>
      <c r="K23" s="248">
        <f>N23</f>
        <v>913697</v>
      </c>
      <c r="N23" s="196">
        <v>913697</v>
      </c>
      <c r="P23" s="224"/>
      <c r="Q23" s="250">
        <v>1254577</v>
      </c>
      <c r="S23" s="223">
        <f t="shared" si="1"/>
        <v>340880</v>
      </c>
    </row>
    <row r="24" spans="1:19" ht="16.5" customHeight="1" x14ac:dyDescent="0.25">
      <c r="A24" s="99"/>
      <c r="B24" s="26"/>
      <c r="C24" s="26" t="s">
        <v>186</v>
      </c>
      <c r="D24" s="26"/>
      <c r="E24" s="193"/>
      <c r="F24" s="194"/>
      <c r="G24" s="194"/>
      <c r="H24" s="195"/>
      <c r="I24" s="195"/>
      <c r="J24" s="213"/>
      <c r="K24" s="248">
        <f>Q24</f>
        <v>0</v>
      </c>
      <c r="N24" s="196">
        <v>1511</v>
      </c>
      <c r="P24" s="224"/>
      <c r="Q24" s="221">
        <f>IF(SUM($Q$20:$Q$23)&lt;SUM($P$15:$P$17),-SUM($Q$20:$Q$23)+SUM($P$15:$P$17),0)</f>
        <v>0</v>
      </c>
      <c r="S24" s="223">
        <f t="shared" si="1"/>
        <v>-1511</v>
      </c>
    </row>
    <row r="25" spans="1:19" ht="16.5" customHeight="1" x14ac:dyDescent="0.25">
      <c r="A25" s="99"/>
      <c r="B25" s="26"/>
      <c r="C25" s="26" t="s">
        <v>187</v>
      </c>
      <c r="D25" s="26"/>
      <c r="E25" s="193"/>
      <c r="F25" s="194"/>
      <c r="G25" s="194"/>
      <c r="H25" s="195"/>
      <c r="I25" s="195"/>
      <c r="J25" s="213"/>
      <c r="K25" s="248">
        <f>IF(SUM($K$20:$K$24)&lt;SUM($J$15:$J$18),-SUM($K$20:$K$24)+SUM($J$15:$J$18),0)</f>
        <v>5418</v>
      </c>
      <c r="N25" s="196"/>
      <c r="P25" s="224"/>
      <c r="Q25" s="224"/>
      <c r="S25" s="223">
        <f t="shared" si="1"/>
        <v>0</v>
      </c>
    </row>
    <row r="26" spans="1:19" ht="16.5" customHeight="1" x14ac:dyDescent="0.25">
      <c r="A26" s="99"/>
      <c r="C26" s="47"/>
      <c r="D26" s="47"/>
      <c r="E26" s="47"/>
      <c r="F26" s="179"/>
      <c r="G26" s="179"/>
      <c r="H26" s="49"/>
      <c r="I26" s="49"/>
      <c r="J26" s="155">
        <f>SUM(J15:J25)</f>
        <v>1105879</v>
      </c>
      <c r="K26" s="155">
        <f>SUM(K15:K25)</f>
        <v>1105879</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290911</v>
      </c>
      <c r="K33" s="197"/>
    </row>
    <row r="34" spans="1:12" ht="16.5" customHeight="1" x14ac:dyDescent="0.25">
      <c r="A34" s="99"/>
      <c r="B34" s="26"/>
      <c r="C34" s="26" t="s">
        <v>1861</v>
      </c>
      <c r="D34" s="193"/>
      <c r="E34" s="193"/>
      <c r="F34" s="194"/>
      <c r="G34" s="194"/>
      <c r="H34" s="195"/>
      <c r="I34" s="195"/>
      <c r="J34" s="197"/>
      <c r="K34" s="196">
        <v>290911</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290911</v>
      </c>
      <c r="K36" s="155">
        <f>SUM(K33:K35)</f>
        <v>290911</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290911</v>
      </c>
      <c r="K41" s="197"/>
    </row>
    <row r="42" spans="1:12" ht="16.5" customHeight="1" x14ac:dyDescent="0.25">
      <c r="A42" s="99"/>
      <c r="B42" s="26"/>
      <c r="C42" s="26" t="s">
        <v>198</v>
      </c>
      <c r="D42" s="193"/>
      <c r="E42" s="193"/>
      <c r="F42" s="194"/>
      <c r="G42" s="194"/>
      <c r="H42" s="195"/>
      <c r="I42" s="195"/>
      <c r="J42" s="197"/>
      <c r="K42" s="196">
        <v>290911</v>
      </c>
    </row>
    <row r="43" spans="1:12" ht="16.5" customHeight="1" x14ac:dyDescent="0.25">
      <c r="A43" s="99"/>
      <c r="B43" s="182" t="s">
        <v>1692</v>
      </c>
      <c r="C43" s="43"/>
      <c r="D43" s="43"/>
      <c r="E43" s="43"/>
      <c r="F43" s="44"/>
      <c r="G43" s="44"/>
      <c r="H43" s="45"/>
      <c r="I43" s="45"/>
      <c r="J43" s="155">
        <f>SUM(J39:J42)</f>
        <v>290911</v>
      </c>
      <c r="K43" s="155">
        <f>SUM(K39:K42)</f>
        <v>290911</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290911</v>
      </c>
      <c r="K47" s="197"/>
    </row>
    <row r="48" spans="1:12" ht="16.5" customHeight="1" x14ac:dyDescent="0.25">
      <c r="A48" s="234" t="s">
        <v>1698</v>
      </c>
      <c r="B48" s="26"/>
      <c r="C48" s="26" t="s">
        <v>184</v>
      </c>
      <c r="D48" s="193"/>
      <c r="E48" s="193"/>
      <c r="F48" s="194"/>
      <c r="G48" s="194"/>
      <c r="H48" s="195"/>
      <c r="I48" s="195"/>
      <c r="J48" s="197"/>
      <c r="K48" s="196">
        <v>290911</v>
      </c>
    </row>
    <row r="49" spans="1:16" ht="16.5" customHeight="1" x14ac:dyDescent="0.25">
      <c r="A49" s="99"/>
      <c r="C49" s="43"/>
      <c r="D49" s="43"/>
      <c r="E49" s="43"/>
      <c r="F49" s="44"/>
      <c r="G49" s="44"/>
      <c r="H49" s="45"/>
      <c r="I49" s="45"/>
      <c r="J49" s="155">
        <f>SUM(J47:J48)</f>
        <v>290911</v>
      </c>
      <c r="K49" s="155">
        <f>SUM(K47:K48)</f>
        <v>290911</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208352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208352</v>
      </c>
    </row>
    <row r="59" spans="1:16" ht="16.5" customHeight="1" x14ac:dyDescent="0.25">
      <c r="A59" s="99"/>
      <c r="C59" s="43"/>
      <c r="D59" s="43"/>
      <c r="E59" s="43"/>
      <c r="F59" s="44"/>
      <c r="G59" s="44"/>
      <c r="H59" s="45"/>
      <c r="I59" s="45"/>
      <c r="J59" s="155">
        <f>SUM(J55:J58)</f>
        <v>208352</v>
      </c>
      <c r="K59" s="155">
        <f>SUM(K55:K58)</f>
        <v>208352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194048</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16901</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210949</v>
      </c>
    </row>
    <row r="65" spans="1:12" ht="16.5" customHeight="1" x14ac:dyDescent="0.25">
      <c r="A65" s="99"/>
      <c r="C65" s="43"/>
      <c r="D65" s="43"/>
      <c r="E65" s="43"/>
      <c r="F65" s="44"/>
      <c r="G65" s="44"/>
      <c r="H65" s="45"/>
      <c r="I65" s="45"/>
      <c r="J65" s="155">
        <f>SUM(J62:J64)</f>
        <v>210949</v>
      </c>
      <c r="K65" s="155">
        <f>SUM(K62:K64)</f>
        <v>210949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194048</v>
      </c>
      <c r="K68" s="197"/>
    </row>
    <row r="69" spans="1:12" ht="16.5" customHeight="1" x14ac:dyDescent="0.25">
      <c r="A69" s="99"/>
      <c r="B69" s="26"/>
      <c r="C69" s="26" t="s">
        <v>203</v>
      </c>
      <c r="D69" s="193"/>
      <c r="E69" s="193"/>
      <c r="F69" s="194"/>
      <c r="G69" s="194"/>
      <c r="H69" s="195"/>
      <c r="I69" s="195"/>
      <c r="J69" s="197"/>
      <c r="K69" s="196">
        <v>194048</v>
      </c>
    </row>
    <row r="70" spans="1:12" ht="16.5" customHeight="1" x14ac:dyDescent="0.25">
      <c r="A70" s="99"/>
      <c r="C70" s="43"/>
      <c r="D70" s="43"/>
      <c r="E70" s="43"/>
      <c r="F70" s="44"/>
      <c r="G70" s="44"/>
      <c r="H70" s="45"/>
      <c r="I70" s="45"/>
      <c r="J70" s="155">
        <f>SUM(J68:J69)</f>
        <v>194048</v>
      </c>
      <c r="K70" s="155">
        <f>SUM(K68:K69)</f>
        <v>194048</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162416</v>
      </c>
      <c r="K75" s="197"/>
    </row>
    <row r="76" spans="1:12" ht="16.5" customHeight="1" x14ac:dyDescent="0.25">
      <c r="A76" s="99"/>
      <c r="B76" s="26"/>
      <c r="C76" s="26" t="s">
        <v>211</v>
      </c>
      <c r="D76" s="193"/>
      <c r="E76" s="193"/>
      <c r="F76" s="194"/>
      <c r="G76" s="194"/>
      <c r="H76" s="195"/>
      <c r="I76" s="195"/>
      <c r="J76" s="197"/>
      <c r="K76" s="196">
        <v>162416</v>
      </c>
    </row>
    <row r="77" spans="1:12" ht="16.5" customHeight="1" x14ac:dyDescent="0.2">
      <c r="A77" s="99"/>
      <c r="B77" s="265" t="s">
        <v>1841</v>
      </c>
      <c r="C77" s="265"/>
      <c r="D77" s="265"/>
      <c r="E77" s="265"/>
      <c r="F77" s="265"/>
      <c r="G77" s="265"/>
      <c r="H77" s="265"/>
      <c r="I77" s="265"/>
      <c r="J77" s="155">
        <f>SUM(J75:J76)</f>
        <v>162416</v>
      </c>
      <c r="K77" s="155">
        <f>SUM(K75:K76)</f>
        <v>162416</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13035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13035</v>
      </c>
    </row>
    <row r="91" spans="1:16" ht="16.5" customHeight="1" x14ac:dyDescent="0.25">
      <c r="B91" s="182" t="s">
        <v>1693</v>
      </c>
      <c r="H91" s="37"/>
      <c r="J91" s="156">
        <f>SUM(J85:J90)</f>
        <v>13035</v>
      </c>
      <c r="K91" s="156">
        <f>SUM(K85:K90)</f>
        <v>13035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14447</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14447</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14447</v>
      </c>
      <c r="K105" s="156">
        <f>SUM(K96:K104)</f>
        <v>14447</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1349370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-382081</v>
      </c>
    </row>
    <row r="128" spans="1:12" ht="16.5" customHeight="1" x14ac:dyDescent="0.25">
      <c r="D128" s="193" t="s">
        <v>1709</v>
      </c>
      <c r="H128" s="37"/>
      <c r="K128" s="238">
        <f>-K23-K48+J68+J75+J96-K113</f>
        <v>-833697</v>
      </c>
    </row>
    <row r="129" spans="4:11" ht="16.5" customHeight="1" x14ac:dyDescent="0.25">
      <c r="D129" s="193" t="s">
        <v>1710</v>
      </c>
      <c r="H129" s="37"/>
      <c r="K129" s="238">
        <f>-K76</f>
        <v>-162416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ECF03C7B-EDDB-4806-A358-FCF1B48542B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A0B00DE-3384-4CD8-A823-C9D6860CB31A}">
      <formula1>0</formula1>
    </dataValidation>
    <dataValidation type="textLength" operator="equal" allowBlank="1" showInputMessage="1" showErrorMessage="1" errorTitle="4-Digit Org Code" error="Enter the Org Code/BU as 4 digits." sqref="F5" xr:uid="{096170B2-AB91-4AE0-83EA-39FC0DDC504B}">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FB1D8FE-4766-4CBA-9E08-AA24F735C77D}">
          <x14:formula1>
            <xm:f>'Drop Down Menus'!$A$1:$A$101</xm:f>
          </x14:formula1>
          <xm:sqref>F3</xm:sqref>
        </x14:dataValidation>
        <x14:dataValidation type="list" allowBlank="1" showInputMessage="1" showErrorMessage="1" xr:uid="{1ECF77B0-C2BD-4CF7-A85D-ED8F04FC7B5D}">
          <x14:formula1>
            <xm:f>'Drop Down Menus'!$B$1:$B$2</xm:f>
          </x14:formula1>
          <xm:sqref>F7</xm:sqref>
        </x14:dataValidation>
        <x14:dataValidation type="list" allowBlank="1" showInputMessage="1" showErrorMessage="1" xr:uid="{97B8B61A-AA1C-422C-A252-DE62B2FEDF59}">
          <x14:formula1>
            <xm:f>'Drop Down Menus'!$E$1:$E$3</xm:f>
          </x14:formula1>
          <xm:sqref>F8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BE1A-C30D-45B2-850C-268B1A9A2370}">
  <sheetPr codeName="Sheet17">
    <tabColor theme="9" tint="0.59999389629810485"/>
    <pageSetUpPr fitToPage="1"/>
  </sheetPr>
  <dimension ref="A1:S193"/>
  <sheetViews>
    <sheetView topLeftCell="A64" zoomScale="70" zoomScaleNormal="70" workbookViewId="0">
      <selection activeCell="P71" sqref="P7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7" t="s">
        <v>1661</v>
      </c>
      <c r="B1" s="257"/>
      <c r="C1" s="257"/>
      <c r="D1" s="257"/>
      <c r="E1" s="257"/>
      <c r="F1" s="257"/>
      <c r="G1" s="257"/>
      <c r="H1" s="257"/>
      <c r="I1" s="257"/>
      <c r="J1" s="257"/>
      <c r="K1" s="257"/>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8" t="s">
        <v>13</v>
      </c>
      <c r="B3" s="258"/>
      <c r="C3" s="258"/>
      <c r="D3" s="258"/>
      <c r="E3" s="258"/>
      <c r="F3" s="259" t="s">
        <v>24</v>
      </c>
      <c r="G3" s="259"/>
      <c r="H3" s="259"/>
      <c r="I3" s="259"/>
    </row>
    <row r="4" spans="1:19" ht="16.5" customHeight="1" x14ac:dyDescent="0.2">
      <c r="A4" s="258" t="s">
        <v>209</v>
      </c>
      <c r="B4" s="258"/>
      <c r="C4" s="258"/>
      <c r="D4" s="258"/>
      <c r="E4" s="258"/>
      <c r="F4" s="260" t="s">
        <v>1883</v>
      </c>
      <c r="G4" s="260"/>
      <c r="H4" s="260"/>
      <c r="I4" s="260"/>
    </row>
    <row r="5" spans="1:19" ht="16.5" customHeight="1" x14ac:dyDescent="0.2">
      <c r="A5" s="258" t="s">
        <v>1640</v>
      </c>
      <c r="B5" s="258"/>
      <c r="C5" s="258"/>
      <c r="D5" s="258"/>
      <c r="E5" s="258"/>
      <c r="F5" s="260" t="s">
        <v>804</v>
      </c>
      <c r="G5" s="260"/>
      <c r="H5" s="260"/>
      <c r="I5" s="260"/>
      <c r="L5" s="39"/>
      <c r="M5" s="39"/>
      <c r="N5" s="39"/>
      <c r="O5" s="39"/>
      <c r="P5" s="39"/>
      <c r="Q5" s="39"/>
    </row>
    <row r="6" spans="1:19" ht="16.5" customHeight="1" x14ac:dyDescent="0.25">
      <c r="A6" s="258" t="s">
        <v>1683</v>
      </c>
      <c r="B6" s="258"/>
      <c r="C6" s="258"/>
      <c r="D6" s="258"/>
      <c r="E6" s="258"/>
      <c r="F6" s="261">
        <v>6088</v>
      </c>
      <c r="G6" s="261"/>
      <c r="H6" s="261"/>
      <c r="I6" s="261"/>
      <c r="L6" s="40"/>
      <c r="M6" s="40"/>
      <c r="N6" s="40"/>
      <c r="O6" s="40"/>
      <c r="P6" s="39"/>
      <c r="Q6" s="39"/>
    </row>
    <row r="7" spans="1:19" ht="16.5" customHeight="1" x14ac:dyDescent="0.25">
      <c r="A7" s="258" t="s">
        <v>3</v>
      </c>
      <c r="B7" s="258"/>
      <c r="C7" s="258"/>
      <c r="D7" s="258"/>
      <c r="E7" s="258"/>
      <c r="F7" s="261" t="s">
        <v>124</v>
      </c>
      <c r="G7" s="261"/>
      <c r="H7" s="261"/>
      <c r="I7" s="261"/>
      <c r="K7" s="96"/>
      <c r="L7" s="40"/>
      <c r="M7" s="40"/>
      <c r="N7" s="40"/>
      <c r="O7" s="40"/>
      <c r="P7" s="39"/>
      <c r="Q7" s="39"/>
    </row>
    <row r="8" spans="1:19" ht="16.5" customHeight="1" x14ac:dyDescent="0.25">
      <c r="A8" s="258" t="s">
        <v>1641</v>
      </c>
      <c r="B8" s="258"/>
      <c r="C8" s="258"/>
      <c r="D8" s="258"/>
      <c r="E8" s="258"/>
      <c r="F8" s="261" t="s">
        <v>165</v>
      </c>
      <c r="G8" s="261"/>
      <c r="H8" s="261"/>
      <c r="I8" s="261"/>
      <c r="K8" s="96"/>
      <c r="L8" s="40"/>
      <c r="M8" s="40"/>
      <c r="N8" s="40"/>
      <c r="O8" s="40"/>
      <c r="P8" s="39"/>
      <c r="Q8" s="39"/>
    </row>
    <row r="9" spans="1:19" ht="16.5" customHeight="1" x14ac:dyDescent="0.25">
      <c r="A9" s="258" t="s">
        <v>1639</v>
      </c>
      <c r="B9" s="258"/>
      <c r="C9" s="258"/>
      <c r="D9" s="258"/>
      <c r="E9" s="258"/>
      <c r="F9" s="262" t="str">
        <f>IFERROR(IF(F7="Proprietary","Proprietary Fund",VLOOKUP(F5,qryIndex02a!$A$2:$K$654,4,FALSE)),"Unidentified")</f>
        <v>RESOURCES</v>
      </c>
      <c r="G9" s="262"/>
      <c r="H9" s="262"/>
      <c r="I9" s="262"/>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3" t="s">
        <v>1673</v>
      </c>
      <c r="N14" s="264"/>
      <c r="O14" s="188"/>
      <c r="P14" s="263" t="s">
        <v>1668</v>
      </c>
      <c r="Q14" s="264"/>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851002</v>
      </c>
      <c r="M17" s="196">
        <v>851002</v>
      </c>
      <c r="P17" s="250">
        <v>1346985</v>
      </c>
      <c r="Q17" s="224"/>
      <c r="S17" s="223">
        <f t="shared" si="0"/>
        <v>495983</v>
      </c>
    </row>
    <row r="18" spans="1:19" ht="16.5" customHeight="1" x14ac:dyDescent="0.25">
      <c r="A18" s="99"/>
      <c r="B18" s="26" t="s">
        <v>179</v>
      </c>
      <c r="C18" s="26"/>
      <c r="D18" s="26"/>
      <c r="E18" s="193"/>
      <c r="F18" s="194"/>
      <c r="G18" s="194"/>
      <c r="H18" s="195"/>
      <c r="I18" s="195"/>
      <c r="J18" s="248">
        <f>P18</f>
        <v>18010</v>
      </c>
      <c r="M18" s="196">
        <v>12563</v>
      </c>
      <c r="P18" s="221">
        <f>IF(SUM($Q$20:$Q$23)&gt;SUM($P$15:$P$17),SUM($Q$20:$Q$23)-SUM($P$15:$P$17),0)</f>
        <v>18010</v>
      </c>
      <c r="Q18" s="224"/>
      <c r="S18" s="223">
        <f t="shared" si="0"/>
        <v>5447</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146359</v>
      </c>
      <c r="N22" s="196">
        <v>146359</v>
      </c>
      <c r="P22" s="224"/>
      <c r="Q22" s="250">
        <v>231659</v>
      </c>
      <c r="S22" s="223">
        <f t="shared" ref="S22:S25" si="1">Q22-N22</f>
        <v>85300</v>
      </c>
    </row>
    <row r="23" spans="1:19" ht="16.5" customHeight="1" x14ac:dyDescent="0.25">
      <c r="A23" s="234" t="s">
        <v>1698</v>
      </c>
      <c r="B23" s="26"/>
      <c r="C23" s="26" t="s">
        <v>184</v>
      </c>
      <c r="D23" s="26"/>
      <c r="E23" s="193"/>
      <c r="F23" s="194"/>
      <c r="G23" s="194"/>
      <c r="H23" s="195"/>
      <c r="I23" s="195"/>
      <c r="J23" s="213"/>
      <c r="K23" s="248">
        <f>N23</f>
        <v>716022</v>
      </c>
      <c r="N23" s="196">
        <v>716022</v>
      </c>
      <c r="P23" s="224"/>
      <c r="Q23" s="250">
        <v>1133336</v>
      </c>
      <c r="S23" s="223">
        <f t="shared" si="1"/>
        <v>417314</v>
      </c>
    </row>
    <row r="24" spans="1:19" ht="16.5" customHeight="1" x14ac:dyDescent="0.25">
      <c r="A24" s="99"/>
      <c r="B24" s="26"/>
      <c r="C24" s="26" t="s">
        <v>186</v>
      </c>
      <c r="D24" s="26"/>
      <c r="E24" s="193"/>
      <c r="F24" s="194"/>
      <c r="G24" s="194"/>
      <c r="H24" s="195"/>
      <c r="I24" s="195"/>
      <c r="J24" s="213"/>
      <c r="K24" s="248">
        <f>Q24</f>
        <v>0</v>
      </c>
      <c r="N24" s="196">
        <v>1184</v>
      </c>
      <c r="P24" s="224"/>
      <c r="Q24" s="221">
        <f>IF(SUM($Q$20:$Q$23)&lt;SUM($P$15:$P$17),-SUM($Q$20:$Q$23)+SUM($P$15:$P$17),0)</f>
        <v>0</v>
      </c>
      <c r="S24" s="223">
        <f t="shared" si="1"/>
        <v>-1184</v>
      </c>
    </row>
    <row r="25" spans="1:19" ht="16.5" customHeight="1" x14ac:dyDescent="0.25">
      <c r="A25" s="99"/>
      <c r="B25" s="26"/>
      <c r="C25" s="26" t="s">
        <v>187</v>
      </c>
      <c r="D25" s="26"/>
      <c r="E25" s="193"/>
      <c r="F25" s="194"/>
      <c r="G25" s="194"/>
      <c r="H25" s="195"/>
      <c r="I25" s="195"/>
      <c r="J25" s="213"/>
      <c r="K25" s="248">
        <f>IF(SUM($K$20:$K$24)&lt;SUM($J$15:$J$18),-SUM($K$20:$K$24)+SUM($J$15:$J$18),0)</f>
        <v>6631</v>
      </c>
      <c r="N25" s="196"/>
      <c r="P25" s="224"/>
      <c r="Q25" s="224"/>
      <c r="S25" s="223">
        <f t="shared" si="1"/>
        <v>0</v>
      </c>
    </row>
    <row r="26" spans="1:19" ht="16.5" customHeight="1" x14ac:dyDescent="0.25">
      <c r="A26" s="99"/>
      <c r="C26" s="47"/>
      <c r="D26" s="47"/>
      <c r="E26" s="47"/>
      <c r="F26" s="179"/>
      <c r="G26" s="179"/>
      <c r="H26" s="49"/>
      <c r="I26" s="49"/>
      <c r="J26" s="155">
        <f>SUM(J15:J25)</f>
        <v>869012</v>
      </c>
      <c r="K26" s="155">
        <f>SUM(K15:K25)</f>
        <v>869012</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227973</v>
      </c>
      <c r="K33" s="197"/>
    </row>
    <row r="34" spans="1:12" ht="16.5" customHeight="1" x14ac:dyDescent="0.25">
      <c r="A34" s="99"/>
      <c r="B34" s="26"/>
      <c r="C34" s="26" t="s">
        <v>1861</v>
      </c>
      <c r="D34" s="193"/>
      <c r="E34" s="193"/>
      <c r="F34" s="194"/>
      <c r="G34" s="194"/>
      <c r="H34" s="195"/>
      <c r="I34" s="195"/>
      <c r="J34" s="197"/>
      <c r="K34" s="196">
        <v>227973</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227973</v>
      </c>
      <c r="K36" s="155">
        <f>SUM(K33:K35)</f>
        <v>227973</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227973</v>
      </c>
      <c r="K41" s="197"/>
    </row>
    <row r="42" spans="1:12" ht="16.5" customHeight="1" x14ac:dyDescent="0.25">
      <c r="A42" s="99"/>
      <c r="B42" s="26"/>
      <c r="C42" s="26" t="s">
        <v>198</v>
      </c>
      <c r="D42" s="193"/>
      <c r="E42" s="193"/>
      <c r="F42" s="194"/>
      <c r="G42" s="194"/>
      <c r="H42" s="195"/>
      <c r="I42" s="195"/>
      <c r="J42" s="197"/>
      <c r="K42" s="196">
        <v>227973</v>
      </c>
    </row>
    <row r="43" spans="1:12" ht="16.5" customHeight="1" x14ac:dyDescent="0.25">
      <c r="A43" s="99"/>
      <c r="B43" s="182" t="s">
        <v>1692</v>
      </c>
      <c r="C43" s="43"/>
      <c r="D43" s="43"/>
      <c r="E43" s="43"/>
      <c r="F43" s="44"/>
      <c r="G43" s="44"/>
      <c r="H43" s="45"/>
      <c r="I43" s="45"/>
      <c r="J43" s="155">
        <f>SUM(J39:J42)</f>
        <v>227973</v>
      </c>
      <c r="K43" s="155">
        <f>SUM(K39:K42)</f>
        <v>227973</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227973</v>
      </c>
      <c r="K47" s="197"/>
    </row>
    <row r="48" spans="1:12" ht="16.5" customHeight="1" x14ac:dyDescent="0.25">
      <c r="A48" s="234" t="s">
        <v>1698</v>
      </c>
      <c r="B48" s="26"/>
      <c r="C48" s="26" t="s">
        <v>184</v>
      </c>
      <c r="D48" s="193"/>
      <c r="E48" s="193"/>
      <c r="F48" s="194"/>
      <c r="G48" s="194"/>
      <c r="H48" s="195"/>
      <c r="I48" s="195"/>
      <c r="J48" s="197"/>
      <c r="K48" s="196">
        <v>227973</v>
      </c>
    </row>
    <row r="49" spans="1:16" ht="16.5" customHeight="1" x14ac:dyDescent="0.25">
      <c r="A49" s="99"/>
      <c r="C49" s="43"/>
      <c r="D49" s="43"/>
      <c r="E49" s="43"/>
      <c r="F49" s="44"/>
      <c r="G49" s="44"/>
      <c r="H49" s="45"/>
      <c r="I49" s="45"/>
      <c r="J49" s="155">
        <f>SUM(J47:J48)</f>
        <v>227973</v>
      </c>
      <c r="K49" s="155">
        <f>SUM(K47:K48)</f>
        <v>227973</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163276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163276</v>
      </c>
    </row>
    <row r="59" spans="1:16" ht="16.5" customHeight="1" x14ac:dyDescent="0.25">
      <c r="A59" s="99"/>
      <c r="C59" s="43"/>
      <c r="D59" s="43"/>
      <c r="E59" s="43"/>
      <c r="F59" s="44"/>
      <c r="G59" s="44"/>
      <c r="H59" s="45"/>
      <c r="I59" s="45"/>
      <c r="J59" s="155">
        <f>SUM(J55:J58)</f>
        <v>163276</v>
      </c>
      <c r="K59" s="155">
        <f>SUM(K55:K58)</f>
        <v>163276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152067</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13244</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165311</v>
      </c>
    </row>
    <row r="65" spans="1:12" ht="16.5" customHeight="1" x14ac:dyDescent="0.25">
      <c r="A65" s="99"/>
      <c r="C65" s="43"/>
      <c r="D65" s="43"/>
      <c r="E65" s="43"/>
      <c r="F65" s="44"/>
      <c r="G65" s="44"/>
      <c r="H65" s="45"/>
      <c r="I65" s="45"/>
      <c r="J65" s="155">
        <f>SUM(J62:J64)</f>
        <v>165311</v>
      </c>
      <c r="K65" s="155">
        <f>SUM(K62:K64)</f>
        <v>165311</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152067</v>
      </c>
      <c r="K68" s="197"/>
    </row>
    <row r="69" spans="1:12" ht="16.5" customHeight="1" x14ac:dyDescent="0.25">
      <c r="A69" s="99"/>
      <c r="B69" s="26"/>
      <c r="C69" s="26" t="s">
        <v>203</v>
      </c>
      <c r="D69" s="193"/>
      <c r="E69" s="193"/>
      <c r="F69" s="194"/>
      <c r="G69" s="194"/>
      <c r="H69" s="195"/>
      <c r="I69" s="195"/>
      <c r="J69" s="197"/>
      <c r="K69" s="196">
        <v>152067</v>
      </c>
    </row>
    <row r="70" spans="1:12" ht="16.5" customHeight="1" x14ac:dyDescent="0.25">
      <c r="A70" s="99"/>
      <c r="C70" s="43"/>
      <c r="D70" s="43"/>
      <c r="E70" s="43"/>
      <c r="F70" s="44"/>
      <c r="G70" s="44"/>
      <c r="H70" s="45"/>
      <c r="I70" s="45"/>
      <c r="J70" s="155">
        <f>SUM(J68:J69)</f>
        <v>152067</v>
      </c>
      <c r="K70" s="155">
        <f>SUM(K68:K69)</f>
        <v>152067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127278</v>
      </c>
      <c r="K75" s="197"/>
    </row>
    <row r="76" spans="1:12" ht="16.5" customHeight="1" x14ac:dyDescent="0.25">
      <c r="A76" s="99"/>
      <c r="B76" s="26"/>
      <c r="C76" s="26" t="s">
        <v>211</v>
      </c>
      <c r="D76" s="193"/>
      <c r="E76" s="193"/>
      <c r="F76" s="194"/>
      <c r="G76" s="194"/>
      <c r="H76" s="195"/>
      <c r="I76" s="195"/>
      <c r="J76" s="197"/>
      <c r="K76" s="196">
        <v>127278</v>
      </c>
    </row>
    <row r="77" spans="1:12" ht="16.5" customHeight="1" x14ac:dyDescent="0.2">
      <c r="A77" s="99"/>
      <c r="B77" s="265" t="s">
        <v>1841</v>
      </c>
      <c r="C77" s="265"/>
      <c r="D77" s="265"/>
      <c r="E77" s="265"/>
      <c r="F77" s="265"/>
      <c r="G77" s="265"/>
      <c r="H77" s="265"/>
      <c r="I77" s="265"/>
      <c r="J77" s="155">
        <f>SUM(J75:J76)</f>
        <v>127278</v>
      </c>
      <c r="K77" s="155">
        <f>SUM(K75:K76)</f>
        <v>127278</v>
      </c>
      <c r="L77" s="21" t="str">
        <f>IF(J77=K77,"&lt;- Debits and Credits equal each other.","&lt;- Debits and Credits do not equal each other.")</f>
        <v>&lt;- Debits and Credits equal each other.</v>
      </c>
    </row>
    <row r="78" spans="1:12" ht="16.5" customHeight="1" x14ac:dyDescent="0.2">
      <c r="A78" s="99"/>
      <c r="B78" s="265"/>
      <c r="C78" s="265"/>
      <c r="D78" s="265"/>
      <c r="E78" s="265"/>
      <c r="F78" s="265"/>
      <c r="G78" s="265"/>
      <c r="H78" s="265"/>
      <c r="I78" s="265"/>
      <c r="J78" s="155"/>
      <c r="K78" s="155"/>
      <c r="L78" s="21"/>
    </row>
    <row r="79" spans="1:12" ht="24.6" customHeight="1" x14ac:dyDescent="0.2">
      <c r="A79" s="99"/>
      <c r="B79" s="265"/>
      <c r="C79" s="265"/>
      <c r="D79" s="265"/>
      <c r="E79" s="265"/>
      <c r="F79" s="265"/>
      <c r="G79" s="265"/>
      <c r="H79" s="265"/>
      <c r="I79" s="265"/>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10215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10215</v>
      </c>
    </row>
    <row r="91" spans="1:16" ht="16.5" customHeight="1" x14ac:dyDescent="0.25">
      <c r="B91" s="182" t="s">
        <v>1693</v>
      </c>
      <c r="H91" s="37"/>
      <c r="J91" s="156">
        <f>SUM(J85:J90)</f>
        <v>10215</v>
      </c>
      <c r="K91" s="156">
        <f>SUM(K85:K90)</f>
        <v>10215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11321</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11321</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11321</v>
      </c>
      <c r="K105" s="156">
        <f>SUM(K96:K104)</f>
        <v>11321</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1057439</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-299420</v>
      </c>
    </row>
    <row r="128" spans="1:12" ht="16.5" customHeight="1" x14ac:dyDescent="0.25">
      <c r="D128" s="193" t="s">
        <v>1709</v>
      </c>
      <c r="H128" s="37"/>
      <c r="K128" s="238">
        <f>-K23-K48+J68+J75+J96-K113</f>
        <v>-653329</v>
      </c>
    </row>
    <row r="129" spans="4:11" ht="16.5" customHeight="1" x14ac:dyDescent="0.25">
      <c r="D129" s="193" t="s">
        <v>1710</v>
      </c>
      <c r="H129" s="37"/>
      <c r="K129" s="238">
        <f>-K76</f>
        <v>-127278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5E59CBD-1EA6-4241-BDEB-4AC1982EAFF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99767B6-71CE-4FCE-A7B0-0C57504A9256}">
      <formula1>0</formula1>
    </dataValidation>
    <dataValidation operator="lessThan" allowBlank="1" showInputMessage="1" showErrorMessage="1" sqref="A3:A8" xr:uid="{D9E42EB4-F406-4059-9AD1-E923B31857C2}"/>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D47DCDA-D21B-48F9-ACA0-E8EB0ECAD0A7}">
          <x14:formula1>
            <xm:f>'Drop Down Menus'!$E$1:$E$3</xm:f>
          </x14:formula1>
          <xm:sqref>F8</xm:sqref>
        </x14:dataValidation>
        <x14:dataValidation type="list" allowBlank="1" showInputMessage="1" showErrorMessage="1" xr:uid="{95E02000-8EF3-431D-973B-2605111DEA10}">
          <x14:formula1>
            <xm:f>'Drop Down Menus'!$B$1:$B$2</xm:f>
          </x14:formula1>
          <xm:sqref>F7</xm:sqref>
        </x14:dataValidation>
        <x14:dataValidation type="list" allowBlank="1" showInputMessage="1" showErrorMessage="1" xr:uid="{71461F14-7ED9-46F9-9E80-80CE4DE9922D}">
          <x14:formula1>
            <xm:f>'Drop Down Menus'!$A$1:$A$101</xm:f>
          </x14:formula1>
          <xm:sqref>F3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8">
    <tabColor theme="9" tint="0.59999389629810485"/>
  </sheetPr>
  <dimension ref="A1:M98"/>
  <sheetViews>
    <sheetView zoomScale="70" zoomScaleNormal="70" workbookViewId="0">
      <selection activeCell="K28" sqref="K2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5" t="s">
        <v>150</v>
      </c>
      <c r="B1" s="275"/>
      <c r="C1" s="275"/>
      <c r="D1" s="275"/>
      <c r="E1" s="275"/>
      <c r="F1" s="275"/>
      <c r="G1" s="5"/>
      <c r="H1" s="5"/>
      <c r="I1" s="5"/>
      <c r="J1" s="5"/>
      <c r="K1" s="5"/>
      <c r="L1" s="5"/>
      <c r="M1" s="5"/>
    </row>
    <row r="2" spans="1:13" ht="64.150000000000006" customHeight="1" x14ac:dyDescent="0.25">
      <c r="A2" s="274" t="s">
        <v>148</v>
      </c>
      <c r="B2" s="274"/>
      <c r="C2" s="274"/>
      <c r="D2" s="274"/>
      <c r="E2" s="274"/>
      <c r="F2" s="274"/>
      <c r="G2" s="5"/>
      <c r="H2" s="5"/>
      <c r="I2" s="5"/>
      <c r="J2" s="5"/>
      <c r="K2" s="5"/>
      <c r="L2" s="5"/>
      <c r="M2" s="5"/>
    </row>
    <row r="3" spans="1:13" ht="31.9" customHeight="1" x14ac:dyDescent="0.25">
      <c r="A3" s="268" t="s">
        <v>212</v>
      </c>
      <c r="B3" s="268"/>
      <c r="C3" s="268"/>
      <c r="D3" s="52"/>
      <c r="E3" s="5"/>
      <c r="F3" s="5"/>
      <c r="G3" s="5"/>
      <c r="H3" s="5"/>
      <c r="I3" s="5"/>
      <c r="J3" s="5"/>
      <c r="K3" s="5"/>
      <c r="L3" s="5"/>
      <c r="M3" s="5"/>
    </row>
    <row r="4" spans="1:13" ht="31.15" customHeight="1" x14ac:dyDescent="0.25">
      <c r="A4" s="269" t="s">
        <v>7</v>
      </c>
      <c r="B4" s="269"/>
      <c r="C4" s="269"/>
      <c r="D4" s="52"/>
      <c r="E4" s="5"/>
      <c r="F4" s="5"/>
      <c r="G4" s="5"/>
      <c r="H4" s="5"/>
      <c r="I4" s="5"/>
      <c r="J4" s="5"/>
      <c r="K4" s="5"/>
      <c r="L4" s="5"/>
      <c r="M4" s="5"/>
    </row>
    <row r="5" spans="1:13" ht="31.15" customHeight="1" x14ac:dyDescent="0.25">
      <c r="A5" s="269" t="s">
        <v>9</v>
      </c>
      <c r="B5" s="269"/>
      <c r="C5" s="269"/>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6" t="s">
        <v>24</v>
      </c>
      <c r="C8" s="276"/>
      <c r="D8" s="5"/>
      <c r="E8" s="5"/>
      <c r="F8" s="5"/>
    </row>
    <row r="9" spans="1:13" ht="15.75" x14ac:dyDescent="0.25">
      <c r="A9" s="12" t="s">
        <v>210</v>
      </c>
      <c r="B9" s="278">
        <v>3860</v>
      </c>
      <c r="C9" s="278"/>
      <c r="D9" s="5"/>
      <c r="E9" s="5"/>
      <c r="F9" s="5"/>
    </row>
    <row r="10" spans="1:13" ht="15.75" x14ac:dyDescent="0.25">
      <c r="A10" s="12" t="s">
        <v>209</v>
      </c>
      <c r="B10" s="279" t="s">
        <v>1883</v>
      </c>
      <c r="C10" s="279"/>
      <c r="D10" s="5"/>
      <c r="E10" s="5"/>
      <c r="F10" s="5"/>
      <c r="G10" s="55"/>
      <c r="H10" s="55"/>
      <c r="I10" s="55"/>
      <c r="J10" s="55"/>
      <c r="K10" s="55"/>
      <c r="L10" s="55"/>
      <c r="M10" s="55"/>
    </row>
    <row r="11" spans="1:13" ht="32.25" customHeight="1" x14ac:dyDescent="0.25">
      <c r="A11" s="280" t="s">
        <v>10</v>
      </c>
      <c r="B11" s="280"/>
      <c r="C11" s="280"/>
      <c r="D11" s="5"/>
      <c r="E11" s="5"/>
      <c r="F11" s="5"/>
      <c r="G11" s="57"/>
      <c r="H11" s="57"/>
      <c r="I11" s="57"/>
      <c r="J11" s="57"/>
      <c r="K11" s="57"/>
      <c r="L11" s="57"/>
      <c r="M11" s="57"/>
    </row>
    <row r="12" spans="1:13" ht="15" customHeight="1" x14ac:dyDescent="0.25">
      <c r="A12" s="84"/>
      <c r="B12" s="85" t="s">
        <v>11</v>
      </c>
      <c r="C12" s="85" t="s">
        <v>12</v>
      </c>
      <c r="D12" s="277" t="str">
        <f>"All of the below questions are for Fiscal Year "&amp;$B$8&amp;":"</f>
        <v>All of the below questions are for Fiscal Year 2022–2023:</v>
      </c>
      <c r="E12" s="277"/>
      <c r="F12" s="277"/>
      <c r="G12" s="57"/>
      <c r="H12" s="57"/>
      <c r="I12" s="57"/>
      <c r="J12" s="57"/>
      <c r="K12" s="57"/>
      <c r="L12" s="57"/>
      <c r="M12" s="57"/>
    </row>
    <row r="13" spans="1:13" ht="15.6" customHeight="1" x14ac:dyDescent="0.25">
      <c r="A13" s="84" t="str">
        <f>RIGHT(B8,4)&amp;"–"&amp;RIGHT(B8,4)+1</f>
        <v>2023–2024</v>
      </c>
      <c r="B13" s="100">
        <v>2586945</v>
      </c>
      <c r="C13" s="100">
        <v>247804.33438020435</v>
      </c>
      <c r="D13" s="271" t="s">
        <v>6</v>
      </c>
      <c r="E13" s="272"/>
      <c r="F13" s="272"/>
      <c r="G13" s="57"/>
      <c r="H13" s="57"/>
      <c r="I13" s="57"/>
      <c r="J13" s="57"/>
      <c r="K13" s="57"/>
      <c r="L13" s="57"/>
      <c r="M13" s="57"/>
    </row>
    <row r="14" spans="1:13" x14ac:dyDescent="0.2">
      <c r="A14" s="84" t="str">
        <f>LEFT(A13,4)+1&amp;"–"&amp;RIGHT(A13,4)+1</f>
        <v>2024–2025</v>
      </c>
      <c r="B14" s="100">
        <v>2632569.3172756331</v>
      </c>
      <c r="C14" s="100">
        <v>214736.47555536553</v>
      </c>
      <c r="D14" s="271"/>
      <c r="E14" s="272"/>
      <c r="F14" s="272"/>
    </row>
    <row r="15" spans="1:13" ht="15.75" x14ac:dyDescent="0.2">
      <c r="A15" s="84" t="str">
        <f>LEFT(A14,4)+1&amp;"–"&amp;RIGHT(A14,4)+1</f>
        <v>2025–2026</v>
      </c>
      <c r="B15" s="100">
        <v>2721893.0086457273</v>
      </c>
      <c r="C15" s="100">
        <v>180198.99717927122</v>
      </c>
      <c r="D15" s="267" t="s">
        <v>131</v>
      </c>
      <c r="E15" s="267"/>
      <c r="F15" s="267"/>
      <c r="G15" s="58"/>
      <c r="H15" s="58"/>
      <c r="I15" s="58"/>
      <c r="J15" s="58"/>
      <c r="K15" s="58"/>
      <c r="L15" s="58"/>
      <c r="M15" s="58"/>
    </row>
    <row r="16" spans="1:13" x14ac:dyDescent="0.2">
      <c r="A16" s="84" t="str">
        <f>LEFT(A15,4)+1&amp;"–"&amp;RIGHT(A15,4)+1</f>
        <v>2026–2027</v>
      </c>
      <c r="B16" s="100">
        <v>2068030.6753643684</v>
      </c>
      <c r="C16" s="100">
        <v>145493.59583163069</v>
      </c>
      <c r="D16" s="270" t="str">
        <f>"If yes, record the dollar amount of variable payments below for fiscal year "&amp;$B$8&amp;":"</f>
        <v>If yes, record the dollar amount of variable payments below for fiscal year 2022–2023:</v>
      </c>
      <c r="E16" s="270"/>
      <c r="F16" s="270"/>
      <c r="G16" s="59"/>
      <c r="H16" s="59"/>
      <c r="I16" s="59"/>
      <c r="J16" s="59"/>
      <c r="K16" s="59"/>
    </row>
    <row r="17" spans="1:13" ht="15" customHeight="1" x14ac:dyDescent="0.2">
      <c r="A17" s="84" t="str">
        <f>LEFT(A16,4)+1&amp;"–"&amp;RIGHT(A16,4)+1</f>
        <v>2027–2028</v>
      </c>
      <c r="B17" s="100">
        <v>1055331.993894608</v>
      </c>
      <c r="C17" s="100">
        <v>120913.73923884156</v>
      </c>
      <c r="D17" s="267"/>
      <c r="E17" s="267"/>
      <c r="F17" s="267"/>
      <c r="G17" s="59"/>
      <c r="H17" s="59"/>
      <c r="I17" s="59"/>
      <c r="J17" s="59"/>
      <c r="K17" s="59"/>
    </row>
    <row r="18" spans="1:13" ht="15" customHeight="1" x14ac:dyDescent="0.25">
      <c r="A18" s="84" t="str">
        <f>LEFT(A17,4)+1&amp;"–"&amp;RIGHT(A17,4)+5</f>
        <v>2028–2033</v>
      </c>
      <c r="B18" s="100">
        <v>3682035.6453050775</v>
      </c>
      <c r="C18" s="100">
        <v>317624.34796892072</v>
      </c>
      <c r="D18" s="271" t="s">
        <v>8</v>
      </c>
      <c r="E18" s="272"/>
      <c r="F18" s="272"/>
      <c r="G18" s="57"/>
      <c r="H18" s="57"/>
      <c r="I18" s="57"/>
      <c r="J18" s="57"/>
      <c r="K18" s="57"/>
      <c r="L18" s="57"/>
      <c r="M18" s="57"/>
    </row>
    <row r="19" spans="1:13" x14ac:dyDescent="0.2">
      <c r="A19" s="84" t="str">
        <f t="shared" ref="A19:A32" si="0">LEFT(A18,4)+5&amp;"–"&amp;RIGHT(A18,4)+5</f>
        <v>2033–2038</v>
      </c>
      <c r="B19" s="100">
        <v>1119168.9178539403</v>
      </c>
      <c r="C19" s="100">
        <v>18230.125610059353</v>
      </c>
      <c r="D19" s="271"/>
      <c r="E19" s="272"/>
      <c r="F19" s="272"/>
    </row>
    <row r="20" spans="1:13" ht="15.75" x14ac:dyDescent="0.2">
      <c r="A20" s="84" t="str">
        <f t="shared" si="0"/>
        <v>2038–2043</v>
      </c>
      <c r="B20" s="100"/>
      <c r="C20" s="100"/>
      <c r="D20" s="267" t="s">
        <v>131</v>
      </c>
      <c r="E20" s="267"/>
      <c r="F20" s="267"/>
      <c r="G20" s="58"/>
      <c r="H20" s="58"/>
      <c r="I20" s="58"/>
      <c r="J20" s="58"/>
      <c r="K20" s="58"/>
      <c r="L20" s="58"/>
      <c r="M20" s="58"/>
    </row>
    <row r="21" spans="1:13" ht="15" customHeight="1" x14ac:dyDescent="0.2">
      <c r="A21" s="84" t="str">
        <f t="shared" si="0"/>
        <v>2043–2048</v>
      </c>
      <c r="B21" s="100"/>
      <c r="C21" s="100"/>
      <c r="D21" s="273" t="str">
        <f>"If yes, record the dollar amount of any payments made for residual value guarantees below for fiscal year "&amp;$B$8&amp;":"</f>
        <v>If yes, record the dollar amount of any payments made for residual value guarantees below for fiscal year 2022–2023:</v>
      </c>
      <c r="E21" s="270"/>
      <c r="F21" s="270"/>
    </row>
    <row r="22" spans="1:13" x14ac:dyDescent="0.2">
      <c r="A22" s="84" t="str">
        <f t="shared" si="0"/>
        <v>2048–2053</v>
      </c>
      <c r="B22" s="100"/>
      <c r="C22" s="100"/>
      <c r="D22" s="273"/>
      <c r="E22" s="270"/>
      <c r="F22" s="270"/>
    </row>
    <row r="23" spans="1:13" x14ac:dyDescent="0.2">
      <c r="A23" s="84" t="str">
        <f t="shared" si="0"/>
        <v>2053–2058</v>
      </c>
      <c r="B23" s="100"/>
      <c r="C23" s="100"/>
      <c r="D23" s="267"/>
      <c r="E23" s="267"/>
      <c r="F23" s="267"/>
    </row>
    <row r="24" spans="1:13" x14ac:dyDescent="0.2">
      <c r="A24" s="84" t="str">
        <f t="shared" si="0"/>
        <v>2058–2063</v>
      </c>
      <c r="B24" s="100"/>
      <c r="C24" s="100"/>
      <c r="D24" s="27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70"/>
      <c r="F24" s="270"/>
    </row>
    <row r="25" spans="1:13" ht="15" customHeight="1" x14ac:dyDescent="0.2">
      <c r="A25" s="84" t="str">
        <f t="shared" si="0"/>
        <v>2063–2068</v>
      </c>
      <c r="B25" s="100"/>
      <c r="C25" s="100"/>
      <c r="D25" s="273"/>
      <c r="E25" s="270"/>
      <c r="F25" s="270"/>
    </row>
    <row r="26" spans="1:13" x14ac:dyDescent="0.2">
      <c r="A26" s="84" t="str">
        <f t="shared" si="0"/>
        <v>2068–2073</v>
      </c>
      <c r="B26" s="100"/>
      <c r="C26" s="100"/>
      <c r="D26" s="267"/>
      <c r="E26" s="267"/>
      <c r="F26" s="267"/>
    </row>
    <row r="27" spans="1:13" ht="15" customHeight="1" x14ac:dyDescent="0.2">
      <c r="A27" s="84" t="str">
        <f t="shared" si="0"/>
        <v>2073–2078</v>
      </c>
      <c r="B27" s="100"/>
      <c r="C27" s="100"/>
      <c r="D27" s="27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2"/>
      <c r="F27" s="272"/>
    </row>
    <row r="28" spans="1:13" ht="15.75" x14ac:dyDescent="0.2">
      <c r="A28" s="84" t="str">
        <f t="shared" si="0"/>
        <v>2078–2083</v>
      </c>
      <c r="B28" s="100"/>
      <c r="C28" s="100"/>
      <c r="D28" s="271"/>
      <c r="E28" s="272"/>
      <c r="F28" s="272"/>
      <c r="G28" s="61"/>
      <c r="H28" s="61"/>
      <c r="I28" s="61"/>
      <c r="J28" s="61"/>
      <c r="K28" s="61"/>
      <c r="L28" s="61"/>
      <c r="M28" s="61"/>
    </row>
    <row r="29" spans="1:13" ht="15.75" x14ac:dyDescent="0.2">
      <c r="A29" s="84" t="str">
        <f t="shared" si="0"/>
        <v>2083–2088</v>
      </c>
      <c r="B29" s="100"/>
      <c r="C29" s="100"/>
      <c r="D29" s="267" t="s">
        <v>131</v>
      </c>
      <c r="E29" s="267"/>
      <c r="F29" s="267"/>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7" t="s">
        <v>131</v>
      </c>
      <c r="E31" s="267"/>
      <c r="F31" s="267"/>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7"/>
      <c r="E33" s="267"/>
      <c r="F33" s="267"/>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6" t="str">
        <f>B8</f>
        <v>2022–2023</v>
      </c>
      <c r="C39" s="266"/>
      <c r="E39" s="60"/>
    </row>
    <row r="40" spans="1:13" ht="15.6" customHeight="1" x14ac:dyDescent="0.25">
      <c r="A40" s="12" t="s">
        <v>210</v>
      </c>
      <c r="B40" s="281">
        <f>B9</f>
        <v>3860</v>
      </c>
      <c r="C40" s="281"/>
      <c r="E40" s="60"/>
    </row>
    <row r="41" spans="1:13" ht="15.75" x14ac:dyDescent="0.25">
      <c r="A41" s="12" t="s">
        <v>209</v>
      </c>
      <c r="B41" s="266" t="str">
        <f>B10</f>
        <v>Department of Water Resources</v>
      </c>
      <c r="C41" s="266"/>
      <c r="E41" s="60"/>
    </row>
    <row r="42" spans="1:13" ht="32.25" customHeight="1" x14ac:dyDescent="0.25">
      <c r="A42" s="280" t="s">
        <v>10</v>
      </c>
      <c r="B42" s="280"/>
      <c r="C42" s="280"/>
      <c r="D42" s="5"/>
      <c r="E42" s="5"/>
      <c r="F42" s="5"/>
      <c r="G42" s="57"/>
      <c r="H42" s="57"/>
      <c r="I42" s="57"/>
      <c r="J42" s="57"/>
      <c r="K42" s="57"/>
      <c r="L42" s="57"/>
      <c r="M42" s="57"/>
    </row>
    <row r="43" spans="1:13" ht="15" customHeight="1" x14ac:dyDescent="0.25">
      <c r="A43" s="84"/>
      <c r="B43" s="85" t="s">
        <v>11</v>
      </c>
      <c r="C43" s="85" t="s">
        <v>12</v>
      </c>
      <c r="D43" s="277" t="str">
        <f>"All of the below questions are for Fiscal Year "&amp;$B$8&amp;":"</f>
        <v>All of the below questions are for Fiscal Year 2022–2023:</v>
      </c>
      <c r="E43" s="277"/>
      <c r="F43" s="277"/>
    </row>
    <row r="44" spans="1:13" ht="15" customHeight="1" x14ac:dyDescent="0.2">
      <c r="A44" s="84" t="str">
        <f>RIGHT(B39,4)&amp;"–"&amp;RIGHT(B39,4)+1</f>
        <v>2023–2024</v>
      </c>
      <c r="B44" s="100"/>
      <c r="C44" s="100"/>
      <c r="D44" s="271" t="s">
        <v>6</v>
      </c>
      <c r="E44" s="272"/>
      <c r="F44" s="272"/>
    </row>
    <row r="45" spans="1:13" ht="15" customHeight="1" x14ac:dyDescent="0.2">
      <c r="A45" s="84" t="str">
        <f>LEFT(A44,4)+1&amp;"–"&amp;RIGHT(A44,4)+1</f>
        <v>2024–2025</v>
      </c>
      <c r="B45" s="100"/>
      <c r="C45" s="100"/>
      <c r="D45" s="271"/>
      <c r="E45" s="272"/>
      <c r="F45" s="272"/>
    </row>
    <row r="46" spans="1:13" x14ac:dyDescent="0.2">
      <c r="A46" s="84" t="str">
        <f>LEFT(A45,4)+1&amp;"–"&amp;RIGHT(A45,4)+1</f>
        <v>2025–2026</v>
      </c>
      <c r="B46" s="100"/>
      <c r="C46" s="100"/>
      <c r="D46" s="267"/>
      <c r="E46" s="267"/>
      <c r="F46" s="267"/>
    </row>
    <row r="47" spans="1:13" ht="15" customHeight="1" x14ac:dyDescent="0.2">
      <c r="A47" s="84" t="str">
        <f>LEFT(A46,4)+1&amp;"–"&amp;RIGHT(A46,4)+1</f>
        <v>2026–2027</v>
      </c>
      <c r="B47" s="100"/>
      <c r="C47" s="100"/>
      <c r="D47" s="270" t="str">
        <f>"If yes, record the dollar amount of variable payments below for fiscal year "&amp;$B$8&amp;":"</f>
        <v>If yes, record the dollar amount of variable payments below for fiscal year 2022–2023:</v>
      </c>
      <c r="E47" s="270"/>
      <c r="F47" s="270"/>
    </row>
    <row r="48" spans="1:13" ht="15" customHeight="1" x14ac:dyDescent="0.2">
      <c r="A48" s="84" t="str">
        <f>LEFT(A47,4)+1&amp;"–"&amp;RIGHT(A47,4)+1</f>
        <v>2027–2028</v>
      </c>
      <c r="B48" s="100"/>
      <c r="C48" s="100"/>
      <c r="D48" s="267"/>
      <c r="E48" s="267"/>
      <c r="F48" s="267"/>
    </row>
    <row r="49" spans="1:6" ht="15" customHeight="1" x14ac:dyDescent="0.2">
      <c r="A49" s="84" t="str">
        <f>LEFT(A48,4)+1&amp;"–"&amp;RIGHT(A48,4)+5</f>
        <v>2028–2033</v>
      </c>
      <c r="B49" s="100"/>
      <c r="C49" s="100"/>
      <c r="D49" s="271" t="s">
        <v>8</v>
      </c>
      <c r="E49" s="272"/>
      <c r="F49" s="272"/>
    </row>
    <row r="50" spans="1:6" x14ac:dyDescent="0.2">
      <c r="A50" s="84" t="str">
        <f t="shared" ref="A50:A63" si="1">LEFT(A49,4)+5&amp;"–"&amp;RIGHT(A49,4)+5</f>
        <v>2033–2038</v>
      </c>
      <c r="B50" s="100"/>
      <c r="C50" s="100"/>
      <c r="D50" s="271"/>
      <c r="E50" s="272"/>
      <c r="F50" s="272"/>
    </row>
    <row r="51" spans="1:6" ht="15" customHeight="1" x14ac:dyDescent="0.2">
      <c r="A51" s="84" t="str">
        <f t="shared" si="1"/>
        <v>2038–2043</v>
      </c>
      <c r="B51" s="100"/>
      <c r="C51" s="100"/>
      <c r="D51" s="267"/>
      <c r="E51" s="267"/>
      <c r="F51" s="267"/>
    </row>
    <row r="52" spans="1:6" ht="15" customHeight="1" x14ac:dyDescent="0.2">
      <c r="A52" s="84" t="str">
        <f t="shared" si="1"/>
        <v>2043–2048</v>
      </c>
      <c r="B52" s="100"/>
      <c r="C52" s="100"/>
      <c r="D52" s="273" t="str">
        <f>"If yes, record the dollar amount of any payments made for residual value guarantees below for fiscal year "&amp;$B$8&amp;":"</f>
        <v>If yes, record the dollar amount of any payments made for residual value guarantees below for fiscal year 2022–2023:</v>
      </c>
      <c r="E52" s="270"/>
      <c r="F52" s="270"/>
    </row>
    <row r="53" spans="1:6" x14ac:dyDescent="0.2">
      <c r="A53" s="84" t="str">
        <f t="shared" si="1"/>
        <v>2048–2053</v>
      </c>
      <c r="B53" s="100"/>
      <c r="C53" s="100"/>
      <c r="D53" s="273"/>
      <c r="E53" s="270"/>
      <c r="F53" s="270"/>
    </row>
    <row r="54" spans="1:6" x14ac:dyDescent="0.2">
      <c r="A54" s="84" t="str">
        <f t="shared" si="1"/>
        <v>2053–2058</v>
      </c>
      <c r="B54" s="100"/>
      <c r="C54" s="100"/>
      <c r="D54" s="267"/>
      <c r="E54" s="267"/>
      <c r="F54" s="267"/>
    </row>
    <row r="55" spans="1:6" ht="15" customHeight="1" x14ac:dyDescent="0.2">
      <c r="A55" s="84" t="str">
        <f t="shared" si="1"/>
        <v>2058–2063</v>
      </c>
      <c r="B55" s="100"/>
      <c r="C55" s="100"/>
      <c r="D55" s="27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70"/>
      <c r="F55" s="270"/>
    </row>
    <row r="56" spans="1:6" ht="15" customHeight="1" x14ac:dyDescent="0.2">
      <c r="A56" s="84" t="str">
        <f t="shared" si="1"/>
        <v>2063–2068</v>
      </c>
      <c r="B56" s="100"/>
      <c r="C56" s="100"/>
      <c r="D56" s="273"/>
      <c r="E56" s="270"/>
      <c r="F56" s="270"/>
    </row>
    <row r="57" spans="1:6" x14ac:dyDescent="0.2">
      <c r="A57" s="84" t="str">
        <f t="shared" si="1"/>
        <v>2068–2073</v>
      </c>
      <c r="B57" s="100"/>
      <c r="C57" s="100"/>
      <c r="D57" s="267"/>
      <c r="E57" s="267"/>
      <c r="F57" s="267"/>
    </row>
    <row r="58" spans="1:6" x14ac:dyDescent="0.2">
      <c r="A58" s="84" t="str">
        <f t="shared" si="1"/>
        <v>2073–2078</v>
      </c>
      <c r="B58" s="100"/>
      <c r="C58" s="100"/>
      <c r="D58" s="27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2"/>
      <c r="F58" s="272"/>
    </row>
    <row r="59" spans="1:6" x14ac:dyDescent="0.2">
      <c r="A59" s="84" t="str">
        <f t="shared" si="1"/>
        <v>2078–2083</v>
      </c>
      <c r="B59" s="100"/>
      <c r="C59" s="100"/>
      <c r="D59" s="271"/>
      <c r="E59" s="272"/>
      <c r="F59" s="272"/>
    </row>
    <row r="60" spans="1:6" ht="15" customHeight="1" x14ac:dyDescent="0.2">
      <c r="A60" s="84" t="str">
        <f t="shared" si="1"/>
        <v>2083–2088</v>
      </c>
      <c r="B60" s="100"/>
      <c r="C60" s="100"/>
      <c r="D60" s="267"/>
      <c r="E60" s="267"/>
      <c r="F60" s="267"/>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7"/>
      <c r="E62" s="267"/>
      <c r="F62" s="267"/>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7"/>
      <c r="E64" s="267"/>
      <c r="F64" s="267"/>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66" t="str">
        <f>B8</f>
        <v>2022–2023</v>
      </c>
      <c r="C70" s="266"/>
    </row>
    <row r="71" spans="1:13" ht="15.75" x14ac:dyDescent="0.25">
      <c r="A71" s="12" t="s">
        <v>210</v>
      </c>
      <c r="B71" s="281">
        <f>B9</f>
        <v>3860</v>
      </c>
      <c r="C71" s="281"/>
    </row>
    <row r="72" spans="1:13" ht="15.75" x14ac:dyDescent="0.25">
      <c r="A72" s="12" t="s">
        <v>209</v>
      </c>
      <c r="B72" s="266" t="str">
        <f>B10</f>
        <v>Department of Water Resources</v>
      </c>
      <c r="C72" s="266"/>
    </row>
    <row r="73" spans="1:13" ht="32.25" customHeight="1" x14ac:dyDescent="0.25">
      <c r="A73" s="280" t="s">
        <v>10</v>
      </c>
      <c r="B73" s="280"/>
      <c r="C73" s="280"/>
      <c r="D73" s="5"/>
      <c r="E73" s="5"/>
      <c r="F73" s="5"/>
      <c r="G73" s="57"/>
      <c r="H73" s="57"/>
      <c r="I73" s="57"/>
      <c r="J73" s="57"/>
      <c r="K73" s="57"/>
      <c r="L73" s="57"/>
      <c r="M73" s="57"/>
    </row>
    <row r="74" spans="1:13" ht="15.75" x14ac:dyDescent="0.25">
      <c r="A74" s="84"/>
      <c r="B74" s="85" t="s">
        <v>11</v>
      </c>
      <c r="C74" s="85" t="s">
        <v>12</v>
      </c>
      <c r="D74" s="277" t="str">
        <f>"All of the below questions are for Fiscal Year "&amp;$B$8&amp;":"</f>
        <v>All of the below questions are for Fiscal Year 2022–2023:</v>
      </c>
      <c r="E74" s="277"/>
      <c r="F74" s="277"/>
    </row>
    <row r="75" spans="1:13" ht="15" customHeight="1" x14ac:dyDescent="0.2">
      <c r="A75" s="84" t="str">
        <f>RIGHT(B70,4)&amp;"–"&amp;RIGHT(B70,4)+1</f>
        <v>2023–2024</v>
      </c>
      <c r="B75" s="100"/>
      <c r="C75" s="100"/>
      <c r="D75" s="271" t="s">
        <v>6</v>
      </c>
      <c r="E75" s="272"/>
      <c r="F75" s="272"/>
    </row>
    <row r="76" spans="1:13" x14ac:dyDescent="0.2">
      <c r="A76" s="84" t="str">
        <f>LEFT(A75,4)+1&amp;"–"&amp;RIGHT(A75,4)+1</f>
        <v>2024–2025</v>
      </c>
      <c r="B76" s="100"/>
      <c r="C76" s="100"/>
      <c r="D76" s="271"/>
      <c r="E76" s="272"/>
      <c r="F76" s="272"/>
    </row>
    <row r="77" spans="1:13" x14ac:dyDescent="0.2">
      <c r="A77" s="84" t="str">
        <f>LEFT(A76,4)+1&amp;"–"&amp;RIGHT(A76,4)+1</f>
        <v>2025–2026</v>
      </c>
      <c r="B77" s="100"/>
      <c r="C77" s="100"/>
      <c r="D77" s="267"/>
      <c r="E77" s="267"/>
      <c r="F77" s="267"/>
    </row>
    <row r="78" spans="1:13" ht="15" customHeight="1" x14ac:dyDescent="0.2">
      <c r="A78" s="84" t="str">
        <f>LEFT(A77,4)+1&amp;"–"&amp;RIGHT(A77,4)+1</f>
        <v>2026–2027</v>
      </c>
      <c r="B78" s="100"/>
      <c r="C78" s="100"/>
      <c r="D78" s="270" t="str">
        <f>"If yes, record the dollar amount of variable payments below for fiscal year "&amp;$B$8&amp;":"</f>
        <v>If yes, record the dollar amount of variable payments below for fiscal year 2022–2023:</v>
      </c>
      <c r="E78" s="270"/>
      <c r="F78" s="270"/>
    </row>
    <row r="79" spans="1:13" x14ac:dyDescent="0.2">
      <c r="A79" s="84" t="str">
        <f>LEFT(A78,4)+1&amp;"–"&amp;RIGHT(A78,4)+1</f>
        <v>2027–2028</v>
      </c>
      <c r="B79" s="100"/>
      <c r="C79" s="100"/>
      <c r="D79" s="267"/>
      <c r="E79" s="267"/>
      <c r="F79" s="267"/>
    </row>
    <row r="80" spans="1:13" ht="15" customHeight="1" x14ac:dyDescent="0.2">
      <c r="A80" s="84" t="str">
        <f>LEFT(A79,4)+1&amp;"–"&amp;RIGHT(A79,4)+5</f>
        <v>2028–2033</v>
      </c>
      <c r="B80" s="100"/>
      <c r="C80" s="100"/>
      <c r="D80" s="271" t="s">
        <v>8</v>
      </c>
      <c r="E80" s="272"/>
      <c r="F80" s="272"/>
    </row>
    <row r="81" spans="1:6" x14ac:dyDescent="0.2">
      <c r="A81" s="84" t="str">
        <f t="shared" ref="A81:A94" si="2">LEFT(A80,4)+5&amp;"–"&amp;RIGHT(A80,4)+5</f>
        <v>2033–2038</v>
      </c>
      <c r="B81" s="100"/>
      <c r="C81" s="100"/>
      <c r="D81" s="271"/>
      <c r="E81" s="272"/>
      <c r="F81" s="272"/>
    </row>
    <row r="82" spans="1:6" x14ac:dyDescent="0.2">
      <c r="A82" s="84" t="str">
        <f t="shared" si="2"/>
        <v>2038–2043</v>
      </c>
      <c r="B82" s="100"/>
      <c r="C82" s="100"/>
      <c r="D82" s="267"/>
      <c r="E82" s="267"/>
      <c r="F82" s="267"/>
    </row>
    <row r="83" spans="1:6" ht="15" customHeight="1" x14ac:dyDescent="0.2">
      <c r="A83" s="84" t="str">
        <f t="shared" si="2"/>
        <v>2043–2048</v>
      </c>
      <c r="B83" s="100"/>
      <c r="C83" s="100"/>
      <c r="D83" s="273" t="str">
        <f>"If yes, record the dollar amount of any payments made for residual value guarantees below for fiscal year "&amp;$B$8&amp;":"</f>
        <v>If yes, record the dollar amount of any payments made for residual value guarantees below for fiscal year 2022–2023:</v>
      </c>
      <c r="E83" s="270"/>
      <c r="F83" s="270"/>
    </row>
    <row r="84" spans="1:6" x14ac:dyDescent="0.2">
      <c r="A84" s="84" t="str">
        <f t="shared" si="2"/>
        <v>2048–2053</v>
      </c>
      <c r="B84" s="100"/>
      <c r="C84" s="100"/>
      <c r="D84" s="273"/>
      <c r="E84" s="270"/>
      <c r="F84" s="270"/>
    </row>
    <row r="85" spans="1:6" x14ac:dyDescent="0.2">
      <c r="A85" s="84" t="str">
        <f t="shared" si="2"/>
        <v>2053–2058</v>
      </c>
      <c r="B85" s="100"/>
      <c r="C85" s="100"/>
      <c r="D85" s="267"/>
      <c r="E85" s="267"/>
      <c r="F85" s="267"/>
    </row>
    <row r="86" spans="1:6" ht="15" customHeight="1" x14ac:dyDescent="0.2">
      <c r="A86" s="84" t="str">
        <f t="shared" si="2"/>
        <v>2058–2063</v>
      </c>
      <c r="B86" s="100"/>
      <c r="C86" s="100"/>
      <c r="D86" s="27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70"/>
      <c r="F86" s="270"/>
    </row>
    <row r="87" spans="1:6" x14ac:dyDescent="0.2">
      <c r="A87" s="84" t="str">
        <f t="shared" si="2"/>
        <v>2063–2068</v>
      </c>
      <c r="B87" s="100"/>
      <c r="C87" s="100"/>
      <c r="D87" s="273"/>
      <c r="E87" s="270"/>
      <c r="F87" s="270"/>
    </row>
    <row r="88" spans="1:6" x14ac:dyDescent="0.2">
      <c r="A88" s="84" t="str">
        <f t="shared" si="2"/>
        <v>2068–2073</v>
      </c>
      <c r="B88" s="100"/>
      <c r="C88" s="100"/>
      <c r="D88" s="267"/>
      <c r="E88" s="267"/>
      <c r="F88" s="267"/>
    </row>
    <row r="89" spans="1:6" x14ac:dyDescent="0.2">
      <c r="A89" s="84" t="str">
        <f t="shared" si="2"/>
        <v>2073–2078</v>
      </c>
      <c r="B89" s="100"/>
      <c r="C89" s="100"/>
      <c r="D89" s="27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2"/>
      <c r="F89" s="272"/>
    </row>
    <row r="90" spans="1:6" x14ac:dyDescent="0.2">
      <c r="A90" s="84" t="str">
        <f t="shared" si="2"/>
        <v>2078–2083</v>
      </c>
      <c r="B90" s="100"/>
      <c r="C90" s="100"/>
      <c r="D90" s="271"/>
      <c r="E90" s="272"/>
      <c r="F90" s="272"/>
    </row>
    <row r="91" spans="1:6" ht="15" customHeight="1" x14ac:dyDescent="0.2">
      <c r="A91" s="84" t="str">
        <f t="shared" si="2"/>
        <v>2083–2088</v>
      </c>
      <c r="B91" s="100"/>
      <c r="C91" s="100"/>
      <c r="D91" s="267"/>
      <c r="E91" s="267"/>
      <c r="F91" s="267"/>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7"/>
      <c r="E93" s="267"/>
      <c r="F93" s="267"/>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7"/>
      <c r="E95" s="267"/>
      <c r="F95" s="267"/>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tabColor theme="9" tint="0.59999389629810485"/>
  </sheetPr>
  <dimension ref="B1:Q20"/>
  <sheetViews>
    <sheetView zoomScale="90" zoomScaleNormal="90" workbookViewId="0">
      <selection activeCell="V13" sqref="V1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3860 - Department of Water Resources</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14553272</v>
      </c>
      <c r="G10" s="103"/>
      <c r="H10" s="107">
        <v>4633592</v>
      </c>
      <c r="I10" s="103"/>
      <c r="J10" s="107">
        <v>3320889</v>
      </c>
      <c r="K10" s="103"/>
      <c r="L10" s="109">
        <f>SUM(F10+H10-J10)</f>
        <v>15865975</v>
      </c>
      <c r="M10" s="103"/>
      <c r="N10" s="107">
        <v>2586945</v>
      </c>
      <c r="O10" s="103"/>
      <c r="P10" s="109">
        <f>L10-N10</f>
        <v>13279030</v>
      </c>
      <c r="Q10" s="71"/>
    </row>
    <row r="11" spans="2:17" ht="19.5" thickTop="1" thickBot="1" x14ac:dyDescent="0.3">
      <c r="B11" s="69"/>
      <c r="C11" s="73" t="s">
        <v>22</v>
      </c>
      <c r="F11" s="108">
        <f>SUM(F10:F10)</f>
        <v>14553272</v>
      </c>
      <c r="G11" s="103"/>
      <c r="H11" s="108">
        <f>SUM(H10:H10)</f>
        <v>4633592</v>
      </c>
      <c r="I11" s="103"/>
      <c r="J11" s="108">
        <f>SUM(J10:J10)</f>
        <v>3320889</v>
      </c>
      <c r="K11" s="103"/>
      <c r="L11" s="108">
        <f>SUM(L10:L10)</f>
        <v>15865975</v>
      </c>
      <c r="M11" s="103"/>
      <c r="N11" s="108">
        <f>SUM(N10:N10)</f>
        <v>2586945</v>
      </c>
      <c r="O11" s="103"/>
      <c r="P11" s="108">
        <f>SUM(P10:P10)</f>
        <v>13279030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tabColor theme="9" tint="0.59999389629810485"/>
    <pageSetUpPr fitToPage="1"/>
  </sheetPr>
  <dimension ref="A1:S577"/>
  <sheetViews>
    <sheetView showGridLines="0" tabSelected="1" zoomScaleNormal="100" workbookViewId="0">
      <selection activeCell="B43" sqref="B4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2" t="s">
        <v>164</v>
      </c>
      <c r="B5" s="282"/>
      <c r="C5" s="282"/>
      <c r="D5" s="282"/>
      <c r="E5" s="282"/>
      <c r="F5" s="282"/>
      <c r="G5" s="282"/>
      <c r="H5" s="282"/>
      <c r="I5" s="282"/>
      <c r="J5" s="282"/>
      <c r="K5" s="282"/>
      <c r="L5" s="282"/>
      <c r="M5" s="282"/>
      <c r="N5" s="282"/>
      <c r="O5" s="282"/>
      <c r="P5" s="282"/>
      <c r="Q5" s="282"/>
    </row>
    <row r="6" spans="1:17" ht="15" customHeight="1" x14ac:dyDescent="0.25">
      <c r="A6" s="282"/>
      <c r="B6" s="282"/>
      <c r="C6" s="282"/>
      <c r="D6" s="282"/>
      <c r="E6" s="282"/>
      <c r="F6" s="282"/>
      <c r="G6" s="282"/>
      <c r="H6" s="282"/>
      <c r="I6" s="282"/>
      <c r="J6" s="282"/>
      <c r="K6" s="282"/>
      <c r="L6" s="282"/>
      <c r="M6" s="282"/>
      <c r="N6" s="282"/>
      <c r="O6" s="282"/>
      <c r="P6" s="282"/>
      <c r="Q6" s="282"/>
    </row>
    <row r="7" spans="1:17" x14ac:dyDescent="0.25">
      <c r="A7" s="282"/>
      <c r="B7" s="282"/>
      <c r="C7" s="282"/>
      <c r="D7" s="282"/>
      <c r="E7" s="282"/>
      <c r="F7" s="282"/>
      <c r="G7" s="282"/>
      <c r="H7" s="282"/>
      <c r="I7" s="282"/>
      <c r="J7" s="282"/>
      <c r="K7" s="282"/>
      <c r="L7" s="282"/>
      <c r="M7" s="282"/>
      <c r="N7" s="282"/>
      <c r="O7" s="282"/>
      <c r="P7" s="282"/>
      <c r="Q7" s="282"/>
    </row>
    <row r="8" spans="1:17" ht="15" customHeight="1" x14ac:dyDescent="0.25">
      <c r="A8" s="283" t="s">
        <v>1660</v>
      </c>
      <c r="B8" s="283"/>
      <c r="C8" s="283"/>
      <c r="D8" s="283"/>
      <c r="E8" s="283"/>
      <c r="F8" s="283"/>
      <c r="G8" s="283"/>
      <c r="H8" s="283"/>
      <c r="I8" s="283"/>
      <c r="J8" s="283"/>
      <c r="K8" s="283"/>
      <c r="L8" s="283"/>
      <c r="M8" s="283"/>
      <c r="N8" s="283"/>
      <c r="O8" s="283"/>
      <c r="P8" s="283"/>
      <c r="Q8" s="283"/>
    </row>
    <row r="9" spans="1:17" x14ac:dyDescent="0.25">
      <c r="A9" s="283"/>
      <c r="B9" s="283"/>
      <c r="C9" s="283"/>
      <c r="D9" s="283"/>
      <c r="E9" s="283"/>
      <c r="F9" s="283"/>
      <c r="G9" s="283"/>
      <c r="H9" s="283"/>
      <c r="I9" s="283"/>
      <c r="J9" s="283"/>
      <c r="K9" s="283"/>
      <c r="L9" s="283"/>
      <c r="M9" s="283"/>
      <c r="N9" s="283"/>
      <c r="O9" s="283"/>
      <c r="P9" s="283"/>
      <c r="Q9" s="283"/>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4" t="s">
        <v>153</v>
      </c>
      <c r="C13" s="284"/>
      <c r="D13" s="284"/>
      <c r="E13" s="284"/>
      <c r="F13" s="284"/>
      <c r="G13" s="284"/>
      <c r="H13" s="284"/>
      <c r="I13" s="284"/>
      <c r="J13" s="284"/>
      <c r="K13" s="284"/>
      <c r="L13" s="284"/>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'LS-Fund 0001 Journal Entries'!K23+'LS-Fund 0140 Journal Entries'!K23+'LS-Fund 0465 Journal Entries'!K23+'LS-Fund 0890 Journal Entries'!K23+'LS-Fund 3057 Journal Entries'!K23+'LS-Fund 3228 Journal Entries'!K23+'LS-Fund 3237 Journal Entries'!K23+'LS-Fund 3398 Journal Entries'!K23+'LS-Fund 6001 Journal Entries'!K23+'LS-Fund 6005 Journal Entries'!K23+'LS-Fund 6026 Journal Entries'!K23+'LS-Fund 6031 Journal Entries'!K23+'LS-Fund 6051 Journal Entries'!K23+'LS-Fund 6083 Journal Entries'!K23+'LS-Fund 6088 Journal Entries'!K23</f>
        <v>14553272</v>
      </c>
      <c r="C16" s="168" t="s">
        <v>156</v>
      </c>
      <c r="D16" s="130">
        <f>'LS-Fund 0001 Journal Entries'!K48+'LS-Fund 0140 Journal Entries'!K48+'LS-Fund 0465 Journal Entries'!K48+'LS-Fund 0890 Journal Entries'!K48+'LS-Fund 3057 Journal Entries'!K48+'LS-Fund 3228 Journal Entries'!K48+'LS-Fund 3237 Journal Entries'!K48+'LS-Fund 3398 Journal Entries'!K48+'LS-Fund 6001 Journal Entries'!K48+'LS-Fund 6005 Journal Entries'!K48+'LS-Fund 6026 Journal Entries'!K48+'LS-Fund 6031 Journal Entries'!K48+'LS-Fund 6051 Journal Entries'!K48+'LS-Fund 6083 Journal Entries'!K48+'LS-Fund 6088 Journal Entries'!K48</f>
        <v>4633592</v>
      </c>
      <c r="E16" s="170" t="s">
        <v>157</v>
      </c>
      <c r="F16" s="130">
        <f>'LS-Fund 0001 Journal Entries'!J68+'LS-Fund 0140 Journal Entries'!J68+'LS-Fund 0465 Journal Entries'!J68+'LS-Fund 0890 Journal Entries'!J68+'LS-Fund 3057 Journal Entries'!J68+'LS-Fund 3228 Journal Entries'!J68+'LS-Fund 3237 Journal Entries'!J68+'LS-Fund 3398 Journal Entries'!J68+'LS-Fund 6001 Journal Entries'!J68+'LS-Fund 6005 Journal Entries'!J68+'LS-Fund 6026 Journal Entries'!J68+'LS-Fund 6031 Journal Entries'!J68+'LS-Fund 6051 Journal Entries'!J68+'LS-Fund 6083 Journal Entries'!J68+'LS-Fund 6088 Journal Entries'!J68</f>
        <v>3090778</v>
      </c>
      <c r="G16" s="169" t="s">
        <v>157</v>
      </c>
      <c r="H16" s="130">
        <f>'LS-Fund 0001 Journal Entries'!J96+'LS-Fund 0140 Journal Entries'!J96+'LS-Fund 0465 Journal Entries'!J96+'LS-Fund 0890 Journal Entries'!J96+'LS-Fund 3057 Journal Entries'!J96+'LS-Fund 3228 Journal Entries'!J96+'LS-Fund 3237 Journal Entries'!J96+'LS-Fund 3398 Journal Entries'!J96+'LS-Fund 6001 Journal Entries'!J96+'LS-Fund 6005 Journal Entries'!J96+'LS-Fund 6026 Journal Entries'!J96+'LS-Fund 6031 Journal Entries'!J96+'LS-Fund 6051 Journal Entries'!J96+'LS-Fund 6083 Journal Entries'!J96+'LS-Fund 6088 Journal Entries'!J96</f>
        <v>230111</v>
      </c>
      <c r="I16" s="169" t="s">
        <v>156</v>
      </c>
      <c r="J16" s="130"/>
      <c r="K16" s="170" t="s">
        <v>160</v>
      </c>
      <c r="L16" s="133">
        <f>+B16+D16-F16-H16+J16</f>
        <v>15865975</v>
      </c>
      <c r="M16" s="132"/>
      <c r="N16" s="134">
        <f>SUM('LS-Department Note Disclosure'!B13:B36)</f>
        <v>15865974.558339354</v>
      </c>
      <c r="O16" s="131"/>
      <c r="P16" s="135">
        <f>L16-N16</f>
        <v>0.44166064634919167</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4" t="s">
        <v>153</v>
      </c>
      <c r="C21" s="284"/>
      <c r="D21" s="284"/>
      <c r="E21" s="284"/>
      <c r="F21" s="284"/>
      <c r="G21" s="284"/>
      <c r="H21" s="284"/>
      <c r="I21" s="284"/>
      <c r="J21" s="284"/>
      <c r="K21" s="284"/>
      <c r="L21" s="284"/>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4" t="s">
        <v>153</v>
      </c>
      <c r="C30" s="284"/>
      <c r="D30" s="284"/>
      <c r="E30" s="284"/>
      <c r="F30" s="284"/>
      <c r="G30" s="284"/>
      <c r="H30" s="284"/>
      <c r="I30" s="284"/>
      <c r="J30" s="284"/>
      <c r="K30" s="284"/>
      <c r="L30" s="284"/>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4" t="s">
        <v>153</v>
      </c>
      <c r="C40" s="284"/>
      <c r="D40" s="284"/>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'LS-Fund 0001 Journal Entries'!J75+'LS-Fund 0140 Journal Entries'!J75+'LS-Fund 0465 Journal Entries'!J75+'LS-Fund 0890 Journal Entries'!J75+'LS-Fund 3057 Journal Entries'!J75+'LS-Fund 3228 Journal Entries'!J75+'LS-Fund 3237 Journal Entries'!J75+'LS-Fund 3398 Journal Entries'!J75+'LS-Fund 6001 Journal Entries'!J75+'LS-Fund 6005 Journal Entries'!J75+'LS-Fund 6026 Journal Entries'!J75+'LS-Fund 6031 Journal Entries'!J75+'LS-Fund 6051 Journal Entries'!J75+'LS-Fund 6083 Journal Entries'!J75+'LS-Fund 6088 Journal Entries'!J75</f>
        <v>2586945</v>
      </c>
      <c r="C42" s="138"/>
      <c r="E42" s="138"/>
      <c r="G42" s="167"/>
      <c r="H42" s="167"/>
      <c r="I42" s="167"/>
      <c r="J42" s="167"/>
      <c r="K42" s="138"/>
      <c r="L42" s="138"/>
      <c r="M42" s="139"/>
      <c r="N42" s="134">
        <f>'LS-Department Note Disclosure'!B13</f>
        <v>2586945</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4" t="s">
        <v>153</v>
      </c>
      <c r="C47" s="284"/>
      <c r="D47" s="284"/>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4" t="s">
        <v>153</v>
      </c>
      <c r="C55" s="284"/>
      <c r="D55" s="284"/>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5" t="s">
        <v>153</v>
      </c>
      <c r="C64" s="285"/>
      <c r="D64" s="285"/>
      <c r="E64" s="285"/>
      <c r="F64" s="285"/>
      <c r="G64" s="285"/>
      <c r="H64" s="285"/>
      <c r="I64" s="141"/>
      <c r="J64" s="123" t="s">
        <v>1659</v>
      </c>
      <c r="K64" s="141"/>
      <c r="L64" s="285" t="s">
        <v>14</v>
      </c>
      <c r="M64" s="285"/>
      <c r="N64" s="285"/>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14553272</v>
      </c>
      <c r="J66" s="143">
        <f>SUM(D66)</f>
        <v>14553272</v>
      </c>
      <c r="L66" s="144" t="str">
        <f>CONCATENATE("Balance July 1, ",LEFT('LS-Department Note Disclosure'!$B$8,4))</f>
        <v>Balance July 1, 2022</v>
      </c>
      <c r="N66" s="143">
        <f>'LS-Lease Liabilities'!F10</f>
        <v>14553272</v>
      </c>
      <c r="P66" s="135">
        <f>J66-N66</f>
        <v>0</v>
      </c>
    </row>
    <row r="67" spans="1:17" x14ac:dyDescent="0.25">
      <c r="B67" s="125" t="s">
        <v>167</v>
      </c>
      <c r="D67" s="143">
        <f>$D$16</f>
        <v>4633592</v>
      </c>
      <c r="E67" s="171" t="s">
        <v>156</v>
      </c>
      <c r="F67" s="125" t="s">
        <v>1871</v>
      </c>
      <c r="H67" s="143">
        <f>$J$16</f>
        <v>0</v>
      </c>
      <c r="J67" s="143">
        <f>SUM(D67,H67)</f>
        <v>4633592</v>
      </c>
      <c r="L67" s="144" t="s">
        <v>15</v>
      </c>
      <c r="N67" s="143">
        <f>'LS-Lease Liabilities'!H10</f>
        <v>4633592</v>
      </c>
      <c r="P67" s="135">
        <f t="shared" ref="P67:P69" si="0">J67-N67</f>
        <v>0</v>
      </c>
    </row>
    <row r="68" spans="1:17" x14ac:dyDescent="0.25">
      <c r="B68" s="125" t="s">
        <v>162</v>
      </c>
      <c r="D68" s="143">
        <f>$F$16</f>
        <v>3090778</v>
      </c>
      <c r="E68" s="171" t="s">
        <v>156</v>
      </c>
      <c r="F68" s="125" t="s">
        <v>1868</v>
      </c>
      <c r="H68" s="143">
        <f>$H$16</f>
        <v>230111</v>
      </c>
      <c r="J68" s="143">
        <f>SUM(D68,H68)</f>
        <v>3320889</v>
      </c>
      <c r="L68" s="144" t="s">
        <v>16</v>
      </c>
      <c r="N68" s="143">
        <f>'LS-Lease Liabilities'!J10</f>
        <v>3320889</v>
      </c>
      <c r="P68" s="135">
        <f t="shared" si="0"/>
        <v>0</v>
      </c>
    </row>
    <row r="69" spans="1:17" x14ac:dyDescent="0.25">
      <c r="B69" s="125" t="s">
        <v>166</v>
      </c>
      <c r="D69" s="143">
        <f>$B$42</f>
        <v>2586945</v>
      </c>
      <c r="J69" s="143">
        <f>SUM(D69)</f>
        <v>2586945</v>
      </c>
      <c r="L69" s="144" t="s">
        <v>17</v>
      </c>
      <c r="N69" s="143">
        <f>'LS-Lease Liabilities'!N10</f>
        <v>2586945</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5" t="s">
        <v>153</v>
      </c>
      <c r="C75" s="285"/>
      <c r="D75" s="285"/>
      <c r="E75" s="285"/>
      <c r="F75" s="285"/>
      <c r="G75" s="285"/>
      <c r="H75" s="285"/>
      <c r="I75" s="141"/>
      <c r="J75" s="123" t="s">
        <v>1659</v>
      </c>
      <c r="K75" s="141"/>
      <c r="L75" s="285" t="s">
        <v>14</v>
      </c>
      <c r="M75" s="285"/>
      <c r="N75" s="285"/>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5" t="s">
        <v>153</v>
      </c>
      <c r="C86" s="285"/>
      <c r="D86" s="285"/>
      <c r="E86" s="285"/>
      <c r="F86" s="285"/>
      <c r="G86" s="285"/>
      <c r="H86" s="285"/>
      <c r="I86" s="141"/>
      <c r="J86" s="123" t="s">
        <v>1659</v>
      </c>
      <c r="K86" s="141"/>
      <c r="L86" s="285" t="s">
        <v>14</v>
      </c>
      <c r="M86" s="285"/>
      <c r="N86" s="285"/>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1" t="s">
        <v>1809</v>
      </c>
      <c r="B1" s="252"/>
      <c r="C1" s="252"/>
      <c r="D1" s="252"/>
      <c r="E1" s="252"/>
      <c r="F1" s="253"/>
    </row>
    <row r="2" spans="1:6" x14ac:dyDescent="0.25">
      <c r="A2" s="254"/>
      <c r="B2" s="255"/>
      <c r="C2" s="255"/>
      <c r="D2" s="255"/>
      <c r="E2" s="255"/>
      <c r="F2" s="256"/>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tabColor rgb="FF75DBFF"/>
  </sheetPr>
  <dimension ref="A1:V72"/>
  <sheetViews>
    <sheetView zoomScale="70" zoomScaleNormal="7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7" t="s">
        <v>1667</v>
      </c>
      <c r="B1" s="257"/>
      <c r="C1" s="257"/>
      <c r="D1" s="257"/>
      <c r="E1" s="257"/>
      <c r="F1" s="257"/>
      <c r="G1" s="257"/>
      <c r="H1" s="257"/>
      <c r="I1" s="257"/>
      <c r="J1" s="257"/>
      <c r="K1" s="257"/>
      <c r="L1" s="5"/>
      <c r="M1" s="5"/>
      <c r="N1" s="5"/>
      <c r="O1" s="5"/>
      <c r="P1" s="5"/>
      <c r="Q1" s="5"/>
      <c r="R1" s="5"/>
      <c r="S1" s="5"/>
    </row>
    <row r="2" spans="1:19" ht="17.45" customHeight="1" x14ac:dyDescent="0.25">
      <c r="A2" s="287" t="s">
        <v>0</v>
      </c>
      <c r="B2" s="287"/>
      <c r="C2" s="287"/>
      <c r="D2" s="287"/>
      <c r="E2" s="287"/>
      <c r="F2" s="287"/>
      <c r="G2" s="287"/>
      <c r="H2" s="287"/>
      <c r="I2" s="287"/>
      <c r="J2" s="36"/>
      <c r="L2" s="5"/>
      <c r="M2" s="5"/>
      <c r="N2" s="5"/>
      <c r="O2" s="5"/>
      <c r="P2" s="5"/>
      <c r="Q2" s="5"/>
      <c r="R2" s="5"/>
      <c r="S2" s="5"/>
    </row>
    <row r="3" spans="1:19" ht="17.45" customHeight="1" x14ac:dyDescent="0.25">
      <c r="A3" s="286" t="s">
        <v>1</v>
      </c>
      <c r="B3" s="286"/>
      <c r="C3" s="286"/>
      <c r="D3" s="286"/>
      <c r="E3" s="95"/>
      <c r="H3" s="7"/>
      <c r="I3" s="7"/>
      <c r="J3" s="7"/>
      <c r="K3" s="7"/>
      <c r="L3" s="7"/>
      <c r="M3" s="7"/>
      <c r="N3" s="7"/>
      <c r="O3" s="7"/>
      <c r="P3" s="7"/>
      <c r="Q3" s="7"/>
      <c r="R3" s="7"/>
    </row>
    <row r="4" spans="1:19" ht="17.45" customHeight="1" x14ac:dyDescent="0.25">
      <c r="A4" s="286" t="s">
        <v>209</v>
      </c>
      <c r="B4" s="286"/>
      <c r="C4" s="286"/>
      <c r="D4" s="286"/>
      <c r="E4" s="97"/>
      <c r="H4" s="7"/>
      <c r="I4" s="7"/>
      <c r="J4" s="7"/>
      <c r="K4" s="7"/>
      <c r="L4" s="7"/>
      <c r="M4" s="7"/>
      <c r="N4" s="7"/>
      <c r="O4" s="7"/>
      <c r="P4" s="7"/>
      <c r="Q4" s="7"/>
      <c r="R4" s="7"/>
    </row>
    <row r="5" spans="1:19" ht="17.45" customHeight="1" x14ac:dyDescent="0.25">
      <c r="A5" s="286" t="s">
        <v>1684</v>
      </c>
      <c r="B5" s="286"/>
      <c r="C5" s="286"/>
      <c r="D5" s="286"/>
      <c r="E5" s="161"/>
      <c r="H5" s="7"/>
      <c r="I5" s="7"/>
      <c r="J5" s="8"/>
      <c r="K5" s="8"/>
      <c r="L5" s="8"/>
      <c r="M5" s="8"/>
      <c r="N5" s="8"/>
      <c r="O5" s="8"/>
      <c r="P5" s="8"/>
      <c r="Q5" s="7"/>
      <c r="R5" s="7"/>
    </row>
    <row r="6" spans="1:19" ht="17.45" customHeight="1" x14ac:dyDescent="0.25">
      <c r="A6" s="286" t="s">
        <v>1685</v>
      </c>
      <c r="B6" s="286"/>
      <c r="C6" s="286"/>
      <c r="D6" s="286"/>
      <c r="E6" s="97"/>
      <c r="G6" s="8"/>
      <c r="H6" s="8"/>
      <c r="I6" s="8"/>
      <c r="J6" s="8"/>
      <c r="K6" s="8"/>
      <c r="L6" s="8"/>
      <c r="M6" s="8"/>
      <c r="N6" s="8"/>
      <c r="O6" s="8"/>
      <c r="P6" s="8"/>
      <c r="Q6" s="7"/>
      <c r="R6" s="7"/>
    </row>
    <row r="7" spans="1:19" ht="17.45" customHeight="1" x14ac:dyDescent="0.25">
      <c r="A7" s="286" t="s">
        <v>3</v>
      </c>
      <c r="B7" s="286"/>
      <c r="C7" s="286"/>
      <c r="D7" s="286"/>
      <c r="E7" s="35"/>
      <c r="G7" s="8"/>
      <c r="H7" s="8"/>
      <c r="I7" s="8"/>
      <c r="J7" s="8"/>
      <c r="K7" s="8"/>
      <c r="L7" s="8"/>
      <c r="M7" s="8"/>
      <c r="N7" s="8"/>
      <c r="O7" s="8"/>
      <c r="P7" s="8"/>
      <c r="Q7" s="7"/>
      <c r="R7" s="7"/>
    </row>
    <row r="8" spans="1:19" ht="17.45" customHeight="1" x14ac:dyDescent="0.25">
      <c r="A8" s="286" t="s">
        <v>1641</v>
      </c>
      <c r="B8" s="286"/>
      <c r="C8" s="286"/>
      <c r="D8" s="286"/>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3" t="s">
        <v>1672</v>
      </c>
      <c r="N13" s="264"/>
      <c r="O13" s="188"/>
      <c r="P13" s="263" t="s">
        <v>1668</v>
      </c>
      <c r="Q13" s="264"/>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8"/>
      <c r="P29" s="288"/>
      <c r="Q29" s="288"/>
      <c r="R29" s="288"/>
      <c r="S29" s="288"/>
      <c r="T29" s="288"/>
      <c r="U29" s="288"/>
      <c r="V29" s="288"/>
    </row>
    <row r="30" spans="1:22" ht="17.45" customHeight="1" x14ac:dyDescent="0.2">
      <c r="B30" s="289" t="str">
        <f>IF($E$7="Governmental","Dr: Acct 0775 - OTHER INCOME","Dr: Acct 0755 - SALES &amp; SERVICES")</f>
        <v>Dr: Acct 0755 - SALES &amp; SERVICES</v>
      </c>
      <c r="C30" s="289"/>
      <c r="D30" s="289"/>
      <c r="E30" s="289"/>
      <c r="F30" s="289"/>
      <c r="G30" s="289"/>
      <c r="H30" s="289"/>
      <c r="I30" s="289"/>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6" t="s">
        <v>216</v>
      </c>
      <c r="C36" s="266" t="s">
        <v>214</v>
      </c>
      <c r="D36" s="266" t="s">
        <v>214</v>
      </c>
      <c r="E36" s="266"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6" t="s">
        <v>217</v>
      </c>
      <c r="C41" s="266"/>
      <c r="D41" s="266"/>
      <c r="E41" s="266"/>
      <c r="F41" s="20"/>
      <c r="G41" s="20"/>
      <c r="H41" s="20"/>
      <c r="I41" s="20"/>
      <c r="J41" s="196"/>
      <c r="K41" s="32"/>
      <c r="L41" s="9"/>
      <c r="R41" s="9"/>
      <c r="S41" s="9"/>
      <c r="T41" s="9"/>
      <c r="U41" s="9"/>
      <c r="V41" s="9"/>
    </row>
    <row r="42" spans="1:22" ht="17.45" customHeight="1" x14ac:dyDescent="0.2">
      <c r="A42" s="15"/>
      <c r="B42" s="20"/>
      <c r="C42" s="266" t="s">
        <v>215</v>
      </c>
      <c r="D42" s="266" t="s">
        <v>218</v>
      </c>
      <c r="E42" s="266" t="s">
        <v>218</v>
      </c>
      <c r="F42" s="20"/>
      <c r="G42" s="20"/>
      <c r="H42" s="20"/>
      <c r="I42" s="20"/>
      <c r="J42" s="32"/>
      <c r="K42" s="196"/>
      <c r="O42" s="9"/>
      <c r="P42" s="9"/>
      <c r="Q42" s="9"/>
      <c r="R42" s="9"/>
      <c r="S42" s="9"/>
      <c r="T42" s="9"/>
      <c r="U42" s="9"/>
      <c r="V42" s="9"/>
    </row>
    <row r="43" spans="1:22" ht="17.45" customHeight="1" x14ac:dyDescent="0.2">
      <c r="A43" s="15"/>
      <c r="B43" s="290" t="s">
        <v>1842</v>
      </c>
      <c r="C43" s="290"/>
      <c r="D43" s="290"/>
      <c r="E43" s="290"/>
      <c r="F43" s="290"/>
      <c r="G43" s="290"/>
      <c r="H43" s="290"/>
      <c r="I43" s="290"/>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90"/>
      <c r="C44" s="290"/>
      <c r="D44" s="290"/>
      <c r="E44" s="290"/>
      <c r="F44" s="290"/>
      <c r="G44" s="290"/>
      <c r="H44" s="290"/>
      <c r="I44" s="290"/>
      <c r="K44" s="27"/>
      <c r="L44" s="9"/>
      <c r="M44" s="19"/>
      <c r="O44" s="28"/>
    </row>
    <row r="45" spans="1:22" ht="17.45" customHeight="1" x14ac:dyDescent="0.25">
      <c r="A45" s="15"/>
      <c r="B45" s="290"/>
      <c r="C45" s="290"/>
      <c r="D45" s="290"/>
      <c r="E45" s="290"/>
      <c r="F45" s="290"/>
      <c r="G45" s="290"/>
      <c r="H45" s="290"/>
      <c r="I45" s="290"/>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66" t="s">
        <v>1656</v>
      </c>
      <c r="C51" s="266" t="s">
        <v>1655</v>
      </c>
      <c r="D51" s="266"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tabColor rgb="FF75DBFF"/>
  </sheetPr>
  <dimension ref="A1:S103"/>
  <sheetViews>
    <sheetView zoomScale="70" zoomScaleNormal="70"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5" t="s">
        <v>150</v>
      </c>
      <c r="B1" s="275"/>
      <c r="C1" s="275"/>
      <c r="D1" s="275"/>
      <c r="E1" s="275"/>
      <c r="F1" s="158"/>
      <c r="G1" s="5"/>
      <c r="H1" s="5"/>
      <c r="I1" s="5"/>
      <c r="J1" s="5"/>
      <c r="K1" s="5"/>
      <c r="L1" s="5"/>
      <c r="M1" s="5"/>
      <c r="N1" s="5"/>
      <c r="O1" s="5"/>
      <c r="P1" s="5"/>
      <c r="Q1" s="5"/>
      <c r="R1" s="5"/>
      <c r="S1" s="5"/>
    </row>
    <row r="2" spans="1:19" ht="48" customHeight="1" x14ac:dyDescent="0.25">
      <c r="A2" s="274" t="s">
        <v>148</v>
      </c>
      <c r="B2" s="274"/>
      <c r="C2" s="274"/>
      <c r="D2" s="274"/>
      <c r="E2" s="274"/>
      <c r="F2" s="99"/>
      <c r="G2" s="5"/>
      <c r="H2" s="5"/>
      <c r="I2" s="5"/>
      <c r="J2" s="5"/>
      <c r="K2" s="5"/>
      <c r="L2" s="5"/>
      <c r="M2" s="5"/>
      <c r="N2" s="5"/>
      <c r="O2" s="5"/>
      <c r="P2" s="5"/>
      <c r="Q2" s="5"/>
      <c r="R2" s="5"/>
      <c r="S2" s="5"/>
    </row>
    <row r="3" spans="1:19" ht="33" customHeight="1" x14ac:dyDescent="0.25">
      <c r="A3" s="294" t="s">
        <v>212</v>
      </c>
      <c r="B3" s="294"/>
      <c r="C3" s="294"/>
      <c r="E3" s="57"/>
      <c r="F3" s="57"/>
      <c r="G3" s="57"/>
      <c r="H3" s="57"/>
      <c r="I3" s="57"/>
      <c r="J3" s="57"/>
      <c r="K3" s="57"/>
      <c r="L3" s="57"/>
      <c r="M3" s="57"/>
      <c r="N3" s="57"/>
      <c r="O3" s="57"/>
      <c r="P3" s="6"/>
      <c r="Q3" s="6"/>
      <c r="R3" s="6"/>
      <c r="S3" s="6"/>
    </row>
    <row r="4" spans="1:19" ht="31.15" customHeight="1" x14ac:dyDescent="0.25">
      <c r="A4" s="269" t="s">
        <v>7</v>
      </c>
      <c r="B4" s="269"/>
      <c r="C4" s="269"/>
      <c r="E4" s="57"/>
      <c r="F4" s="57"/>
      <c r="G4" s="57"/>
      <c r="H4" s="57"/>
      <c r="I4" s="57"/>
      <c r="J4" s="57"/>
      <c r="K4" s="57"/>
      <c r="L4" s="57"/>
      <c r="M4" s="57"/>
      <c r="N4" s="57"/>
      <c r="O4" s="57"/>
      <c r="P4" s="6"/>
      <c r="Q4" s="6"/>
      <c r="R4" s="6"/>
      <c r="S4" s="6"/>
    </row>
    <row r="5" spans="1:19" ht="30.6" customHeight="1" x14ac:dyDescent="0.25">
      <c r="A5" s="269" t="s">
        <v>9</v>
      </c>
      <c r="B5" s="269"/>
      <c r="C5" s="269"/>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1" t="s">
        <v>24</v>
      </c>
      <c r="C9" s="291"/>
      <c r="D9" s="52"/>
      <c r="F9" s="81"/>
      <c r="G9" s="81"/>
      <c r="H9" s="81"/>
      <c r="I9" s="81"/>
      <c r="J9" s="81"/>
      <c r="K9" s="81"/>
      <c r="L9" s="81"/>
      <c r="M9" s="81"/>
      <c r="N9" s="81"/>
      <c r="O9" s="81"/>
      <c r="P9" s="6"/>
      <c r="Q9" s="6"/>
      <c r="R9" s="6"/>
      <c r="S9" s="6"/>
    </row>
    <row r="10" spans="1:19" ht="15.75" x14ac:dyDescent="0.25">
      <c r="A10" s="12" t="s">
        <v>210</v>
      </c>
      <c r="B10" s="292"/>
      <c r="C10" s="292"/>
      <c r="D10" s="82"/>
      <c r="F10" s="38"/>
      <c r="G10" s="38"/>
      <c r="H10" s="38"/>
      <c r="I10" s="38"/>
      <c r="J10" s="38"/>
      <c r="K10" s="38"/>
      <c r="L10" s="38"/>
      <c r="M10" s="38"/>
      <c r="N10" s="38"/>
      <c r="O10" s="38"/>
      <c r="P10" s="6"/>
      <c r="Q10" s="6"/>
      <c r="R10" s="6"/>
      <c r="S10" s="6"/>
    </row>
    <row r="11" spans="1:19" ht="15.75" x14ac:dyDescent="0.25">
      <c r="A11" s="12" t="s">
        <v>209</v>
      </c>
      <c r="B11" s="291"/>
      <c r="C11" s="291"/>
      <c r="D11" s="82"/>
      <c r="F11" s="5"/>
      <c r="G11" s="5"/>
      <c r="H11" s="5"/>
      <c r="I11" s="5"/>
      <c r="J11" s="5"/>
      <c r="K11" s="5"/>
      <c r="L11" s="5"/>
      <c r="M11" s="5"/>
      <c r="N11" s="5"/>
      <c r="O11" s="5"/>
      <c r="P11" s="5"/>
      <c r="Q11" s="5"/>
      <c r="R11" s="5"/>
      <c r="S11" s="5"/>
    </row>
    <row r="12" spans="1:19" ht="30" customHeight="1" x14ac:dyDescent="0.25">
      <c r="A12" s="293" t="s">
        <v>10</v>
      </c>
      <c r="B12" s="293"/>
      <c r="C12" s="293"/>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70"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70"/>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70"/>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70"/>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70"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70"/>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6" t="str">
        <f>B9</f>
        <v>2022–2023</v>
      </c>
      <c r="C40" s="266"/>
      <c r="D40" s="20"/>
      <c r="F40" s="89"/>
      <c r="G40" s="89"/>
      <c r="H40" s="89"/>
      <c r="I40" s="89"/>
    </row>
    <row r="41" spans="1:19" ht="15.75" x14ac:dyDescent="0.25">
      <c r="A41" s="12" t="s">
        <v>210</v>
      </c>
      <c r="B41" s="281">
        <f>B10</f>
        <v>0</v>
      </c>
      <c r="C41" s="281"/>
      <c r="D41" s="91"/>
    </row>
    <row r="42" spans="1:19" ht="15.75" x14ac:dyDescent="0.25">
      <c r="A42" s="12" t="s">
        <v>209</v>
      </c>
      <c r="B42" s="266">
        <f>B11</f>
        <v>0</v>
      </c>
      <c r="C42" s="266"/>
      <c r="D42" s="55"/>
    </row>
    <row r="43" spans="1:19" ht="30" customHeight="1" x14ac:dyDescent="0.25">
      <c r="A43" s="293" t="s">
        <v>10</v>
      </c>
      <c r="B43" s="293"/>
      <c r="C43" s="293"/>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70" t="s">
        <v>219</v>
      </c>
    </row>
    <row r="46" spans="1:19" x14ac:dyDescent="0.2">
      <c r="A46" s="84" t="str">
        <f>LEFT(A45,4)+1&amp;"–"&amp;RIGHT(A45,4)+1</f>
        <v>2024–2025</v>
      </c>
      <c r="B46" s="2"/>
      <c r="C46" s="2"/>
      <c r="D46" s="62"/>
      <c r="E46" s="270"/>
    </row>
    <row r="47" spans="1:19" x14ac:dyDescent="0.2">
      <c r="A47" s="84" t="str">
        <f>LEFT(A46,4)+1&amp;"–"&amp;RIGHT(A46,4)+1</f>
        <v>2025–2026</v>
      </c>
      <c r="B47" s="2"/>
      <c r="C47" s="2"/>
      <c r="D47" s="62"/>
      <c r="E47" s="270"/>
    </row>
    <row r="48" spans="1:19" ht="15" customHeight="1" x14ac:dyDescent="0.2">
      <c r="A48" s="84" t="str">
        <f>LEFT(A47,4)+1&amp;"–"&amp;RIGHT(A47,4)+1</f>
        <v>2026–2027</v>
      </c>
      <c r="B48" s="2"/>
      <c r="C48" s="2"/>
      <c r="D48" s="87"/>
      <c r="E48" s="270"/>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70"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70"/>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6" t="str">
        <f>B40</f>
        <v>2022–2023</v>
      </c>
      <c r="C71" s="266"/>
      <c r="D71" s="20"/>
    </row>
    <row r="72" spans="1:19" ht="15.75" x14ac:dyDescent="0.25">
      <c r="A72" s="12" t="s">
        <v>210</v>
      </c>
      <c r="B72" s="281">
        <f>B41</f>
        <v>0</v>
      </c>
      <c r="C72" s="281"/>
      <c r="D72" s="91"/>
    </row>
    <row r="73" spans="1:19" ht="15.75" x14ac:dyDescent="0.25">
      <c r="A73" s="12" t="s">
        <v>209</v>
      </c>
      <c r="B73" s="266">
        <f>B42</f>
        <v>0</v>
      </c>
      <c r="C73" s="266"/>
      <c r="D73" s="55"/>
    </row>
    <row r="74" spans="1:19" ht="30" customHeight="1" x14ac:dyDescent="0.25">
      <c r="A74" s="293" t="s">
        <v>10</v>
      </c>
      <c r="B74" s="293"/>
      <c r="C74" s="293"/>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70" t="s">
        <v>219</v>
      </c>
    </row>
    <row r="77" spans="1:19" x14ac:dyDescent="0.2">
      <c r="A77" s="84" t="str">
        <f>LEFT(A76,4)+1&amp;"–"&amp;RIGHT(A76,4)+1</f>
        <v>2024–2025</v>
      </c>
      <c r="B77" s="2"/>
      <c r="C77" s="2"/>
      <c r="D77" s="62"/>
      <c r="E77" s="270"/>
    </row>
    <row r="78" spans="1:19" x14ac:dyDescent="0.2">
      <c r="A78" s="84" t="str">
        <f>LEFT(A77,4)+1&amp;"–"&amp;RIGHT(A77,4)+1</f>
        <v>2025–2026</v>
      </c>
      <c r="B78" s="2"/>
      <c r="C78" s="2"/>
      <c r="D78" s="62"/>
      <c r="E78" s="270"/>
    </row>
    <row r="79" spans="1:19" x14ac:dyDescent="0.2">
      <c r="A79" s="84" t="str">
        <f>LEFT(A78,4)+1&amp;"–"&amp;RIGHT(A78,4)+1</f>
        <v>2026–2027</v>
      </c>
      <c r="B79" s="2"/>
      <c r="C79" s="2"/>
      <c r="D79" s="87"/>
      <c r="E79" s="270"/>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70"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70"/>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4">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2" t="s">
        <v>1675</v>
      </c>
      <c r="B5" s="282"/>
      <c r="C5" s="282"/>
      <c r="D5" s="282"/>
      <c r="E5" s="282"/>
      <c r="F5" s="282"/>
      <c r="G5" s="282"/>
      <c r="H5" s="282"/>
      <c r="I5" s="282"/>
      <c r="J5" s="282"/>
      <c r="K5" s="282"/>
      <c r="L5" s="282"/>
      <c r="M5" s="282"/>
      <c r="N5" s="282"/>
      <c r="O5" s="282"/>
      <c r="P5" s="282"/>
      <c r="Q5" s="282"/>
    </row>
    <row r="6" spans="1:17" ht="15" customHeight="1" x14ac:dyDescent="0.25">
      <c r="A6" s="282"/>
      <c r="B6" s="282"/>
      <c r="C6" s="282"/>
      <c r="D6" s="282"/>
      <c r="E6" s="282"/>
      <c r="F6" s="282"/>
      <c r="G6" s="282"/>
      <c r="H6" s="282"/>
      <c r="I6" s="282"/>
      <c r="J6" s="282"/>
      <c r="K6" s="282"/>
      <c r="L6" s="282"/>
      <c r="M6" s="282"/>
      <c r="N6" s="282"/>
      <c r="O6" s="282"/>
      <c r="P6" s="282"/>
      <c r="Q6" s="282"/>
    </row>
    <row r="7" spans="1:17" x14ac:dyDescent="0.25">
      <c r="A7" s="282"/>
      <c r="B7" s="282"/>
      <c r="C7" s="282"/>
      <c r="D7" s="282"/>
      <c r="E7" s="282"/>
      <c r="F7" s="282"/>
      <c r="G7" s="282"/>
      <c r="H7" s="282"/>
      <c r="I7" s="282"/>
      <c r="J7" s="282"/>
      <c r="K7" s="282"/>
      <c r="L7" s="282"/>
      <c r="M7" s="282"/>
      <c r="N7" s="282"/>
      <c r="O7" s="282"/>
      <c r="P7" s="282"/>
      <c r="Q7" s="282"/>
    </row>
    <row r="8" spans="1:17" ht="15" customHeight="1" x14ac:dyDescent="0.25">
      <c r="A8" s="283" t="s">
        <v>1660</v>
      </c>
      <c r="B8" s="283"/>
      <c r="C8" s="283"/>
      <c r="D8" s="283"/>
      <c r="E8" s="283"/>
      <c r="F8" s="283"/>
      <c r="G8" s="283"/>
      <c r="H8" s="283"/>
      <c r="I8" s="283"/>
      <c r="J8" s="283"/>
      <c r="K8" s="283"/>
      <c r="L8" s="283"/>
      <c r="M8" s="283"/>
      <c r="N8" s="283"/>
      <c r="O8" s="283"/>
      <c r="P8" s="283"/>
      <c r="Q8" s="283"/>
    </row>
    <row r="9" spans="1:17" x14ac:dyDescent="0.25">
      <c r="A9" s="283"/>
      <c r="B9" s="283"/>
      <c r="C9" s="283"/>
      <c r="D9" s="283"/>
      <c r="E9" s="283"/>
      <c r="F9" s="283"/>
      <c r="G9" s="283"/>
      <c r="H9" s="283"/>
      <c r="I9" s="283"/>
      <c r="J9" s="283"/>
      <c r="K9" s="283"/>
      <c r="L9" s="283"/>
      <c r="M9" s="283"/>
      <c r="N9" s="283"/>
      <c r="O9" s="283"/>
      <c r="P9" s="283"/>
      <c r="Q9" s="283"/>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4" t="s">
        <v>153</v>
      </c>
      <c r="C13" s="284"/>
      <c r="D13" s="284"/>
      <c r="E13" s="284"/>
      <c r="F13" s="284"/>
      <c r="G13" s="284"/>
      <c r="H13" s="284"/>
      <c r="I13" s="284"/>
      <c r="J13" s="284"/>
      <c r="K13" s="284"/>
      <c r="L13" s="284"/>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4" t="s">
        <v>153</v>
      </c>
      <c r="C21" s="284"/>
      <c r="D21" s="284"/>
      <c r="E21" s="284"/>
      <c r="F21" s="284"/>
      <c r="G21" s="284"/>
      <c r="H21" s="284"/>
      <c r="I21" s="284"/>
      <c r="J21" s="284"/>
      <c r="K21" s="284"/>
      <c r="L21" s="284"/>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4" t="s">
        <v>153</v>
      </c>
      <c r="C30" s="284"/>
      <c r="D30" s="284"/>
      <c r="E30" s="284"/>
      <c r="F30" s="284"/>
      <c r="G30" s="284"/>
      <c r="H30" s="284"/>
      <c r="I30" s="284"/>
      <c r="J30" s="284"/>
      <c r="K30" s="284"/>
      <c r="L30" s="284"/>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4" t="s">
        <v>153</v>
      </c>
      <c r="C40" s="284"/>
      <c r="D40" s="284"/>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4" t="s">
        <v>153</v>
      </c>
      <c r="C47" s="284"/>
      <c r="D47" s="284"/>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4" t="s">
        <v>153</v>
      </c>
      <c r="C55" s="284"/>
      <c r="D55" s="284"/>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5">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1" t="s">
        <v>1805</v>
      </c>
      <c r="B1" s="252"/>
      <c r="C1" s="252"/>
      <c r="D1" s="252"/>
      <c r="E1" s="252"/>
      <c r="F1" s="253"/>
    </row>
    <row r="2" spans="1:6" x14ac:dyDescent="0.25">
      <c r="A2" s="254"/>
      <c r="B2" s="255"/>
      <c r="C2" s="255"/>
      <c r="D2" s="255"/>
      <c r="E2" s="255"/>
      <c r="F2" s="256"/>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6">
    <tabColor rgb="FFC198E0"/>
    <pageSetUpPr fitToPage="1"/>
  </sheetPr>
  <dimension ref="A1:S169"/>
  <sheetViews>
    <sheetView zoomScale="70" zoomScaleNormal="70"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7" t="s">
        <v>1666</v>
      </c>
      <c r="B1" s="257"/>
      <c r="C1" s="257"/>
      <c r="D1" s="257"/>
      <c r="E1" s="257"/>
      <c r="F1" s="257"/>
      <c r="G1" s="257"/>
      <c r="H1" s="257"/>
      <c r="I1" s="257"/>
      <c r="J1" s="257"/>
      <c r="K1" s="257"/>
      <c r="L1" s="151"/>
      <c r="M1" s="151"/>
      <c r="N1" s="151"/>
      <c r="O1" s="151"/>
    </row>
    <row r="2" spans="1:19" ht="15" customHeight="1" x14ac:dyDescent="0.25">
      <c r="A2" s="287" t="s">
        <v>0</v>
      </c>
      <c r="B2" s="287"/>
      <c r="C2" s="287"/>
      <c r="D2" s="287"/>
      <c r="E2" s="287"/>
      <c r="F2" s="287"/>
      <c r="G2" s="287"/>
      <c r="H2" s="287"/>
      <c r="I2" s="287"/>
      <c r="J2" s="287"/>
      <c r="K2" s="287"/>
      <c r="L2" s="165"/>
      <c r="M2" s="165"/>
      <c r="N2" s="165"/>
      <c r="O2" s="165"/>
    </row>
    <row r="3" spans="1:19" ht="15.75" x14ac:dyDescent="0.25">
      <c r="A3" s="258" t="s">
        <v>13</v>
      </c>
      <c r="B3" s="258"/>
      <c r="C3" s="258"/>
      <c r="D3" s="258"/>
      <c r="E3" s="258"/>
      <c r="F3" s="259" t="s">
        <v>24</v>
      </c>
      <c r="G3" s="259"/>
      <c r="H3" s="259"/>
      <c r="I3" s="259"/>
    </row>
    <row r="4" spans="1:19" ht="15.75" x14ac:dyDescent="0.2">
      <c r="A4" s="258" t="s">
        <v>209</v>
      </c>
      <c r="B4" s="258"/>
      <c r="C4" s="258"/>
      <c r="D4" s="258"/>
      <c r="E4" s="258"/>
      <c r="F4" s="260"/>
      <c r="G4" s="260"/>
      <c r="H4" s="260"/>
      <c r="I4" s="260"/>
      <c r="L4" s="39"/>
      <c r="M4" s="39"/>
      <c r="N4" s="39"/>
      <c r="O4" s="39"/>
      <c r="P4" s="39"/>
      <c r="Q4" s="39"/>
    </row>
    <row r="5" spans="1:19" ht="15.75" x14ac:dyDescent="0.2">
      <c r="A5" s="258" t="s">
        <v>1640</v>
      </c>
      <c r="B5" s="258"/>
      <c r="C5" s="258"/>
      <c r="D5" s="258"/>
      <c r="E5" s="258"/>
      <c r="F5" s="260"/>
      <c r="G5" s="260"/>
      <c r="H5" s="260"/>
      <c r="I5" s="260"/>
      <c r="L5" s="40"/>
      <c r="M5" s="40"/>
      <c r="N5" s="40"/>
      <c r="O5" s="40"/>
      <c r="P5" s="39"/>
      <c r="Q5" s="39"/>
    </row>
    <row r="6" spans="1:19" ht="18" x14ac:dyDescent="0.25">
      <c r="A6" s="258" t="s">
        <v>2</v>
      </c>
      <c r="B6" s="258"/>
      <c r="C6" s="258"/>
      <c r="D6" s="258"/>
      <c r="E6" s="258"/>
      <c r="F6" s="261"/>
      <c r="G6" s="261"/>
      <c r="H6" s="261"/>
      <c r="I6" s="261"/>
      <c r="K6" s="96"/>
      <c r="L6" s="40"/>
      <c r="M6" s="40"/>
      <c r="N6" s="40"/>
      <c r="O6" s="40"/>
      <c r="P6" s="39"/>
      <c r="Q6" s="39"/>
    </row>
    <row r="7" spans="1:19" ht="18" x14ac:dyDescent="0.25">
      <c r="A7" s="258" t="s">
        <v>3</v>
      </c>
      <c r="B7" s="258"/>
      <c r="C7" s="258"/>
      <c r="D7" s="258"/>
      <c r="E7" s="258"/>
      <c r="F7" s="261"/>
      <c r="G7" s="261"/>
      <c r="H7" s="261"/>
      <c r="I7" s="261"/>
      <c r="K7" s="96"/>
      <c r="L7" s="40"/>
      <c r="M7" s="40"/>
      <c r="N7" s="40"/>
      <c r="O7" s="40"/>
      <c r="P7" s="39"/>
      <c r="Q7" s="39"/>
    </row>
    <row r="8" spans="1:19" ht="18" x14ac:dyDescent="0.25">
      <c r="A8" s="258" t="s">
        <v>1641</v>
      </c>
      <c r="B8" s="258"/>
      <c r="C8" s="258"/>
      <c r="D8" s="258"/>
      <c r="E8" s="258"/>
      <c r="F8" s="261"/>
      <c r="G8" s="261"/>
      <c r="H8" s="261"/>
      <c r="I8" s="261"/>
      <c r="K8" s="96"/>
      <c r="L8" s="40"/>
      <c r="M8" s="40"/>
      <c r="N8" s="40"/>
      <c r="O8" s="40"/>
      <c r="P8" s="39"/>
      <c r="Q8" s="39"/>
    </row>
    <row r="9" spans="1:19" ht="15.75" x14ac:dyDescent="0.25">
      <c r="A9" s="258" t="s">
        <v>1639</v>
      </c>
      <c r="B9" s="258"/>
      <c r="C9" s="258"/>
      <c r="D9" s="258"/>
      <c r="E9" s="258"/>
      <c r="F9" s="262" t="str">
        <f>IFERROR(IF(F7="Proprietary","Proprietary Fund",VLOOKUP(F5,qryIndex02a!$A$2:$K$654,4,FALSE)),"Unidentified")</f>
        <v>Unidentified</v>
      </c>
      <c r="G9" s="262"/>
      <c r="H9" s="262"/>
      <c r="I9" s="262"/>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3" t="s">
        <v>1671</v>
      </c>
      <c r="N14" s="264"/>
      <c r="P14" s="263" t="s">
        <v>1668</v>
      </c>
      <c r="Q14" s="264"/>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5" t="s">
        <v>1841</v>
      </c>
      <c r="C69" s="295"/>
      <c r="D69" s="295"/>
      <c r="E69" s="295"/>
      <c r="F69" s="295"/>
      <c r="G69" s="295"/>
      <c r="H69" s="295"/>
      <c r="I69" s="295"/>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5"/>
      <c r="C70" s="295"/>
      <c r="D70" s="295"/>
      <c r="E70" s="295"/>
      <c r="F70" s="295"/>
      <c r="G70" s="295"/>
      <c r="H70" s="295"/>
      <c r="I70" s="295"/>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7">
    <tabColor rgb="FFC198E0"/>
  </sheetPr>
  <dimension ref="B1:Q20"/>
  <sheetViews>
    <sheetView zoomScale="90" zoomScaleNormal="9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D53C191-6FC8-4241-9F06-039AAFA9184B}"/>
</file>

<file path=customXml/itemProps2.xml><?xml version="1.0" encoding="utf-8"?>
<ds:datastoreItem xmlns:ds="http://schemas.openxmlformats.org/officeDocument/2006/customXml" ds:itemID="{2F00B064-5134-4D0F-A69A-EBD7DF16163C}"/>
</file>

<file path=customXml/itemProps3.xml><?xml version="1.0" encoding="utf-8"?>
<ds:datastoreItem xmlns:ds="http://schemas.openxmlformats.org/officeDocument/2006/customXml" ds:itemID="{16A997C0-E3A7-4CD2-81BF-44B1306BD2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21</vt:i4>
      </vt:variant>
    </vt:vector>
  </HeadingPairs>
  <TitlesOfParts>
    <vt:vector size="49" baseType="lpstr">
      <vt:lpstr>Drop Down Menus</vt:lpstr>
      <vt:lpstr>qryIndex02a</vt:lpstr>
      <vt:lpstr>LS-Version Changes</vt:lpstr>
      <vt:lpstr>LS-Fund 0001 Journal Entries</vt:lpstr>
      <vt:lpstr>LS-Fund 0140 Journal Entries</vt:lpstr>
      <vt:lpstr>LS-Fund 0465 Journal Entries</vt:lpstr>
      <vt:lpstr>LS-Fund 0890 Journal Entries</vt:lpstr>
      <vt:lpstr>LS-Fund 3057 Journal Entries</vt:lpstr>
      <vt:lpstr>LS-Fund 3228 Journal Entries</vt:lpstr>
      <vt:lpstr>LS-Fund 3237 Journal Entries</vt:lpstr>
      <vt:lpstr>LS-Fund 3398 Journal Entries</vt:lpstr>
      <vt:lpstr>LS-Fund 6001 Journal Entries</vt:lpstr>
      <vt:lpstr>LS-Fund 6005 Journal Entries</vt:lpstr>
      <vt:lpstr>LS-Fund 6026 Journal Entries</vt:lpstr>
      <vt:lpstr>LS-Fund 6031 Journal Entries</vt:lpstr>
      <vt:lpstr>LS-Fund 6051 Journal Entries</vt:lpstr>
      <vt:lpstr>LS-Fund 6083 Journal Entries</vt:lpstr>
      <vt:lpstr>LS-Fund 6088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'LS-Fund 0140 Journal Entries'!Print_Area</vt:lpstr>
      <vt:lpstr>'LS-Fund 0465 Journal Entries'!Print_Area</vt:lpstr>
      <vt:lpstr>'LS-Fund 0890 Journal Entries'!Print_Area</vt:lpstr>
      <vt:lpstr>'LS-Fund 3057 Journal Entries'!Print_Area</vt:lpstr>
      <vt:lpstr>'LS-Fund 3228 Journal Entries'!Print_Area</vt:lpstr>
      <vt:lpstr>'LS-Fund 3237 Journal Entries'!Print_Area</vt:lpstr>
      <vt:lpstr>'LS-Fund 3398 Journal Entries'!Print_Area</vt:lpstr>
      <vt:lpstr>'LS-Fund 6001 Journal Entries'!Print_Area</vt:lpstr>
      <vt:lpstr>'LS-Fund 6005 Journal Entries'!Print_Area</vt:lpstr>
      <vt:lpstr>'LS-Fund 6026 Journal Entries'!Print_Area</vt:lpstr>
      <vt:lpstr>'LS-Fund 6031 Journal Entries'!Print_Area</vt:lpstr>
      <vt:lpstr>'LS-Fund 6051 Journal Entries'!Print_Area</vt:lpstr>
      <vt:lpstr>'LS-Fund 6083 Journal Entries'!Print_Area</vt:lpstr>
      <vt:lpstr>'LS-Fund 6088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2024-06-26T00:14:54Z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