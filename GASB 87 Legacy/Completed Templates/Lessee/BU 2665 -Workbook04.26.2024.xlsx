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20.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fileSharing readOnlyRecommended="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4A09B26A-90F7-4E0C-B71D-982BBB2D1BDD}"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3228 Journal Entries" sheetId="19" r:id="rId4"/>
    <sheet name="LS-Fund 6043 Journal Entries" sheetId="2" r:id="rId5"/>
    <sheet name="LS-Department Note Disclosure" sheetId="3" r:id="rId6"/>
    <sheet name="LS-Lease Liabilities" sheetId="4" r:id="rId7"/>
    <sheet name="LS-Check Figures  " sheetId="7" r:id="rId8"/>
    <sheet name="LR-Version Changes" sheetId="15" state="hidden" r:id="rId9"/>
    <sheet name="LR-Fund #### Journal Entries" sheetId="5" state="hidden" r:id="rId10"/>
    <sheet name="LR-Department Note Disclosure" sheetId="6" state="hidden" r:id="rId11"/>
    <sheet name="LR-Check Figures" sheetId="12" state="hidden" r:id="rId12"/>
    <sheet name="FP-Version Changes" sheetId="14" state="hidden" r:id="rId13"/>
    <sheet name="FP-Fund #### Journal Entries" sheetId="8" state="hidden" r:id="rId14"/>
    <sheet name="FP-Lease Liabilities" sheetId="10"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qq2">'[1]Kip Field'!$I$121</definedName>
    <definedName name="______________qq2">'[1]Kip Field'!$I$121</definedName>
    <definedName name="_____________qq2">'[1]Kip Field'!$I$121</definedName>
    <definedName name="____________qq2">'[1]Kip Field'!$I$121</definedName>
    <definedName name="___________qq2">'[1]Kip Field'!$I$121</definedName>
    <definedName name="__________qq2">'[1]Kip Field'!$I$121</definedName>
    <definedName name="_________qq2">'[1]Kip Field'!$I$121</definedName>
    <definedName name="________qq2">'[1]Kip Field'!$I$121</definedName>
    <definedName name="_______qq2">'[1]Kip Field'!$I$121</definedName>
    <definedName name="______qq2">'[1]Kip Field'!$I$121</definedName>
    <definedName name="_____qq2">'[1]Kip Field'!$I$121</definedName>
    <definedName name="____qq2">'[1]Kip Field'!$I$121</definedName>
    <definedName name="___qq2">'[1]Kip Field'!$I$121</definedName>
    <definedName name="__qq2">'[1]Kip Field'!$I$121</definedName>
    <definedName name="_Order1" hidden="1">255</definedName>
    <definedName name="_Order2" hidden="1">255</definedName>
    <definedName name="_qq2">'[1]Kip Field'!$I$121</definedName>
    <definedName name="a">[2]Firm!$A$2:$A$100</definedName>
    <definedName name="aa">#REF!</definedName>
    <definedName name="aaa">'[1]Kip Field'!$F$121</definedName>
    <definedName name="abc">'[1]Kip Field'!$I$121</definedName>
    <definedName name="ActCost">'[3]INPUT RC Data'!$L$5:$L$2517</definedName>
    <definedName name="ActuaryCredentialsGASB">[4]DeveloperInfo!$D$19</definedName>
    <definedName name="ActuaryNameGASB">[4]DeveloperInfo!$D$17</definedName>
    <definedName name="ActuaryTitleGASB">[4]DeveloperInfo!$D$18</definedName>
    <definedName name="AdjCNSDate">[4]DeveloperInfo!$D$33</definedName>
    <definedName name="AdjCNSDate1">[4]DeveloperInfo!$E$33</definedName>
    <definedName name="AdjCNSDateTempEnable">[4]DeveloperInfo!$F$34</definedName>
    <definedName name="AgencyCode" localSheetId="12">#REF!</definedName>
    <definedName name="AgencyCode" localSheetId="11">#REF!</definedName>
    <definedName name="AgencyCode" localSheetId="8">#REF!</definedName>
    <definedName name="AgencyCode">#REF!</definedName>
    <definedName name="AgencyCode1" localSheetId="12">#REF!</definedName>
    <definedName name="AgencyCode1" localSheetId="11">#REF!</definedName>
    <definedName name="AgencyCode1" localSheetId="8">#REF!</definedName>
    <definedName name="AgencyCode1">#REF!</definedName>
    <definedName name="AnalystGASB">[4]DeveloperInfo!$D$20</definedName>
    <definedName name="Annuity" localSheetId="12">#REF!</definedName>
    <definedName name="Annuity" localSheetId="11">#REF!</definedName>
    <definedName name="Annuity" localSheetId="8">#REF!</definedName>
    <definedName name="Annuity">#REF!</definedName>
    <definedName name="Annuity1" localSheetId="12">#REF!</definedName>
    <definedName name="Annuity1" localSheetId="11">#REF!</definedName>
    <definedName name="Annuity1" localSheetId="8">#REF!</definedName>
    <definedName name="Annuity1">#REF!</definedName>
    <definedName name="AnnuityLY" localSheetId="12">#REF!</definedName>
    <definedName name="AnnuityLY" localSheetId="11">#REF!</definedName>
    <definedName name="AnnuityLY" localSheetId="8">#REF!</definedName>
    <definedName name="AnnuityLY">#REF!</definedName>
    <definedName name="ase">'[1]Kip Field'!$D$1</definedName>
    <definedName name="ASTABPF">[4]DeveloperInfo!$D$36</definedName>
    <definedName name="ASTABPF1">[4]DeveloperInfo!$D$37</definedName>
    <definedName name="ASTEBPF">[4]DeveloperInfo!$F$37</definedName>
    <definedName name="CA_Holidays">'[5]Holidays - CA'!$C$4:$C$157</definedName>
    <definedName name="Calstardata61521242730333942545760636669727581849396108111117186189192195">#REF!</definedName>
    <definedName name="ClientShortGASB">[4]DeveloperInfo!$D$9</definedName>
    <definedName name="CLPOWERDisc">[4]Adjust!$H$199</definedName>
    <definedName name="CLPOWERDiscMinus1">[4]Adjust!$L$199</definedName>
    <definedName name="CLPOWERDiscPlus1">[4]Adjust!$K$199</definedName>
    <definedName name="CLPOWERExp">[4]Adjust!$G$199</definedName>
    <definedName name="cm">[6]!Table7[#All]</definedName>
    <definedName name="CM_List">[6]!Table7[#All]</definedName>
    <definedName name="CNSDateDisc">[4]DeveloperInfo!$D$32</definedName>
    <definedName name="CNSDateDisc1">[4]DeveloperInfo!$E$32</definedName>
    <definedName name="ColaRate">[4]DeveloperInfo!$D$40</definedName>
    <definedName name="ConsultantNameGASB">[4]DeveloperInfo!$D$22</definedName>
    <definedName name="ConsultantTitleGASB">[4]DeveloperInfo!$D$23</definedName>
    <definedName name="datahsr1148">#REF!</definedName>
    <definedName name="ddd">#REF!</definedName>
    <definedName name="Deposit_Summary">#REF!</definedName>
    <definedName name="Deposit_Summary_1">#REF!</definedName>
    <definedName name="Deposit_Summary_FM08">#REF!</definedName>
    <definedName name="Deposit_Summary_FM08_1">#REF!</definedName>
    <definedName name="Deposit_Summary2">#REF!</definedName>
    <definedName name="Deposit_Summary3">#REF!</definedName>
    <definedName name="Deposit_Summaryf">#REF!</definedName>
    <definedName name="Deposit_Summaryf1">#REF!</definedName>
    <definedName name="Disc1DELTACENSUS">[4]Adjust!$G$102</definedName>
    <definedName name="Disc1INTNDIV12">[4]Adjust!$H$195</definedName>
    <definedName name="Disc1SINTADJBOM">[4]Adjust!$I$197</definedName>
    <definedName name="Disc1SINTNDIV12">[4]Adjust!$I$195</definedName>
    <definedName name="DiscDELTACENSUS">[4]Adjust!$H$102</definedName>
    <definedName name="DiscINTADJBOM">[4]Adjust!$J$197</definedName>
    <definedName name="DiscINTNDIV12">[4]Adjust!$J$195</definedName>
    <definedName name="DiscMinusOneINTADJBOM">[4]Adjust!$L$197</definedName>
    <definedName name="DiscMinusOneINTNDIV12">[4]Adjust!$L$195</definedName>
    <definedName name="DiscPlusOneINTADJBOM">[4]Adjust!$K$197</definedName>
    <definedName name="DiscPlusOneINTNDIV12">[4]Adjust!$K$195</definedName>
    <definedName name="EF" comment="Escalation Factor">1.0192317</definedName>
    <definedName name="EmployerRates" localSheetId="12">#REF!</definedName>
    <definedName name="EmployerRates" localSheetId="11">#REF!</definedName>
    <definedName name="EmployerRates" localSheetId="8">#REF!</definedName>
    <definedName name="EmployerRates">#REF!</definedName>
    <definedName name="EmployerRates1" localSheetId="12">#REF!</definedName>
    <definedName name="EmployerRates1" localSheetId="11">#REF!</definedName>
    <definedName name="EmployerRates1" localSheetId="8">#REF!</definedName>
    <definedName name="EmployerRates1">#REF!</definedName>
    <definedName name="EmployerRatesLEO" localSheetId="12">#REF!</definedName>
    <definedName name="EmployerRatesLEO" localSheetId="11">#REF!</definedName>
    <definedName name="EmployerRatesLEO" localSheetId="8">#REF!</definedName>
    <definedName name="EmployerRatesLEO">#REF!</definedName>
    <definedName name="EmployerRatesLEO1" localSheetId="12">#REF!</definedName>
    <definedName name="EmployerRatesLEO1" localSheetId="11">#REF!</definedName>
    <definedName name="EmployerRatesLEO1" localSheetId="8">#REF!</definedName>
    <definedName name="EmployerRatesLEO1">#REF!</definedName>
    <definedName name="ERData">[4]ER_DATA!$B$16:$EN$318</definedName>
    <definedName name="ERID">[4]ER_NPLExpense!$L$8</definedName>
    <definedName name="ERInfo">[4]ER_Input!$B$16:$Y$318</definedName>
    <definedName name="EVMonth">'[3]INPUT RC Data'!$G$5:$G$2517</definedName>
    <definedName name="Exp1INTADJBOM">[4]Adjust!$G$197</definedName>
    <definedName name="Exp1INTNDIV12">[4]Adjust!$G$195</definedName>
    <definedName name="FBROD">#REF!</definedName>
    <definedName name="FEE">#REF!</definedName>
    <definedName name="Firm">[7]Firm!$A$2:$A$100</definedName>
    <definedName name="Firms">[8]Firm!$A$2:$A$100</definedName>
    <definedName name="Firms_5D">[9]Firm!$A$2:$A$100</definedName>
    <definedName name="Firms_5e2">[10]Firm!$A$2:$A$100</definedName>
    <definedName name="ForDol">'[3]INPUT RC Data'!$N$5:$N$2517</definedName>
    <definedName name="FracYearProj">[4]TPL!$C$43</definedName>
    <definedName name="fund_lookup">[11]CrossWalk!$Q$4:$R$189</definedName>
    <definedName name="FundOfficeContactGASB">[4]DeveloperInfo!$D$10</definedName>
    <definedName name="FWO">#REF!</definedName>
    <definedName name="FYrsGASB">[4]DeveloperInfo!$D$54</definedName>
    <definedName name="GainLoss">[4]ER_Allocation!$P$12</definedName>
    <definedName name="GASBDiscMinusOneINTADJBOM">[4]Adjust!$L$197</definedName>
    <definedName name="GASBDiscMinusOneINTNDIV12">[4]Adjust!$L$195</definedName>
    <definedName name="GL_Category">#REF!</definedName>
    <definedName name="InflRate">[4]DeveloperInfo!$D$38</definedName>
    <definedName name="InflRate1">[4]DeveloperInfo!$E$38</definedName>
    <definedName name="IntDisc">[4]DeveloperInfo!$F$47</definedName>
    <definedName name="IntDisc1">[4]DeveloperInfo!$D$47</definedName>
    <definedName name="IntDisc1S">[4]DeveloperInfo!$E$47</definedName>
    <definedName name="INTDiscMinusOne">[4]DeveloperInfo!$H$47</definedName>
    <definedName name="INTDiscPlusOne">[4]DeveloperInfo!$G$47</definedName>
    <definedName name="IntExp1">[4]DeveloperInfo!$I$47</definedName>
    <definedName name="Labor_Rate">'[12]George Pla'!$D$1</definedName>
    <definedName name="LKJHGF">#REF!</definedName>
    <definedName name="Margin">#REF!</definedName>
    <definedName name="MeasureDate">[4]DeveloperInfo!$D$31</definedName>
    <definedName name="MeasureDate1">[4]DeveloperInfo!$E$31</definedName>
    <definedName name="MeasureDate2">[4]DeveloperInfo!$F$31</definedName>
    <definedName name="Month">'[13]Board Report Data'!$A$3:$A$14</definedName>
    <definedName name="N">"N/A"</definedName>
    <definedName name="NDIV12Disc">[4]Adjust!$H$200</definedName>
    <definedName name="NDIV12DiscMinus1">[4]Adjust!$L$200</definedName>
    <definedName name="NDIV12DiscPlus1">[4]Adjust!$K$200</definedName>
    <definedName name="NDIV12Exp">[4]Adjust!$G$200</definedName>
    <definedName name="new">#REF!</definedName>
    <definedName name="OfficeAddr1GASB">[4]DeveloperInfo!$D$11</definedName>
    <definedName name="OfficeAddr2GASB">[4]DeveloperInfo!$D$12</definedName>
    <definedName name="Offices">[4]DeveloperInfo!$K$75:$O$91</definedName>
    <definedName name="OHF">#REF!</definedName>
    <definedName name="OHH">#REF!</definedName>
    <definedName name="OHTypes">[14]Firm!$B$1:$C$1</definedName>
    <definedName name="okay">#REF!</definedName>
    <definedName name="org">"a1..i"</definedName>
    <definedName name="other">#REF!</definedName>
    <definedName name="page\x2dtotal">#REF!</definedName>
    <definedName name="page\x2dtotal\x2dmaster0">#REF!</definedName>
    <definedName name="PAR">#REF!</definedName>
    <definedName name="Parcels">[15]Summary!$C$4:$C$362</definedName>
    <definedName name="parenthst">#REF!</definedName>
    <definedName name="parentparcel">#REF!</definedName>
    <definedName name="PAU">#REF!</definedName>
    <definedName name="PB_Titles">[9]Firm!$J$2:$T$2</definedName>
    <definedName name="PCTotal">'[16]PMT EV Table'!$G$110</definedName>
    <definedName name="PendPoss">#REF!</definedName>
    <definedName name="Pension" localSheetId="12">#REF!</definedName>
    <definedName name="Pension" localSheetId="11">#REF!</definedName>
    <definedName name="Pension" localSheetId="8">#REF!</definedName>
    <definedName name="Pension">#REF!</definedName>
    <definedName name="Pension1" localSheetId="12">#REF!</definedName>
    <definedName name="Pension1" localSheetId="11">#REF!</definedName>
    <definedName name="Pension1" localSheetId="8">#REF!</definedName>
    <definedName name="Pension1">#REF!</definedName>
    <definedName name="PensionLY" localSheetId="12">#REF!</definedName>
    <definedName name="PensionLY" localSheetId="11">#REF!</definedName>
    <definedName name="PensionLY" localSheetId="8">#REF!</definedName>
    <definedName name="PensionLY">#REF!</definedName>
    <definedName name="PgmPctComp">'[3]INPUT RC Data'!$O$5:$O$2517</definedName>
    <definedName name="PlanNameLongGASB">[4]DeveloperInfo!$D$7</definedName>
    <definedName name="PlanNameShortGASB">[4]DeveloperInfo!$D$8</definedName>
    <definedName name="PlanValDol">'[3]INPUT RC Data'!$K$5:$K$2517</definedName>
    <definedName name="_xlnm.Print_Area" localSheetId="13">'FP-Fund #### Journal Entries'!$A$1:$J$9</definedName>
    <definedName name="_xlnm.Print_Area" localSheetId="14">'FP-Lease Liabilities'!$B$2:$Q$17</definedName>
    <definedName name="_xlnm.Print_Area" localSheetId="10">'LR-Department Note Disclosure'!$A$1:$C$93</definedName>
    <definedName name="_xlnm.Print_Area" localSheetId="9">'LR-Fund #### Journal Entries'!$B$1:$K$67</definedName>
    <definedName name="_xlnm.Print_Area" localSheetId="5">'LS-Department Note Disclosure'!$A$1:$C$85</definedName>
    <definedName name="_xlnm.Print_Area" localSheetId="3">'LS-Fund 3228 Journal Entries'!$A$1:$J$9</definedName>
    <definedName name="_xlnm.Print_Area" localSheetId="4">'LS-Fund 6043 Journal Entries'!$A$1:$J$9</definedName>
    <definedName name="_xlnm.Print_Area" localSheetId="6">'LS-Lease Liabilities'!$B$2:$Q$17</definedName>
    <definedName name="ProjDisc?">[4]DeveloperInfo!$D$65</definedName>
    <definedName name="ProjectID">'[17]WBS Mapping'!$H$2:$AL$2</definedName>
    <definedName name="ProValResults" localSheetId="12">#REF!</definedName>
    <definedName name="ProValResults" localSheetId="11">#REF!</definedName>
    <definedName name="ProValResults" localSheetId="8">#REF!</definedName>
    <definedName name="ProValResults">#REF!</definedName>
    <definedName name="ProValResults1" localSheetId="12">#REF!</definedName>
    <definedName name="ProValResults1" localSheetId="11">#REF!</definedName>
    <definedName name="ProValResults1" localSheetId="8">#REF!</definedName>
    <definedName name="ProValResults1">#REF!</definedName>
    <definedName name="qaz">'[1]Kip Field'!$F$121</definedName>
    <definedName name="qqq">'[1]Kip Field'!$K$121</definedName>
    <definedName name="rate">#REF!</definedName>
    <definedName name="Recorded_ROW_Last_Revised">#REF!</definedName>
    <definedName name="rename">#REF!</definedName>
    <definedName name="ReportDate">'[18]Firm Old'!#REF!</definedName>
    <definedName name="ReportDate67">[4]DeveloperInfo!$D$30</definedName>
    <definedName name="ReportDate671">[4]DeveloperInfo!$E$30</definedName>
    <definedName name="ReportDate68">[4]DeveloperInfo!$D$52</definedName>
    <definedName name="ReportDate681">[4]DeveloperInfo!$E$52</definedName>
    <definedName name="ReviewerGASB">[4]DeveloperInfo!$D$21</definedName>
    <definedName name="Rnd_0">[4]DeveloperInfo!$D$41</definedName>
    <definedName name="RORRate681">[4]DeveloperInfo!$E$53</definedName>
    <definedName name="SalRate">[4]DeveloperInfo!$D$39</definedName>
    <definedName name="SalRate1">[4]DeveloperInfo!$E$39</definedName>
    <definedName name="Scenarios">'[19]Dropdown List'!$A$2:$A$4</definedName>
    <definedName name="SegalOfficeGASB">[4]DeveloperInfo!$D$24</definedName>
    <definedName name="Table1671622252831344043555861646770737682859497109112118187190193196">#REF!</definedName>
    <definedName name="Table251420232629323841535659626568717480839295107110116185188191194">#REF!</definedName>
    <definedName name="TableData" localSheetId="12">#REF!</definedName>
    <definedName name="TableData" localSheetId="11">#REF!</definedName>
    <definedName name="TableData" localSheetId="8">#REF!</definedName>
    <definedName name="TableData">#REF!</definedName>
    <definedName name="TableData1" localSheetId="12">#REF!</definedName>
    <definedName name="TableData1" localSheetId="11">#REF!</definedName>
    <definedName name="TableData1" localSheetId="8">#REF!</definedName>
    <definedName name="TableData1">#REF!</definedName>
    <definedName name="Task1">#REF!</definedName>
    <definedName name="Title">[14]Firm!$M$6:$M$16</definedName>
    <definedName name="twe">#REF!</definedName>
    <definedName name="Type" localSheetId="12">#REF!</definedName>
    <definedName name="Type" localSheetId="11">#REF!</definedName>
    <definedName name="Type" localSheetId="8">#REF!</definedName>
    <definedName name="Type">#REF!</definedName>
    <definedName name="TypeAnnuity" localSheetId="12">#REF!</definedName>
    <definedName name="TypeAnnuity" localSheetId="11">#REF!</definedName>
    <definedName name="TypeAnnuity" localSheetId="8">#REF!</definedName>
    <definedName name="TypeAnnuity">#REF!</definedName>
    <definedName name="TypeAnnuity1" localSheetId="12">#REF!</definedName>
    <definedName name="TypeAnnuity1" localSheetId="11">#REF!</definedName>
    <definedName name="TypeAnnuity1" localSheetId="8">#REF!</definedName>
    <definedName name="TypeAnnuity1">#REF!</definedName>
    <definedName name="TypePension" localSheetId="12">#REF!</definedName>
    <definedName name="TypePension" localSheetId="11">#REF!</definedName>
    <definedName name="TypePension" localSheetId="8">#REF!</definedName>
    <definedName name="TypePension">#REF!</definedName>
    <definedName name="TypePension1" localSheetId="12">#REF!</definedName>
    <definedName name="TypePension1" localSheetId="11">#REF!</definedName>
    <definedName name="TypePension1" localSheetId="8">#REF!</definedName>
    <definedName name="TypePension1">#REF!</definedName>
    <definedName name="UnfundedData" localSheetId="12">#REF!</definedName>
    <definedName name="UnfundedData" localSheetId="11">#REF!</definedName>
    <definedName name="UnfundedData" localSheetId="8">#REF!</definedName>
    <definedName name="UnfundedData">#REF!</definedName>
    <definedName name="UnfundedData1" localSheetId="12">#REF!</definedName>
    <definedName name="UnfundedData1" localSheetId="11">#REF!</definedName>
    <definedName name="UnfundedData1" localSheetId="8">#REF!</definedName>
    <definedName name="UnfundedData1">#REF!</definedName>
    <definedName name="UnfundedLY" localSheetId="12">#REF!</definedName>
    <definedName name="UnfundedLY" localSheetId="11">#REF!</definedName>
    <definedName name="UnfundedLY" localSheetId="8">#REF!</definedName>
    <definedName name="UnfundedLY">#REF!</definedName>
    <definedName name="UnfundedLY1" localSheetId="12">#REF!</definedName>
    <definedName name="UnfundedLY1" localSheetId="11">#REF!</definedName>
    <definedName name="UnfundedLY1" localSheetId="8">#REF!</definedName>
    <definedName name="UnfundedLY1">#REF!</definedName>
    <definedName name="UnfundedLYLEO1" localSheetId="12">#REF!</definedName>
    <definedName name="UnfundedLYLEO1" localSheetId="11">#REF!</definedName>
    <definedName name="UnfundedLYLEO1" localSheetId="8">#REF!</definedName>
    <definedName name="UnfundedLYLEO1">#REF!</definedName>
    <definedName name="UnfunedLYLEO" localSheetId="12">#REF!</definedName>
    <definedName name="UnfunedLYLEO" localSheetId="11">#REF!</definedName>
    <definedName name="UnfunedLYLEO" localSheetId="8">#REF!</definedName>
    <definedName name="UnfunedLYLEO">#REF!</definedName>
    <definedName name="Untitled">#REF!</definedName>
    <definedName name="ValidationList">[20]Classifications!$BB$10001:$BB$10275</definedName>
    <definedName name="ValidationList2">#REF!</definedName>
    <definedName name="VersionGASB">[4]DeveloperInfo!$D$4</definedName>
    <definedName name="WBS">'[3]INPUT RC Data'!$D$5:$D$2517</definedName>
    <definedName name="xyz">'[1]Kip Field'!$K$121</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B42" i="7"/>
  <c r="H16" i="7"/>
  <c r="J16" i="7"/>
  <c r="F16" i="7"/>
  <c r="D16" i="7"/>
  <c r="B16" i="7"/>
  <c r="K129" i="19"/>
  <c r="K123" i="19"/>
  <c r="K122" i="19"/>
  <c r="K114" i="19"/>
  <c r="J114" i="19"/>
  <c r="L114" i="19" s="1"/>
  <c r="K105" i="19"/>
  <c r="J105" i="19"/>
  <c r="L105" i="19" s="1"/>
  <c r="K91" i="19"/>
  <c r="J91" i="19"/>
  <c r="K77" i="19"/>
  <c r="J77" i="19"/>
  <c r="K70" i="19"/>
  <c r="J70" i="19"/>
  <c r="K65" i="19"/>
  <c r="J65" i="19"/>
  <c r="B63" i="19"/>
  <c r="K59" i="19"/>
  <c r="J59" i="19"/>
  <c r="K49" i="19"/>
  <c r="J49" i="19"/>
  <c r="K43" i="19"/>
  <c r="J43" i="19"/>
  <c r="K36" i="19"/>
  <c r="J36" i="19"/>
  <c r="S25" i="19"/>
  <c r="Q24" i="19"/>
  <c r="S24" i="19" s="1"/>
  <c r="K24" i="19"/>
  <c r="S23" i="19"/>
  <c r="K23" i="19"/>
  <c r="K128" i="19" s="1"/>
  <c r="S22" i="19"/>
  <c r="K22" i="19"/>
  <c r="K127" i="19" s="1"/>
  <c r="S21" i="19"/>
  <c r="K21" i="19"/>
  <c r="K126" i="19" s="1"/>
  <c r="S20" i="19"/>
  <c r="K20" i="19"/>
  <c r="K125" i="19" s="1"/>
  <c r="S19" i="19"/>
  <c r="P18" i="19"/>
  <c r="S18" i="19" s="1"/>
  <c r="S17" i="19"/>
  <c r="J17" i="19"/>
  <c r="K124" i="19" s="1"/>
  <c r="S16" i="19"/>
  <c r="J16" i="19"/>
  <c r="S15" i="19"/>
  <c r="J15" i="19"/>
  <c r="F9" i="19"/>
  <c r="C104" i="19" s="1"/>
  <c r="J18" i="19" l="1"/>
  <c r="K25" i="19" s="1"/>
  <c r="K26" i="19" s="1"/>
  <c r="L77" i="19"/>
  <c r="L91" i="19"/>
  <c r="L70" i="19"/>
  <c r="L65" i="19"/>
  <c r="L59" i="19"/>
  <c r="L49" i="19"/>
  <c r="L43" i="19"/>
  <c r="L36" i="19"/>
  <c r="C64" i="19"/>
  <c r="C35" i="19"/>
  <c r="B100" i="19"/>
  <c r="K53" i="8"/>
  <c r="J53" i="8"/>
  <c r="J19" i="19" l="1"/>
  <c r="J26" i="19" s="1"/>
  <c r="L26" i="19" s="1"/>
  <c r="K83" i="8"/>
  <c r="K68" i="5"/>
  <c r="K129" i="2"/>
  <c r="S20" i="2"/>
  <c r="K20" i="2"/>
  <c r="K125" i="2" s="1"/>
  <c r="N57" i="12" l="1"/>
  <c r="N49" i="12"/>
  <c r="N42" i="12"/>
  <c r="N33" i="12"/>
  <c r="N24" i="12"/>
  <c r="N16" i="12"/>
  <c r="P49" i="12" l="1"/>
  <c r="D51" i="12" s="1"/>
  <c r="P57" i="12"/>
  <c r="L33" i="12"/>
  <c r="P33" i="12" s="1"/>
  <c r="D35" i="12" s="1"/>
  <c r="L24" i="12"/>
  <c r="P24" i="12" s="1"/>
  <c r="D26" i="12" s="1"/>
  <c r="L16" i="12"/>
  <c r="P16" i="12" s="1"/>
  <c r="D18"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K67" i="5" s="1"/>
  <c r="S18" i="8"/>
  <c r="S24" i="8"/>
  <c r="S18" i="2"/>
  <c r="K23" i="8"/>
  <c r="K82" i="8" s="1"/>
  <c r="K22" i="8"/>
  <c r="K21" i="8"/>
  <c r="K80" i="8" s="1"/>
  <c r="J17" i="8"/>
  <c r="K79" i="8" s="1"/>
  <c r="J16" i="8"/>
  <c r="K78" i="8" s="1"/>
  <c r="J15" i="8"/>
  <c r="K77" i="8" s="1"/>
  <c r="S21" i="8"/>
  <c r="S17" i="8"/>
  <c r="S16" i="8"/>
  <c r="S15" i="8"/>
  <c r="S23" i="8"/>
  <c r="J19" i="8" l="1"/>
  <c r="K81" i="8"/>
  <c r="J19" i="2"/>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Q18" i="5"/>
  <c r="S18" i="5" s="1"/>
  <c r="J15" i="5"/>
  <c r="K18" i="5" l="1"/>
  <c r="J16" i="5" l="1"/>
  <c r="J20" i="5" s="1"/>
  <c r="K19" i="5"/>
  <c r="K20" i="5" s="1"/>
  <c r="L20" i="5" l="1"/>
</calcChain>
</file>

<file path=xl/sharedStrings.xml><?xml version="1.0" encoding="utf-8"?>
<sst xmlns="http://schemas.openxmlformats.org/spreadsheetml/2006/main" count="8342" uniqueCount="1884">
  <si>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</si>
  <si>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</si>
  <si>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</si>
  <si>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</si>
  <si>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</si>
  <si>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</si>
  <si>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</si>
  <si>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</si>
  <si>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</si>
  <si>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</si>
  <si>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</si>
  <si>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</si>
  <si>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</si>
  <si>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</si>
  <si>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</si>
  <si>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</si>
  <si>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</si>
  <si>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</si>
  <si>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</si>
  <si>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</si>
  <si>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</si>
  <si>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</si>
  <si>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</si>
  <si>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</si>
  <si>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</si>
  <si>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</si>
  <si>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</si>
  <si>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</si>
  <si>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</si>
  <si>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</si>
  <si>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</si>
  <si>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</si>
  <si>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</si>
  <si>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</si>
  <si>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</si>
  <si>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</si>
  <si>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</si>
  <si>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</si>
  <si>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</si>
  <si>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</si>
  <si>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</si>
  <si>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</si>
  <si>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</si>
  <si>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</si>
  <si>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</si>
  <si>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</si>
  <si>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</si>
  <si>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</si>
  <si>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</si>
  <si>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</si>
  <si>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</si>
  <si>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</si>
  <si>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</si>
  <si>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</si>
  <si>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</si>
  <si>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</si>
  <si>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</si>
  <si>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</si>
  <si>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</si>
  <si>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</si>
  <si>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</si>
  <si>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</si>
  <si>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</si>
  <si>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</si>
  <si>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</si>
  <si>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</si>
  <si>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</si>
  <si>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</si>
  <si>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</si>
  <si>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</si>
  <si>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</si>
  <si>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</si>
  <si>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</si>
  <si>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</si>
  <si>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</si>
  <si>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</si>
  <si>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</si>
  <si>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</si>
  <si>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</si>
  <si>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</si>
  <si>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</si>
  <si>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</si>
  <si>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</si>
  <si>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</si>
  <si>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</si>
  <si>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</si>
  <si>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</si>
  <si>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</si>
  <si>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</si>
  <si>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</si>
  <si>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</si>
  <si>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</si>
  <si>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</si>
  <si>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</si>
  <si>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</si>
  <si>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</si>
  <si>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</si>
  <si>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</si>
  <si>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</si>
  <si>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</si>
  <si>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</si>
  <si>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</si>
  <si>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</si>
  <si>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</si>
  <si>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</si>
  <si>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</si>
  <si>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</si>
  <si>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</si>
  <si>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</si>
  <si>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</si>
  <si>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</si>
  <si>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</si>
  <si>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</si>
  <si>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</si>
  <si>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</si>
  <si>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</si>
  <si>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</si>
  <si>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</si>
  <si>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</si>
  <si>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</si>
  <si>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</si>
  <si>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</si>
  <si>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</si>
  <si>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</si>
  <si>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</si>
  <si>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</si>
  <si>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</si>
  <si>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</si>
  <si>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</si>
  <si>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</si>
  <si>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</si>
  <si>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</si>
  <si>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</si>
  <si>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</si>
  <si>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</si>
  <si>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</si>
  <si>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</si>
  <si>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</si>
  <si>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</si>
  <si>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</si>
  <si>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</si>
  <si>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</si>
  <si>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</si>
  <si>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</si>
  <si>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</si>
  <si>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</si>
  <si>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</si>
  <si>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</si>
  <si>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</si>
  <si>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</si>
  <si>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</si>
  <si>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</si>
  <si>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</si>
  <si>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</si>
  <si>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</si>
  <si>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</si>
  <si>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</si>
  <si>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</si>
  <si>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</si>
  <si>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</si>
  <si>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</si>
  <si>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</si>
  <si>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</si>
  <si>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</si>
  <si>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</si>
  <si>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</si>
  <si>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</si>
  <si>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</si>
  <si>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</si>
  <si>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</si>
  <si>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</si>
  <si>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</si>
  <si>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</si>
  <si>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</si>
  <si>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</si>
  <si>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</si>
  <si>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</si>
  <si>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</si>
  <si>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</si>
  <si>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</si>
  <si>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</si>
  <si>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</si>
  <si>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</si>
  <si>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</si>
  <si>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</si>
  <si>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</si>
  <si>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</si>
  <si>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</si>
  <si>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</si>
  <si>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</si>
  <si>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</si>
  <si>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</si>
  <si>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</si>
  <si>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</si>
  <si>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</si>
  <si>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</si>
  <si>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</si>
  <si>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</si>
  <si>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</si>
  <si>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</si>
  <si>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</si>
  <si>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</si>
  <si>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</si>
  <si>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</si>
  <si>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</si>
  <si>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</si>
  <si>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</si>
  <si>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</si>
  <si>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</si>
  <si>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</si>
  <si>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</si>
  <si>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</si>
  <si>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</si>
  <si>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</si>
  <si>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</si>
  <si>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</si>
  <si>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</si>
  <si>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</si>
  <si>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</si>
  <si>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</si>
  <si>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</si>
  <si>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</si>
  <si>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</si>
  <si>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</si>
  <si>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</si>
  <si>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</si>
  <si>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</si>
  <si>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</si>
  <si>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</si>
  <si>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</si>
  <si>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</si>
  <si>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</si>
  <si>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</si>
  <si>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</si>
  <si>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</si>
  <si>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</si>
  <si>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</si>
  <si>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</si>
  <si>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</si>
  <si>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</si>
  <si>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</si>
  <si>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</si>
  <si>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</si>
  <si>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</si>
  <si>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</si>
  <si>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</si>
  <si>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</si>
  <si>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</si>
  <si>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</si>
  <si>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</si>
  <si>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</si>
  <si>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</si>
  <si>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</si>
  <si>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</si>
  <si>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</si>
  <si>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</si>
  <si>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</si>
  <si>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</si>
  <si>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</si>
  <si>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</si>
  <si>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</si>
  <si>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</si>
  <si>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</si>
  <si>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</si>
  <si>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</si>
  <si>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</si>
  <si>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</si>
  <si>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</si>
  <si>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</si>
  <si>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</si>
  <si>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</si>
  <si>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</si>
  <si>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</si>
  <si>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</si>
  <si>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</si>
  <si>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</si>
  <si>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</si>
  <si>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</si>
  <si>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</si>
  <si>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</si>
  <si>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</si>
  <si>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</si>
  <si>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</si>
  <si>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</si>
  <si>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</si>
  <si>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</si>
  <si>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</si>
  <si>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</si>
  <si>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</si>
  <si>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</si>
  <si>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</si>
  <si>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</si>
  <si>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</si>
  <si>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</si>
  <si>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</si>
  <si>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</si>
  <si>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</si>
  <si>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</si>
  <si>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</si>
  <si>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</si>
  <si>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</si>
  <si>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</si>
  <si>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</si>
  <si>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</si>
  <si>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</si>
  <si>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</si>
  <si>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</si>
  <si>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</si>
  <si>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</si>
  <si>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</si>
  <si>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</si>
  <si>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</si>
  <si>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</si>
  <si>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</si>
  <si>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</si>
  <si>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</si>
  <si>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</si>
  <si>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</si>
  <si>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</si>
  <si>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</si>
  <si>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</si>
  <si>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</si>
  <si>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</si>
  <si>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</si>
  <si>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</si>
  <si>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</si>
  <si>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</si>
  <si>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</si>
  <si>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</si>
  <si>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</si>
  <si>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</si>
  <si>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</si>
  <si>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</si>
  <si>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</si>
  <si>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</si>
  <si>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</si>
  <si>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</si>
  <si>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</si>
  <si>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</si>
  <si>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</si>
  <si>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</si>
  <si>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</si>
  <si>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</si>
  <si>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</si>
  <si>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</si>
  <si>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</si>
  <si>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</si>
  <si>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</si>
  <si>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</si>
  <si>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</si>
  <si>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</si>
  <si>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</si>
  <si>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</si>
  <si>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</si>
  <si>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</si>
  <si>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</si>
  <si>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</si>
  <si>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</si>
  <si>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</si>
  <si>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</si>
  <si>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</si>
  <si>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</si>
  <si>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</si>
  <si>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</si>
  <si>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</si>
  <si>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</si>
  <si>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</si>
  <si>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</si>
  <si>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</si>
  <si>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</si>
  <si>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</si>
  <si>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</si>
  <si>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</si>
  <si>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</si>
  <si>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</si>
  <si>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</si>
  <si>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</si>
  <si>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</si>
  <si>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</si>
  <si>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</si>
  <si>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</si>
  <si>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</si>
  <si>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</si>
  <si>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</si>
  <si>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</si>
  <si>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</si>
  <si>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</si>
  <si>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</si>
  <si>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</si>
  <si>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</si>
  <si>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</si>
  <si>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</si>
  <si>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</si>
  <si>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</si>
  <si>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</si>
  <si>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</si>
  <si>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</si>
  <si>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</si>
  <si>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</si>
  <si>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</si>
  <si>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</si>
  <si>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</si>
  <si>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</si>
  <si>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</si>
  <si>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</si>
  <si>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</si>
  <si>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</si>
  <si>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</si>
  <si>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</si>
  <si>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</si>
  <si>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</si>
  <si>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</si>
  <si>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</si>
  <si>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</si>
  <si>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</si>
  <si>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</si>
  <si>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</si>
  <si>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</si>
  <si>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</si>
  <si>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</si>
  <si>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</si>
  <si>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</si>
  <si>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</si>
  <si>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</si>
  <si>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</si>
  <si>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</si>
  <si>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</si>
  <si>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</si>
  <si>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</si>
  <si>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</si>
  <si>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</si>
  <si>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</si>
  <si>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</si>
  <si>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</si>
  <si>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</si>
  <si>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</si>
  <si>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</si>
  <si>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</si>
  <si>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</si>
  <si>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</si>
  <si>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</si>
  <si>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</si>
  <si>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</si>
  <si>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</si>
  <si>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</si>
  <si>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</si>
  <si>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</si>
  <si>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</si>
  <si>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</si>
  <si>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</si>
  <si>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</si>
  <si>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</si>
  <si>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</si>
  <si>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</si>
  <si>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</si>
  <si>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</si>
  <si>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</si>
  <si>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</si>
  <si>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</si>
  <si>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</si>
  <si>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</si>
  <si>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</si>
  <si>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</si>
  <si>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</si>
  <si>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</si>
  <si>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</si>
  <si>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</si>
  <si>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</si>
  <si>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</si>
  <si>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</si>
  <si>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</si>
  <si>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</si>
  <si>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</si>
  <si>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</si>
  <si>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</si>
  <si>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</si>
  <si>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</si>
  <si>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</si>
  <si>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</si>
  <si>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</si>
  <si>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</si>
  <si>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</si>
  <si>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</si>
  <si>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</si>
  <si>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</si>
  <si>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</si>
  <si>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</si>
  <si>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</si>
  <si>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</si>
  <si>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</si>
  <si>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</si>
  <si>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</si>
  <si>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</si>
  <si>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</si>
  <si>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</si>
  <si>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</si>
  <si>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</si>
  <si>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</si>
  <si>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</si>
  <si>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</si>
  <si>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</si>
  <si>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</si>
  <si>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</si>
  <si>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</si>
  <si>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</si>
  <si>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</si>
  <si>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</si>
  <si>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</si>
  <si>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</si>
  <si>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</si>
  <si>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</si>
  <si>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</si>
  <si>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</si>
  <si>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</si>
  <si>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</si>
  <si>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</si>
  <si>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</si>
  <si>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</si>
  <si>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</si>
  <si>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</si>
  <si>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</si>
  <si>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</si>
  <si>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</si>
  <si>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</si>
  <si>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</si>
  <si>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</si>
  <si>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</si>
  <si>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</si>
  <si>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</si>
  <si>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</si>
  <si>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</si>
  <si>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</si>
  <si>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</si>
  <si>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</si>
  <si>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</si>
  <si>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</si>
  <si>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</si>
  <si>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</si>
  <si>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</si>
  <si>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</si>
  <si>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</si>
  <si>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</si>
  <si>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</si>
  <si>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</si>
  <si>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</si>
  <si>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</si>
  <si>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</si>
  <si>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</si>
  <si>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</si>
  <si>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</si>
  <si>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</si>
  <si>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</si>
  <si>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</si>
  <si>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</si>
  <si>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</si>
  <si>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</si>
  <si>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</si>
  <si>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</si>
  <si>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</si>
  <si>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</si>
  <si>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</si>
  <si>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</si>
  <si>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</si>
  <si>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</si>
  <si>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</si>
  <si>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</si>
  <si>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</si>
  <si>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</si>
  <si>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</si>
  <si>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</si>
  <si>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</si>
  <si>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</si>
  <si>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</si>
  <si>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</si>
  <si>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</si>
  <si>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</si>
  <si>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</si>
  <si>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</si>
  <si>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</si>
  <si>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</si>
  <si>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</si>
  <si>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</si>
  <si>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</si>
  <si>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</si>
  <si>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</si>
  <si>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</si>
  <si>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</si>
  <si>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</si>
  <si>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</si>
  <si>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</si>
  <si>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</si>
  <si>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</si>
  <si>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</si>
  <si>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</si>
  <si>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</si>
  <si>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</si>
  <si>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</si>
  <si>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</si>
  <si>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</si>
  <si>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</si>
  <si>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</si>
  <si>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</si>
  <si>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</si>
  <si>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</si>
  <si>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</si>
  <si>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</si>
  <si>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</si>
  <si>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</si>
  <si>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</si>
  <si>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</si>
  <si>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</si>
  <si>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</si>
  <si>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</si>
  <si>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</si>
  <si>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</si>
  <si>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</si>
  <si>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</si>
  <si>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</si>
  <si>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</si>
  <si>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</si>
  <si>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</si>
  <si>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</si>
  <si>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</si>
  <si>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</si>
  <si>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</si>
  <si>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</si>
  <si>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</si>
  <si>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</si>
  <si>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</si>
  <si>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</si>
  <si>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</si>
  <si>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</si>
  <si>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</si>
  <si>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</si>
  <si>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</si>
  <si>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</si>
  <si>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</si>
  <si>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</si>
  <si>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</si>
  <si>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</si>
  <si>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</si>
  <si>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</si>
  <si>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</si>
  <si>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</si>
  <si>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</si>
  <si>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</si>
  <si>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</si>
  <si>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</si>
  <si>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</si>
  <si>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</si>
  <si>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</si>
  <si>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</si>
  <si>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</si>
  <si>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</si>
  <si>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</si>
  <si>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</si>
  <si>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</si>
  <si>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</si>
  <si>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</si>
  <si>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</si>
  <si>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</si>
  <si>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</si>
  <si>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</si>
  <si>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</si>
  <si>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</si>
  <si>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</si>
  <si>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</si>
  <si>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</si>
  <si>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</si>
  <si>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</si>
  <si>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</si>
  <si>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</si>
  <si>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</si>
  <si>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</si>
  <si>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</si>
  <si>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</si>
  <si>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</si>
  <si>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</si>
  <si>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</si>
  <si>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</si>
  <si>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</si>
  <si>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</si>
  <si>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</si>
  <si>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</si>
  <si>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</si>
  <si>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</si>
  <si>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</si>
  <si>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</si>
  <si>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</si>
  <si>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</si>
  <si>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</si>
  <si>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</si>
  <si>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</si>
  <si>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</si>
  <si>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</si>
  <si>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</si>
  <si>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</si>
  <si>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</si>
  <si>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</si>
  <si>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</si>
  <si>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</si>
  <si>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</si>
  <si>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</si>
  <si>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</si>
  <si>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</si>
  <si>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</si>
  <si>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</si>
  <si>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</si>
  <si>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</si>
  <si>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</si>
  <si>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</si>
  <si>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</si>
  <si>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</si>
  <si>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</si>
  <si>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</si>
  <si>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</si>
  <si>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</si>
  <si>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</si>
  <si>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</si>
  <si>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</si>
  <si>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</si>
  <si>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</si>
  <si>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</si>
  <si>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</si>
  <si>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</si>
  <si>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</si>
  <si>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</si>
  <si>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</si>
  <si>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</si>
  <si>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</si>
  <si>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</si>
  <si>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</si>
  <si>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</si>
  <si>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</si>
  <si>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</si>
  <si>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</si>
  <si>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</si>
  <si>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</si>
  <si>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</si>
  <si>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</si>
  <si>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</si>
  <si>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</si>
  <si>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</si>
  <si>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</si>
  <si>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</si>
  <si>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</si>
  <si>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</si>
  <si>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</si>
  <si>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</si>
  <si>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</si>
  <si>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</si>
  <si>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</si>
  <si>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</si>
  <si>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</si>
  <si>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</si>
  <si>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</si>
  <si>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</si>
  <si>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</si>
  <si>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</si>
  <si>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</si>
  <si>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</si>
  <si>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</si>
  <si>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</si>
  <si>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</si>
  <si>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</si>
  <si>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</si>
  <si>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</si>
  <si>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</si>
  <si>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</si>
  <si>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</si>
  <si>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</si>
  <si>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</si>
  <si>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</si>
  <si>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</si>
  <si>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</si>
  <si>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</si>
  <si>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</si>
  <si>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</si>
  <si>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</si>
  <si>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</si>
  <si>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</si>
  <si>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</si>
  <si>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</si>
  <si>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</si>
  <si>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</si>
  <si>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</si>
  <si>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</si>
  <si>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</si>
  <si>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</si>
  <si>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</si>
  <si>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</si>
  <si>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</si>
  <si>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</si>
  <si>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</si>
  <si>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</si>
  <si>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</si>
  <si>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</si>
  <si>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</si>
  <si>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</si>
  <si>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</si>
  <si>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</si>
  <si>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</si>
  <si>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</si>
  <si>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</si>
  <si>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</si>
  <si>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</si>
  <si>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</si>
  <si>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</si>
  <si>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</si>
  <si>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</si>
  <si>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</si>
  <si>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</si>
  <si>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</si>
  <si>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</si>
  <si>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</si>
  <si>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</si>
  <si>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</si>
  <si>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</si>
  <si>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</si>
  <si>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</si>
  <si>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</si>
  <si>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</si>
  <si>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</si>
  <si>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</si>
  <si>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</si>
  <si>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</si>
  <si>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</si>
  <si>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</si>
  <si>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</si>
  <si>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</si>
  <si>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</si>
  <si>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</si>
  <si>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</si>
  <si>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</si>
  <si>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</si>
  <si>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</si>
  <si>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</si>
  <si>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</si>
  <si>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</si>
  <si>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</si>
  <si>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</si>
  <si>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</si>
  <si>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</si>
  <si>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</si>
  <si>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</si>
  <si>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</si>
  <si>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</si>
  <si>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</si>
  <si>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</si>
  <si>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</si>
  <si>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</si>
  <si>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</si>
  <si>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</si>
  <si>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</si>
  <si>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</si>
  <si>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</si>
  <si>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</si>
  <si>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</si>
  <si>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</si>
  <si>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</si>
  <si>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</si>
  <si>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</si>
  <si>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</si>
  <si>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</si>
  <si>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</si>
  <si>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</si>
  <si>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</si>
  <si>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</si>
  <si>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</si>
  <si>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</si>
  <si>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</si>
  <si>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</si>
  <si>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</si>
  <si>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</si>
  <si>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</si>
  <si>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</si>
  <si>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</si>
  <si>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</si>
  <si>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</si>
  <si>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</si>
  <si>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</si>
  <si>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</si>
  <si>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</si>
  <si>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</si>
  <si>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</si>
  <si>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</si>
  <si>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</si>
  <si>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</si>
  <si>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</si>
  <si>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</si>
  <si>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</si>
  <si>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</si>
  <si>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</si>
  <si>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</si>
  <si>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</si>
  <si>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</si>
  <si>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</si>
  <si>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</si>
  <si>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</si>
  <si>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</si>
  <si>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</si>
  <si>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</si>
  <si>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</si>
  <si>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</si>
  <si>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</si>
  <si>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</si>
  <si>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</si>
  <si>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</si>
  <si>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</si>
  <si>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</si>
  <si>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</si>
  <si>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</si>
  <si>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</si>
  <si>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</si>
  <si>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</si>
  <si>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</si>
  <si>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</si>
  <si>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</si>
  <si>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</si>
  <si>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</si>
  <si>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</si>
  <si>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</si>
  <si>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</si>
  <si>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</si>
  <si>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</si>
  <si>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</si>
  <si>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</si>
  <si>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</si>
  <si>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</si>
  <si>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</si>
  <si>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</si>
  <si>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</si>
  <si>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</si>
  <si>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</si>
  <si>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</si>
  <si>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</si>
  <si>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</si>
  <si>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</si>
  <si>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</si>
  <si>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</si>
  <si>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</si>
  <si>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</si>
  <si>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</si>
  <si>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</si>
  <si>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</si>
  <si>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</si>
  <si>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</si>
  <si>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</si>
  <si>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</si>
  <si>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</si>
  <si>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</si>
  <si>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</si>
  <si>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</si>
  <si>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</si>
  <si>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</si>
  <si>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</si>
  <si>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</si>
  <si>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</si>
  <si>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</si>
  <si>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</si>
  <si>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</si>
  <si>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</si>
  <si>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</si>
  <si>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</si>
  <si>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</si>
  <si>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</si>
  <si>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</si>
  <si>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</si>
  <si>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</si>
  <si>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</si>
  <si>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</si>
  <si>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</si>
  <si>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</si>
  <si>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</si>
  <si>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</si>
  <si>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</si>
  <si>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</si>
  <si>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</si>
  <si>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</si>
  <si>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</si>
  <si>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</si>
  <si>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</si>
  <si>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</si>
  <si>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</si>
  <si>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</si>
  <si>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</si>
  <si>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</si>
  <si>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</si>
  <si>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</si>
  <si>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</si>
  <si>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</si>
  <si>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</si>
  <si>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</si>
  <si>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</si>
  <si>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</si>
  <si>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</si>
  <si>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</si>
  <si>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</si>
  <si>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</si>
  <si>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</si>
  <si>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</si>
  <si>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</si>
  <si>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</si>
  <si>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</si>
  <si>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</si>
  <si>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</si>
  <si>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</si>
  <si>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</si>
  <si>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</si>
  <si>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</si>
  <si>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</si>
  <si>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</si>
  <si>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</si>
  <si>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</si>
  <si>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</si>
  <si>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</si>
  <si>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</si>
  <si>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</si>
  <si>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</si>
  <si>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</si>
  <si>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</si>
  <si>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</si>
  <si>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</si>
  <si>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</si>
  <si>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</si>
  <si>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</si>
  <si>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</si>
  <si>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</si>
  <si>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</si>
  <si>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</si>
  <si>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</si>
  <si>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</si>
  <si>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</si>
  <si>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</si>
  <si>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</si>
  <si>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</si>
  <si>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</si>
  <si>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</si>
  <si>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</si>
  <si>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</si>
  <si>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</si>
  <si>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</si>
  <si>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</si>
  <si>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</si>
  <si>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</si>
  <si>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</si>
  <si>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</si>
  <si>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</si>
  <si>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</si>
  <si>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</si>
  <si>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</si>
  <si>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</si>
  <si>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</si>
  <si>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</si>
  <si>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</si>
  <si>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</si>
  <si>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</si>
  <si>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</si>
  <si>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</si>
  <si>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</si>
  <si>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</si>
  <si>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</si>
  <si>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</si>
  <si>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</si>
  <si>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</si>
  <si>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</si>
  <si>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</si>
  <si>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</si>
  <si>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</si>
  <si>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</si>
  <si>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</si>
  <si>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</si>
  <si>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</si>
  <si>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</si>
  <si>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</si>
  <si>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</si>
  <si>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</si>
  <si>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</si>
  <si>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</si>
  <si>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</si>
  <si>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</si>
  <si>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</si>
  <si>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</si>
  <si>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</si>
  <si>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</si>
  <si>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</si>
  <si>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</si>
  <si>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</si>
  <si>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</si>
  <si>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</si>
  <si>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</si>
  <si>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</si>
  <si>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</si>
  <si>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</si>
  <si>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</si>
  <si>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</si>
  <si>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</si>
  <si>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</si>
  <si>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</si>
  <si>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</si>
  <si>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</si>
  <si>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</si>
  <si>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</si>
  <si>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</si>
  <si>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</si>
  <si>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</si>
  <si>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</si>
  <si>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</si>
  <si>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</si>
  <si>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</si>
  <si>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</si>
  <si>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</si>
  <si>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</si>
  <si>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</si>
  <si>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</si>
  <si>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</si>
  <si>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</si>
  <si>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</si>
  <si>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</si>
  <si>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</si>
  <si>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</si>
  <si>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</si>
  <si>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</si>
  <si>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</si>
  <si>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</si>
  <si>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</si>
  <si>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</si>
  <si>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</si>
  <si>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</si>
  <si>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</si>
  <si>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</si>
  <si>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</si>
  <si>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</si>
  <si>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</si>
  <si>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</si>
  <si>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</si>
  <si>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</si>
  <si>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</si>
  <si>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</si>
  <si>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</si>
  <si>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</si>
  <si>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</si>
  <si>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</si>
  <si>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</si>
  <si>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</si>
  <si>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</si>
  <si>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</si>
  <si>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</si>
  <si>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</si>
  <si>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</si>
  <si>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</si>
  <si>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</si>
  <si>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</si>
  <si>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</si>
  <si>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</si>
  <si>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</si>
  <si>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</si>
  <si>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</si>
  <si>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</si>
  <si>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</si>
  <si>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</si>
  <si>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</si>
  <si>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</si>
  <si>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</si>
  <si>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</si>
  <si>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</si>
  <si>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</si>
  <si>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</si>
  <si>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</si>
  <si>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</si>
  <si>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</si>
  <si>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</si>
  <si>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</si>
  <si>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</si>
  <si>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</si>
  <si>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</si>
  <si>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</si>
  <si>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</si>
  <si>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</si>
  <si>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</si>
  <si>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</si>
  <si>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</si>
  <si>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</si>
  <si>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</si>
  <si>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</si>
  <si>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</si>
  <si>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</si>
  <si>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</si>
  <si>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</si>
  <si>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</si>
  <si>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</si>
  <si>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</si>
  <si>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</si>
  <si>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</si>
  <si>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</si>
  <si>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</si>
  <si>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</si>
  <si>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</si>
  <si>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</si>
  <si>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</si>
  <si>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</si>
  <si>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</si>
  <si>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</si>
  <si>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</si>
  <si>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</si>
  <si>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</si>
  <si>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</si>
  <si>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</si>
  <si>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</si>
  <si>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</si>
  <si>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</si>
  <si>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</si>
  <si>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</si>
  <si>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</si>
  <si>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</si>
  <si>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</si>
  <si>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</si>
  <si>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</si>
  <si>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</si>
  <si>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</si>
  <si>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</si>
  <si>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</si>
  <si>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</si>
  <si>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</si>
  <si>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</si>
  <si>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</si>
  <si>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</si>
  <si>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</si>
  <si>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</si>
  <si>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</si>
  <si>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</si>
  <si>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</si>
  <si>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</si>
  <si>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</si>
  <si>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</si>
  <si>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</si>
  <si>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</si>
  <si>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</si>
  <si>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</si>
  <si>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</si>
  <si>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</si>
  <si>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</si>
  <si>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</si>
  <si>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</si>
  <si>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</si>
  <si>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</si>
  <si>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</si>
  <si>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</si>
  <si>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</si>
  <si>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</si>
  <si>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</si>
  <si>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</si>
  <si>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</si>
  <si>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</si>
  <si>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</si>
  <si>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</si>
  <si>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</si>
  <si>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</si>
  <si>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</si>
  <si>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</si>
  <si>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</si>
  <si>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</si>
  <si>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</si>
  <si>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</si>
  <si>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</si>
  <si>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</si>
  <si>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</si>
  <si>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</si>
  <si>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</si>
  <si>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</si>
  <si>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</si>
  <si>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</si>
  <si>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</si>
  <si>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</si>
  <si>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</si>
  <si>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</si>
  <si>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</si>
  <si>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</si>
  <si>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</si>
  <si>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</si>
  <si>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</si>
  <si>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</si>
  <si>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</si>
  <si>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</si>
  <si>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</si>
  <si>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</si>
  <si>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</si>
  <si>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</si>
  <si>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</si>
  <si>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</si>
  <si>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</si>
  <si>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</si>
  <si>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</si>
  <si>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</si>
  <si>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</si>
  <si>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</si>
  <si>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</si>
  <si>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</si>
  <si>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</si>
  <si>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</si>
  <si>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</si>
  <si>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</si>
  <si>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</si>
  <si>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</si>
  <si>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</si>
  <si>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</si>
  <si>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</si>
  <si>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</si>
  <si>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</si>
  <si>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</si>
  <si>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</si>
  <si>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</si>
  <si>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</si>
  <si>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</si>
  <si>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</si>
  <si>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</si>
  <si>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</si>
  <si>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</si>
  <si>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</si>
  <si>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</si>
  <si>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</si>
  <si>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</si>
  <si>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</si>
  <si>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</si>
  <si>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</si>
  <si>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</si>
  <si>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</si>
  <si>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</si>
  <si>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</si>
  <si>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</si>
  <si>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</si>
  <si>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</si>
  <si>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</si>
  <si>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</si>
  <si>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</si>
  <si>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</si>
  <si>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</si>
  <si>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</si>
  <si>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</si>
  <si>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</si>
  <si>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</si>
  <si>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</si>
  <si>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</si>
  <si>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</si>
  <si>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</si>
  <si>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</si>
  <si>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</si>
  <si>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</si>
  <si>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</si>
  <si>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</si>
  <si>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</si>
  <si>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</si>
  <si>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</si>
  <si>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</si>
  <si>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</si>
  <si>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</si>
  <si>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</si>
  <si>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</si>
  <si>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</si>
  <si>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</si>
  <si>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</si>
  <si>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</si>
  <si>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</si>
  <si>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</si>
  <si>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</si>
  <si>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</si>
  <si>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</si>
  <si>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</si>
  <si>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</si>
  <si>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</si>
  <si>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</si>
  <si>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</si>
  <si>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</si>
  <si>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</si>
  <si>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</si>
  <si>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</si>
  <si>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</si>
  <si>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</si>
  <si>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</si>
  <si>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</si>
  <si>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</si>
  <si>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</si>
  <si>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</si>
  <si>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</si>
  <si>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</si>
  <si>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</si>
  <si>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</si>
  <si>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</si>
  <si>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</si>
  <si>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</si>
  <si>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</si>
  <si>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</si>
  <si>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</si>
  <si>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</si>
  <si>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</si>
  <si>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</si>
  <si>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</si>
  <si>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</si>
  <si>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</si>
  <si>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</si>
  <si>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</si>
  <si>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</si>
  <si>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</si>
  <si>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</si>
  <si>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</si>
  <si>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</si>
  <si>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</si>
  <si>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</si>
  <si>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</si>
  <si>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</si>
  <si>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</si>
  <si>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</si>
  <si>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</si>
  <si>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</si>
  <si>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</si>
  <si>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</si>
  <si>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</si>
  <si>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</si>
  <si>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</si>
  <si>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</si>
  <si>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</si>
  <si>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</si>
  <si>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</si>
  <si>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</si>
  <si>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</si>
  <si>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</si>
  <si>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</si>
  <si>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</si>
  <si>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</si>
  <si>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</si>
  <si>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</si>
  <si>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</si>
  <si>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</si>
  <si>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</si>
  <si>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</si>
  <si>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</si>
  <si>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</si>
  <si>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</si>
  <si>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</si>
  <si>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</si>
  <si>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</si>
  <si>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</si>
  <si>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</si>
  <si>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</si>
  <si>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</si>
  <si>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</si>
  <si>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</si>
  <si>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</si>
  <si>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</si>
  <si>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</si>
  <si>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</si>
  <si>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</si>
  <si>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</si>
  <si>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</si>
  <si>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</si>
  <si>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</si>
  <si>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</si>
  <si>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</si>
  <si>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</si>
  <si>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</si>
  <si>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</si>
  <si>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</si>
  <si>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</si>
  <si>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</si>
  <si>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</si>
  <si>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</si>
  <si>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</si>
  <si>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</si>
  <si>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</si>
  <si>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</si>
  <si>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</si>
  <si>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</si>
  <si>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</si>
  <si>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</si>
  <si>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</si>
  <si>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</si>
  <si>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</si>
  <si>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</si>
  <si>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</si>
  <si>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</si>
  <si>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</si>
  <si>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</si>
  <si>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</si>
  <si>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</si>
  <si>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</si>
  <si>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</si>
  <si>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</si>
  <si>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</si>
  <si>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</si>
  <si>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</si>
  <si>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</si>
  <si>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</si>
  <si>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</si>
  <si>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</si>
  <si>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</si>
  <si>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</si>
  <si>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</si>
  <si>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</si>
  <si>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</si>
  <si>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</si>
  <si>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</si>
  <si>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</si>
  <si>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</si>
  <si>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</si>
  <si>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</si>
  <si>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</si>
  <si>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</si>
  <si>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</si>
  <si>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</si>
  <si>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</si>
  <si>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</si>
  <si>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</si>
  <si>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</si>
  <si>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</si>
  <si>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</si>
  <si>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</si>
  <si>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</si>
  <si>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</si>
  <si>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</si>
  <si>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</si>
  <si>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</si>
  <si>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</si>
  <si>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</si>
  <si>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</si>
  <si>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</si>
  <si>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</si>
  <si>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</si>
  <si>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</si>
  <si>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</si>
  <si>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</si>
  <si>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</si>
  <si>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</si>
  <si>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</si>
  <si>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</si>
  <si>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</si>
  <si>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</si>
  <si>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</si>
  <si>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</si>
  <si>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</si>
  <si>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</si>
  <si>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</si>
  <si>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</si>
  <si>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</si>
  <si>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</si>
  <si>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</si>
  <si>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</si>
  <si>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</si>
  <si>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</si>
  <si>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</si>
  <si>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</si>
  <si>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</si>
  <si>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</si>
  <si>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</si>
  <si>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</si>
  <si>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</si>
  <si>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</si>
  <si>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</si>
  <si>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</si>
  <si>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</si>
  <si>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</si>
  <si>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</si>
  <si>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</si>
  <si>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</si>
  <si>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</si>
  <si>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</si>
  <si>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</si>
  <si>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</si>
  <si>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</si>
  <si>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</si>
  <si>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</si>
  <si>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</si>
  <si>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</si>
  <si>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</si>
  <si>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</si>
  <si>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</si>
  <si>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</si>
  <si>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</si>
  <si>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</si>
  <si>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</si>
  <si>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</si>
  <si>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</si>
  <si>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</si>
  <si>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</si>
  <si>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</si>
  <si>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</si>
  <si>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</si>
  <si>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</si>
  <si>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</si>
  <si>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</si>
  <si>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</si>
  <si>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</si>
  <si>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</si>
  <si>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</si>
  <si>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</si>
  <si>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</si>
  <si>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</si>
  <si>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</si>
  <si>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</si>
  <si>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</si>
  <si>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</si>
  <si>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</si>
  <si>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</si>
  <si>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</si>
  <si>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</si>
  <si>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</si>
  <si>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</si>
  <si>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</si>
  <si>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</si>
  <si>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</si>
  <si>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</si>
  <si>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</si>
  <si>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</si>
  <si>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</si>
  <si>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</si>
  <si>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</si>
  <si>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</si>
  <si>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</si>
  <si>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</si>
  <si>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</si>
  <si>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</si>
  <si>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</si>
  <si>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</si>
  <si>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</si>
  <si>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</si>
  <si>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</si>
  <si>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</si>
  <si>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</si>
  <si>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</si>
  <si>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</si>
  <si>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</si>
  <si>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</si>
  <si>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</si>
  <si>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</si>
  <si>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</si>
  <si>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</si>
  <si>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</si>
  <si>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</si>
  <si>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</si>
  <si>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</si>
  <si>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</si>
  <si>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</si>
  <si>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</si>
  <si>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</si>
  <si>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</si>
  <si>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</si>
  <si>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</si>
  <si>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</si>
  <si>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</si>
  <si>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</si>
  <si>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</si>
  <si>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</si>
  <si>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</si>
  <si>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</si>
  <si>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</si>
  <si>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</si>
  <si>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</si>
  <si>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</si>
  <si>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</si>
  <si>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</si>
  <si>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</si>
  <si>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</si>
  <si>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</si>
  <si>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</si>
  <si>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</si>
  <si>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</si>
  <si>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</si>
  <si>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</si>
  <si>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</si>
  <si>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</si>
  <si>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</si>
  <si>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</si>
  <si>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</si>
  <si>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</si>
  <si>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</si>
  <si>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</si>
  <si>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</si>
  <si>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</si>
  <si>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</si>
  <si>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</si>
  <si>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</si>
  <si>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</si>
  <si>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</si>
  <si>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</si>
  <si>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</si>
  <si>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</si>
  <si>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</si>
  <si>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</si>
  <si>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</si>
  <si>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</si>
  <si>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</si>
  <si>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</si>
  <si>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</si>
  <si>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</si>
  <si>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</si>
  <si>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</si>
  <si>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</si>
  <si>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</si>
  <si>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</si>
  <si>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</si>
  <si>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</si>
  <si>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</si>
  <si>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</si>
  <si>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</si>
  <si>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</si>
  <si>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</si>
  <si>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</si>
  <si>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</si>
  <si>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</si>
  <si>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</si>
  <si>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</si>
  <si>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</si>
  <si>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</si>
  <si>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</si>
  <si>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</si>
  <si>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</si>
  <si>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</si>
  <si>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</si>
  <si>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</si>
  <si>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</si>
  <si>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</si>
  <si>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</si>
  <si>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</si>
  <si>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</si>
  <si>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</si>
  <si>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</si>
  <si>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</si>
  <si>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</si>
  <si>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</si>
  <si>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</si>
  <si>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</si>
  <si>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</si>
  <si>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</si>
  <si>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</si>
  <si>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</si>
  <si>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</si>
  <si>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</si>
  <si>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</si>
  <si>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</si>
  <si>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</si>
  <si>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</si>
  <si>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</si>
  <si>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</si>
  <si>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</si>
  <si>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</si>
  <si>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</si>
  <si>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</si>
  <si>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</si>
  <si>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</si>
  <si>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</si>
  <si>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</si>
  <si>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</si>
  <si>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</si>
  <si>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</si>
  <si>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</si>
  <si>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</si>
  <si>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</si>
  <si>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</si>
  <si>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</si>
  <si>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</si>
  <si>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</si>
  <si>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</si>
  <si>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</si>
  <si>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</si>
  <si>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</si>
  <si>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</si>
  <si>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</si>
  <si>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</si>
  <si>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</si>
  <si>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</si>
  <si>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</si>
  <si>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</si>
  <si>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</si>
  <si>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</si>
  <si>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</si>
  <si>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</si>
  <si>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</si>
  <si>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</si>
  <si>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</si>
  <si>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</si>
  <si>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</si>
  <si>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</si>
  <si>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</si>
  <si>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</si>
  <si>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</si>
  <si>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</si>
  <si>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</si>
  <si>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</si>
  <si>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</si>
  <si>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</si>
  <si>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</si>
  <si>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</si>
  <si>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</si>
  <si>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</si>
  <si>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</si>
  <si>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</si>
  <si>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</si>
  <si>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</si>
  <si>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</si>
  <si>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</si>
  <si>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</si>
  <si>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</si>
  <si>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</si>
  <si>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</si>
  <si>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</si>
  <si>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</si>
  <si>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</si>
  <si>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</si>
  <si>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</si>
  <si>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</si>
  <si>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</si>
  <si>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</si>
  <si>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</si>
  <si>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</si>
  <si>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</si>
  <si>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</si>
  <si>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</si>
  <si>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</si>
  <si>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</si>
  <si>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</si>
  <si>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</si>
  <si>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</si>
  <si>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</si>
  <si>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</si>
  <si>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</si>
  <si>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</si>
  <si>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</si>
  <si>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</si>
  <si>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</si>
  <si>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</si>
  <si>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</si>
  <si>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</si>
  <si>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</si>
  <si>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</si>
  <si>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</si>
  <si>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</si>
  <si>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</si>
  <si>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</si>
  <si>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</si>
  <si>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</si>
  <si>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</si>
  <si>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</si>
  <si>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</si>
  <si>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</si>
  <si>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</si>
  <si>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</si>
  <si>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</si>
  <si>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</si>
  <si>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</si>
  <si>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</si>
  <si>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</si>
  <si>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</si>
  <si>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</si>
  <si>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</si>
  <si>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</si>
  <si>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</si>
  <si>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</si>
  <si>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</si>
  <si>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</si>
  <si>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</si>
  <si>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</si>
  <si>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</si>
  <si>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</si>
  <si>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</si>
  <si>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</si>
  <si>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</si>
  <si>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</si>
  <si>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</si>
  <si>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</si>
  <si>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</si>
  <si>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</si>
  <si>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</si>
  <si>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</si>
  <si>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</si>
  <si>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</si>
  <si>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</si>
  <si>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</si>
  <si>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</si>
  <si>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</si>
  <si>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</si>
  <si>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</si>
  <si>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</si>
  <si>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</si>
  <si>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</si>
  <si>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High Speed Rail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</si>
</sst>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u/>
      <sz val="11"/>
      <color theme="10"/>
      <name val="Calibri"/>
      <family val="2"/>
      <scheme val="minor"/>
    </font>
    <font>
      <sz val="10"/>
      <name val="Arial"/>
      <family val="2"/>
    </font>
    <font>
      <sz val="11"/>
      <color indexed="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57" fillId="0" borderId="0"/>
    <xf numFmtId="0" fontId="57" fillId="0" borderId="0"/>
    <xf numFmtId="43" fontId="57" fillId="0" borderId="0" applyFont="0" applyFill="0" applyBorder="0" applyAlignment="0" applyProtection="0"/>
    <xf numFmtId="0" fontId="56" fillId="0" borderId="0" applyNumberFormat="0" applyFill="0" applyBorder="0" applyAlignment="0" applyProtection="0"/>
    <xf numFmtId="0" fontId="58" fillId="0" borderId="0"/>
    <xf numFmtId="43" fontId="58" fillId="0" borderId="0" applyFont="0" applyFill="0" applyBorder="0" applyAlignment="0" applyProtection="0"/>
  </cellStyleXfs>
  <cellXfs count="294">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4" borderId="0" xfId="1" applyNumberFormat="1" applyFont="1" applyFill="1" applyProtection="1">
      <protection locked="0"/>
    </xf>
    <xf numFmtId="168" fontId="3" fillId="0"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11">
    <cellStyle name="Comma" xfId="1" builtinId="3"/>
    <cellStyle name="Comma 2" xfId="7" xr:uid="{091E2BF1-616B-42C7-A5ED-51479AF84ED7}"/>
    <cellStyle name="Comma 3" xfId="10" xr:uid="{D227C684-C8B8-4C63-BE4C-9BFF4CF62C62}"/>
    <cellStyle name="Currency" xfId="2" builtinId="4"/>
    <cellStyle name="Hyperlink 2" xfId="8" xr:uid="{413C4929-8F4B-47CC-B748-B221EF5843A2}"/>
    <cellStyle name="Normal" xfId="0" builtinId="0"/>
    <cellStyle name="Normal 2" xfId="3" xr:uid="{00000000-0005-0000-0000-000003000000}"/>
    <cellStyle name="Normal 2 2" xfId="6" xr:uid="{847234A7-5768-4B3A-BCCC-B03874DF78AC}"/>
    <cellStyle name="Normal 3" xfId="4" xr:uid="{8EE68585-FC49-4F5F-92A3-E2D372FE1BB9}"/>
    <cellStyle name="Normal 3 2" xfId="5" xr:uid="{9CA4C14A-8F22-4A6D-A77E-5B9EA22E61A4}"/>
    <cellStyle name="Normal 4" xfId="9" xr:uid="{A0464C26-6EC3-4071-988D-9635939CC78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calcChain" Target="calcChain.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Documents%20and%20Settings\nbrand\My%20Documents\CA%20Project%20Management\Year%201%20Planning\Budget%20Suite\LA-Orange%20County-%2005-14-07nbrev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Users\shahde\Documents\CHSR\2012_2013%20Files\Attachment%20C%20-%20Budget%20Spreadsheets\11-12_PMT%20Task%205B%20v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Personal%20Folders\Kris\Progress%20Reports\2011%2001\Earned%20Value%20Report\LO-STV%20EV%20Data%20Jan%202011_v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upport%20Departments\Accounting\Logs\Invoice%20Transmittal%20Log\a-Invoice%20Transmittals%20(starting%2007.01.12%20forward)\07%20July%202016\01%20INVOICE%20TRACKING%20LOG%20READ-ONLY.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qintrafile3p\hsra\Support%20Departments\Accounting\Logs\Invoice%20Transmittal%20Log\a-Invoice%20Transmittals%20(starting%2007.01.12%20forward)\07%20July%202016\01%20INVOICE%20TRACKING%20LOG%20-%20Read%20On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2_2013%20Files\AWP%20PMT%20FY2012-13%20v3\4.%20Budget\Budget%20FY%2012-13%20v3\PMT%20Task%2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Users\Cameron\Downloads\PMT%20Task%205C.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3_2014%20Files\AWP%20PMT%20FY2013-14%20v2\4.%20Budget\PMT%20Task%2014D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3_2014%20Files\AWP%20PMT%20FY2013-14%20v2\4.%20Budget\PMT%20Task%2014E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qintrafile3p\hsra\Support%20Departments\Accounting\FI$Cal%20Reports\FI$Cal%20FY16-17\Data%20Readiness%20project-Ecosys\FM%2003-11%20Data%20Set%2020171003%20Updated%20V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Users\shahde\Documents\CHSR\2011_2012%20files\Budget%20FY%202011%202012%20Rev%205\5C%20LA-San%20Dieg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ppalmer\Documents\COST\FCP\03%20Sept%202015\FCP%20Exp%20and%20Forecast%20Sept%202015%20v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3_2014%20Files\AWP%20PMT%20FY2013-14%20v2\4.%20Budget\PMT%20Task%20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Support%20Departments\Admin-Finance\ARRA\_ARRA%20Invoices%20FY%2013-14\Drawdowns\_ROW%20Drawdowns\ROW%2013-004R%20Acquisition\CA%20ROW%20Worksheet%20ROW%2013-004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Personal%20Folders\Kris\Progress%20Reports\2011%2009\CaHSR%20Current%20EV%20Dat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Tahzay.Huerta\AppData\Local\Microsoft\Windows\Temporary%20Internet%20Files\Content.Outlook\3BDRJBOL\DRAFT%20CONFIDENTIAL%203%20Year%20Expense%20Projection%2020160321_R1.7.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pltdfileserver\projects3\6.1%20RIGHT%20OF%20WAY%20PROGRAM%20MANAGEMENT\ROW%20STATUS%20REPORTS\1.1%20Executive%20Summary%20Spreadsheet\draft\Weekly%20Report\Archive\ROW_Weekly_Report_Archiv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Personal%20Folders\Richard%20F\PB%20HSR%2013259\ARRA\ARRA%202012-2013\Nov%20Forecast%202012\RCs%20C2C%20High_Medium_Low%20v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Documents%20and%20Settings\jonesgr\My%20Documents\Dropbox\My%20Dropbox\4%20-%20Career\7%20-%20HSR\Costs\PMT%20Budgets\C1-PMT%20Task%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OC(PB)  by Person"/>
      <sheetName val="Kip Field"/>
      <sheetName val="Sr Engr "/>
      <sheetName val="Admin"/>
      <sheetName val="Jose Martinez"/>
      <sheetName val="Marciela Raya"/>
      <sheetName val="George Pla"/>
      <sheetName val="Sr Engr #2 - Deleted"/>
      <sheetName val="LA-OC (PB) by Month"/>
      <sheetName val="LA-OC by Company"/>
      <sheetName val="LA-OC Cordoba by Person "/>
      <sheetName val="LA-Orange County- 05-14-07nbrev"/>
    </sheetNames>
    <sheetDataSet>
      <sheetData sheetId="0" refreshError="1"/>
      <sheetData sheetId="1" refreshError="1">
        <row r="1">
          <cell r="D1">
            <v>79.141650000000013</v>
          </cell>
        </row>
        <row r="121">
          <cell r="F121">
            <v>1.5469999999999999</v>
          </cell>
          <cell r="I121">
            <v>1.0780000000000001</v>
          </cell>
          <cell r="K121">
            <v>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LA-OC by Subtask"/>
      <sheetName val="LA-OC by Company"/>
      <sheetName val="LA-OC  by Person"/>
      <sheetName val="Master Deliverables"/>
      <sheetName val="Classifications"/>
      <sheetName val="Task 5.B Subtask Rollup"/>
      <sheetName val="Task 5.B Total"/>
      <sheetName val="Task 5.B Subtask PB"/>
      <sheetName val="Task 5.B Subtask Cordoba"/>
      <sheetName val="Subtotal"/>
      <sheetName val="PB"/>
      <sheetName val="Cordoba"/>
      <sheetName val="Sheet1"/>
    </sheetNames>
    <sheetDataSet>
      <sheetData sheetId="0" refreshError="1"/>
      <sheetData sheetId="1" refreshError="1">
        <row r="1">
          <cell r="B1" t="str">
            <v xml:space="preserve">Home </v>
          </cell>
        </row>
        <row r="2">
          <cell r="A2" t="str">
            <v>Cordoba</v>
          </cell>
        </row>
        <row r="3">
          <cell r="A3" t="str">
            <v>PB</v>
          </cell>
        </row>
        <row r="4">
          <cell r="A4" t="str">
            <v>ATC</v>
          </cell>
        </row>
        <row r="5">
          <cell r="A5" t="str">
            <v>Balfour Beatty</v>
          </cell>
        </row>
        <row r="6">
          <cell r="A6" t="str">
            <v>Cambridge</v>
          </cell>
        </row>
        <row r="7">
          <cell r="A7">
            <v>0</v>
          </cell>
        </row>
        <row r="8">
          <cell r="A8">
            <v>0</v>
          </cell>
        </row>
        <row r="9">
          <cell r="A9">
            <v>0</v>
          </cell>
        </row>
        <row r="10">
          <cell r="A10">
            <v>0</v>
          </cell>
        </row>
        <row r="11">
          <cell r="A11">
            <v>0</v>
          </cell>
        </row>
        <row r="12">
          <cell r="A12">
            <v>0</v>
          </cell>
        </row>
        <row r="13">
          <cell r="A13">
            <v>0</v>
          </cell>
        </row>
        <row r="14">
          <cell r="A14">
            <v>0</v>
          </cell>
        </row>
        <row r="15">
          <cell r="A15">
            <v>0</v>
          </cell>
        </row>
        <row r="16">
          <cell r="A16">
            <v>0</v>
          </cell>
        </row>
        <row r="17">
          <cell r="A17">
            <v>0</v>
          </cell>
        </row>
        <row r="18">
          <cell r="A18">
            <v>0</v>
          </cell>
        </row>
        <row r="19">
          <cell r="A19">
            <v>0</v>
          </cell>
        </row>
        <row r="20">
          <cell r="A20">
            <v>0</v>
          </cell>
        </row>
        <row r="21">
          <cell r="A21">
            <v>0</v>
          </cell>
        </row>
        <row r="22">
          <cell r="A22">
            <v>0</v>
          </cell>
        </row>
        <row r="23">
          <cell r="A23">
            <v>0</v>
          </cell>
        </row>
        <row r="24">
          <cell r="A24">
            <v>0</v>
          </cell>
        </row>
        <row r="25">
          <cell r="A25">
            <v>0</v>
          </cell>
        </row>
        <row r="26">
          <cell r="A26">
            <v>0</v>
          </cell>
        </row>
        <row r="27">
          <cell r="A27">
            <v>0</v>
          </cell>
        </row>
        <row r="28">
          <cell r="A28">
            <v>0</v>
          </cell>
        </row>
        <row r="29">
          <cell r="A29">
            <v>0</v>
          </cell>
        </row>
        <row r="30">
          <cell r="A30">
            <v>0</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 EV Instructions"/>
      <sheetName val="INPUT RC Data"/>
      <sheetName val="RC WBS"/>
      <sheetName val="Hours Dollars LO"/>
      <sheetName val="Program Total LO"/>
      <sheetName val="RC EV Table"/>
      <sheetName val="CPR"/>
      <sheetName val="RC Monthly EV Curve"/>
    </sheetNames>
    <sheetDataSet>
      <sheetData sheetId="0" refreshError="1"/>
      <sheetData sheetId="1" refreshError="1">
        <row r="5">
          <cell r="D5" t="str">
            <v>WBS</v>
          </cell>
          <cell r="G5" t="str">
            <v>Month</v>
          </cell>
          <cell r="K5" t="str">
            <v>Plan Value $</v>
          </cell>
          <cell r="L5" t="str">
            <v>Actual Cost</v>
          </cell>
          <cell r="N5" t="str">
            <v>Forecast $</v>
          </cell>
          <cell r="O5" t="str">
            <v>Program % Complete</v>
          </cell>
        </row>
        <row r="6">
          <cell r="D6">
            <v>1</v>
          </cell>
          <cell r="G6">
            <v>39083</v>
          </cell>
          <cell r="K6">
            <v>162982.83240098925</v>
          </cell>
          <cell r="L6">
            <v>125394.37148148294</v>
          </cell>
          <cell r="O6">
            <v>1.9304948884930274E-2</v>
          </cell>
        </row>
        <row r="7">
          <cell r="D7">
            <v>2</v>
          </cell>
          <cell r="G7">
            <v>39083</v>
          </cell>
          <cell r="K7">
            <v>12198.603179730781</v>
          </cell>
          <cell r="L7">
            <v>9385.2595156216958</v>
          </cell>
          <cell r="O7">
            <v>1.9304948884930274E-2</v>
          </cell>
        </row>
        <row r="8">
          <cell r="D8">
            <v>3</v>
          </cell>
          <cell r="G8">
            <v>39083</v>
          </cell>
          <cell r="K8">
            <v>0</v>
          </cell>
          <cell r="L8">
            <v>0</v>
          </cell>
          <cell r="O8">
            <v>2.7026928438902385E-2</v>
          </cell>
        </row>
        <row r="9">
          <cell r="D9">
            <v>4</v>
          </cell>
          <cell r="G9">
            <v>39083</v>
          </cell>
          <cell r="K9">
            <v>0</v>
          </cell>
          <cell r="L9">
            <v>0</v>
          </cell>
          <cell r="O9">
            <v>1.3237679235380759E-2</v>
          </cell>
        </row>
        <row r="10">
          <cell r="D10">
            <v>5</v>
          </cell>
          <cell r="G10">
            <v>39083</v>
          </cell>
          <cell r="K10">
            <v>41335.419150202462</v>
          </cell>
          <cell r="L10">
            <v>31802.299836776125</v>
          </cell>
          <cell r="O10">
            <v>2.3441723645986762E-2</v>
          </cell>
        </row>
        <row r="11">
          <cell r="D11">
            <v>6</v>
          </cell>
          <cell r="G11">
            <v>39083</v>
          </cell>
          <cell r="K11">
            <v>0</v>
          </cell>
          <cell r="L11">
            <v>0</v>
          </cell>
          <cell r="O11">
            <v>2.757849840704325E-2</v>
          </cell>
        </row>
        <row r="12">
          <cell r="D12">
            <v>7</v>
          </cell>
          <cell r="G12">
            <v>39083</v>
          </cell>
          <cell r="K12">
            <v>0</v>
          </cell>
          <cell r="L12">
            <v>0</v>
          </cell>
          <cell r="O12">
            <v>1.5995529076085084E-2</v>
          </cell>
        </row>
        <row r="13">
          <cell r="D13">
            <v>8</v>
          </cell>
          <cell r="G13">
            <v>39083</v>
          </cell>
          <cell r="K13">
            <v>0</v>
          </cell>
          <cell r="L13">
            <v>0</v>
          </cell>
          <cell r="O13">
            <v>0</v>
          </cell>
        </row>
        <row r="14">
          <cell r="D14">
            <v>9</v>
          </cell>
          <cell r="G14">
            <v>39083</v>
          </cell>
          <cell r="K14">
            <v>0</v>
          </cell>
          <cell r="L14">
            <v>0</v>
          </cell>
          <cell r="O14">
            <v>1.5995529076085084E-2</v>
          </cell>
        </row>
        <row r="15">
          <cell r="D15">
            <v>1</v>
          </cell>
          <cell r="G15">
            <v>39114</v>
          </cell>
          <cell r="K15">
            <v>117969.17398845639</v>
          </cell>
          <cell r="L15">
            <v>90762.138616400727</v>
          </cell>
          <cell r="N15">
            <v>0</v>
          </cell>
          <cell r="O15">
            <v>1.3973182575705276E-2</v>
          </cell>
        </row>
        <row r="16">
          <cell r="D16">
            <v>2</v>
          </cell>
          <cell r="G16">
            <v>39114</v>
          </cell>
          <cell r="K16">
            <v>42713.772030160944</v>
          </cell>
          <cell r="L16">
            <v>32862.765473039282</v>
          </cell>
          <cell r="N16">
            <v>0</v>
          </cell>
          <cell r="O16">
            <v>1.3973182575705276E-2</v>
          </cell>
        </row>
        <row r="17">
          <cell r="D17">
            <v>3</v>
          </cell>
          <cell r="G17">
            <v>39114</v>
          </cell>
          <cell r="K17">
            <v>22150.366456641132</v>
          </cell>
          <cell r="L17">
            <v>17041.864096958587</v>
          </cell>
          <cell r="N17">
            <v>0</v>
          </cell>
          <cell r="O17">
            <v>1.9562455605987388E-2</v>
          </cell>
        </row>
        <row r="18">
          <cell r="D18">
            <v>4</v>
          </cell>
          <cell r="G18">
            <v>39114</v>
          </cell>
          <cell r="K18">
            <v>39494.931873975518</v>
          </cell>
          <cell r="L18">
            <v>30386.281095278642</v>
          </cell>
          <cell r="N18">
            <v>0</v>
          </cell>
          <cell r="O18">
            <v>9.5816109090550473E-3</v>
          </cell>
        </row>
        <row r="19">
          <cell r="D19">
            <v>5</v>
          </cell>
          <cell r="G19">
            <v>39114</v>
          </cell>
          <cell r="K19">
            <v>76777.389978388412</v>
          </cell>
          <cell r="L19">
            <v>59070.347585088886</v>
          </cell>
          <cell r="N19">
            <v>0</v>
          </cell>
          <cell r="O19">
            <v>1.6967435984784979E-2</v>
          </cell>
        </row>
        <row r="20">
          <cell r="D20">
            <v>6</v>
          </cell>
          <cell r="G20">
            <v>39114</v>
          </cell>
          <cell r="K20">
            <v>63321.434857148182</v>
          </cell>
          <cell r="L20">
            <v>48717.71712546068</v>
          </cell>
          <cell r="N20">
            <v>0</v>
          </cell>
          <cell r="O20">
            <v>1.9961689393864682E-2</v>
          </cell>
        </row>
        <row r="21">
          <cell r="D21">
            <v>7</v>
          </cell>
          <cell r="G21">
            <v>39114</v>
          </cell>
          <cell r="K21">
            <v>0</v>
          </cell>
          <cell r="L21">
            <v>0</v>
          </cell>
          <cell r="N21">
            <v>0</v>
          </cell>
          <cell r="O21">
            <v>1.1577779848441515E-2</v>
          </cell>
        </row>
        <row r="22">
          <cell r="D22">
            <v>8</v>
          </cell>
          <cell r="G22">
            <v>39114</v>
          </cell>
          <cell r="K22">
            <v>0</v>
          </cell>
          <cell r="L22">
            <v>0</v>
          </cell>
          <cell r="N22">
            <v>0</v>
          </cell>
          <cell r="O22">
            <v>0</v>
          </cell>
        </row>
        <row r="23">
          <cell r="D23">
            <v>9</v>
          </cell>
          <cell r="G23">
            <v>39114</v>
          </cell>
          <cell r="K23">
            <v>0</v>
          </cell>
          <cell r="L23">
            <v>0</v>
          </cell>
          <cell r="N23">
            <v>0</v>
          </cell>
          <cell r="O23">
            <v>1.1577779848441515E-2</v>
          </cell>
        </row>
        <row r="24">
          <cell r="D24">
            <v>1</v>
          </cell>
          <cell r="G24">
            <v>39142</v>
          </cell>
          <cell r="K24">
            <v>138183.16245302447</v>
          </cell>
          <cell r="L24">
            <v>106314.20837312363</v>
          </cell>
          <cell r="O24">
            <v>1.6367483916038889E-2</v>
          </cell>
        </row>
        <row r="25">
          <cell r="D25">
            <v>2</v>
          </cell>
          <cell r="G25">
            <v>39142</v>
          </cell>
          <cell r="K25">
            <v>85624.13493578574</v>
          </cell>
          <cell r="L25">
            <v>65876.782393268615</v>
          </cell>
          <cell r="O25">
            <v>1.6367483916038889E-2</v>
          </cell>
        </row>
        <row r="26">
          <cell r="D26">
            <v>3</v>
          </cell>
          <cell r="G26">
            <v>39142</v>
          </cell>
          <cell r="K26">
            <v>40917.61978816324</v>
          </cell>
          <cell r="L26">
            <v>31480.856850195934</v>
          </cell>
          <cell r="O26">
            <v>2.2914477482454447E-2</v>
          </cell>
        </row>
        <row r="27">
          <cell r="D27">
            <v>4</v>
          </cell>
          <cell r="G27">
            <v>39142</v>
          </cell>
          <cell r="K27">
            <v>71419.423311023129</v>
          </cell>
          <cell r="L27">
            <v>54948.07990342276</v>
          </cell>
          <cell r="O27">
            <v>1.1223417542426669E-2</v>
          </cell>
        </row>
        <row r="28">
          <cell r="D28">
            <v>5</v>
          </cell>
          <cell r="G28">
            <v>39142</v>
          </cell>
          <cell r="K28">
            <v>82178.706457000066</v>
          </cell>
          <cell r="L28">
            <v>63225.967382772404</v>
          </cell>
          <cell r="N28">
            <v>0</v>
          </cell>
          <cell r="O28">
            <v>1.9874801898047224E-2</v>
          </cell>
        </row>
        <row r="29">
          <cell r="D29">
            <v>6</v>
          </cell>
          <cell r="G29">
            <v>39142</v>
          </cell>
          <cell r="K29">
            <v>41342.237930320756</v>
          </cell>
          <cell r="L29">
            <v>31807.546012920007</v>
          </cell>
          <cell r="O29">
            <v>2.3382119880055559E-2</v>
          </cell>
        </row>
        <row r="30">
          <cell r="D30">
            <v>7</v>
          </cell>
          <cell r="G30">
            <v>39142</v>
          </cell>
          <cell r="K30">
            <v>0</v>
          </cell>
          <cell r="L30">
            <v>0</v>
          </cell>
          <cell r="O30">
            <v>1.3561629530432223E-2</v>
          </cell>
        </row>
        <row r="31">
          <cell r="D31">
            <v>8</v>
          </cell>
          <cell r="G31">
            <v>39142</v>
          </cell>
          <cell r="K31">
            <v>0</v>
          </cell>
          <cell r="L31">
            <v>0</v>
          </cell>
          <cell r="O31">
            <v>0</v>
          </cell>
        </row>
        <row r="32">
          <cell r="D32">
            <v>9</v>
          </cell>
          <cell r="G32">
            <v>39142</v>
          </cell>
          <cell r="K32">
            <v>0</v>
          </cell>
          <cell r="L32">
            <v>0</v>
          </cell>
          <cell r="O32">
            <v>1.3561629530432223E-2</v>
          </cell>
        </row>
        <row r="33">
          <cell r="D33">
            <v>1</v>
          </cell>
          <cell r="G33">
            <v>39173</v>
          </cell>
          <cell r="K33">
            <v>42070.667728091277</v>
          </cell>
          <cell r="L33">
            <v>32367.979251895078</v>
          </cell>
          <cell r="N33">
            <v>0</v>
          </cell>
          <cell r="O33">
            <v>4.983175700662066E-3</v>
          </cell>
        </row>
        <row r="34">
          <cell r="D34">
            <v>2</v>
          </cell>
          <cell r="G34">
            <v>39173</v>
          </cell>
          <cell r="K34">
            <v>88008.011577447469</v>
          </cell>
          <cell r="L34">
            <v>67710.869510095203</v>
          </cell>
          <cell r="N34">
            <v>0</v>
          </cell>
          <cell r="O34">
            <v>4.983175700662066E-3</v>
          </cell>
        </row>
        <row r="35">
          <cell r="D35">
            <v>3</v>
          </cell>
          <cell r="G35">
            <v>39173</v>
          </cell>
          <cell r="K35">
            <v>10333.420511630533</v>
          </cell>
          <cell r="L35">
            <v>7950.240839610723</v>
          </cell>
          <cell r="N35">
            <v>0</v>
          </cell>
          <cell r="O35">
            <v>6.9764459809268922E-3</v>
          </cell>
        </row>
        <row r="36">
          <cell r="D36">
            <v>4</v>
          </cell>
          <cell r="G36">
            <v>39173</v>
          </cell>
          <cell r="K36">
            <v>62685.486385164644</v>
          </cell>
          <cell r="L36">
            <v>48228.436397151891</v>
          </cell>
          <cell r="N36">
            <v>0</v>
          </cell>
          <cell r="O36">
            <v>3.4170347661682736E-3</v>
          </cell>
        </row>
        <row r="37">
          <cell r="D37">
            <v>5</v>
          </cell>
          <cell r="G37">
            <v>39173</v>
          </cell>
          <cell r="K37">
            <v>121102.48123357617</v>
          </cell>
          <cell r="L37">
            <v>93172.816396828028</v>
          </cell>
          <cell r="N37">
            <v>0</v>
          </cell>
          <cell r="O37">
            <v>6.0509990650896512E-3</v>
          </cell>
        </row>
        <row r="38">
          <cell r="D38">
            <v>6</v>
          </cell>
          <cell r="G38">
            <v>39173</v>
          </cell>
          <cell r="K38">
            <v>2659.3112826759566</v>
          </cell>
          <cell r="L38">
            <v>2045.9987223951557</v>
          </cell>
          <cell r="N38">
            <v>0</v>
          </cell>
          <cell r="O38">
            <v>7.1188224295172372E-3</v>
          </cell>
        </row>
        <row r="39">
          <cell r="D39">
            <v>7</v>
          </cell>
          <cell r="G39">
            <v>39173</v>
          </cell>
          <cell r="K39">
            <v>0</v>
          </cell>
          <cell r="L39">
            <v>0</v>
          </cell>
          <cell r="N39">
            <v>0</v>
          </cell>
          <cell r="O39">
            <v>4.1289170091199975E-3</v>
          </cell>
        </row>
        <row r="40">
          <cell r="D40">
            <v>8</v>
          </cell>
          <cell r="G40">
            <v>39173</v>
          </cell>
          <cell r="K40">
            <v>0</v>
          </cell>
          <cell r="L40">
            <v>0</v>
          </cell>
          <cell r="N40">
            <v>0</v>
          </cell>
          <cell r="O40">
            <v>0</v>
          </cell>
        </row>
        <row r="41">
          <cell r="D41">
            <v>9</v>
          </cell>
          <cell r="G41">
            <v>39173</v>
          </cell>
          <cell r="K41">
            <v>0</v>
          </cell>
          <cell r="L41">
            <v>0</v>
          </cell>
          <cell r="N41">
            <v>0</v>
          </cell>
          <cell r="O41">
            <v>4.1289170091199975E-3</v>
          </cell>
        </row>
        <row r="42">
          <cell r="D42">
            <v>1</v>
          </cell>
          <cell r="G42">
            <v>39203</v>
          </cell>
          <cell r="K42">
            <v>91402.882561059465</v>
          </cell>
          <cell r="L42">
            <v>70322.787016863032</v>
          </cell>
          <cell r="O42">
            <v>1.0826465277246143E-2</v>
          </cell>
        </row>
        <row r="43">
          <cell r="D43">
            <v>2</v>
          </cell>
          <cell r="G43">
            <v>39203</v>
          </cell>
          <cell r="K43">
            <v>59199.508202557598</v>
          </cell>
          <cell r="L43">
            <v>45546.423593921703</v>
          </cell>
          <cell r="O43">
            <v>1.0826465277246143E-2</v>
          </cell>
        </row>
        <row r="44">
          <cell r="D44">
            <v>3</v>
          </cell>
          <cell r="G44">
            <v>39203</v>
          </cell>
          <cell r="K44">
            <v>5542.3070728447537</v>
          </cell>
          <cell r="L44">
            <v>4264.0939644912387</v>
          </cell>
          <cell r="O44">
            <v>1.5157051388144601E-2</v>
          </cell>
        </row>
        <row r="45">
          <cell r="D45">
            <v>4</v>
          </cell>
          <cell r="G45">
            <v>39203</v>
          </cell>
          <cell r="K45">
            <v>284563.05603703618</v>
          </cell>
          <cell r="L45">
            <v>218934.74934110657</v>
          </cell>
          <cell r="N45">
            <v>0</v>
          </cell>
          <cell r="O45">
            <v>7.423861904397356E-3</v>
          </cell>
        </row>
        <row r="46">
          <cell r="D46">
            <v>5</v>
          </cell>
          <cell r="G46">
            <v>39203</v>
          </cell>
          <cell r="K46">
            <v>86743.724184677048</v>
          </cell>
          <cell r="L46">
            <v>66738.162626474688</v>
          </cell>
          <cell r="O46">
            <v>1.3146422122370318E-2</v>
          </cell>
        </row>
        <row r="47">
          <cell r="D47">
            <v>6</v>
          </cell>
          <cell r="G47">
            <v>39203</v>
          </cell>
          <cell r="K47">
            <v>12987.014908313773</v>
          </cell>
          <cell r="L47">
            <v>9991.8411519688998</v>
          </cell>
          <cell r="O47">
            <v>1.5466378967494492E-2</v>
          </cell>
        </row>
        <row r="48">
          <cell r="D48">
            <v>7</v>
          </cell>
          <cell r="G48">
            <v>39203</v>
          </cell>
          <cell r="K48">
            <v>0</v>
          </cell>
          <cell r="L48">
            <v>0</v>
          </cell>
          <cell r="O48">
            <v>8.970499801146805E-3</v>
          </cell>
        </row>
        <row r="49">
          <cell r="D49">
            <v>8</v>
          </cell>
          <cell r="G49">
            <v>39203</v>
          </cell>
          <cell r="K49">
            <v>0</v>
          </cell>
          <cell r="L49">
            <v>0</v>
          </cell>
          <cell r="O49">
            <v>0</v>
          </cell>
        </row>
        <row r="50">
          <cell r="D50">
            <v>9</v>
          </cell>
          <cell r="G50">
            <v>39203</v>
          </cell>
          <cell r="K50">
            <v>0</v>
          </cell>
          <cell r="L50">
            <v>0</v>
          </cell>
          <cell r="O50">
            <v>8.970499801146805E-3</v>
          </cell>
        </row>
        <row r="51">
          <cell r="D51">
            <v>1</v>
          </cell>
          <cell r="G51">
            <v>39234</v>
          </cell>
          <cell r="K51">
            <v>60534.576088571208</v>
          </cell>
          <cell r="L51">
            <v>46573.586982761997</v>
          </cell>
          <cell r="N51">
            <v>0</v>
          </cell>
          <cell r="O51">
            <v>7.1701840000278254E-3</v>
          </cell>
        </row>
        <row r="52">
          <cell r="D52">
            <v>2</v>
          </cell>
          <cell r="G52">
            <v>39234</v>
          </cell>
          <cell r="K52">
            <v>60189.644336883626</v>
          </cell>
          <cell r="L52">
            <v>46308.206270145238</v>
          </cell>
          <cell r="N52">
            <v>0</v>
          </cell>
          <cell r="O52">
            <v>7.1701840000278254E-3</v>
          </cell>
        </row>
        <row r="53">
          <cell r="D53">
            <v>3</v>
          </cell>
          <cell r="G53">
            <v>39234</v>
          </cell>
          <cell r="K53">
            <v>11263.341372858664</v>
          </cell>
          <cell r="L53">
            <v>8665.6955915218387</v>
          </cell>
          <cell r="N53">
            <v>0</v>
          </cell>
          <cell r="O53">
            <v>1.0038257600038956E-2</v>
          </cell>
        </row>
        <row r="54">
          <cell r="D54">
            <v>4</v>
          </cell>
          <cell r="G54">
            <v>39234</v>
          </cell>
          <cell r="K54">
            <v>340690.25007518992</v>
          </cell>
          <cell r="L54">
            <v>262117.42150204765</v>
          </cell>
          <cell r="N54">
            <v>0</v>
          </cell>
          <cell r="O54">
            <v>4.9166976000190798E-3</v>
          </cell>
        </row>
        <row r="55">
          <cell r="D55">
            <v>5</v>
          </cell>
          <cell r="G55">
            <v>39234</v>
          </cell>
          <cell r="K55">
            <v>102022.18626270679</v>
          </cell>
          <cell r="L55">
            <v>78492.978279479517</v>
          </cell>
          <cell r="N55">
            <v>0</v>
          </cell>
          <cell r="O55">
            <v>8.7066520000337877E-3</v>
          </cell>
        </row>
        <row r="56">
          <cell r="D56">
            <v>6</v>
          </cell>
          <cell r="G56">
            <v>39234</v>
          </cell>
          <cell r="K56">
            <v>11928.63911896356</v>
          </cell>
          <cell r="L56">
            <v>9177.5568194309235</v>
          </cell>
          <cell r="N56">
            <v>0</v>
          </cell>
          <cell r="O56">
            <v>1.0243120000039751E-2</v>
          </cell>
        </row>
        <row r="57">
          <cell r="D57">
            <v>7</v>
          </cell>
          <cell r="G57">
            <v>39234</v>
          </cell>
          <cell r="K57">
            <v>0</v>
          </cell>
          <cell r="L57">
            <v>0</v>
          </cell>
          <cell r="N57">
            <v>0</v>
          </cell>
          <cell r="O57">
            <v>5.9410096000230552E-3</v>
          </cell>
        </row>
        <row r="58">
          <cell r="D58">
            <v>8</v>
          </cell>
          <cell r="G58">
            <v>39234</v>
          </cell>
          <cell r="K58">
            <v>0</v>
          </cell>
          <cell r="L58">
            <v>0</v>
          </cell>
          <cell r="N58">
            <v>0</v>
          </cell>
          <cell r="O58">
            <v>0</v>
          </cell>
        </row>
        <row r="59">
          <cell r="D59">
            <v>9</v>
          </cell>
          <cell r="G59">
            <v>39234</v>
          </cell>
          <cell r="K59">
            <v>0</v>
          </cell>
          <cell r="L59">
            <v>0</v>
          </cell>
          <cell r="N59">
            <v>0</v>
          </cell>
          <cell r="O59">
            <v>5.9410096000230552E-3</v>
          </cell>
        </row>
        <row r="60">
          <cell r="D60">
            <v>1</v>
          </cell>
          <cell r="G60">
            <v>39264</v>
          </cell>
          <cell r="K60">
            <v>3761.0634781382655</v>
          </cell>
          <cell r="L60">
            <v>3648.6183739119701</v>
          </cell>
          <cell r="O60">
            <v>5.617189222834406E-4</v>
          </cell>
        </row>
        <row r="61">
          <cell r="D61">
            <v>2</v>
          </cell>
          <cell r="G61">
            <v>39264</v>
          </cell>
          <cell r="K61">
            <v>1924.5058996744065</v>
          </cell>
          <cell r="L61">
            <v>1866.96864519017</v>
          </cell>
          <cell r="O61">
            <v>5.617189222834406E-4</v>
          </cell>
        </row>
        <row r="62">
          <cell r="D62">
            <v>3</v>
          </cell>
          <cell r="G62">
            <v>39264</v>
          </cell>
          <cell r="K62">
            <v>11646.185948593276</v>
          </cell>
          <cell r="L62">
            <v>11297.998102139638</v>
          </cell>
          <cell r="N62">
            <v>0</v>
          </cell>
          <cell r="O62">
            <v>7.8640649119681686E-4</v>
          </cell>
        </row>
        <row r="63">
          <cell r="D63">
            <v>4</v>
          </cell>
          <cell r="G63">
            <v>39264</v>
          </cell>
          <cell r="K63">
            <v>3433.5193613073716</v>
          </cell>
          <cell r="L63">
            <v>3330.8668948735099</v>
          </cell>
          <cell r="N63">
            <v>0</v>
          </cell>
          <cell r="O63">
            <v>3.8517868956578784E-4</v>
          </cell>
        </row>
        <row r="64">
          <cell r="D64">
            <v>5</v>
          </cell>
          <cell r="G64">
            <v>39264</v>
          </cell>
          <cell r="K64">
            <v>37684.206736517655</v>
          </cell>
          <cell r="L64">
            <v>36557.556101982096</v>
          </cell>
          <cell r="O64">
            <v>6.8208726277274926E-4</v>
          </cell>
        </row>
        <row r="65">
          <cell r="D65">
            <v>6</v>
          </cell>
          <cell r="G65">
            <v>39264</v>
          </cell>
          <cell r="K65">
            <v>0</v>
          </cell>
          <cell r="L65">
            <v>0</v>
          </cell>
          <cell r="O65">
            <v>8.0245560326205802E-4</v>
          </cell>
        </row>
        <row r="66">
          <cell r="D66">
            <v>7</v>
          </cell>
          <cell r="G66">
            <v>39264</v>
          </cell>
          <cell r="K66">
            <v>0</v>
          </cell>
          <cell r="L66">
            <v>0</v>
          </cell>
          <cell r="O66">
            <v>4.6542424989199363E-4</v>
          </cell>
        </row>
        <row r="67">
          <cell r="D67">
            <v>8</v>
          </cell>
          <cell r="G67">
            <v>39264</v>
          </cell>
          <cell r="K67">
            <v>0</v>
          </cell>
          <cell r="L67">
            <v>0</v>
          </cell>
          <cell r="O67">
            <v>0</v>
          </cell>
        </row>
        <row r="68">
          <cell r="D68">
            <v>9</v>
          </cell>
          <cell r="G68">
            <v>39264</v>
          </cell>
          <cell r="K68">
            <v>0</v>
          </cell>
          <cell r="L68">
            <v>0</v>
          </cell>
          <cell r="N68">
            <v>0</v>
          </cell>
          <cell r="O68">
            <v>4.6542424989199363E-4</v>
          </cell>
        </row>
        <row r="69">
          <cell r="D69">
            <v>1</v>
          </cell>
          <cell r="G69">
            <v>39295</v>
          </cell>
          <cell r="K69">
            <v>26478.597150716992</v>
          </cell>
          <cell r="L69">
            <v>25686.962382071109</v>
          </cell>
          <cell r="N69">
            <v>0</v>
          </cell>
          <cell r="O69">
            <v>3.9546072916696847E-3</v>
          </cell>
        </row>
        <row r="70">
          <cell r="D70">
            <v>2</v>
          </cell>
          <cell r="G70">
            <v>39295</v>
          </cell>
          <cell r="K70">
            <v>0</v>
          </cell>
          <cell r="L70">
            <v>0</v>
          </cell>
          <cell r="N70">
            <v>0</v>
          </cell>
          <cell r="O70">
            <v>3.9546072916696847E-3</v>
          </cell>
        </row>
        <row r="71">
          <cell r="D71">
            <v>3</v>
          </cell>
          <cell r="G71">
            <v>39295</v>
          </cell>
          <cell r="K71">
            <v>11886.461916372034</v>
          </cell>
          <cell r="L71">
            <v>11531.090501654528</v>
          </cell>
          <cell r="N71">
            <v>0</v>
          </cell>
          <cell r="O71">
            <v>5.5364502083375591E-3</v>
          </cell>
        </row>
        <row r="72">
          <cell r="D72">
            <v>4</v>
          </cell>
          <cell r="G72">
            <v>39295</v>
          </cell>
          <cell r="K72">
            <v>2836.9980727404441</v>
          </cell>
          <cell r="L72">
            <v>2752.1798967555474</v>
          </cell>
          <cell r="N72">
            <v>0</v>
          </cell>
          <cell r="O72">
            <v>2.7117307142877837E-3</v>
          </cell>
        </row>
        <row r="73">
          <cell r="D73">
            <v>5</v>
          </cell>
          <cell r="G73">
            <v>39295</v>
          </cell>
          <cell r="K73">
            <v>59700.853916768123</v>
          </cell>
          <cell r="L73">
            <v>57915.96813111454</v>
          </cell>
          <cell r="N73">
            <v>0</v>
          </cell>
          <cell r="O73">
            <v>4.8020231398846168E-3</v>
          </cell>
        </row>
        <row r="74">
          <cell r="D74">
            <v>6</v>
          </cell>
          <cell r="G74">
            <v>39295</v>
          </cell>
          <cell r="K74">
            <v>0</v>
          </cell>
          <cell r="L74">
            <v>0</v>
          </cell>
          <cell r="N74">
            <v>0</v>
          </cell>
          <cell r="O74">
            <v>5.6494389880995498E-3</v>
          </cell>
        </row>
        <row r="75">
          <cell r="D75">
            <v>7</v>
          </cell>
          <cell r="G75">
            <v>39295</v>
          </cell>
          <cell r="K75">
            <v>0</v>
          </cell>
          <cell r="L75">
            <v>0</v>
          </cell>
          <cell r="N75">
            <v>0</v>
          </cell>
          <cell r="O75">
            <v>3.2766746130977386E-3</v>
          </cell>
        </row>
        <row r="76">
          <cell r="D76">
            <v>8</v>
          </cell>
          <cell r="G76">
            <v>39295</v>
          </cell>
          <cell r="K76">
            <v>0</v>
          </cell>
          <cell r="L76">
            <v>0</v>
          </cell>
          <cell r="N76">
            <v>0</v>
          </cell>
          <cell r="O76">
            <v>0</v>
          </cell>
        </row>
        <row r="77">
          <cell r="D77">
            <v>9</v>
          </cell>
          <cell r="G77">
            <v>39295</v>
          </cell>
          <cell r="K77">
            <v>0</v>
          </cell>
          <cell r="L77">
            <v>0</v>
          </cell>
          <cell r="N77">
            <v>0</v>
          </cell>
          <cell r="O77">
            <v>3.2766746130977386E-3</v>
          </cell>
        </row>
        <row r="78">
          <cell r="D78">
            <v>1</v>
          </cell>
          <cell r="G78">
            <v>39326</v>
          </cell>
          <cell r="K78">
            <v>91310.185465530551</v>
          </cell>
          <cell r="L78">
            <v>88580.270540862402</v>
          </cell>
          <cell r="O78">
            <v>1.3637275539573687E-2</v>
          </cell>
        </row>
        <row r="79">
          <cell r="D79">
            <v>2</v>
          </cell>
          <cell r="G79">
            <v>39326</v>
          </cell>
          <cell r="K79">
            <v>7382.1351593086274</v>
          </cell>
          <cell r="L79">
            <v>7161.4303075489988</v>
          </cell>
          <cell r="O79">
            <v>1.3637275539573687E-2</v>
          </cell>
        </row>
        <row r="80">
          <cell r="D80">
            <v>3</v>
          </cell>
          <cell r="G80">
            <v>39326</v>
          </cell>
          <cell r="K80">
            <v>0</v>
          </cell>
          <cell r="L80">
            <v>0</v>
          </cell>
          <cell r="O80">
            <v>1.9092185755403161E-2</v>
          </cell>
        </row>
        <row r="81">
          <cell r="D81">
            <v>4</v>
          </cell>
          <cell r="G81">
            <v>39326</v>
          </cell>
          <cell r="K81">
            <v>6060.4060709307951</v>
          </cell>
          <cell r="L81">
            <v>5879.217160863046</v>
          </cell>
          <cell r="O81">
            <v>9.3512746557076719E-3</v>
          </cell>
        </row>
        <row r="82">
          <cell r="D82">
            <v>5</v>
          </cell>
          <cell r="G82">
            <v>39326</v>
          </cell>
          <cell r="K82">
            <v>55581.411850617573</v>
          </cell>
          <cell r="L82">
            <v>53919.685669999897</v>
          </cell>
          <cell r="O82">
            <v>1.6559548869482334E-2</v>
          </cell>
        </row>
        <row r="83">
          <cell r="D83">
            <v>6</v>
          </cell>
          <cell r="G83">
            <v>39326</v>
          </cell>
          <cell r="K83">
            <v>0</v>
          </cell>
          <cell r="L83">
            <v>0</v>
          </cell>
          <cell r="O83">
            <v>1.9481822199390982E-2</v>
          </cell>
        </row>
        <row r="84">
          <cell r="D84">
            <v>7</v>
          </cell>
          <cell r="G84">
            <v>39326</v>
          </cell>
          <cell r="K84">
            <v>0</v>
          </cell>
          <cell r="L84">
            <v>0</v>
          </cell>
          <cell r="O84">
            <v>1.129945687564677E-2</v>
          </cell>
        </row>
        <row r="85">
          <cell r="D85">
            <v>8</v>
          </cell>
          <cell r="G85">
            <v>39326</v>
          </cell>
          <cell r="K85">
            <v>0</v>
          </cell>
          <cell r="L85">
            <v>0</v>
          </cell>
          <cell r="O85">
            <v>0</v>
          </cell>
        </row>
        <row r="86">
          <cell r="D86">
            <v>9</v>
          </cell>
          <cell r="G86">
            <v>39326</v>
          </cell>
          <cell r="K86">
            <v>0</v>
          </cell>
          <cell r="L86">
            <v>0</v>
          </cell>
          <cell r="N86">
            <v>0</v>
          </cell>
          <cell r="O86">
            <v>1.129945687564677E-2</v>
          </cell>
        </row>
        <row r="87">
          <cell r="D87">
            <v>1</v>
          </cell>
          <cell r="G87">
            <v>39356</v>
          </cell>
          <cell r="K87">
            <v>46686.29555875191</v>
          </cell>
          <cell r="L87">
            <v>45290.508063922898</v>
          </cell>
          <cell r="N87">
            <v>0</v>
          </cell>
          <cell r="O87">
            <v>6.9726490337380645E-3</v>
          </cell>
        </row>
        <row r="88">
          <cell r="D88">
            <v>2</v>
          </cell>
          <cell r="G88">
            <v>39356</v>
          </cell>
          <cell r="K88">
            <v>10690.296730692738</v>
          </cell>
          <cell r="L88">
            <v>10370.687253990209</v>
          </cell>
          <cell r="N88">
            <v>0</v>
          </cell>
          <cell r="O88">
            <v>6.9726490337380645E-3</v>
          </cell>
        </row>
        <row r="89">
          <cell r="D89">
            <v>3</v>
          </cell>
          <cell r="G89">
            <v>39356</v>
          </cell>
          <cell r="K89">
            <v>13703.583060127305</v>
          </cell>
          <cell r="L89">
            <v>13293.88488980223</v>
          </cell>
          <cell r="N89">
            <v>0</v>
          </cell>
          <cell r="O89">
            <v>9.7617086472332904E-3</v>
          </cell>
        </row>
        <row r="90">
          <cell r="D90">
            <v>4</v>
          </cell>
          <cell r="G90">
            <v>39356</v>
          </cell>
          <cell r="K90">
            <v>140523.85648600233</v>
          </cell>
          <cell r="L90">
            <v>136322.59272624491</v>
          </cell>
          <cell r="N90">
            <v>0</v>
          </cell>
          <cell r="O90">
            <v>4.7812450517061011E-3</v>
          </cell>
        </row>
        <row r="91">
          <cell r="D91">
            <v>5</v>
          </cell>
          <cell r="G91">
            <v>39356</v>
          </cell>
          <cell r="K91">
            <v>96972.020957270128</v>
          </cell>
          <cell r="L91">
            <v>94072.83324960286</v>
          </cell>
          <cell r="N91">
            <v>0</v>
          </cell>
          <cell r="O91">
            <v>8.4667881123962219E-3</v>
          </cell>
        </row>
        <row r="92">
          <cell r="D92">
            <v>6</v>
          </cell>
          <cell r="G92">
            <v>39356</v>
          </cell>
          <cell r="K92">
            <v>0</v>
          </cell>
          <cell r="L92">
            <v>0</v>
          </cell>
          <cell r="N92">
            <v>0</v>
          </cell>
          <cell r="O92">
            <v>9.9609271910543785E-3</v>
          </cell>
        </row>
        <row r="93">
          <cell r="D93">
            <v>7</v>
          </cell>
          <cell r="G93">
            <v>39356</v>
          </cell>
          <cell r="K93">
            <v>0</v>
          </cell>
          <cell r="L93">
            <v>0</v>
          </cell>
          <cell r="N93">
            <v>0</v>
          </cell>
          <cell r="O93">
            <v>5.7773377708115392E-3</v>
          </cell>
        </row>
        <row r="94">
          <cell r="D94">
            <v>8</v>
          </cell>
          <cell r="G94">
            <v>39356</v>
          </cell>
          <cell r="K94">
            <v>0</v>
          </cell>
          <cell r="L94">
            <v>0</v>
          </cell>
          <cell r="N94">
            <v>0</v>
          </cell>
          <cell r="O94">
            <v>0</v>
          </cell>
        </row>
        <row r="95">
          <cell r="D95">
            <v>9</v>
          </cell>
          <cell r="G95">
            <v>39356</v>
          </cell>
          <cell r="K95">
            <v>641.54662432611212</v>
          </cell>
          <cell r="L95">
            <v>622.36620435774557</v>
          </cell>
          <cell r="N95">
            <v>0</v>
          </cell>
          <cell r="O95">
            <v>5.7773377708115392E-3</v>
          </cell>
        </row>
        <row r="96">
          <cell r="D96">
            <v>1</v>
          </cell>
          <cell r="G96">
            <v>39387</v>
          </cell>
          <cell r="K96">
            <v>43987.083876283905</v>
          </cell>
          <cell r="L96">
            <v>42671.995136136429</v>
          </cell>
          <cell r="O96">
            <v>6.569518832372433E-3</v>
          </cell>
        </row>
        <row r="97">
          <cell r="D97">
            <v>2</v>
          </cell>
          <cell r="G97">
            <v>39387</v>
          </cell>
          <cell r="K97">
            <v>6818.2106061517034</v>
          </cell>
          <cell r="L97">
            <v>6614.3654951340432</v>
          </cell>
          <cell r="O97">
            <v>6.569518832372433E-3</v>
          </cell>
        </row>
        <row r="98">
          <cell r="D98">
            <v>3</v>
          </cell>
          <cell r="G98">
            <v>39387</v>
          </cell>
          <cell r="K98">
            <v>18210.26980846763</v>
          </cell>
          <cell r="L98">
            <v>17665.834518155621</v>
          </cell>
          <cell r="O98">
            <v>9.1973263653214073E-3</v>
          </cell>
        </row>
        <row r="99">
          <cell r="D99">
            <v>4</v>
          </cell>
          <cell r="G99">
            <v>39387</v>
          </cell>
          <cell r="K99">
            <v>113666.40344304929</v>
          </cell>
          <cell r="L99">
            <v>110268.10116592087</v>
          </cell>
          <cell r="O99">
            <v>4.5048129136268118E-3</v>
          </cell>
        </row>
        <row r="100">
          <cell r="D100">
            <v>5</v>
          </cell>
          <cell r="G100">
            <v>39387</v>
          </cell>
          <cell r="K100">
            <v>101619.57548187328</v>
          </cell>
          <cell r="L100">
            <v>98581.439108235863</v>
          </cell>
          <cell r="O100">
            <v>7.9772728678808129E-3</v>
          </cell>
        </row>
        <row r="101">
          <cell r="D101">
            <v>6</v>
          </cell>
          <cell r="G101">
            <v>39387</v>
          </cell>
          <cell r="K101">
            <v>932.03166416226395</v>
          </cell>
          <cell r="L101">
            <v>904.16656743414103</v>
          </cell>
          <cell r="O101">
            <v>9.385026903389191E-3</v>
          </cell>
        </row>
        <row r="102">
          <cell r="D102">
            <v>7</v>
          </cell>
          <cell r="G102">
            <v>39387</v>
          </cell>
          <cell r="K102">
            <v>0</v>
          </cell>
          <cell r="L102">
            <v>0</v>
          </cell>
          <cell r="O102">
            <v>5.4433156039657305E-3</v>
          </cell>
        </row>
        <row r="103">
          <cell r="D103">
            <v>8</v>
          </cell>
          <cell r="G103">
            <v>39387</v>
          </cell>
          <cell r="K103">
            <v>0</v>
          </cell>
          <cell r="L103">
            <v>0</v>
          </cell>
          <cell r="O103">
            <v>0</v>
          </cell>
        </row>
        <row r="104">
          <cell r="D104">
            <v>9</v>
          </cell>
          <cell r="G104">
            <v>39387</v>
          </cell>
          <cell r="K104">
            <v>0</v>
          </cell>
          <cell r="L104">
            <v>0</v>
          </cell>
          <cell r="O104">
            <v>5.4433156039657305E-3</v>
          </cell>
        </row>
        <row r="105">
          <cell r="D105">
            <v>1</v>
          </cell>
          <cell r="G105">
            <v>39417</v>
          </cell>
          <cell r="K105">
            <v>73530.196686730487</v>
          </cell>
          <cell r="L105">
            <v>71331.852872998265</v>
          </cell>
          <cell r="N105">
            <v>0</v>
          </cell>
          <cell r="O105">
            <v>1.0981814871841748E-2</v>
          </cell>
        </row>
        <row r="106">
          <cell r="D106">
            <v>2</v>
          </cell>
          <cell r="G106">
            <v>39417</v>
          </cell>
          <cell r="K106">
            <v>7798.0604341781509</v>
          </cell>
          <cell r="L106">
            <v>7564.9205992934294</v>
          </cell>
          <cell r="N106">
            <v>0</v>
          </cell>
          <cell r="O106">
            <v>1.0981814871841748E-2</v>
          </cell>
        </row>
        <row r="107">
          <cell r="D107">
            <v>3</v>
          </cell>
          <cell r="G107">
            <v>39417</v>
          </cell>
          <cell r="K107">
            <v>15056.517622682022</v>
          </cell>
          <cell r="L107">
            <v>14606.370555713191</v>
          </cell>
          <cell r="N107">
            <v>0</v>
          </cell>
          <cell r="O107">
            <v>1.5374540820578448E-2</v>
          </cell>
        </row>
        <row r="108">
          <cell r="D108">
            <v>4</v>
          </cell>
          <cell r="G108">
            <v>39417</v>
          </cell>
          <cell r="K108">
            <v>193539.36009156206</v>
          </cell>
          <cell r="L108">
            <v>187753.08351210941</v>
          </cell>
          <cell r="N108">
            <v>0</v>
          </cell>
          <cell r="O108">
            <v>7.5303873406914841E-3</v>
          </cell>
        </row>
        <row r="109">
          <cell r="D109">
            <v>5</v>
          </cell>
          <cell r="G109">
            <v>39417</v>
          </cell>
          <cell r="K109">
            <v>135528.27023470576</v>
          </cell>
          <cell r="L109">
            <v>131476.36029999374</v>
          </cell>
          <cell r="N109">
            <v>0</v>
          </cell>
          <cell r="O109">
            <v>1.3335060915807837E-2</v>
          </cell>
        </row>
        <row r="110">
          <cell r="D110">
            <v>6</v>
          </cell>
          <cell r="G110">
            <v>39417</v>
          </cell>
          <cell r="K110">
            <v>5235.6354950225004</v>
          </cell>
          <cell r="L110">
            <v>5079.1048801177722</v>
          </cell>
          <cell r="N110">
            <v>0</v>
          </cell>
          <cell r="O110">
            <v>1.5688306959773926E-2</v>
          </cell>
        </row>
        <row r="111">
          <cell r="D111">
            <v>7</v>
          </cell>
          <cell r="G111">
            <v>39417</v>
          </cell>
          <cell r="K111">
            <v>0</v>
          </cell>
          <cell r="L111">
            <v>0</v>
          </cell>
          <cell r="N111">
            <v>0</v>
          </cell>
          <cell r="O111">
            <v>9.0992180366688772E-3</v>
          </cell>
        </row>
        <row r="112">
          <cell r="D112">
            <v>8</v>
          </cell>
          <cell r="G112">
            <v>39417</v>
          </cell>
          <cell r="K112">
            <v>0</v>
          </cell>
          <cell r="L112">
            <v>0</v>
          </cell>
          <cell r="N112">
            <v>0</v>
          </cell>
          <cell r="O112">
            <v>0</v>
          </cell>
        </row>
        <row r="113">
          <cell r="D113">
            <v>9</v>
          </cell>
          <cell r="G113">
            <v>39417</v>
          </cell>
          <cell r="K113">
            <v>1363.5699817589939</v>
          </cell>
          <cell r="L113">
            <v>1322.8031163205421</v>
          </cell>
          <cell r="N113">
            <v>0</v>
          </cell>
          <cell r="O113">
            <v>9.0992180366688772E-3</v>
          </cell>
        </row>
        <row r="114">
          <cell r="D114">
            <v>1</v>
          </cell>
          <cell r="G114">
            <v>39448</v>
          </cell>
          <cell r="K114">
            <v>68156.506854827676</v>
          </cell>
          <cell r="L114">
            <v>66118.821088145283</v>
          </cell>
          <cell r="O114">
            <v>1.0179248449177674E-2</v>
          </cell>
        </row>
        <row r="115">
          <cell r="D115">
            <v>2</v>
          </cell>
          <cell r="G115">
            <v>39448</v>
          </cell>
          <cell r="K115">
            <v>8555.2363254344655</v>
          </cell>
          <cell r="L115">
            <v>8299.4590842669604</v>
          </cell>
          <cell r="O115">
            <v>1.0179248449177674E-2</v>
          </cell>
        </row>
        <row r="116">
          <cell r="D116">
            <v>3</v>
          </cell>
          <cell r="G116">
            <v>39448</v>
          </cell>
          <cell r="K116">
            <v>12522.072492770179</v>
          </cell>
          <cell r="L116">
            <v>12147.698129039483</v>
          </cell>
          <cell r="O116">
            <v>1.4250947828848747E-2</v>
          </cell>
        </row>
        <row r="117">
          <cell r="D117">
            <v>4</v>
          </cell>
          <cell r="G117">
            <v>39448</v>
          </cell>
          <cell r="K117">
            <v>118394.37286692667</v>
          </cell>
          <cell r="L117">
            <v>114854.71774698216</v>
          </cell>
          <cell r="O117">
            <v>6.9800560794361201E-3</v>
          </cell>
        </row>
        <row r="118">
          <cell r="D118">
            <v>5</v>
          </cell>
          <cell r="G118">
            <v>39448</v>
          </cell>
          <cell r="K118">
            <v>146131.21637123625</v>
          </cell>
          <cell r="L118">
            <v>141762.30849422465</v>
          </cell>
          <cell r="O118">
            <v>1.2360515974001464E-2</v>
          </cell>
        </row>
        <row r="119">
          <cell r="D119">
            <v>6</v>
          </cell>
          <cell r="G119">
            <v>39448</v>
          </cell>
          <cell r="K119">
            <v>6353.6530219556535</v>
          </cell>
          <cell r="L119">
            <v>6163.6968618365036</v>
          </cell>
          <cell r="O119">
            <v>1.4541783498825251E-2</v>
          </cell>
        </row>
        <row r="120">
          <cell r="D120">
            <v>7</v>
          </cell>
          <cell r="G120">
            <v>39448</v>
          </cell>
          <cell r="K120">
            <v>0</v>
          </cell>
          <cell r="L120">
            <v>0</v>
          </cell>
          <cell r="O120">
            <v>8.4342344293186454E-3</v>
          </cell>
        </row>
        <row r="121">
          <cell r="D121">
            <v>8</v>
          </cell>
          <cell r="G121">
            <v>39448</v>
          </cell>
          <cell r="K121">
            <v>0</v>
          </cell>
          <cell r="L121">
            <v>0</v>
          </cell>
          <cell r="O121">
            <v>0</v>
          </cell>
        </row>
        <row r="122">
          <cell r="D122">
            <v>9</v>
          </cell>
          <cell r="G122">
            <v>39448</v>
          </cell>
          <cell r="K122">
            <v>0</v>
          </cell>
          <cell r="L122">
            <v>0</v>
          </cell>
          <cell r="O122">
            <v>8.4342344293186454E-3</v>
          </cell>
        </row>
        <row r="123">
          <cell r="D123">
            <v>1</v>
          </cell>
          <cell r="G123">
            <v>39479</v>
          </cell>
          <cell r="K123">
            <v>71542.877918790517</v>
          </cell>
          <cell r="L123">
            <v>69403.949285708877</v>
          </cell>
          <cell r="N123">
            <v>0</v>
          </cell>
          <cell r="O123">
            <v>1.0685006651759947E-2</v>
          </cell>
        </row>
        <row r="124">
          <cell r="D124">
            <v>2</v>
          </cell>
          <cell r="G124">
            <v>39479</v>
          </cell>
          <cell r="K124">
            <v>8245.8816610217345</v>
          </cell>
          <cell r="L124">
            <v>7999.3532447371326</v>
          </cell>
          <cell r="N124">
            <v>0</v>
          </cell>
          <cell r="O124">
            <v>1.0685006651759947E-2</v>
          </cell>
        </row>
        <row r="125">
          <cell r="D125">
            <v>3</v>
          </cell>
          <cell r="G125">
            <v>39479</v>
          </cell>
          <cell r="K125">
            <v>0</v>
          </cell>
          <cell r="L125">
            <v>0</v>
          </cell>
          <cell r="N125">
            <v>0</v>
          </cell>
          <cell r="O125">
            <v>1.4959009312463925E-2</v>
          </cell>
        </row>
        <row r="126">
          <cell r="D126">
            <v>4</v>
          </cell>
          <cell r="G126">
            <v>39479</v>
          </cell>
          <cell r="K126">
            <v>203636.24783659456</v>
          </cell>
          <cell r="L126">
            <v>197548.10302188058</v>
          </cell>
          <cell r="N126">
            <v>0</v>
          </cell>
          <cell r="O126">
            <v>7.326861704063963E-3</v>
          </cell>
        </row>
        <row r="127">
          <cell r="D127">
            <v>5</v>
          </cell>
          <cell r="G127">
            <v>39479</v>
          </cell>
          <cell r="K127">
            <v>142450.32045704187</v>
          </cell>
          <cell r="L127">
            <v>138191.46090203375</v>
          </cell>
          <cell r="N127">
            <v>0</v>
          </cell>
          <cell r="O127">
            <v>1.2974650934279935E-2</v>
          </cell>
        </row>
        <row r="128">
          <cell r="D128">
            <v>6</v>
          </cell>
          <cell r="G128">
            <v>39479</v>
          </cell>
          <cell r="K128">
            <v>3244.8437268191219</v>
          </cell>
          <cell r="L128">
            <v>3147.8321253981253</v>
          </cell>
          <cell r="N128">
            <v>0</v>
          </cell>
          <cell r="O128">
            <v>1.5264295216799924E-2</v>
          </cell>
        </row>
        <row r="129">
          <cell r="D129">
            <v>7</v>
          </cell>
          <cell r="G129">
            <v>39479</v>
          </cell>
          <cell r="K129">
            <v>0</v>
          </cell>
          <cell r="L129">
            <v>0</v>
          </cell>
          <cell r="N129">
            <v>0</v>
          </cell>
          <cell r="O129">
            <v>8.8532912257439558E-3</v>
          </cell>
        </row>
        <row r="130">
          <cell r="D130">
            <v>8</v>
          </cell>
          <cell r="G130">
            <v>39479</v>
          </cell>
          <cell r="K130">
            <v>0</v>
          </cell>
          <cell r="L130">
            <v>0</v>
          </cell>
          <cell r="N130">
            <v>0</v>
          </cell>
          <cell r="O130">
            <v>0</v>
          </cell>
        </row>
        <row r="131">
          <cell r="D131">
            <v>9</v>
          </cell>
          <cell r="G131">
            <v>39479</v>
          </cell>
          <cell r="K131">
            <v>0</v>
          </cell>
          <cell r="L131">
            <v>0</v>
          </cell>
          <cell r="N131">
            <v>0</v>
          </cell>
          <cell r="O131">
            <v>8.8532912257439558E-3</v>
          </cell>
        </row>
        <row r="132">
          <cell r="D132">
            <v>1</v>
          </cell>
          <cell r="G132">
            <v>39508</v>
          </cell>
          <cell r="K132">
            <v>90010.809307631484</v>
          </cell>
          <cell r="L132">
            <v>87319.742035589632</v>
          </cell>
          <cell r="O132">
            <v>1.3443212296743988E-2</v>
          </cell>
        </row>
        <row r="133">
          <cell r="D133">
            <v>2</v>
          </cell>
          <cell r="G133">
            <v>39508</v>
          </cell>
          <cell r="K133">
            <v>32804.981452503547</v>
          </cell>
          <cell r="L133">
            <v>31824.205780938864</v>
          </cell>
          <cell r="O133">
            <v>1.3443212296743988E-2</v>
          </cell>
        </row>
        <row r="134">
          <cell r="D134">
            <v>3</v>
          </cell>
          <cell r="G134">
            <v>39508</v>
          </cell>
          <cell r="K134">
            <v>2648.9923047718448</v>
          </cell>
          <cell r="L134">
            <v>2569.794966695496</v>
          </cell>
          <cell r="O134">
            <v>1.8820497215441583E-2</v>
          </cell>
        </row>
        <row r="135">
          <cell r="D135">
            <v>4</v>
          </cell>
          <cell r="G135">
            <v>39508</v>
          </cell>
          <cell r="K135">
            <v>171616.92706089051</v>
          </cell>
          <cell r="L135">
            <v>166486.06889736102</v>
          </cell>
          <cell r="O135">
            <v>9.2182027177673057E-3</v>
          </cell>
        </row>
        <row r="136">
          <cell r="D136">
            <v>5</v>
          </cell>
          <cell r="G136">
            <v>39508</v>
          </cell>
          <cell r="K136">
            <v>170699.20992897131</v>
          </cell>
          <cell r="L136">
            <v>165595.78889835611</v>
          </cell>
          <cell r="O136">
            <v>1.6323900646046271E-2</v>
          </cell>
        </row>
        <row r="137">
          <cell r="D137">
            <v>6</v>
          </cell>
          <cell r="G137">
            <v>39508</v>
          </cell>
          <cell r="K137">
            <v>15351.413475909094</v>
          </cell>
          <cell r="L137">
            <v>14892.449861401312</v>
          </cell>
          <cell r="O137">
            <v>1.9204588995348555E-2</v>
          </cell>
        </row>
        <row r="138">
          <cell r="D138">
            <v>7</v>
          </cell>
          <cell r="G138">
            <v>39508</v>
          </cell>
          <cell r="K138">
            <v>0</v>
          </cell>
          <cell r="L138">
            <v>0</v>
          </cell>
          <cell r="O138">
            <v>1.1138661617302162E-2</v>
          </cell>
        </row>
        <row r="139">
          <cell r="D139">
            <v>8</v>
          </cell>
          <cell r="G139">
            <v>39508</v>
          </cell>
          <cell r="K139">
            <v>0</v>
          </cell>
          <cell r="L139">
            <v>0</v>
          </cell>
          <cell r="O139">
            <v>0</v>
          </cell>
        </row>
        <row r="140">
          <cell r="D140">
            <v>9</v>
          </cell>
          <cell r="G140">
            <v>39508</v>
          </cell>
          <cell r="K140">
            <v>0</v>
          </cell>
          <cell r="L140">
            <v>0</v>
          </cell>
          <cell r="O140">
            <v>1.1138661617302162E-2</v>
          </cell>
        </row>
        <row r="141">
          <cell r="D141">
            <v>1</v>
          </cell>
          <cell r="G141">
            <v>39539</v>
          </cell>
          <cell r="K141">
            <v>73045.501884389887</v>
          </cell>
          <cell r="L141">
            <v>70861.649067122897</v>
          </cell>
          <cell r="N141">
            <v>0</v>
          </cell>
          <cell r="O141">
            <v>1.0909425175791762E-2</v>
          </cell>
        </row>
        <row r="142">
          <cell r="D142">
            <v>2</v>
          </cell>
          <cell r="G142">
            <v>39539</v>
          </cell>
          <cell r="K142">
            <v>28036.881871279838</v>
          </cell>
          <cell r="L142">
            <v>27198.658820134489</v>
          </cell>
          <cell r="N142">
            <v>0</v>
          </cell>
          <cell r="O142">
            <v>1.0909425175791762E-2</v>
          </cell>
        </row>
        <row r="143">
          <cell r="D143">
            <v>3</v>
          </cell>
          <cell r="G143">
            <v>39539</v>
          </cell>
          <cell r="K143">
            <v>6276.0103395089382</v>
          </cell>
          <cell r="L143">
            <v>6088.375474834781</v>
          </cell>
          <cell r="N143">
            <v>0</v>
          </cell>
          <cell r="O143">
            <v>1.5273195246108467E-2</v>
          </cell>
        </row>
        <row r="144">
          <cell r="D144">
            <v>4</v>
          </cell>
          <cell r="G144">
            <v>39539</v>
          </cell>
          <cell r="K144">
            <v>123182.22835766063</v>
          </cell>
          <cell r="L144">
            <v>119499.42997177408</v>
          </cell>
          <cell r="N144">
            <v>0</v>
          </cell>
          <cell r="O144">
            <v>7.4807486919714937E-3</v>
          </cell>
        </row>
        <row r="145">
          <cell r="D145">
            <v>5</v>
          </cell>
          <cell r="G145">
            <v>39539</v>
          </cell>
          <cell r="K145">
            <v>188919.991488978</v>
          </cell>
          <cell r="L145">
            <v>183271.82089656772</v>
          </cell>
          <cell r="N145">
            <v>0</v>
          </cell>
          <cell r="O145">
            <v>1.3247159142032854E-2</v>
          </cell>
        </row>
        <row r="146">
          <cell r="D146">
            <v>6</v>
          </cell>
          <cell r="G146">
            <v>39539</v>
          </cell>
          <cell r="K146">
            <v>11035.968466109214</v>
          </cell>
          <cell r="L146">
            <v>10706.024387360501</v>
          </cell>
          <cell r="N146">
            <v>0</v>
          </cell>
          <cell r="O146">
            <v>1.5584893108273946E-2</v>
          </cell>
        </row>
        <row r="147">
          <cell r="D147">
            <v>7</v>
          </cell>
          <cell r="G147">
            <v>39539</v>
          </cell>
          <cell r="K147">
            <v>0</v>
          </cell>
          <cell r="L147">
            <v>0</v>
          </cell>
          <cell r="N147">
            <v>0</v>
          </cell>
          <cell r="O147">
            <v>9.0392380027988876E-3</v>
          </cell>
        </row>
        <row r="148">
          <cell r="D148">
            <v>8</v>
          </cell>
          <cell r="G148">
            <v>39539</v>
          </cell>
          <cell r="K148">
            <v>0</v>
          </cell>
          <cell r="L148">
            <v>0</v>
          </cell>
          <cell r="N148">
            <v>0</v>
          </cell>
          <cell r="O148">
            <v>0</v>
          </cell>
        </row>
        <row r="149">
          <cell r="D149">
            <v>9</v>
          </cell>
          <cell r="G149">
            <v>39539</v>
          </cell>
          <cell r="K149">
            <v>1283.0932486522242</v>
          </cell>
          <cell r="L149">
            <v>1244.7324087154911</v>
          </cell>
          <cell r="N149">
            <v>0</v>
          </cell>
          <cell r="O149">
            <v>9.0392380027988876E-3</v>
          </cell>
        </row>
        <row r="150">
          <cell r="D150">
            <v>1</v>
          </cell>
          <cell r="G150">
            <v>39569</v>
          </cell>
          <cell r="K150">
            <v>98585.069842223966</v>
          </cell>
          <cell r="L150">
            <v>95637.656559252006</v>
          </cell>
          <cell r="O150">
            <v>1.4723787435893945E-2</v>
          </cell>
        </row>
        <row r="151">
          <cell r="D151">
            <v>2</v>
          </cell>
          <cell r="G151">
            <v>39569</v>
          </cell>
          <cell r="K151">
            <v>41949.16442201352</v>
          </cell>
          <cell r="L151">
            <v>40695.003679165799</v>
          </cell>
          <cell r="O151">
            <v>1.4723787435893945E-2</v>
          </cell>
        </row>
        <row r="152">
          <cell r="D152">
            <v>3</v>
          </cell>
          <cell r="G152">
            <v>39569</v>
          </cell>
          <cell r="K152">
            <v>3244.4624181848603</v>
          </cell>
          <cell r="L152">
            <v>3147.4622168078595</v>
          </cell>
          <cell r="O152">
            <v>2.0613302410251524E-2</v>
          </cell>
        </row>
        <row r="153">
          <cell r="D153">
            <v>4</v>
          </cell>
          <cell r="G153">
            <v>39569</v>
          </cell>
          <cell r="K153">
            <v>129516.05333063465</v>
          </cell>
          <cell r="L153">
            <v>125643.89158691672</v>
          </cell>
          <cell r="O153">
            <v>1.0096311384612991E-2</v>
          </cell>
        </row>
        <row r="154">
          <cell r="D154">
            <v>5</v>
          </cell>
          <cell r="G154">
            <v>39569</v>
          </cell>
          <cell r="K154">
            <v>186813.70442714836</v>
          </cell>
          <cell r="L154">
            <v>181228.50582911534</v>
          </cell>
          <cell r="O154">
            <v>1.7878884743585507E-2</v>
          </cell>
        </row>
        <row r="155">
          <cell r="D155">
            <v>6</v>
          </cell>
          <cell r="G155">
            <v>39569</v>
          </cell>
          <cell r="K155">
            <v>5388.189865643516</v>
          </cell>
          <cell r="L155">
            <v>5227.0983088125568</v>
          </cell>
          <cell r="O155">
            <v>2.1033982051277066E-2</v>
          </cell>
        </row>
        <row r="156">
          <cell r="D156">
            <v>7</v>
          </cell>
          <cell r="G156">
            <v>39569</v>
          </cell>
          <cell r="K156">
            <v>0</v>
          </cell>
          <cell r="L156">
            <v>0</v>
          </cell>
          <cell r="O156">
            <v>1.2199709589740697E-2</v>
          </cell>
        </row>
        <row r="157">
          <cell r="D157">
            <v>8</v>
          </cell>
          <cell r="G157">
            <v>39569</v>
          </cell>
          <cell r="K157">
            <v>0</v>
          </cell>
          <cell r="L157">
            <v>0</v>
          </cell>
          <cell r="O157">
            <v>0</v>
          </cell>
        </row>
        <row r="158">
          <cell r="D158">
            <v>9</v>
          </cell>
          <cell r="G158">
            <v>39569</v>
          </cell>
          <cell r="K158">
            <v>9742.1367418650734</v>
          </cell>
          <cell r="L158">
            <v>9450.8745529407606</v>
          </cell>
          <cell r="O158">
            <v>1.2199709589740697E-2</v>
          </cell>
        </row>
        <row r="159">
          <cell r="D159">
            <v>1</v>
          </cell>
          <cell r="G159">
            <v>39600</v>
          </cell>
          <cell r="K159">
            <v>69402.767750537954</v>
          </cell>
          <cell r="L159">
            <v>67327.822326546971</v>
          </cell>
          <cell r="N159">
            <v>0</v>
          </cell>
          <cell r="O159">
            <v>1.0365378869813091E-2</v>
          </cell>
        </row>
        <row r="160">
          <cell r="D160">
            <v>2</v>
          </cell>
          <cell r="G160">
            <v>39600</v>
          </cell>
          <cell r="K160">
            <v>33550.254330987635</v>
          </cell>
          <cell r="L160">
            <v>32547.197119378419</v>
          </cell>
          <cell r="N160">
            <v>0</v>
          </cell>
          <cell r="O160">
            <v>1.0365378869813091E-2</v>
          </cell>
        </row>
        <row r="161">
          <cell r="D161">
            <v>3</v>
          </cell>
          <cell r="G161">
            <v>39600</v>
          </cell>
          <cell r="K161">
            <v>5191.1666637565622</v>
          </cell>
          <cell r="L161">
            <v>5035.9655404691885</v>
          </cell>
          <cell r="N161">
            <v>0</v>
          </cell>
          <cell r="O161">
            <v>1.4511530417738328E-2</v>
          </cell>
        </row>
        <row r="162">
          <cell r="D162">
            <v>4</v>
          </cell>
          <cell r="G162">
            <v>39600</v>
          </cell>
          <cell r="K162">
            <v>107711.23855517477</v>
          </cell>
          <cell r="L162">
            <v>104490.97877597123</v>
          </cell>
          <cell r="N162">
            <v>0</v>
          </cell>
          <cell r="O162">
            <v>7.1076883678718346E-3</v>
          </cell>
        </row>
        <row r="163">
          <cell r="D163">
            <v>5</v>
          </cell>
          <cell r="G163">
            <v>39600</v>
          </cell>
          <cell r="K163">
            <v>253425.56092149773</v>
          </cell>
          <cell r="L163">
            <v>245848.8572106816</v>
          </cell>
          <cell r="N163">
            <v>0</v>
          </cell>
          <cell r="O163">
            <v>1.2586531484773041E-2</v>
          </cell>
        </row>
        <row r="164">
          <cell r="D164">
            <v>6</v>
          </cell>
          <cell r="G164">
            <v>39600</v>
          </cell>
          <cell r="K164">
            <v>6263.3859320232432</v>
          </cell>
          <cell r="L164">
            <v>6076.1285012381377</v>
          </cell>
          <cell r="N164">
            <v>0</v>
          </cell>
          <cell r="O164">
            <v>1.4807684099732989E-2</v>
          </cell>
        </row>
        <row r="165">
          <cell r="D165">
            <v>7</v>
          </cell>
          <cell r="G165">
            <v>39600</v>
          </cell>
          <cell r="K165">
            <v>0</v>
          </cell>
          <cell r="L165">
            <v>0</v>
          </cell>
          <cell r="N165">
            <v>0</v>
          </cell>
          <cell r="O165">
            <v>8.5884567778451333E-3</v>
          </cell>
        </row>
        <row r="166">
          <cell r="D166">
            <v>8</v>
          </cell>
          <cell r="G166">
            <v>39600</v>
          </cell>
          <cell r="K166">
            <v>0</v>
          </cell>
          <cell r="L166">
            <v>0</v>
          </cell>
          <cell r="N166">
            <v>0</v>
          </cell>
          <cell r="O166">
            <v>0</v>
          </cell>
        </row>
        <row r="167">
          <cell r="D167">
            <v>9</v>
          </cell>
          <cell r="G167">
            <v>39600</v>
          </cell>
          <cell r="K167">
            <v>18882.290206618396</v>
          </cell>
          <cell r="L167">
            <v>18317.763417146241</v>
          </cell>
          <cell r="N167">
            <v>0</v>
          </cell>
          <cell r="O167">
            <v>8.5884567778451333E-3</v>
          </cell>
        </row>
        <row r="168">
          <cell r="D168">
            <v>1</v>
          </cell>
          <cell r="G168">
            <v>39630</v>
          </cell>
          <cell r="K168">
            <v>86408.523656985519</v>
          </cell>
          <cell r="L168">
            <v>58888.828643838751</v>
          </cell>
          <cell r="O168">
            <v>9.0661631254366423E-3</v>
          </cell>
        </row>
        <row r="169">
          <cell r="D169">
            <v>2</v>
          </cell>
          <cell r="G169">
            <v>39630</v>
          </cell>
          <cell r="K169">
            <v>42893.936370494899</v>
          </cell>
          <cell r="L169">
            <v>29232.922423360826</v>
          </cell>
          <cell r="O169">
            <v>9.0661631254366423E-3</v>
          </cell>
        </row>
        <row r="170">
          <cell r="D170">
            <v>3</v>
          </cell>
          <cell r="G170">
            <v>39630</v>
          </cell>
          <cell r="K170">
            <v>10226.60973348368</v>
          </cell>
          <cell r="L170">
            <v>6969.6025659830557</v>
          </cell>
          <cell r="O170">
            <v>1.26926283756113E-2</v>
          </cell>
        </row>
        <row r="171">
          <cell r="D171">
            <v>4</v>
          </cell>
          <cell r="G171">
            <v>39630</v>
          </cell>
          <cell r="K171">
            <v>119129.5119911193</v>
          </cell>
          <cell r="L171">
            <v>81188.719829516645</v>
          </cell>
          <cell r="O171">
            <v>6.216797571727984E-3</v>
          </cell>
        </row>
        <row r="172">
          <cell r="D172">
            <v>5</v>
          </cell>
          <cell r="G172">
            <v>39630</v>
          </cell>
          <cell r="K172">
            <v>315379.07191169821</v>
          </cell>
          <cell r="L172">
            <v>214936.01947635468</v>
          </cell>
          <cell r="O172">
            <v>1.1008912366601639E-2</v>
          </cell>
        </row>
        <row r="173">
          <cell r="D173">
            <v>6</v>
          </cell>
          <cell r="G173">
            <v>39630</v>
          </cell>
          <cell r="K173">
            <v>1642.7631082135963</v>
          </cell>
          <cell r="L173">
            <v>1119.5700503579849</v>
          </cell>
          <cell r="O173">
            <v>1.2951661607766634E-2</v>
          </cell>
        </row>
        <row r="174">
          <cell r="D174">
            <v>7</v>
          </cell>
          <cell r="G174">
            <v>39630</v>
          </cell>
          <cell r="K174">
            <v>0</v>
          </cell>
          <cell r="L174">
            <v>0</v>
          </cell>
          <cell r="O174">
            <v>7.5119637325046472E-3</v>
          </cell>
        </row>
        <row r="175">
          <cell r="D175">
            <v>8</v>
          </cell>
          <cell r="G175">
            <v>39630</v>
          </cell>
          <cell r="K175">
            <v>0</v>
          </cell>
          <cell r="L175">
            <v>0</v>
          </cell>
          <cell r="O175">
            <v>0</v>
          </cell>
        </row>
        <row r="176">
          <cell r="D176">
            <v>9</v>
          </cell>
          <cell r="G176">
            <v>39630</v>
          </cell>
          <cell r="K176">
            <v>0</v>
          </cell>
          <cell r="L176">
            <v>0</v>
          </cell>
          <cell r="O176">
            <v>7.5119637325046472E-3</v>
          </cell>
        </row>
        <row r="177">
          <cell r="D177">
            <v>1</v>
          </cell>
          <cell r="G177">
            <v>39661</v>
          </cell>
          <cell r="K177">
            <v>115178.74125619025</v>
          </cell>
          <cell r="L177">
            <v>78496.204658861694</v>
          </cell>
          <cell r="N177">
            <v>0</v>
          </cell>
          <cell r="O177">
            <v>1.208479456212375E-2</v>
          </cell>
        </row>
        <row r="178">
          <cell r="D178">
            <v>2</v>
          </cell>
          <cell r="G178">
            <v>39661</v>
          </cell>
          <cell r="K178">
            <v>65990.373358518569</v>
          </cell>
          <cell r="L178">
            <v>44973.523726424391</v>
          </cell>
          <cell r="N178">
            <v>0</v>
          </cell>
          <cell r="O178">
            <v>1.208479456212375E-2</v>
          </cell>
        </row>
        <row r="179">
          <cell r="D179">
            <v>3</v>
          </cell>
          <cell r="G179">
            <v>39661</v>
          </cell>
          <cell r="K179">
            <v>14636.799781730941</v>
          </cell>
          <cell r="L179">
            <v>9975.2195473466782</v>
          </cell>
          <cell r="N179">
            <v>0</v>
          </cell>
          <cell r="O179">
            <v>1.6918712386973251E-2</v>
          </cell>
        </row>
        <row r="180">
          <cell r="D180">
            <v>4</v>
          </cell>
          <cell r="G180">
            <v>39661</v>
          </cell>
          <cell r="K180">
            <v>133148.05113616356</v>
          </cell>
          <cell r="L180">
            <v>90742.584594369822</v>
          </cell>
          <cell r="N180">
            <v>0</v>
          </cell>
          <cell r="O180">
            <v>8.2867162711705716E-3</v>
          </cell>
        </row>
        <row r="181">
          <cell r="D181">
            <v>5</v>
          </cell>
          <cell r="G181">
            <v>39661</v>
          </cell>
          <cell r="K181">
            <v>214563.26811050606</v>
          </cell>
          <cell r="L181">
            <v>146228.39268936103</v>
          </cell>
          <cell r="N181">
            <v>0</v>
          </cell>
          <cell r="O181">
            <v>1.4674393396864554E-2</v>
          </cell>
        </row>
        <row r="182">
          <cell r="D182">
            <v>6</v>
          </cell>
          <cell r="G182">
            <v>39661</v>
          </cell>
          <cell r="K182">
            <v>4992.5143248609729</v>
          </cell>
          <cell r="L182">
            <v>3402.4805439998977</v>
          </cell>
          <cell r="N182">
            <v>0</v>
          </cell>
          <cell r="O182">
            <v>1.7263992231605359E-2</v>
          </cell>
        </row>
        <row r="183">
          <cell r="D183">
            <v>7</v>
          </cell>
          <cell r="G183">
            <v>39661</v>
          </cell>
          <cell r="K183">
            <v>0</v>
          </cell>
          <cell r="L183">
            <v>0</v>
          </cell>
          <cell r="N183">
            <v>0</v>
          </cell>
          <cell r="O183">
            <v>1.0013115494331107E-2</v>
          </cell>
        </row>
        <row r="184">
          <cell r="D184">
            <v>8</v>
          </cell>
          <cell r="G184">
            <v>39661</v>
          </cell>
          <cell r="K184">
            <v>0</v>
          </cell>
          <cell r="L184">
            <v>0</v>
          </cell>
          <cell r="N184">
            <v>0</v>
          </cell>
          <cell r="O184">
            <v>0</v>
          </cell>
        </row>
        <row r="185">
          <cell r="D185">
            <v>9</v>
          </cell>
          <cell r="G185">
            <v>39661</v>
          </cell>
          <cell r="K185">
            <v>17767.874923833788</v>
          </cell>
          <cell r="L185">
            <v>12109.098703137244</v>
          </cell>
          <cell r="N185">
            <v>0</v>
          </cell>
          <cell r="O185">
            <v>1.0013115494331107E-2</v>
          </cell>
        </row>
        <row r="186">
          <cell r="D186">
            <v>1</v>
          </cell>
          <cell r="G186">
            <v>39692</v>
          </cell>
          <cell r="K186">
            <v>63559.566416211943</v>
          </cell>
          <cell r="L186">
            <v>43316.888854846235</v>
          </cell>
          <cell r="O186">
            <v>6.6688027167192201E-3</v>
          </cell>
        </row>
        <row r="187">
          <cell r="D187">
            <v>2</v>
          </cell>
          <cell r="G187">
            <v>39692</v>
          </cell>
          <cell r="K187">
            <v>48089.206247798757</v>
          </cell>
          <cell r="L187">
            <v>32773.584207810964</v>
          </cell>
          <cell r="O187">
            <v>6.6688027167192201E-3</v>
          </cell>
        </row>
        <row r="188">
          <cell r="D188">
            <v>3</v>
          </cell>
          <cell r="G188">
            <v>39692</v>
          </cell>
          <cell r="K188">
            <v>26371.207681224594</v>
          </cell>
          <cell r="L188">
            <v>17972.411337977679</v>
          </cell>
          <cell r="O188">
            <v>9.3363238034069075E-3</v>
          </cell>
        </row>
        <row r="189">
          <cell r="D189">
            <v>4</v>
          </cell>
          <cell r="G189">
            <v>39692</v>
          </cell>
          <cell r="K189">
            <v>99383.837209579637</v>
          </cell>
          <cell r="L189">
            <v>67731.718026280141</v>
          </cell>
          <cell r="O189">
            <v>4.5728932914646083E-3</v>
          </cell>
        </row>
        <row r="190">
          <cell r="D190">
            <v>5</v>
          </cell>
          <cell r="G190">
            <v>39692</v>
          </cell>
          <cell r="K190">
            <v>196258.90827507753</v>
          </cell>
          <cell r="L190">
            <v>133753.67070403093</v>
          </cell>
          <cell r="O190">
            <v>8.0978318703019102E-3</v>
          </cell>
        </row>
        <row r="191">
          <cell r="D191">
            <v>6</v>
          </cell>
          <cell r="G191">
            <v>39692</v>
          </cell>
          <cell r="K191">
            <v>0</v>
          </cell>
          <cell r="L191">
            <v>0</v>
          </cell>
          <cell r="O191">
            <v>9.5268610238846002E-3</v>
          </cell>
        </row>
        <row r="192">
          <cell r="D192">
            <v>7</v>
          </cell>
          <cell r="G192">
            <v>39692</v>
          </cell>
          <cell r="K192">
            <v>0</v>
          </cell>
          <cell r="L192">
            <v>0</v>
          </cell>
          <cell r="O192">
            <v>5.5255793938530674E-3</v>
          </cell>
        </row>
        <row r="193">
          <cell r="D193">
            <v>8</v>
          </cell>
          <cell r="G193">
            <v>39692</v>
          </cell>
          <cell r="K193">
            <v>0</v>
          </cell>
          <cell r="L193">
            <v>0</v>
          </cell>
          <cell r="O193">
            <v>0</v>
          </cell>
        </row>
        <row r="194">
          <cell r="D194">
            <v>9</v>
          </cell>
          <cell r="G194">
            <v>39692</v>
          </cell>
          <cell r="K194">
            <v>23228.672697867012</v>
          </cell>
          <cell r="L194">
            <v>15830.722112076266</v>
          </cell>
          <cell r="N194">
            <v>0</v>
          </cell>
          <cell r="O194">
            <v>5.5255793938530674E-3</v>
          </cell>
        </row>
        <row r="195">
          <cell r="D195">
            <v>1</v>
          </cell>
          <cell r="G195">
            <v>39722</v>
          </cell>
          <cell r="K195">
            <v>81730.986223768705</v>
          </cell>
          <cell r="L195">
            <v>55701.010026854681</v>
          </cell>
          <cell r="N195">
            <v>0</v>
          </cell>
          <cell r="O195">
            <v>8.5753861094651218E-3</v>
          </cell>
        </row>
        <row r="196">
          <cell r="D196">
            <v>2</v>
          </cell>
          <cell r="G196">
            <v>39722</v>
          </cell>
          <cell r="K196">
            <v>84556.768847118743</v>
          </cell>
          <cell r="L196">
            <v>57626.827314878028</v>
          </cell>
          <cell r="N196">
            <v>0</v>
          </cell>
          <cell r="O196">
            <v>8.5753861094651218E-3</v>
          </cell>
        </row>
        <row r="197">
          <cell r="D197">
            <v>3</v>
          </cell>
          <cell r="G197">
            <v>39722</v>
          </cell>
          <cell r="K197">
            <v>10719.529640359768</v>
          </cell>
          <cell r="L197">
            <v>7305.5355816470292</v>
          </cell>
          <cell r="N197">
            <v>0</v>
          </cell>
          <cell r="O197">
            <v>1.2005540553251171E-2</v>
          </cell>
        </row>
        <row r="198">
          <cell r="D198">
            <v>4</v>
          </cell>
          <cell r="G198">
            <v>39722</v>
          </cell>
          <cell r="K198">
            <v>125099.0166671707</v>
          </cell>
          <cell r="L198">
            <v>85257.035350703823</v>
          </cell>
          <cell r="N198">
            <v>0</v>
          </cell>
          <cell r="O198">
            <v>5.8802647607760841E-3</v>
          </cell>
        </row>
        <row r="199">
          <cell r="D199">
            <v>5</v>
          </cell>
          <cell r="G199">
            <v>39722</v>
          </cell>
          <cell r="K199">
            <v>199865.66220565143</v>
          </cell>
          <cell r="L199">
            <v>136211.73277000498</v>
          </cell>
          <cell r="N199">
            <v>0</v>
          </cell>
          <cell r="O199">
            <v>1.0412968847207649E-2</v>
          </cell>
        </row>
        <row r="200">
          <cell r="D200">
            <v>6</v>
          </cell>
          <cell r="G200">
            <v>39722</v>
          </cell>
          <cell r="K200">
            <v>3189.7096179721316</v>
          </cell>
          <cell r="L200">
            <v>2173.8395145139111</v>
          </cell>
          <cell r="N200">
            <v>0</v>
          </cell>
          <cell r="O200">
            <v>1.2250551584950175E-2</v>
          </cell>
        </row>
        <row r="201">
          <cell r="D201">
            <v>7</v>
          </cell>
          <cell r="G201">
            <v>39722</v>
          </cell>
          <cell r="K201">
            <v>0</v>
          </cell>
          <cell r="L201">
            <v>0</v>
          </cell>
          <cell r="N201">
            <v>0</v>
          </cell>
          <cell r="O201">
            <v>7.1053199192711008E-3</v>
          </cell>
        </row>
        <row r="202">
          <cell r="D202">
            <v>8</v>
          </cell>
          <cell r="G202">
            <v>39722</v>
          </cell>
          <cell r="K202">
            <v>0</v>
          </cell>
          <cell r="L202">
            <v>0</v>
          </cell>
          <cell r="N202">
            <v>0</v>
          </cell>
          <cell r="O202">
            <v>0</v>
          </cell>
        </row>
        <row r="203">
          <cell r="D203">
            <v>9</v>
          </cell>
          <cell r="G203">
            <v>39722</v>
          </cell>
          <cell r="K203">
            <v>11909.577662488526</v>
          </cell>
          <cell r="L203">
            <v>8116.5728623125015</v>
          </cell>
          <cell r="N203">
            <v>0</v>
          </cell>
          <cell r="O203">
            <v>7.1053199192711008E-3</v>
          </cell>
        </row>
        <row r="204">
          <cell r="D204">
            <v>1</v>
          </cell>
          <cell r="G204">
            <v>39753</v>
          </cell>
          <cell r="K204">
            <v>58843.159431799497</v>
          </cell>
          <cell r="L204">
            <v>40102.580000059832</v>
          </cell>
          <cell r="N204">
            <v>0</v>
          </cell>
          <cell r="O204">
            <v>6.1739474260956396E-3</v>
          </cell>
        </row>
        <row r="205">
          <cell r="D205">
            <v>2</v>
          </cell>
          <cell r="G205">
            <v>39753</v>
          </cell>
          <cell r="K205">
            <v>21111.360644686327</v>
          </cell>
          <cell r="L205">
            <v>14387.739158447112</v>
          </cell>
          <cell r="O205">
            <v>6.1739474260956396E-3</v>
          </cell>
        </row>
        <row r="206">
          <cell r="D206">
            <v>3</v>
          </cell>
          <cell r="G206">
            <v>39753</v>
          </cell>
          <cell r="K206">
            <v>6822.7287416907111</v>
          </cell>
          <cell r="L206">
            <v>4649.8017411773772</v>
          </cell>
          <cell r="O206">
            <v>8.6435263965338963E-3</v>
          </cell>
        </row>
        <row r="207">
          <cell r="D207">
            <v>4</v>
          </cell>
          <cell r="G207">
            <v>39753</v>
          </cell>
          <cell r="K207">
            <v>73295.912108718519</v>
          </cell>
          <cell r="L207">
            <v>49952.368421413797</v>
          </cell>
          <cell r="O207">
            <v>4.2335639493227247E-3</v>
          </cell>
        </row>
        <row r="208">
          <cell r="D208">
            <v>5</v>
          </cell>
          <cell r="G208">
            <v>39753</v>
          </cell>
          <cell r="K208">
            <v>218177.69617293178</v>
          </cell>
          <cell r="L208">
            <v>148691.68480228516</v>
          </cell>
          <cell r="O208">
            <v>7.4969361602589919E-3</v>
          </cell>
        </row>
        <row r="209">
          <cell r="D209">
            <v>6</v>
          </cell>
          <cell r="G209">
            <v>39753</v>
          </cell>
          <cell r="K209">
            <v>4476.8508149825357</v>
          </cell>
          <cell r="L209">
            <v>3051.0473891914853</v>
          </cell>
          <cell r="O209">
            <v>8.8199248944223433E-3</v>
          </cell>
        </row>
        <row r="210">
          <cell r="D210">
            <v>7</v>
          </cell>
          <cell r="G210">
            <v>39753</v>
          </cell>
          <cell r="K210">
            <v>0</v>
          </cell>
          <cell r="L210">
            <v>0</v>
          </cell>
          <cell r="O210">
            <v>5.1155564387649587E-3</v>
          </cell>
        </row>
        <row r="211">
          <cell r="D211">
            <v>8</v>
          </cell>
          <cell r="G211">
            <v>39753</v>
          </cell>
          <cell r="K211">
            <v>0</v>
          </cell>
          <cell r="L211">
            <v>0</v>
          </cell>
          <cell r="O211">
            <v>0</v>
          </cell>
        </row>
        <row r="212">
          <cell r="D212">
            <v>9</v>
          </cell>
          <cell r="G212">
            <v>39753</v>
          </cell>
          <cell r="K212">
            <v>1672.7993374689577</v>
          </cell>
          <cell r="L212">
            <v>1140.0402341184158</v>
          </cell>
          <cell r="O212">
            <v>5.1155564387649587E-3</v>
          </cell>
        </row>
        <row r="213">
          <cell r="D213">
            <v>1</v>
          </cell>
          <cell r="G213">
            <v>39783</v>
          </cell>
          <cell r="K213">
            <v>155243.27070014703</v>
          </cell>
          <cell r="L213">
            <v>105800.83977202585</v>
          </cell>
          <cell r="N213">
            <v>0</v>
          </cell>
          <cell r="O213">
            <v>1.6288448832675644E-2</v>
          </cell>
        </row>
        <row r="214">
          <cell r="D214">
            <v>2</v>
          </cell>
          <cell r="G214">
            <v>39783</v>
          </cell>
          <cell r="K214">
            <v>29801.882104683558</v>
          </cell>
          <cell r="L214">
            <v>20310.47232670449</v>
          </cell>
          <cell r="N214">
            <v>0</v>
          </cell>
          <cell r="O214">
            <v>1.6288448832675644E-2</v>
          </cell>
        </row>
        <row r="215">
          <cell r="D215">
            <v>3</v>
          </cell>
          <cell r="G215">
            <v>39783</v>
          </cell>
          <cell r="K215">
            <v>16671.427833028894</v>
          </cell>
          <cell r="L215">
            <v>11361.85199511847</v>
          </cell>
          <cell r="N215">
            <v>0</v>
          </cell>
          <cell r="O215">
            <v>2.2803828365745904E-2</v>
          </cell>
        </row>
        <row r="216">
          <cell r="D216">
            <v>4</v>
          </cell>
          <cell r="G216">
            <v>39783</v>
          </cell>
          <cell r="K216">
            <v>127545.74413157893</v>
          </cell>
          <cell r="L216">
            <v>86924.52031968307</v>
          </cell>
          <cell r="N216">
            <v>0</v>
          </cell>
          <cell r="O216">
            <v>1.1169222056691871E-2</v>
          </cell>
        </row>
        <row r="217">
          <cell r="D217">
            <v>5</v>
          </cell>
          <cell r="G217">
            <v>39783</v>
          </cell>
          <cell r="K217">
            <v>210148.85215408809</v>
          </cell>
          <cell r="L217">
            <v>143219.89568214351</v>
          </cell>
          <cell r="N217">
            <v>0</v>
          </cell>
          <cell r="O217">
            <v>1.9778830725391855E-2</v>
          </cell>
        </row>
        <row r="218">
          <cell r="D218">
            <v>6</v>
          </cell>
          <cell r="G218">
            <v>39783</v>
          </cell>
          <cell r="K218">
            <v>11493.178974746152</v>
          </cell>
          <cell r="L218">
            <v>7832.7903148022397</v>
          </cell>
          <cell r="N218">
            <v>0</v>
          </cell>
          <cell r="O218">
            <v>2.3269212618108066E-2</v>
          </cell>
        </row>
        <row r="219">
          <cell r="D219">
            <v>7</v>
          </cell>
          <cell r="G219">
            <v>39783</v>
          </cell>
          <cell r="K219">
            <v>0</v>
          </cell>
          <cell r="L219">
            <v>0</v>
          </cell>
          <cell r="N219">
            <v>0</v>
          </cell>
          <cell r="O219">
            <v>1.3496143318502678E-2</v>
          </cell>
        </row>
        <row r="220">
          <cell r="D220">
            <v>8</v>
          </cell>
          <cell r="G220">
            <v>39783</v>
          </cell>
          <cell r="K220">
            <v>0</v>
          </cell>
          <cell r="L220">
            <v>0</v>
          </cell>
          <cell r="N220">
            <v>0</v>
          </cell>
          <cell r="O220">
            <v>0</v>
          </cell>
        </row>
        <row r="221">
          <cell r="D221">
            <v>9</v>
          </cell>
          <cell r="G221">
            <v>39783</v>
          </cell>
          <cell r="K221">
            <v>0</v>
          </cell>
          <cell r="L221">
            <v>0</v>
          </cell>
          <cell r="N221">
            <v>0</v>
          </cell>
          <cell r="O221">
            <v>1.3496143318502678E-2</v>
          </cell>
        </row>
        <row r="222">
          <cell r="D222">
            <v>1</v>
          </cell>
          <cell r="G222">
            <v>39814</v>
          </cell>
          <cell r="K222">
            <v>141768.36089269872</v>
          </cell>
          <cell r="L222">
            <v>96617.467333074863</v>
          </cell>
          <cell r="N222">
            <v>0</v>
          </cell>
          <cell r="O222">
            <v>1.4874633097322596E-2</v>
          </cell>
        </row>
        <row r="223">
          <cell r="D223">
            <v>2</v>
          </cell>
          <cell r="G223">
            <v>39814</v>
          </cell>
          <cell r="K223">
            <v>33029.331430347338</v>
          </cell>
          <cell r="L223">
            <v>22510.032072108399</v>
          </cell>
          <cell r="O223">
            <v>1.4874633097322596E-2</v>
          </cell>
        </row>
        <row r="224">
          <cell r="D224">
            <v>3</v>
          </cell>
          <cell r="G224">
            <v>39814</v>
          </cell>
          <cell r="K224">
            <v>14765.11772254097</v>
          </cell>
          <cell r="L224">
            <v>10062.670332390628</v>
          </cell>
          <cell r="O224">
            <v>2.0824486336251637E-2</v>
          </cell>
        </row>
        <row r="225">
          <cell r="D225">
            <v>4</v>
          </cell>
          <cell r="G225">
            <v>39814</v>
          </cell>
          <cell r="K225">
            <v>180649.03444386026</v>
          </cell>
          <cell r="L225">
            <v>123115.28520345673</v>
          </cell>
          <cell r="O225">
            <v>1.0199748409592637E-2</v>
          </cell>
        </row>
        <row r="226">
          <cell r="D226">
            <v>5</v>
          </cell>
          <cell r="G226">
            <v>39814</v>
          </cell>
          <cell r="K226">
            <v>69620.971389014318</v>
          </cell>
          <cell r="L226">
            <v>47447.835938275704</v>
          </cell>
          <cell r="O226">
            <v>1.8062054475320298E-2</v>
          </cell>
        </row>
        <row r="227">
          <cell r="D227">
            <v>6</v>
          </cell>
          <cell r="G227">
            <v>39814</v>
          </cell>
          <cell r="K227">
            <v>9303.7476901096234</v>
          </cell>
          <cell r="L227">
            <v>6340.6569199505511</v>
          </cell>
          <cell r="O227">
            <v>2.1249475853317996E-2</v>
          </cell>
        </row>
        <row r="228">
          <cell r="D228">
            <v>7</v>
          </cell>
          <cell r="G228">
            <v>39814</v>
          </cell>
          <cell r="K228">
            <v>0</v>
          </cell>
          <cell r="L228">
            <v>0</v>
          </cell>
          <cell r="O228">
            <v>1.2324695994924436E-2</v>
          </cell>
        </row>
        <row r="229">
          <cell r="D229">
            <v>8</v>
          </cell>
          <cell r="G229">
            <v>39814</v>
          </cell>
          <cell r="K229">
            <v>0</v>
          </cell>
          <cell r="L229">
            <v>0</v>
          </cell>
          <cell r="O229">
            <v>0</v>
          </cell>
        </row>
        <row r="230">
          <cell r="D230">
            <v>9</v>
          </cell>
          <cell r="G230">
            <v>39814</v>
          </cell>
          <cell r="K230">
            <v>0</v>
          </cell>
          <cell r="L230">
            <v>0</v>
          </cell>
          <cell r="O230">
            <v>1.2324695994924436E-2</v>
          </cell>
        </row>
        <row r="231">
          <cell r="D231">
            <v>1</v>
          </cell>
          <cell r="G231">
            <v>39845</v>
          </cell>
          <cell r="K231">
            <v>143912.52507071442</v>
          </cell>
          <cell r="L231">
            <v>98078.750450984211</v>
          </cell>
          <cell r="N231">
            <v>0</v>
          </cell>
          <cell r="O231">
            <v>1.5099603289878784E-2</v>
          </cell>
        </row>
        <row r="232">
          <cell r="D232">
            <v>2</v>
          </cell>
          <cell r="G232">
            <v>39845</v>
          </cell>
          <cell r="K232">
            <v>34563.160016825808</v>
          </cell>
          <cell r="L232">
            <v>23555.361456009407</v>
          </cell>
          <cell r="N232">
            <v>0</v>
          </cell>
          <cell r="O232">
            <v>1.5099603289878784E-2</v>
          </cell>
        </row>
        <row r="233">
          <cell r="D233">
            <v>3</v>
          </cell>
          <cell r="G233">
            <v>39845</v>
          </cell>
          <cell r="K233">
            <v>6216.4283055248434</v>
          </cell>
          <cell r="L233">
            <v>4236.5980318559295</v>
          </cell>
          <cell r="N233">
            <v>0</v>
          </cell>
          <cell r="O233">
            <v>2.1139444605830299E-2</v>
          </cell>
        </row>
        <row r="234">
          <cell r="D234">
            <v>4</v>
          </cell>
          <cell r="G234">
            <v>39845</v>
          </cell>
          <cell r="K234">
            <v>125728.07537963118</v>
          </cell>
          <cell r="L234">
            <v>85685.749199259488</v>
          </cell>
          <cell r="N234">
            <v>0</v>
          </cell>
          <cell r="O234">
            <v>1.0354013684488308E-2</v>
          </cell>
        </row>
        <row r="235">
          <cell r="D235">
            <v>5</v>
          </cell>
          <cell r="G235">
            <v>39845</v>
          </cell>
          <cell r="K235">
            <v>54891.83257909384</v>
          </cell>
          <cell r="L235">
            <v>37409.685826002606</v>
          </cell>
          <cell r="N235">
            <v>0</v>
          </cell>
          <cell r="O235">
            <v>1.8335232566281383E-2</v>
          </cell>
        </row>
        <row r="236">
          <cell r="D236">
            <v>6</v>
          </cell>
          <cell r="G236">
            <v>39845</v>
          </cell>
          <cell r="K236">
            <v>64399.861844041348</v>
          </cell>
          <cell r="L236">
            <v>43889.56399573954</v>
          </cell>
          <cell r="N236">
            <v>0</v>
          </cell>
          <cell r="O236">
            <v>2.1570861842683978E-2</v>
          </cell>
        </row>
        <row r="237">
          <cell r="D237">
            <v>7</v>
          </cell>
          <cell r="G237">
            <v>39845</v>
          </cell>
          <cell r="K237">
            <v>0</v>
          </cell>
          <cell r="L237">
            <v>0</v>
          </cell>
          <cell r="N237">
            <v>0</v>
          </cell>
          <cell r="O237">
            <v>1.2511099868756707E-2</v>
          </cell>
        </row>
        <row r="238">
          <cell r="D238">
            <v>8</v>
          </cell>
          <cell r="G238">
            <v>39845</v>
          </cell>
          <cell r="K238">
            <v>0</v>
          </cell>
          <cell r="L238">
            <v>0</v>
          </cell>
          <cell r="N238">
            <v>0</v>
          </cell>
          <cell r="O238">
            <v>0</v>
          </cell>
        </row>
        <row r="239">
          <cell r="D239">
            <v>9</v>
          </cell>
          <cell r="G239">
            <v>39845</v>
          </cell>
          <cell r="K239">
            <v>1096.579150435231</v>
          </cell>
          <cell r="L239">
            <v>747.33670882671129</v>
          </cell>
          <cell r="N239">
            <v>0</v>
          </cell>
          <cell r="O239">
            <v>1.2511099868756707E-2</v>
          </cell>
        </row>
        <row r="240">
          <cell r="D240">
            <v>1</v>
          </cell>
          <cell r="G240">
            <v>39873</v>
          </cell>
          <cell r="K240">
            <v>114605.26497480906</v>
          </cell>
          <cell r="L240">
            <v>78105.371150357096</v>
          </cell>
          <cell r="N240">
            <v>0</v>
          </cell>
          <cell r="O240">
            <v>1.2024624230592458E-2</v>
          </cell>
        </row>
        <row r="241">
          <cell r="D241">
            <v>2</v>
          </cell>
          <cell r="G241">
            <v>39873</v>
          </cell>
          <cell r="K241">
            <v>27641.195799583547</v>
          </cell>
          <cell r="L241">
            <v>18837.929107713418</v>
          </cell>
          <cell r="O241">
            <v>1.2024624230592458E-2</v>
          </cell>
        </row>
        <row r="242">
          <cell r="D242">
            <v>3</v>
          </cell>
          <cell r="G242">
            <v>39873</v>
          </cell>
          <cell r="K242">
            <v>11307.737907169572</v>
          </cell>
          <cell r="L242">
            <v>7706.4091802813191</v>
          </cell>
          <cell r="O242">
            <v>1.683447392282944E-2</v>
          </cell>
        </row>
        <row r="243">
          <cell r="D243">
            <v>4</v>
          </cell>
          <cell r="G243">
            <v>39873</v>
          </cell>
          <cell r="K243">
            <v>185120.6175469216</v>
          </cell>
          <cell r="L243">
            <v>126162.74256042058</v>
          </cell>
          <cell r="O243">
            <v>8.2454566152633992E-3</v>
          </cell>
        </row>
        <row r="244">
          <cell r="D244">
            <v>5</v>
          </cell>
          <cell r="G244">
            <v>39873</v>
          </cell>
          <cell r="K244">
            <v>48694.479553506455</v>
          </cell>
          <cell r="L244">
            <v>33186.087910848473</v>
          </cell>
          <cell r="O244">
            <v>1.4601329422862269E-2</v>
          </cell>
        </row>
        <row r="245">
          <cell r="D245">
            <v>6</v>
          </cell>
          <cell r="G245">
            <v>39873</v>
          </cell>
          <cell r="K245">
            <v>71103.135313446808</v>
          </cell>
          <cell r="L245">
            <v>48457.955006094409</v>
          </cell>
          <cell r="O245">
            <v>1.7178034615132082E-2</v>
          </cell>
        </row>
        <row r="246">
          <cell r="D246">
            <v>7</v>
          </cell>
          <cell r="G246">
            <v>39873</v>
          </cell>
          <cell r="K246">
            <v>0</v>
          </cell>
          <cell r="L246">
            <v>0</v>
          </cell>
          <cell r="O246">
            <v>9.9632600767766075E-3</v>
          </cell>
        </row>
        <row r="247">
          <cell r="D247">
            <v>8</v>
          </cell>
          <cell r="G247">
            <v>39873</v>
          </cell>
          <cell r="K247">
            <v>0</v>
          </cell>
          <cell r="L247">
            <v>0</v>
          </cell>
          <cell r="O247">
            <v>0</v>
          </cell>
        </row>
        <row r="248">
          <cell r="D248">
            <v>9</v>
          </cell>
          <cell r="G248">
            <v>39873</v>
          </cell>
          <cell r="K248">
            <v>788.99759808990405</v>
          </cell>
          <cell r="L248">
            <v>537.71482705526466</v>
          </cell>
          <cell r="O248">
            <v>9.9632600767766075E-3</v>
          </cell>
        </row>
        <row r="249">
          <cell r="D249">
            <v>1</v>
          </cell>
          <cell r="G249">
            <v>39904</v>
          </cell>
          <cell r="K249">
            <v>226315.10788120417</v>
          </cell>
          <cell r="L249">
            <v>154237.46458663957</v>
          </cell>
          <cell r="N249">
            <v>0</v>
          </cell>
          <cell r="O249">
            <v>2.3745454718643543E-2</v>
          </cell>
        </row>
        <row r="250">
          <cell r="D250">
            <v>2</v>
          </cell>
          <cell r="G250">
            <v>39904</v>
          </cell>
          <cell r="K250">
            <v>28340.583601844199</v>
          </cell>
          <cell r="L250">
            <v>19314.573386539592</v>
          </cell>
          <cell r="N250">
            <v>0</v>
          </cell>
          <cell r="O250">
            <v>2.3745454718643543E-2</v>
          </cell>
        </row>
        <row r="251">
          <cell r="D251">
            <v>3</v>
          </cell>
          <cell r="G251">
            <v>39904</v>
          </cell>
          <cell r="K251">
            <v>4826.911548419348</v>
          </cell>
          <cell r="L251">
            <v>3289.6195308488368</v>
          </cell>
          <cell r="N251">
            <v>0</v>
          </cell>
          <cell r="O251">
            <v>3.3243636606100961E-2</v>
          </cell>
        </row>
        <row r="252">
          <cell r="D252">
            <v>4</v>
          </cell>
          <cell r="G252">
            <v>39904</v>
          </cell>
          <cell r="K252">
            <v>167865.70624719048</v>
          </cell>
          <cell r="L252">
            <v>114403.23699557394</v>
          </cell>
          <cell r="N252">
            <v>0</v>
          </cell>
          <cell r="O252">
            <v>1.6282597521355573E-2</v>
          </cell>
        </row>
        <row r="253">
          <cell r="D253">
            <v>5</v>
          </cell>
          <cell r="G253">
            <v>39904</v>
          </cell>
          <cell r="K253">
            <v>62813.82568370329</v>
          </cell>
          <cell r="L253">
            <v>42808.654292434716</v>
          </cell>
          <cell r="N253">
            <v>0</v>
          </cell>
          <cell r="O253">
            <v>2.8833766444067158E-2</v>
          </cell>
        </row>
        <row r="254">
          <cell r="D254">
            <v>6</v>
          </cell>
          <cell r="G254">
            <v>39904</v>
          </cell>
          <cell r="K254">
            <v>135549.01260201423</v>
          </cell>
          <cell r="L254">
            <v>92378.879283354589</v>
          </cell>
          <cell r="N254">
            <v>0</v>
          </cell>
          <cell r="O254">
            <v>3.3922078169490777E-2</v>
          </cell>
        </row>
        <row r="255">
          <cell r="D255">
            <v>7</v>
          </cell>
          <cell r="G255">
            <v>39904</v>
          </cell>
          <cell r="K255">
            <v>0</v>
          </cell>
          <cell r="L255">
            <v>0</v>
          </cell>
          <cell r="N255">
            <v>0</v>
          </cell>
          <cell r="O255">
            <v>1.9674805338304648E-2</v>
          </cell>
        </row>
        <row r="256">
          <cell r="D256">
            <v>8</v>
          </cell>
          <cell r="G256">
            <v>39904</v>
          </cell>
          <cell r="K256">
            <v>0</v>
          </cell>
          <cell r="L256">
            <v>0</v>
          </cell>
          <cell r="N256">
            <v>0</v>
          </cell>
          <cell r="O256">
            <v>0</v>
          </cell>
        </row>
        <row r="257">
          <cell r="D257">
            <v>9</v>
          </cell>
          <cell r="G257">
            <v>39904</v>
          </cell>
          <cell r="K257">
            <v>12670.740025162006</v>
          </cell>
          <cell r="L257">
            <v>8635.3175190729253</v>
          </cell>
          <cell r="N257">
            <v>0</v>
          </cell>
          <cell r="O257">
            <v>1.9674805338304648E-2</v>
          </cell>
        </row>
        <row r="258">
          <cell r="D258">
            <v>1</v>
          </cell>
          <cell r="G258">
            <v>39934</v>
          </cell>
          <cell r="K258">
            <v>197921.58304088737</v>
          </cell>
          <cell r="L258">
            <v>134886.81087620763</v>
          </cell>
          <cell r="O258">
            <v>2.0766346674507451E-2</v>
          </cell>
        </row>
        <row r="259">
          <cell r="D259">
            <v>2</v>
          </cell>
          <cell r="G259">
            <v>39934</v>
          </cell>
          <cell r="K259">
            <v>36834.967164207614</v>
          </cell>
          <cell r="L259">
            <v>25103.635354833274</v>
          </cell>
          <cell r="O259">
            <v>2.0766346674507451E-2</v>
          </cell>
        </row>
        <row r="260">
          <cell r="D260">
            <v>3</v>
          </cell>
          <cell r="G260">
            <v>39934</v>
          </cell>
          <cell r="K260">
            <v>9677.2416712849845</v>
          </cell>
          <cell r="L260">
            <v>6595.19920497156</v>
          </cell>
          <cell r="O260">
            <v>2.9072885344310434E-2</v>
          </cell>
        </row>
        <row r="261">
          <cell r="D261">
            <v>4</v>
          </cell>
          <cell r="G261">
            <v>39934</v>
          </cell>
          <cell r="K261">
            <v>175380.14865929008</v>
          </cell>
          <cell r="L261">
            <v>119524.45296862745</v>
          </cell>
          <cell r="O261">
            <v>1.4239780576805109E-2</v>
          </cell>
        </row>
        <row r="262">
          <cell r="D262">
            <v>5</v>
          </cell>
          <cell r="G262">
            <v>39934</v>
          </cell>
          <cell r="K262">
            <v>146260.51595150802</v>
          </cell>
          <cell r="L262">
            <v>99678.944815897092</v>
          </cell>
          <cell r="O262">
            <v>2.5216278104759047E-2</v>
          </cell>
        </row>
        <row r="263">
          <cell r="D263">
            <v>6</v>
          </cell>
          <cell r="G263">
            <v>39934</v>
          </cell>
          <cell r="K263">
            <v>47488.012117339225</v>
          </cell>
          <cell r="L263">
            <v>32363.860529729689</v>
          </cell>
          <cell r="O263">
            <v>2.9666209535010646E-2</v>
          </cell>
        </row>
        <row r="264">
          <cell r="D264">
            <v>7</v>
          </cell>
          <cell r="G264">
            <v>39934</v>
          </cell>
          <cell r="K264">
            <v>0</v>
          </cell>
          <cell r="L264">
            <v>0</v>
          </cell>
          <cell r="O264">
            <v>1.7206401530306174E-2</v>
          </cell>
        </row>
        <row r="265">
          <cell r="D265">
            <v>8</v>
          </cell>
          <cell r="G265">
            <v>39934</v>
          </cell>
          <cell r="K265">
            <v>0</v>
          </cell>
          <cell r="L265">
            <v>0</v>
          </cell>
          <cell r="O265">
            <v>0</v>
          </cell>
        </row>
        <row r="266">
          <cell r="D266">
            <v>9</v>
          </cell>
          <cell r="G266">
            <v>39934</v>
          </cell>
          <cell r="K266">
            <v>47375.922837768288</v>
          </cell>
          <cell r="L266">
            <v>32287.469843972027</v>
          </cell>
          <cell r="O266">
            <v>1.7206401530306174E-2</v>
          </cell>
        </row>
        <row r="267">
          <cell r="D267">
            <v>1</v>
          </cell>
          <cell r="G267">
            <v>39965</v>
          </cell>
          <cell r="K267">
            <v>199111.80714252326</v>
          </cell>
          <cell r="L267">
            <v>135697.96815795035</v>
          </cell>
          <cell r="N267">
            <v>0</v>
          </cell>
          <cell r="O267">
            <v>2.0891227477981111E-2</v>
          </cell>
        </row>
        <row r="268">
          <cell r="D268">
            <v>2</v>
          </cell>
          <cell r="G268">
            <v>39965</v>
          </cell>
          <cell r="K268">
            <v>31441.24100909293</v>
          </cell>
          <cell r="L268">
            <v>21427.722356235692</v>
          </cell>
          <cell r="N268">
            <v>0</v>
          </cell>
          <cell r="O268">
            <v>2.0891227477981111E-2</v>
          </cell>
        </row>
        <row r="269">
          <cell r="D269">
            <v>3</v>
          </cell>
          <cell r="G269">
            <v>39965</v>
          </cell>
          <cell r="K269">
            <v>6662.5844299696482</v>
          </cell>
          <cell r="L269">
            <v>4540.6607614209806</v>
          </cell>
          <cell r="N269">
            <v>0</v>
          </cell>
          <cell r="O269">
            <v>2.9247718469173557E-2</v>
          </cell>
        </row>
        <row r="270">
          <cell r="D270">
            <v>4</v>
          </cell>
          <cell r="G270">
            <v>39965</v>
          </cell>
          <cell r="K270">
            <v>213405.75077731689</v>
          </cell>
          <cell r="L270">
            <v>145439.52560771708</v>
          </cell>
          <cell r="N270">
            <v>0</v>
          </cell>
          <cell r="O270">
            <v>1.4325413127758476E-2</v>
          </cell>
        </row>
        <row r="271">
          <cell r="D271">
            <v>5</v>
          </cell>
          <cell r="G271">
            <v>39965</v>
          </cell>
          <cell r="K271">
            <v>429454.86580861255</v>
          </cell>
          <cell r="L271">
            <v>292680.54738742916</v>
          </cell>
          <cell r="N271">
            <v>0</v>
          </cell>
          <cell r="O271">
            <v>2.5367919080405636E-2</v>
          </cell>
        </row>
        <row r="272">
          <cell r="D272">
            <v>6</v>
          </cell>
          <cell r="G272">
            <v>39965</v>
          </cell>
          <cell r="K272">
            <v>2046.5574379049924</v>
          </cell>
          <cell r="L272">
            <v>1394.762520755296</v>
          </cell>
          <cell r="N272">
            <v>0</v>
          </cell>
          <cell r="O272">
            <v>2.9844610682830161E-2</v>
          </cell>
        </row>
        <row r="273">
          <cell r="D273">
            <v>7</v>
          </cell>
          <cell r="G273">
            <v>39965</v>
          </cell>
          <cell r="K273">
            <v>0</v>
          </cell>
          <cell r="L273">
            <v>0</v>
          </cell>
          <cell r="N273">
            <v>0</v>
          </cell>
          <cell r="O273">
            <v>1.7309874196041491E-2</v>
          </cell>
        </row>
        <row r="274">
          <cell r="D274">
            <v>8</v>
          </cell>
          <cell r="G274">
            <v>39965</v>
          </cell>
          <cell r="K274">
            <v>0</v>
          </cell>
          <cell r="L274">
            <v>0</v>
          </cell>
          <cell r="N274">
            <v>0</v>
          </cell>
          <cell r="O274">
            <v>0</v>
          </cell>
        </row>
        <row r="275">
          <cell r="D275">
            <v>9</v>
          </cell>
          <cell r="G275">
            <v>39965</v>
          </cell>
          <cell r="K275">
            <v>29835.938816018046</v>
          </cell>
          <cell r="L275">
            <v>20333.682535062064</v>
          </cell>
          <cell r="N275">
            <v>0</v>
          </cell>
          <cell r="O275">
            <v>1.7309874196041491E-2</v>
          </cell>
        </row>
        <row r="276">
          <cell r="D276">
            <v>1</v>
          </cell>
          <cell r="G276">
            <v>39995</v>
          </cell>
          <cell r="K276">
            <v>178413.00382685708</v>
          </cell>
          <cell r="L276">
            <v>172896.49208331533</v>
          </cell>
          <cell r="O276">
            <v>2.6618084229921301E-2</v>
          </cell>
        </row>
        <row r="277">
          <cell r="D277">
            <v>2</v>
          </cell>
          <cell r="G277">
            <v>39995</v>
          </cell>
          <cell r="K277">
            <v>61870.82992500547</v>
          </cell>
          <cell r="L277">
            <v>59957.790221939904</v>
          </cell>
          <cell r="O277">
            <v>2.6618084229921301E-2</v>
          </cell>
        </row>
        <row r="278">
          <cell r="D278">
            <v>3</v>
          </cell>
          <cell r="G278">
            <v>39995</v>
          </cell>
          <cell r="K278">
            <v>4189.7978159667127</v>
          </cell>
          <cell r="L278">
            <v>4060.2496980656415</v>
          </cell>
          <cell r="O278">
            <v>3.7265317921889821E-2</v>
          </cell>
        </row>
        <row r="279">
          <cell r="D279">
            <v>4</v>
          </cell>
          <cell r="G279">
            <v>39995</v>
          </cell>
          <cell r="K279">
            <v>374215.13053256029</v>
          </cell>
          <cell r="L279">
            <v>362644.43715307285</v>
          </cell>
          <cell r="O279">
            <v>1.8252400614803179E-2</v>
          </cell>
        </row>
        <row r="280">
          <cell r="D280">
            <v>5</v>
          </cell>
          <cell r="G280">
            <v>39995</v>
          </cell>
          <cell r="K280">
            <v>233027.14582785382</v>
          </cell>
          <cell r="L280">
            <v>225821.97042611631</v>
          </cell>
          <cell r="O280">
            <v>3.2321959422047297E-2</v>
          </cell>
        </row>
        <row r="281">
          <cell r="D281">
            <v>6</v>
          </cell>
          <cell r="G281">
            <v>39995</v>
          </cell>
          <cell r="K281">
            <v>4380.1281312930369</v>
          </cell>
          <cell r="L281">
            <v>4244.6950196015541</v>
          </cell>
          <cell r="O281">
            <v>3.802583461417329E-2</v>
          </cell>
        </row>
        <row r="282">
          <cell r="D282">
            <v>7</v>
          </cell>
          <cell r="G282">
            <v>39995</v>
          </cell>
          <cell r="K282">
            <v>0</v>
          </cell>
          <cell r="L282">
            <v>0</v>
          </cell>
          <cell r="O282">
            <v>2.2054984076220505E-2</v>
          </cell>
        </row>
        <row r="283">
          <cell r="D283">
            <v>8</v>
          </cell>
          <cell r="G283">
            <v>39995</v>
          </cell>
          <cell r="K283">
            <v>0</v>
          </cell>
          <cell r="L283">
            <v>0</v>
          </cell>
          <cell r="O283">
            <v>0</v>
          </cell>
        </row>
        <row r="284">
          <cell r="D284">
            <v>9</v>
          </cell>
          <cell r="G284">
            <v>39995</v>
          </cell>
          <cell r="K284">
            <v>58213.998144453064</v>
          </cell>
          <cell r="L284">
            <v>56414.027304244322</v>
          </cell>
          <cell r="O284">
            <v>2.2054984076220505E-2</v>
          </cell>
        </row>
        <row r="285">
          <cell r="D285">
            <v>1</v>
          </cell>
          <cell r="G285">
            <v>40026</v>
          </cell>
          <cell r="K285">
            <v>173150.09282870509</v>
          </cell>
          <cell r="L285">
            <v>167796.30975237806</v>
          </cell>
          <cell r="N285">
            <v>0</v>
          </cell>
          <cell r="O285">
            <v>2.5832891417522152E-2</v>
          </cell>
        </row>
        <row r="286">
          <cell r="D286">
            <v>2</v>
          </cell>
          <cell r="G286">
            <v>40026</v>
          </cell>
          <cell r="K286">
            <v>42463.218043685687</v>
          </cell>
          <cell r="L286">
            <v>41150.259705548546</v>
          </cell>
          <cell r="N286">
            <v>0</v>
          </cell>
          <cell r="O286">
            <v>2.5832891417522152E-2</v>
          </cell>
        </row>
        <row r="287">
          <cell r="D287">
            <v>3</v>
          </cell>
          <cell r="G287">
            <v>40026</v>
          </cell>
          <cell r="K287">
            <v>892.85494138351544</v>
          </cell>
          <cell r="L287">
            <v>865.2479583510376</v>
          </cell>
          <cell r="N287">
            <v>0</v>
          </cell>
          <cell r="O287">
            <v>3.6166047984531019E-2</v>
          </cell>
        </row>
        <row r="288">
          <cell r="D288">
            <v>4</v>
          </cell>
          <cell r="G288">
            <v>40026</v>
          </cell>
          <cell r="K288">
            <v>344841.09288386832</v>
          </cell>
          <cell r="L288">
            <v>334178.64172982716</v>
          </cell>
          <cell r="N288">
            <v>0</v>
          </cell>
          <cell r="O288">
            <v>1.7713982686300905E-2</v>
          </cell>
        </row>
        <row r="289">
          <cell r="D289">
            <v>5</v>
          </cell>
          <cell r="G289">
            <v>40026</v>
          </cell>
          <cell r="K289">
            <v>296554.13756370259</v>
          </cell>
          <cell r="L289">
            <v>287384.71410590532</v>
          </cell>
          <cell r="N289">
            <v>0</v>
          </cell>
          <cell r="O289">
            <v>3.1368511006991187E-2</v>
          </cell>
        </row>
        <row r="290">
          <cell r="D290">
            <v>6</v>
          </cell>
          <cell r="G290">
            <v>40026</v>
          </cell>
          <cell r="K290">
            <v>12147.631757262156</v>
          </cell>
          <cell r="L290">
            <v>11772.028231690721</v>
          </cell>
          <cell r="N290">
            <v>0</v>
          </cell>
          <cell r="O290">
            <v>3.6904130596460222E-2</v>
          </cell>
        </row>
        <row r="291">
          <cell r="D291">
            <v>7</v>
          </cell>
          <cell r="G291">
            <v>40026</v>
          </cell>
          <cell r="K291">
            <v>2524.8396581177931</v>
          </cell>
          <cell r="L291">
            <v>2446.7718753563772</v>
          </cell>
          <cell r="N291">
            <v>0</v>
          </cell>
          <cell r="O291">
            <v>2.1404395745946925E-2</v>
          </cell>
        </row>
        <row r="292">
          <cell r="D292">
            <v>8</v>
          </cell>
          <cell r="G292">
            <v>40026</v>
          </cell>
          <cell r="K292">
            <v>0</v>
          </cell>
          <cell r="L292">
            <v>0</v>
          </cell>
          <cell r="N292">
            <v>0</v>
          </cell>
          <cell r="O292">
            <v>0</v>
          </cell>
        </row>
        <row r="293">
          <cell r="D293">
            <v>9</v>
          </cell>
          <cell r="G293">
            <v>40026</v>
          </cell>
          <cell r="K293">
            <v>44590.884630280634</v>
          </cell>
          <cell r="L293">
            <v>43212.139059937683</v>
          </cell>
          <cell r="N293">
            <v>0</v>
          </cell>
          <cell r="O293">
            <v>2.1404395745946925E-2</v>
          </cell>
        </row>
        <row r="294">
          <cell r="D294">
            <v>1</v>
          </cell>
          <cell r="G294">
            <v>40057</v>
          </cell>
          <cell r="K294">
            <v>187050.2346888663</v>
          </cell>
          <cell r="L294">
            <v>181266.66065468459</v>
          </cell>
          <cell r="O294">
            <v>2.7906704081988542E-2</v>
          </cell>
        </row>
        <row r="295">
          <cell r="D295">
            <v>2</v>
          </cell>
          <cell r="G295">
            <v>40057</v>
          </cell>
          <cell r="K295">
            <v>38067.328504658617</v>
          </cell>
          <cell r="L295">
            <v>36890.290619320353</v>
          </cell>
          <cell r="O295">
            <v>2.7906704081988542E-2</v>
          </cell>
        </row>
        <row r="296">
          <cell r="D296">
            <v>3</v>
          </cell>
          <cell r="G296">
            <v>40057</v>
          </cell>
          <cell r="K296">
            <v>2088.2836435101221</v>
          </cell>
          <cell r="L296">
            <v>2023.7141278572751</v>
          </cell>
          <cell r="O296">
            <v>3.9069385714783959E-2</v>
          </cell>
        </row>
        <row r="297">
          <cell r="D297">
            <v>4</v>
          </cell>
          <cell r="G297">
            <v>40057</v>
          </cell>
          <cell r="K297">
            <v>391802.96854873211</v>
          </cell>
          <cell r="L297">
            <v>379688.4610252158</v>
          </cell>
          <cell r="O297">
            <v>1.9136025656220714E-2</v>
          </cell>
        </row>
        <row r="298">
          <cell r="D298">
            <v>5</v>
          </cell>
          <cell r="G298">
            <v>40057</v>
          </cell>
          <cell r="K298">
            <v>477180.08624654595</v>
          </cell>
          <cell r="L298">
            <v>462425.72701767524</v>
          </cell>
          <cell r="O298">
            <v>3.3886712099557514E-2</v>
          </cell>
        </row>
        <row r="299">
          <cell r="D299">
            <v>6</v>
          </cell>
          <cell r="G299">
            <v>40057</v>
          </cell>
          <cell r="K299">
            <v>15597.991154123523</v>
          </cell>
          <cell r="L299">
            <v>15115.702870580652</v>
          </cell>
          <cell r="O299">
            <v>3.986672011712649E-2</v>
          </cell>
        </row>
        <row r="300">
          <cell r="D300">
            <v>7</v>
          </cell>
          <cell r="G300">
            <v>40057</v>
          </cell>
          <cell r="K300">
            <v>0</v>
          </cell>
          <cell r="L300">
            <v>0</v>
          </cell>
          <cell r="O300">
            <v>2.3122697667933362E-2</v>
          </cell>
        </row>
        <row r="301">
          <cell r="D301">
            <v>8</v>
          </cell>
          <cell r="G301">
            <v>40057</v>
          </cell>
          <cell r="K301">
            <v>0</v>
          </cell>
          <cell r="L301">
            <v>0</v>
          </cell>
          <cell r="O301">
            <v>0</v>
          </cell>
        </row>
        <row r="302">
          <cell r="D302">
            <v>9</v>
          </cell>
          <cell r="G302">
            <v>40057</v>
          </cell>
          <cell r="K302">
            <v>65693.629740522418</v>
          </cell>
          <cell r="L302">
            <v>63662.389460014776</v>
          </cell>
          <cell r="O302">
            <v>2.3122697667933362E-2</v>
          </cell>
        </row>
        <row r="303">
          <cell r="D303">
            <v>1</v>
          </cell>
          <cell r="G303">
            <v>40087</v>
          </cell>
          <cell r="K303">
            <v>227219.00534910543</v>
          </cell>
          <cell r="L303">
            <v>220193.41705409167</v>
          </cell>
          <cell r="N303">
            <v>0</v>
          </cell>
          <cell r="O303">
            <v>3.3899628913209197E-2</v>
          </cell>
        </row>
        <row r="304">
          <cell r="D304">
            <v>2</v>
          </cell>
          <cell r="G304">
            <v>40087</v>
          </cell>
          <cell r="K304">
            <v>34074.34252286447</v>
          </cell>
          <cell r="L304">
            <v>33020.767353740222</v>
          </cell>
          <cell r="N304">
            <v>0</v>
          </cell>
          <cell r="O304">
            <v>3.3899628913209197E-2</v>
          </cell>
        </row>
        <row r="305">
          <cell r="D305">
            <v>3</v>
          </cell>
          <cell r="G305">
            <v>40087</v>
          </cell>
          <cell r="K305">
            <v>3833.5406181764442</v>
          </cell>
          <cell r="L305">
            <v>3715.0079362199331</v>
          </cell>
          <cell r="N305">
            <v>0</v>
          </cell>
          <cell r="O305">
            <v>4.7459480478492876E-2</v>
          </cell>
        </row>
        <row r="306">
          <cell r="D306">
            <v>4</v>
          </cell>
          <cell r="G306">
            <v>40087</v>
          </cell>
          <cell r="K306">
            <v>767870.31140504696</v>
          </cell>
          <cell r="L306">
            <v>744127.8402873372</v>
          </cell>
          <cell r="N306">
            <v>0</v>
          </cell>
          <cell r="O306">
            <v>2.3245459826200594E-2</v>
          </cell>
        </row>
        <row r="307">
          <cell r="D307">
            <v>5</v>
          </cell>
          <cell r="G307">
            <v>40087</v>
          </cell>
          <cell r="K307">
            <v>655345.1359690961</v>
          </cell>
          <cell r="L307">
            <v>635081.9317121075</v>
          </cell>
          <cell r="N307">
            <v>0</v>
          </cell>
          <cell r="O307">
            <v>4.1163835108896887E-2</v>
          </cell>
        </row>
        <row r="308">
          <cell r="D308">
            <v>6</v>
          </cell>
          <cell r="G308">
            <v>40087</v>
          </cell>
          <cell r="K308">
            <v>0</v>
          </cell>
          <cell r="L308">
            <v>0</v>
          </cell>
          <cell r="N308">
            <v>0</v>
          </cell>
          <cell r="O308">
            <v>4.8428041304584571E-2</v>
          </cell>
        </row>
        <row r="309">
          <cell r="D309">
            <v>7</v>
          </cell>
          <cell r="G309">
            <v>40087</v>
          </cell>
          <cell r="K309">
            <v>0</v>
          </cell>
          <cell r="L309">
            <v>0</v>
          </cell>
          <cell r="N309">
            <v>0</v>
          </cell>
          <cell r="O309">
            <v>2.8088263956659049E-2</v>
          </cell>
        </row>
        <row r="310">
          <cell r="D310">
            <v>8</v>
          </cell>
          <cell r="G310">
            <v>40087</v>
          </cell>
          <cell r="K310">
            <v>0</v>
          </cell>
          <cell r="L310">
            <v>0</v>
          </cell>
          <cell r="N310">
            <v>0</v>
          </cell>
          <cell r="O310">
            <v>0</v>
          </cell>
        </row>
        <row r="311">
          <cell r="D311">
            <v>9</v>
          </cell>
          <cell r="G311">
            <v>40087</v>
          </cell>
          <cell r="K311">
            <v>50213.293585646017</v>
          </cell>
          <cell r="L311">
            <v>48660.703708195462</v>
          </cell>
          <cell r="N311">
            <v>0</v>
          </cell>
          <cell r="O311">
            <v>2.8088263956659049E-2</v>
          </cell>
        </row>
        <row r="312">
          <cell r="D312">
            <v>1</v>
          </cell>
          <cell r="G312">
            <v>40118</v>
          </cell>
          <cell r="K312">
            <v>174503.81462443227</v>
          </cell>
          <cell r="L312">
            <v>169108.17460929789</v>
          </cell>
          <cell r="O312">
            <v>2.6034858090408376E-2</v>
          </cell>
        </row>
        <row r="313">
          <cell r="D313">
            <v>2</v>
          </cell>
          <cell r="G313">
            <v>40118</v>
          </cell>
          <cell r="K313">
            <v>25204.795506780472</v>
          </cell>
          <cell r="L313">
            <v>24425.465819905978</v>
          </cell>
          <cell r="O313">
            <v>2.6034858090408376E-2</v>
          </cell>
        </row>
        <row r="314">
          <cell r="D314">
            <v>3</v>
          </cell>
          <cell r="G314">
            <v>40118</v>
          </cell>
          <cell r="K314">
            <v>5564.4250820043417</v>
          </cell>
          <cell r="L314">
            <v>5392.3736303022852</v>
          </cell>
          <cell r="O314">
            <v>3.6448801326571724E-2</v>
          </cell>
        </row>
        <row r="315">
          <cell r="D315">
            <v>4</v>
          </cell>
          <cell r="G315">
            <v>40118</v>
          </cell>
          <cell r="K315">
            <v>465862.11976597901</v>
          </cell>
          <cell r="L315">
            <v>451457.71089758567</v>
          </cell>
          <cell r="O315">
            <v>1.7852474119137172E-2</v>
          </cell>
        </row>
        <row r="316">
          <cell r="D316">
            <v>5</v>
          </cell>
          <cell r="G316">
            <v>40118</v>
          </cell>
          <cell r="K316">
            <v>389532.72912377003</v>
          </cell>
          <cell r="L316">
            <v>377488.41716997023</v>
          </cell>
          <cell r="O316">
            <v>3.1613756252638743E-2</v>
          </cell>
        </row>
        <row r="317">
          <cell r="D317">
            <v>6</v>
          </cell>
          <cell r="G317">
            <v>40118</v>
          </cell>
          <cell r="K317">
            <v>0</v>
          </cell>
          <cell r="L317">
            <v>0</v>
          </cell>
          <cell r="O317">
            <v>3.719265441486911E-2</v>
          </cell>
        </row>
        <row r="318">
          <cell r="D318">
            <v>7</v>
          </cell>
          <cell r="G318">
            <v>40118</v>
          </cell>
          <cell r="K318">
            <v>0</v>
          </cell>
          <cell r="L318">
            <v>0</v>
          </cell>
          <cell r="O318">
            <v>2.1571739560624081E-2</v>
          </cell>
        </row>
        <row r="319">
          <cell r="D319">
            <v>8</v>
          </cell>
          <cell r="G319">
            <v>40118</v>
          </cell>
          <cell r="K319">
            <v>0</v>
          </cell>
          <cell r="L319">
            <v>0</v>
          </cell>
          <cell r="O319">
            <v>0</v>
          </cell>
        </row>
        <row r="320">
          <cell r="D320">
            <v>9</v>
          </cell>
          <cell r="G320">
            <v>40118</v>
          </cell>
          <cell r="K320">
            <v>16427.656430818697</v>
          </cell>
          <cell r="L320">
            <v>15919.714982181764</v>
          </cell>
          <cell r="O320">
            <v>2.1571739560624081E-2</v>
          </cell>
        </row>
        <row r="321">
          <cell r="D321">
            <v>1</v>
          </cell>
          <cell r="G321">
            <v>40148</v>
          </cell>
          <cell r="K321">
            <v>179597.97979382848</v>
          </cell>
          <cell r="L321">
            <v>174044.8287151632</v>
          </cell>
          <cell r="N321">
            <v>0</v>
          </cell>
          <cell r="O321">
            <v>2.6794875099548088E-2</v>
          </cell>
        </row>
        <row r="322">
          <cell r="D322">
            <v>2</v>
          </cell>
          <cell r="G322">
            <v>40148</v>
          </cell>
          <cell r="K322">
            <v>41717.205512607725</v>
          </cell>
          <cell r="L322">
            <v>40427.313805266815</v>
          </cell>
          <cell r="N322">
            <v>0</v>
          </cell>
          <cell r="O322">
            <v>2.6794875099548088E-2</v>
          </cell>
        </row>
        <row r="323">
          <cell r="D323">
            <v>3</v>
          </cell>
          <cell r="G323">
            <v>40148</v>
          </cell>
          <cell r="K323">
            <v>16783.995933610189</v>
          </cell>
          <cell r="L323">
            <v>16265.036504166517</v>
          </cell>
          <cell r="N323">
            <v>0</v>
          </cell>
          <cell r="O323">
            <v>3.7512825139367323E-2</v>
          </cell>
        </row>
        <row r="324">
          <cell r="D324">
            <v>4</v>
          </cell>
          <cell r="G324">
            <v>40148</v>
          </cell>
          <cell r="K324">
            <v>544630.46479753032</v>
          </cell>
          <cell r="L324">
            <v>527790.54679546645</v>
          </cell>
          <cell r="N324">
            <v>0</v>
          </cell>
          <cell r="O324">
            <v>1.8373628639690116E-2</v>
          </cell>
        </row>
        <row r="325">
          <cell r="D325">
            <v>5</v>
          </cell>
          <cell r="G325">
            <v>40148</v>
          </cell>
          <cell r="K325">
            <v>956760.61842998746</v>
          </cell>
          <cell r="L325">
            <v>927177.67843056133</v>
          </cell>
          <cell r="N325">
            <v>0</v>
          </cell>
          <cell r="O325">
            <v>3.253663404945125E-2</v>
          </cell>
        </row>
        <row r="326">
          <cell r="D326">
            <v>6</v>
          </cell>
          <cell r="G326">
            <v>40148</v>
          </cell>
          <cell r="K326">
            <v>4259.7673551307307</v>
          </cell>
          <cell r="L326">
            <v>4128.0557862691958</v>
          </cell>
          <cell r="N326">
            <v>0</v>
          </cell>
          <cell r="O326">
            <v>3.8278392999354413E-2</v>
          </cell>
        </row>
        <row r="327">
          <cell r="D327">
            <v>7</v>
          </cell>
          <cell r="G327">
            <v>40148</v>
          </cell>
          <cell r="K327">
            <v>0</v>
          </cell>
          <cell r="L327">
            <v>0</v>
          </cell>
          <cell r="N327">
            <v>0</v>
          </cell>
          <cell r="O327">
            <v>2.2201467939625557E-2</v>
          </cell>
        </row>
        <row r="328">
          <cell r="D328">
            <v>8</v>
          </cell>
          <cell r="G328">
            <v>40148</v>
          </cell>
          <cell r="K328">
            <v>0</v>
          </cell>
          <cell r="L328">
            <v>0</v>
          </cell>
          <cell r="N328">
            <v>0</v>
          </cell>
          <cell r="O328">
            <v>0</v>
          </cell>
        </row>
        <row r="329">
          <cell r="D329">
            <v>9</v>
          </cell>
          <cell r="G329">
            <v>40148</v>
          </cell>
          <cell r="K329">
            <v>88940.265810725046</v>
          </cell>
          <cell r="L329">
            <v>86190.241931889759</v>
          </cell>
          <cell r="N329">
            <v>0</v>
          </cell>
          <cell r="O329">
            <v>2.2201467939625557E-2</v>
          </cell>
        </row>
        <row r="330">
          <cell r="D330">
            <v>1</v>
          </cell>
          <cell r="G330">
            <v>40179</v>
          </cell>
          <cell r="K330">
            <v>142484.91604959031</v>
          </cell>
          <cell r="L330">
            <v>138079.29708793698</v>
          </cell>
          <cell r="O330">
            <v>2.1257842284758036E-2</v>
          </cell>
        </row>
        <row r="331">
          <cell r="D331">
            <v>2</v>
          </cell>
          <cell r="G331">
            <v>40179</v>
          </cell>
          <cell r="K331">
            <v>82385.968767146536</v>
          </cell>
          <cell r="L331">
            <v>79838.603079340028</v>
          </cell>
          <cell r="O331">
            <v>2.1257842284758036E-2</v>
          </cell>
        </row>
        <row r="332">
          <cell r="D332">
            <v>3</v>
          </cell>
          <cell r="G332">
            <v>40179</v>
          </cell>
          <cell r="K332">
            <v>10613.209331351636</v>
          </cell>
          <cell r="L332">
            <v>10285.049989502952</v>
          </cell>
          <cell r="O332">
            <v>2.9760979198661251E-2</v>
          </cell>
        </row>
        <row r="333">
          <cell r="D333">
            <v>4</v>
          </cell>
          <cell r="G333">
            <v>40179</v>
          </cell>
          <cell r="K333">
            <v>201905.9890538429</v>
          </cell>
          <cell r="L333">
            <v>195663.07662136207</v>
          </cell>
          <cell r="O333">
            <v>1.4576806138119796E-2</v>
          </cell>
        </row>
        <row r="334">
          <cell r="D334">
            <v>5</v>
          </cell>
          <cell r="G334">
            <v>40179</v>
          </cell>
          <cell r="K334">
            <v>176435.75991812086</v>
          </cell>
          <cell r="L334">
            <v>170980.38435304386</v>
          </cell>
          <cell r="O334">
            <v>2.581309420292047E-2</v>
          </cell>
        </row>
        <row r="335">
          <cell r="D335">
            <v>6</v>
          </cell>
          <cell r="G335">
            <v>40179</v>
          </cell>
          <cell r="K335">
            <v>51667.561228491279</v>
          </cell>
          <cell r="L335">
            <v>50070.005544973159</v>
          </cell>
          <cell r="O335">
            <v>3.0368346121082909E-2</v>
          </cell>
        </row>
        <row r="336">
          <cell r="D336">
            <v>7</v>
          </cell>
          <cell r="G336">
            <v>40179</v>
          </cell>
          <cell r="K336">
            <v>393659.96485068271</v>
          </cell>
          <cell r="L336">
            <v>381488.0391923461</v>
          </cell>
          <cell r="O336">
            <v>1.7613640750228084E-2</v>
          </cell>
        </row>
        <row r="337">
          <cell r="D337">
            <v>8</v>
          </cell>
          <cell r="G337">
            <v>40179</v>
          </cell>
          <cell r="K337">
            <v>0</v>
          </cell>
          <cell r="L337">
            <v>0</v>
          </cell>
          <cell r="O337">
            <v>0</v>
          </cell>
        </row>
        <row r="338">
          <cell r="D338">
            <v>9</v>
          </cell>
          <cell r="G338">
            <v>40179</v>
          </cell>
          <cell r="K338">
            <v>49705.903829361487</v>
          </cell>
          <cell r="L338">
            <v>48169.002391032853</v>
          </cell>
          <cell r="O338">
            <v>1.7613640750228084E-2</v>
          </cell>
        </row>
        <row r="339">
          <cell r="D339">
            <v>1</v>
          </cell>
          <cell r="G339">
            <v>40210</v>
          </cell>
          <cell r="K339">
            <v>170827.52799921599</v>
          </cell>
          <cell r="L339">
            <v>165545.55838873616</v>
          </cell>
          <cell r="N339">
            <v>0</v>
          </cell>
          <cell r="O339">
            <v>2.5486379532543249E-2</v>
          </cell>
        </row>
        <row r="340">
          <cell r="D340">
            <v>2</v>
          </cell>
          <cell r="G340">
            <v>40210</v>
          </cell>
          <cell r="K340">
            <v>42660.647165367431</v>
          </cell>
          <cell r="L340">
            <v>41341.584339076879</v>
          </cell>
          <cell r="N340">
            <v>0</v>
          </cell>
          <cell r="O340">
            <v>2.5486379532543249E-2</v>
          </cell>
        </row>
        <row r="341">
          <cell r="D341">
            <v>3</v>
          </cell>
          <cell r="G341">
            <v>40210</v>
          </cell>
          <cell r="K341">
            <v>2914.6567201564108</v>
          </cell>
          <cell r="L341">
            <v>2824.5358338966876</v>
          </cell>
          <cell r="N341">
            <v>0</v>
          </cell>
          <cell r="O341">
            <v>3.5680931345560551E-2</v>
          </cell>
        </row>
        <row r="342">
          <cell r="D342">
            <v>4</v>
          </cell>
          <cell r="G342">
            <v>40210</v>
          </cell>
          <cell r="K342">
            <v>246854.58150756033</v>
          </cell>
          <cell r="L342">
            <v>239221.86321559607</v>
          </cell>
          <cell r="N342">
            <v>0</v>
          </cell>
          <cell r="O342">
            <v>1.7476374536601086E-2</v>
          </cell>
        </row>
        <row r="343">
          <cell r="D343">
            <v>5</v>
          </cell>
          <cell r="G343">
            <v>40210</v>
          </cell>
          <cell r="K343">
            <v>22229.798932603044</v>
          </cell>
          <cell r="L343">
            <v>21542.45583407372</v>
          </cell>
          <cell r="N343">
            <v>0</v>
          </cell>
          <cell r="O343">
            <v>3.094774657523109E-2</v>
          </cell>
        </row>
        <row r="344">
          <cell r="D344">
            <v>6</v>
          </cell>
          <cell r="G344">
            <v>40210</v>
          </cell>
          <cell r="K344">
            <v>74940.915559715664</v>
          </cell>
          <cell r="L344">
            <v>72623.75015198483</v>
          </cell>
          <cell r="N344">
            <v>0</v>
          </cell>
          <cell r="O344">
            <v>3.6409113617918931E-2</v>
          </cell>
        </row>
        <row r="345">
          <cell r="D345">
            <v>7</v>
          </cell>
          <cell r="G345">
            <v>40210</v>
          </cell>
          <cell r="K345">
            <v>196707.41999039636</v>
          </cell>
          <cell r="L345">
            <v>190625.24677912134</v>
          </cell>
          <cell r="N345">
            <v>0</v>
          </cell>
          <cell r="O345">
            <v>2.1117285898392978E-2</v>
          </cell>
        </row>
        <row r="346">
          <cell r="D346">
            <v>8</v>
          </cell>
          <cell r="G346">
            <v>40210</v>
          </cell>
          <cell r="K346">
            <v>0</v>
          </cell>
          <cell r="L346">
            <v>0</v>
          </cell>
          <cell r="N346">
            <v>0</v>
          </cell>
          <cell r="O346">
            <v>0</v>
          </cell>
        </row>
        <row r="347">
          <cell r="D347">
            <v>9</v>
          </cell>
          <cell r="G347">
            <v>40210</v>
          </cell>
          <cell r="K347">
            <v>66546.093502556134</v>
          </cell>
          <cell r="L347">
            <v>64488.495130130672</v>
          </cell>
          <cell r="N347">
            <v>0</v>
          </cell>
          <cell r="O347">
            <v>2.1117285898392978E-2</v>
          </cell>
        </row>
        <row r="348">
          <cell r="D348">
            <v>1</v>
          </cell>
          <cell r="G348">
            <v>40238</v>
          </cell>
          <cell r="K348">
            <v>203315.52392852388</v>
          </cell>
          <cell r="L348">
            <v>197029.02882257014</v>
          </cell>
          <cell r="O348">
            <v>3.0333381676775305E-2</v>
          </cell>
        </row>
        <row r="349">
          <cell r="D349">
            <v>2</v>
          </cell>
          <cell r="G349">
            <v>40238</v>
          </cell>
          <cell r="K349">
            <v>66679.067520155731</v>
          </cell>
          <cell r="L349">
            <v>64617.357604771292</v>
          </cell>
          <cell r="O349">
            <v>3.0333381676775305E-2</v>
          </cell>
        </row>
        <row r="350">
          <cell r="D350">
            <v>3</v>
          </cell>
          <cell r="G350">
            <v>40238</v>
          </cell>
          <cell r="K350">
            <v>4107.1533066144766</v>
          </cell>
          <cell r="L350">
            <v>3980.1605484495335</v>
          </cell>
          <cell r="O350">
            <v>4.2466734347485428E-2</v>
          </cell>
        </row>
        <row r="351">
          <cell r="D351">
            <v>4</v>
          </cell>
          <cell r="G351">
            <v>40238</v>
          </cell>
          <cell r="K351">
            <v>267109.09127520618</v>
          </cell>
          <cell r="L351">
            <v>258850.10562270062</v>
          </cell>
          <cell r="O351">
            <v>2.0800033149788781E-2</v>
          </cell>
        </row>
        <row r="352">
          <cell r="D352">
            <v>5</v>
          </cell>
          <cell r="G352">
            <v>40238</v>
          </cell>
          <cell r="K352">
            <v>26969.929139241962</v>
          </cell>
          <cell r="L352">
            <v>26136.021701847418</v>
          </cell>
          <cell r="O352">
            <v>3.6833392036084302E-2</v>
          </cell>
        </row>
        <row r="353">
          <cell r="D353">
            <v>6</v>
          </cell>
          <cell r="G353">
            <v>40238</v>
          </cell>
          <cell r="K353">
            <v>0</v>
          </cell>
          <cell r="L353">
            <v>0</v>
          </cell>
          <cell r="O353">
            <v>4.3333402395393295E-2</v>
          </cell>
        </row>
        <row r="354">
          <cell r="D354">
            <v>7</v>
          </cell>
          <cell r="G354">
            <v>40238</v>
          </cell>
          <cell r="K354">
            <v>337157.81813852495</v>
          </cell>
          <cell r="L354">
            <v>326732.93305003061</v>
          </cell>
          <cell r="O354">
            <v>2.5133373389328108E-2</v>
          </cell>
        </row>
        <row r="355">
          <cell r="D355">
            <v>8</v>
          </cell>
          <cell r="G355">
            <v>40238</v>
          </cell>
          <cell r="K355">
            <v>0</v>
          </cell>
          <cell r="L355">
            <v>0</v>
          </cell>
          <cell r="O355">
            <v>0</v>
          </cell>
        </row>
        <row r="356">
          <cell r="D356">
            <v>9</v>
          </cell>
          <cell r="G356">
            <v>40238</v>
          </cell>
          <cell r="K356">
            <v>61566.836402991292</v>
          </cell>
          <cell r="L356">
            <v>59663.196148386211</v>
          </cell>
          <cell r="O356">
            <v>2.5133373389328108E-2</v>
          </cell>
        </row>
        <row r="357">
          <cell r="D357">
            <v>1</v>
          </cell>
          <cell r="G357">
            <v>40269</v>
          </cell>
          <cell r="K357">
            <v>161660.99367434686</v>
          </cell>
          <cell r="L357">
            <v>156662.45236318425</v>
          </cell>
          <cell r="N357">
            <v>0</v>
          </cell>
          <cell r="O357">
            <v>2.411879097384929E-2</v>
          </cell>
        </row>
        <row r="358">
          <cell r="D358">
            <v>2</v>
          </cell>
          <cell r="G358">
            <v>40269</v>
          </cell>
          <cell r="K358">
            <v>63528.977344003244</v>
          </cell>
          <cell r="L358">
            <v>61564.667893143385</v>
          </cell>
          <cell r="N358">
            <v>0</v>
          </cell>
          <cell r="O358">
            <v>2.411879097384929E-2</v>
          </cell>
        </row>
        <row r="359">
          <cell r="D359">
            <v>3</v>
          </cell>
          <cell r="G359">
            <v>40269</v>
          </cell>
          <cell r="K359">
            <v>2374.1597771302613</v>
          </cell>
          <cell r="L359">
            <v>2300.7510008042163</v>
          </cell>
          <cell r="N359">
            <v>0</v>
          </cell>
          <cell r="O359">
            <v>3.3766307363389009E-2</v>
          </cell>
        </row>
        <row r="360">
          <cell r="D360">
            <v>4</v>
          </cell>
          <cell r="G360">
            <v>40269</v>
          </cell>
          <cell r="K360">
            <v>253105.6257741357</v>
          </cell>
          <cell r="L360">
            <v>245279.62583584353</v>
          </cell>
          <cell r="N360">
            <v>0</v>
          </cell>
          <cell r="O360">
            <v>1.6538599524925229E-2</v>
          </cell>
        </row>
        <row r="361">
          <cell r="D361">
            <v>5</v>
          </cell>
          <cell r="G361">
            <v>40269</v>
          </cell>
          <cell r="K361">
            <v>7312.0586135809544</v>
          </cell>
          <cell r="L361">
            <v>7085.970512679798</v>
          </cell>
          <cell r="N361">
            <v>0</v>
          </cell>
          <cell r="O361">
            <v>2.9287103325388423E-2</v>
          </cell>
        </row>
        <row r="362">
          <cell r="D362">
            <v>6</v>
          </cell>
          <cell r="G362">
            <v>40269</v>
          </cell>
          <cell r="K362">
            <v>72897.992260004117</v>
          </cell>
          <cell r="L362">
            <v>70643.99383075739</v>
          </cell>
          <cell r="N362">
            <v>0</v>
          </cell>
          <cell r="O362">
            <v>3.4455415676927559E-2</v>
          </cell>
        </row>
        <row r="363">
          <cell r="D363">
            <v>7</v>
          </cell>
          <cell r="G363">
            <v>40269</v>
          </cell>
          <cell r="K363">
            <v>169873.12949316861</v>
          </cell>
          <cell r="L363">
            <v>164620.66978641608</v>
          </cell>
          <cell r="N363">
            <v>0</v>
          </cell>
          <cell r="O363">
            <v>1.9984141092617983E-2</v>
          </cell>
        </row>
        <row r="364">
          <cell r="D364">
            <v>8</v>
          </cell>
          <cell r="G364">
            <v>40269</v>
          </cell>
          <cell r="K364">
            <v>0</v>
          </cell>
          <cell r="L364">
            <v>0</v>
          </cell>
          <cell r="N364">
            <v>0</v>
          </cell>
          <cell r="O364">
            <v>0</v>
          </cell>
        </row>
        <row r="365">
          <cell r="D365">
            <v>9</v>
          </cell>
          <cell r="G365">
            <v>40269</v>
          </cell>
          <cell r="K365">
            <v>48707.338402033223</v>
          </cell>
          <cell r="L365">
            <v>47201.312504099034</v>
          </cell>
          <cell r="N365">
            <v>0</v>
          </cell>
          <cell r="O365">
            <v>1.9984141092617983E-2</v>
          </cell>
        </row>
        <row r="366">
          <cell r="D366">
            <v>1</v>
          </cell>
          <cell r="G366">
            <v>40299</v>
          </cell>
          <cell r="K366">
            <v>139837.36992277537</v>
          </cell>
          <cell r="L366">
            <v>135513.61281528557</v>
          </cell>
          <cell r="O366">
            <v>2.0862845259347534E-2</v>
          </cell>
        </row>
        <row r="367">
          <cell r="D367">
            <v>2</v>
          </cell>
          <cell r="G367">
            <v>40299</v>
          </cell>
          <cell r="K367">
            <v>60756.94490283975</v>
          </cell>
          <cell r="L367">
            <v>58878.346410190075</v>
          </cell>
          <cell r="O367">
            <v>2.0862845259347534E-2</v>
          </cell>
        </row>
        <row r="368">
          <cell r="D368">
            <v>3</v>
          </cell>
          <cell r="G368">
            <v>40299</v>
          </cell>
          <cell r="K368">
            <v>1665.1639203519746</v>
          </cell>
          <cell r="L368">
            <v>1613.6772230568704</v>
          </cell>
          <cell r="O368">
            <v>2.920798336308655E-2</v>
          </cell>
        </row>
        <row r="369">
          <cell r="D369">
            <v>4</v>
          </cell>
          <cell r="G369">
            <v>40299</v>
          </cell>
          <cell r="K369">
            <v>311446.07526484155</v>
          </cell>
          <cell r="L369">
            <v>301816.19462370942</v>
          </cell>
          <cell r="O369">
            <v>1.4305951034981166E-2</v>
          </cell>
        </row>
        <row r="370">
          <cell r="D370">
            <v>5</v>
          </cell>
          <cell r="G370">
            <v>40299</v>
          </cell>
          <cell r="K370">
            <v>274601.69619709317</v>
          </cell>
          <cell r="L370">
            <v>266111.03997038765</v>
          </cell>
          <cell r="O370">
            <v>2.5333454957779149E-2</v>
          </cell>
        </row>
        <row r="371">
          <cell r="D371">
            <v>6</v>
          </cell>
          <cell r="G371">
            <v>40299</v>
          </cell>
          <cell r="K371">
            <v>0</v>
          </cell>
          <cell r="L371">
            <v>0</v>
          </cell>
          <cell r="O371">
            <v>2.9804064656210764E-2</v>
          </cell>
        </row>
        <row r="372">
          <cell r="D372">
            <v>7</v>
          </cell>
          <cell r="G372">
            <v>40299</v>
          </cell>
          <cell r="K372">
            <v>483.19208592519658</v>
          </cell>
          <cell r="L372">
            <v>468.25183628409093</v>
          </cell>
          <cell r="O372">
            <v>1.7286357500602242E-2</v>
          </cell>
        </row>
        <row r="373">
          <cell r="D373">
            <v>8</v>
          </cell>
          <cell r="G373">
            <v>40299</v>
          </cell>
          <cell r="K373">
            <v>0</v>
          </cell>
          <cell r="L373">
            <v>0</v>
          </cell>
          <cell r="O373">
            <v>0</v>
          </cell>
        </row>
        <row r="374">
          <cell r="D374">
            <v>9</v>
          </cell>
          <cell r="G374">
            <v>40299</v>
          </cell>
          <cell r="K374">
            <v>8631.4386475481842</v>
          </cell>
          <cell r="L374">
            <v>8364.555451584125</v>
          </cell>
          <cell r="O374">
            <v>1.7286357500602242E-2</v>
          </cell>
        </row>
        <row r="375">
          <cell r="D375">
            <v>1</v>
          </cell>
          <cell r="G375">
            <v>40330</v>
          </cell>
          <cell r="K375">
            <v>121799.89968492661</v>
          </cell>
          <cell r="L375">
            <v>118033.85930355302</v>
          </cell>
          <cell r="N375">
            <v>0</v>
          </cell>
          <cell r="O375">
            <v>1.8171769542962544E-2</v>
          </cell>
        </row>
        <row r="376">
          <cell r="D376">
            <v>2</v>
          </cell>
          <cell r="G376">
            <v>40330</v>
          </cell>
          <cell r="K376">
            <v>76142.095323802685</v>
          </cell>
          <cell r="L376">
            <v>73787.789561206679</v>
          </cell>
          <cell r="N376">
            <v>0</v>
          </cell>
          <cell r="O376">
            <v>1.8171769542962544E-2</v>
          </cell>
        </row>
        <row r="377">
          <cell r="D377">
            <v>3</v>
          </cell>
          <cell r="G377">
            <v>40330</v>
          </cell>
          <cell r="K377">
            <v>8375.2128906183425</v>
          </cell>
          <cell r="L377">
            <v>8116.2521687272656</v>
          </cell>
          <cell r="N377">
            <v>0</v>
          </cell>
          <cell r="O377">
            <v>2.5440477360147564E-2</v>
          </cell>
        </row>
        <row r="378">
          <cell r="D378">
            <v>4</v>
          </cell>
          <cell r="G378">
            <v>40330</v>
          </cell>
          <cell r="K378">
            <v>325174.39514682622</v>
          </cell>
          <cell r="L378">
            <v>315120.03626574716</v>
          </cell>
          <cell r="N378">
            <v>0</v>
          </cell>
          <cell r="O378">
            <v>1.2460641972317174E-2</v>
          </cell>
        </row>
        <row r="379">
          <cell r="D379">
            <v>5</v>
          </cell>
          <cell r="G379">
            <v>40330</v>
          </cell>
          <cell r="K379">
            <v>51729.084216904856</v>
          </cell>
          <cell r="L379">
            <v>50129.626248907458</v>
          </cell>
          <cell r="N379">
            <v>0</v>
          </cell>
          <cell r="O379">
            <v>2.2065720159311662E-2</v>
          </cell>
        </row>
        <row r="380">
          <cell r="D380">
            <v>6</v>
          </cell>
          <cell r="G380">
            <v>40330</v>
          </cell>
          <cell r="K380">
            <v>0</v>
          </cell>
          <cell r="L380">
            <v>0</v>
          </cell>
          <cell r="N380">
            <v>0</v>
          </cell>
          <cell r="O380">
            <v>2.5959670775660779E-2</v>
          </cell>
        </row>
        <row r="381">
          <cell r="D381">
            <v>7</v>
          </cell>
          <cell r="G381">
            <v>40330</v>
          </cell>
          <cell r="K381">
            <v>325131.05127555755</v>
          </cell>
          <cell r="L381">
            <v>315078.03258252388</v>
          </cell>
          <cell r="N381">
            <v>0</v>
          </cell>
          <cell r="O381">
            <v>1.5056609049883251E-2</v>
          </cell>
        </row>
        <row r="382">
          <cell r="D382">
            <v>8</v>
          </cell>
          <cell r="G382">
            <v>40330</v>
          </cell>
          <cell r="K382">
            <v>0</v>
          </cell>
          <cell r="L382">
            <v>0</v>
          </cell>
          <cell r="N382">
            <v>0</v>
          </cell>
          <cell r="O382">
            <v>0</v>
          </cell>
        </row>
        <row r="383">
          <cell r="D383">
            <v>9</v>
          </cell>
          <cell r="G383">
            <v>40330</v>
          </cell>
          <cell r="K383">
            <v>43288.994409073122</v>
          </cell>
          <cell r="L383">
            <v>41950.503150579905</v>
          </cell>
          <cell r="N383">
            <v>0</v>
          </cell>
          <cell r="O383">
            <v>1.5056609049883251E-2</v>
          </cell>
        </row>
        <row r="384">
          <cell r="D384">
            <v>1</v>
          </cell>
          <cell r="G384">
            <v>40360</v>
          </cell>
          <cell r="K384">
            <v>92522</v>
          </cell>
          <cell r="L384">
            <v>85293.03</v>
          </cell>
          <cell r="N384">
            <v>0</v>
          </cell>
          <cell r="O384">
            <v>1.313119213356379E-2</v>
          </cell>
        </row>
        <row r="385">
          <cell r="D385">
            <v>2</v>
          </cell>
          <cell r="G385">
            <v>40360</v>
          </cell>
          <cell r="K385">
            <v>72026</v>
          </cell>
          <cell r="L385">
            <v>62636.88</v>
          </cell>
          <cell r="O385">
            <v>1.313119213356379E-2</v>
          </cell>
        </row>
        <row r="386">
          <cell r="D386">
            <v>3</v>
          </cell>
          <cell r="G386">
            <v>40360</v>
          </cell>
          <cell r="K386">
            <v>68480</v>
          </cell>
          <cell r="L386">
            <v>102195.52</v>
          </cell>
          <cell r="O386">
            <v>1.8383668986989309E-2</v>
          </cell>
        </row>
        <row r="387">
          <cell r="D387">
            <v>4</v>
          </cell>
          <cell r="G387">
            <v>40360</v>
          </cell>
          <cell r="K387">
            <v>401225</v>
          </cell>
          <cell r="L387">
            <v>318321.95</v>
          </cell>
          <cell r="O387">
            <v>9.0042460344437417E-3</v>
          </cell>
        </row>
        <row r="388">
          <cell r="D388">
            <v>5</v>
          </cell>
          <cell r="G388">
            <v>40360</v>
          </cell>
          <cell r="K388">
            <v>374007</v>
          </cell>
          <cell r="L388">
            <v>40996.06</v>
          </cell>
          <cell r="O388">
            <v>1.5945019019327461E-2</v>
          </cell>
        </row>
        <row r="389">
          <cell r="D389">
            <v>6</v>
          </cell>
          <cell r="G389">
            <v>40360</v>
          </cell>
          <cell r="K389">
            <v>0</v>
          </cell>
          <cell r="L389">
            <v>0</v>
          </cell>
          <cell r="O389">
            <v>1.875884590509113E-2</v>
          </cell>
        </row>
        <row r="390">
          <cell r="D390">
            <v>7</v>
          </cell>
          <cell r="G390">
            <v>40360</v>
          </cell>
          <cell r="K390">
            <v>117506</v>
          </cell>
          <cell r="L390">
            <v>5943.21</v>
          </cell>
          <cell r="O390">
            <v>1.0880130624952855E-2</v>
          </cell>
        </row>
        <row r="391">
          <cell r="D391">
            <v>8</v>
          </cell>
          <cell r="G391">
            <v>40360</v>
          </cell>
          <cell r="K391">
            <v>0</v>
          </cell>
          <cell r="L391">
            <v>0</v>
          </cell>
          <cell r="O391">
            <v>0</v>
          </cell>
        </row>
        <row r="392">
          <cell r="D392">
            <v>9</v>
          </cell>
          <cell r="G392">
            <v>40360</v>
          </cell>
          <cell r="K392">
            <v>21035</v>
          </cell>
          <cell r="L392">
            <v>0</v>
          </cell>
          <cell r="O392">
            <v>1.0880130624952855E-2</v>
          </cell>
        </row>
        <row r="393">
          <cell r="D393">
            <v>1</v>
          </cell>
          <cell r="G393">
            <v>40391</v>
          </cell>
          <cell r="K393">
            <v>92522</v>
          </cell>
          <cell r="L393">
            <v>73564.42</v>
          </cell>
          <cell r="N393">
            <v>0</v>
          </cell>
          <cell r="O393">
            <v>1.1325527223199629E-2</v>
          </cell>
        </row>
        <row r="394">
          <cell r="D394">
            <v>2</v>
          </cell>
          <cell r="G394">
            <v>40391</v>
          </cell>
          <cell r="K394">
            <v>72026</v>
          </cell>
          <cell r="L394">
            <v>39714.5</v>
          </cell>
          <cell r="N394">
            <v>0</v>
          </cell>
          <cell r="O394">
            <v>1.1325527223199629E-2</v>
          </cell>
        </row>
        <row r="395">
          <cell r="D395">
            <v>3</v>
          </cell>
          <cell r="G395">
            <v>40391</v>
          </cell>
          <cell r="K395">
            <v>68480</v>
          </cell>
          <cell r="L395">
            <v>31219.9</v>
          </cell>
          <cell r="N395">
            <v>0</v>
          </cell>
          <cell r="O395">
            <v>1.5855738112479482E-2</v>
          </cell>
        </row>
        <row r="396">
          <cell r="D396">
            <v>4</v>
          </cell>
          <cell r="G396">
            <v>40391</v>
          </cell>
          <cell r="K396">
            <v>401225</v>
          </cell>
          <cell r="L396">
            <v>357673.04000000004</v>
          </cell>
          <cell r="N396">
            <v>0</v>
          </cell>
          <cell r="O396">
            <v>7.7660758101940307E-3</v>
          </cell>
        </row>
        <row r="397">
          <cell r="D397">
            <v>5</v>
          </cell>
          <cell r="G397">
            <v>40391</v>
          </cell>
          <cell r="K397">
            <v>373580</v>
          </cell>
          <cell r="L397">
            <v>858749.56</v>
          </cell>
          <cell r="N397">
            <v>0</v>
          </cell>
          <cell r="O397">
            <v>1.3752425913885263E-2</v>
          </cell>
        </row>
        <row r="398">
          <cell r="D398">
            <v>6</v>
          </cell>
          <cell r="G398">
            <v>40391</v>
          </cell>
          <cell r="K398">
            <v>0</v>
          </cell>
          <cell r="L398">
            <v>0</v>
          </cell>
          <cell r="N398">
            <v>0</v>
          </cell>
          <cell r="O398">
            <v>1.6179324604570899E-2</v>
          </cell>
        </row>
        <row r="399">
          <cell r="D399">
            <v>7</v>
          </cell>
          <cell r="G399">
            <v>40391</v>
          </cell>
          <cell r="K399">
            <v>117506</v>
          </cell>
          <cell r="L399">
            <v>1065.68</v>
          </cell>
          <cell r="N399">
            <v>0</v>
          </cell>
          <cell r="O399">
            <v>9.3840082706511205E-3</v>
          </cell>
        </row>
        <row r="400">
          <cell r="D400">
            <v>8</v>
          </cell>
          <cell r="G400">
            <v>40391</v>
          </cell>
          <cell r="K400">
            <v>0</v>
          </cell>
          <cell r="L400">
            <v>0</v>
          </cell>
          <cell r="N400">
            <v>0</v>
          </cell>
          <cell r="O400">
            <v>0</v>
          </cell>
        </row>
        <row r="401">
          <cell r="D401">
            <v>9</v>
          </cell>
          <cell r="G401">
            <v>40391</v>
          </cell>
          <cell r="K401">
            <v>21035</v>
          </cell>
          <cell r="L401">
            <v>38257.699999999997</v>
          </cell>
          <cell r="N401">
            <v>0</v>
          </cell>
          <cell r="O401">
            <v>9.3840082706511205E-3</v>
          </cell>
        </row>
        <row r="402">
          <cell r="D402">
            <v>1</v>
          </cell>
          <cell r="G402">
            <v>40422</v>
          </cell>
          <cell r="K402">
            <v>92522</v>
          </cell>
          <cell r="L402">
            <v>106244.25</v>
          </cell>
          <cell r="O402">
            <v>1.6356713553691136E-2</v>
          </cell>
        </row>
        <row r="403">
          <cell r="D403">
            <v>2</v>
          </cell>
          <cell r="G403">
            <v>40422</v>
          </cell>
          <cell r="K403">
            <v>72026</v>
          </cell>
          <cell r="L403">
            <v>90863.290000000008</v>
          </cell>
          <cell r="O403">
            <v>1.6356713553691136E-2</v>
          </cell>
        </row>
        <row r="404">
          <cell r="D404">
            <v>3</v>
          </cell>
          <cell r="G404">
            <v>40422</v>
          </cell>
          <cell r="K404">
            <v>14784</v>
          </cell>
          <cell r="L404">
            <v>26641.599999999999</v>
          </cell>
          <cell r="O404">
            <v>2.289939897516759E-2</v>
          </cell>
        </row>
        <row r="405">
          <cell r="D405">
            <v>4</v>
          </cell>
          <cell r="G405">
            <v>40422</v>
          </cell>
          <cell r="K405">
            <v>401225</v>
          </cell>
          <cell r="L405">
            <v>470252.17000000004</v>
          </cell>
          <cell r="O405">
            <v>1.1216032151102494E-2</v>
          </cell>
        </row>
        <row r="406">
          <cell r="D406">
            <v>5</v>
          </cell>
          <cell r="G406">
            <v>40422</v>
          </cell>
          <cell r="K406">
            <v>364622</v>
          </cell>
          <cell r="L406">
            <v>445593.85000000003</v>
          </cell>
          <cell r="O406">
            <v>1.9861723600910666E-2</v>
          </cell>
        </row>
        <row r="407">
          <cell r="D407">
            <v>6</v>
          </cell>
          <cell r="G407">
            <v>40422</v>
          </cell>
          <cell r="K407">
            <v>0</v>
          </cell>
          <cell r="L407">
            <v>0</v>
          </cell>
          <cell r="O407">
            <v>2.3366733648130196E-2</v>
          </cell>
        </row>
        <row r="408">
          <cell r="D408">
            <v>7</v>
          </cell>
          <cell r="G408">
            <v>40422</v>
          </cell>
          <cell r="K408">
            <v>99090</v>
          </cell>
          <cell r="L408">
            <v>3041.53</v>
          </cell>
          <cell r="O408">
            <v>1.3552705515915513E-2</v>
          </cell>
        </row>
        <row r="409">
          <cell r="D409">
            <v>8</v>
          </cell>
          <cell r="G409">
            <v>40422</v>
          </cell>
          <cell r="K409">
            <v>0</v>
          </cell>
          <cell r="L409">
            <v>0</v>
          </cell>
          <cell r="O409">
            <v>0</v>
          </cell>
        </row>
        <row r="410">
          <cell r="D410">
            <v>9</v>
          </cell>
          <cell r="G410">
            <v>40422</v>
          </cell>
          <cell r="K410">
            <v>21035</v>
          </cell>
          <cell r="L410">
            <v>0</v>
          </cell>
          <cell r="O410">
            <v>1.3552705515915513E-2</v>
          </cell>
        </row>
        <row r="411">
          <cell r="D411">
            <v>1</v>
          </cell>
          <cell r="G411">
            <v>40452</v>
          </cell>
          <cell r="K411">
            <v>88315</v>
          </cell>
          <cell r="L411">
            <v>84671</v>
          </cell>
          <cell r="N411">
            <v>0</v>
          </cell>
          <cell r="O411">
            <v>1.3035428207216692E-2</v>
          </cell>
        </row>
        <row r="412">
          <cell r="D412">
            <v>2</v>
          </cell>
          <cell r="G412">
            <v>40452</v>
          </cell>
          <cell r="K412">
            <v>68752</v>
          </cell>
          <cell r="L412">
            <v>59797</v>
          </cell>
          <cell r="N412">
            <v>0</v>
          </cell>
          <cell r="O412">
            <v>1.3035428207216692E-2</v>
          </cell>
        </row>
        <row r="413">
          <cell r="D413">
            <v>3</v>
          </cell>
          <cell r="G413">
            <v>40452</v>
          </cell>
          <cell r="K413">
            <v>11672</v>
          </cell>
          <cell r="L413">
            <v>12529</v>
          </cell>
          <cell r="N413">
            <v>0</v>
          </cell>
          <cell r="O413">
            <v>1.8249599490103369E-2</v>
          </cell>
        </row>
        <row r="414">
          <cell r="D414">
            <v>4</v>
          </cell>
          <cell r="G414">
            <v>40452</v>
          </cell>
          <cell r="K414">
            <v>382987</v>
          </cell>
          <cell r="L414">
            <v>316579</v>
          </cell>
          <cell r="N414">
            <v>0</v>
          </cell>
          <cell r="O414">
            <v>8.9385793420914458E-3</v>
          </cell>
        </row>
        <row r="415">
          <cell r="D415">
            <v>5</v>
          </cell>
          <cell r="G415">
            <v>40452</v>
          </cell>
          <cell r="K415">
            <v>154903</v>
          </cell>
          <cell r="L415">
            <v>356105</v>
          </cell>
          <cell r="N415">
            <v>0</v>
          </cell>
          <cell r="O415">
            <v>1.582873425162027E-2</v>
          </cell>
        </row>
        <row r="416">
          <cell r="D416">
            <v>6</v>
          </cell>
          <cell r="G416">
            <v>40452</v>
          </cell>
          <cell r="K416">
            <v>0</v>
          </cell>
          <cell r="L416">
            <v>0</v>
          </cell>
          <cell r="N416">
            <v>0</v>
          </cell>
          <cell r="O416">
            <v>1.8622040296023847E-2</v>
          </cell>
        </row>
        <row r="417">
          <cell r="D417">
            <v>7</v>
          </cell>
          <cell r="G417">
            <v>40452</v>
          </cell>
          <cell r="K417">
            <v>94586</v>
          </cell>
          <cell r="L417">
            <v>155604</v>
          </cell>
          <cell r="N417">
            <v>0</v>
          </cell>
          <cell r="O417">
            <v>1.080078337169383E-2</v>
          </cell>
        </row>
        <row r="418">
          <cell r="D418">
            <v>8</v>
          </cell>
          <cell r="G418">
            <v>40452</v>
          </cell>
          <cell r="K418">
            <v>0</v>
          </cell>
          <cell r="L418">
            <v>8372</v>
          </cell>
          <cell r="N418">
            <v>0</v>
          </cell>
          <cell r="O418">
            <v>0</v>
          </cell>
        </row>
        <row r="419">
          <cell r="D419">
            <v>9</v>
          </cell>
          <cell r="G419">
            <v>40452</v>
          </cell>
          <cell r="K419">
            <v>20079</v>
          </cell>
          <cell r="L419">
            <v>50810</v>
          </cell>
          <cell r="N419">
            <v>0</v>
          </cell>
          <cell r="O419">
            <v>1.080078337169383E-2</v>
          </cell>
        </row>
        <row r="420">
          <cell r="D420">
            <v>1</v>
          </cell>
          <cell r="G420">
            <v>40483</v>
          </cell>
          <cell r="K420">
            <v>92522</v>
          </cell>
          <cell r="L420">
            <v>68811.72</v>
          </cell>
          <cell r="O420">
            <v>1.0593830660735045E-2</v>
          </cell>
        </row>
        <row r="421">
          <cell r="D421">
            <v>2</v>
          </cell>
          <cell r="G421">
            <v>40483</v>
          </cell>
          <cell r="K421">
            <v>72026</v>
          </cell>
          <cell r="L421">
            <v>36551.78</v>
          </cell>
          <cell r="O421">
            <v>1.0593830660735045E-2</v>
          </cell>
        </row>
        <row r="422">
          <cell r="D422">
            <v>3</v>
          </cell>
          <cell r="G422">
            <v>40483</v>
          </cell>
          <cell r="K422">
            <v>12228</v>
          </cell>
          <cell r="L422">
            <v>625.33000000000004</v>
          </cell>
          <cell r="O422">
            <v>1.4831362925029064E-2</v>
          </cell>
        </row>
        <row r="423">
          <cell r="D423">
            <v>4</v>
          </cell>
          <cell r="G423">
            <v>40483</v>
          </cell>
          <cell r="K423">
            <v>401225</v>
          </cell>
          <cell r="L423">
            <v>287581.64</v>
          </cell>
          <cell r="O423">
            <v>7.2643410245040313E-3</v>
          </cell>
        </row>
        <row r="424">
          <cell r="D424">
            <v>5</v>
          </cell>
          <cell r="G424">
            <v>40483</v>
          </cell>
          <cell r="K424">
            <v>162279</v>
          </cell>
          <cell r="L424">
            <v>230540.91</v>
          </cell>
          <cell r="O424">
            <v>1.2863937230892556E-2</v>
          </cell>
        </row>
        <row r="425">
          <cell r="D425">
            <v>6</v>
          </cell>
          <cell r="G425">
            <v>40483</v>
          </cell>
          <cell r="K425">
            <v>0</v>
          </cell>
          <cell r="L425">
            <v>0</v>
          </cell>
          <cell r="O425">
            <v>1.5134043801050066E-2</v>
          </cell>
        </row>
        <row r="426">
          <cell r="D426">
            <v>7</v>
          </cell>
          <cell r="G426">
            <v>40483</v>
          </cell>
          <cell r="K426">
            <v>105492</v>
          </cell>
          <cell r="L426">
            <v>70166.259999999995</v>
          </cell>
          <cell r="O426">
            <v>8.7777454046090372E-3</v>
          </cell>
        </row>
        <row r="427">
          <cell r="D427">
            <v>8</v>
          </cell>
          <cell r="G427">
            <v>40483</v>
          </cell>
          <cell r="K427">
            <v>0</v>
          </cell>
          <cell r="L427">
            <v>214.61</v>
          </cell>
          <cell r="O427">
            <v>0</v>
          </cell>
        </row>
        <row r="428">
          <cell r="D428">
            <v>9</v>
          </cell>
          <cell r="G428">
            <v>40483</v>
          </cell>
          <cell r="K428">
            <v>21035</v>
          </cell>
          <cell r="L428">
            <v>53967.83</v>
          </cell>
          <cell r="O428">
            <v>8.7777454046090372E-3</v>
          </cell>
        </row>
        <row r="429">
          <cell r="D429">
            <v>1</v>
          </cell>
          <cell r="G429">
            <v>40513</v>
          </cell>
          <cell r="K429">
            <v>96727</v>
          </cell>
          <cell r="L429">
            <v>42818.400000000001</v>
          </cell>
          <cell r="N429">
            <v>0</v>
          </cell>
          <cell r="O429">
            <v>6.5920584278901552E-3</v>
          </cell>
        </row>
        <row r="430">
          <cell r="D430">
            <v>2</v>
          </cell>
          <cell r="G430">
            <v>40513</v>
          </cell>
          <cell r="K430">
            <v>75300</v>
          </cell>
          <cell r="L430">
            <v>21994.69</v>
          </cell>
          <cell r="N430">
            <v>0</v>
          </cell>
          <cell r="O430">
            <v>6.5920584278901552E-3</v>
          </cell>
        </row>
        <row r="431">
          <cell r="D431">
            <v>3</v>
          </cell>
          <cell r="G431">
            <v>40513</v>
          </cell>
          <cell r="K431">
            <v>12783</v>
          </cell>
          <cell r="L431">
            <v>0</v>
          </cell>
          <cell r="N431">
            <v>0</v>
          </cell>
          <cell r="O431">
            <v>9.2288817990462176E-3</v>
          </cell>
        </row>
        <row r="432">
          <cell r="D432">
            <v>4</v>
          </cell>
          <cell r="G432">
            <v>40513</v>
          </cell>
          <cell r="K432">
            <v>278592</v>
          </cell>
          <cell r="L432">
            <v>191460.22</v>
          </cell>
          <cell r="N432">
            <v>0</v>
          </cell>
          <cell r="O432">
            <v>4.5202686362675352E-3</v>
          </cell>
        </row>
        <row r="433">
          <cell r="D433">
            <v>5</v>
          </cell>
          <cell r="G433">
            <v>40513</v>
          </cell>
          <cell r="K433">
            <v>169655</v>
          </cell>
          <cell r="L433">
            <v>12366.24</v>
          </cell>
          <cell r="N433">
            <v>0</v>
          </cell>
          <cell r="O433">
            <v>8.0046423767237591E-3</v>
          </cell>
        </row>
        <row r="434">
          <cell r="D434">
            <v>6</v>
          </cell>
          <cell r="G434">
            <v>40513</v>
          </cell>
          <cell r="K434">
            <v>0</v>
          </cell>
          <cell r="L434">
            <v>0</v>
          </cell>
          <cell r="N434">
            <v>0</v>
          </cell>
          <cell r="O434">
            <v>9.4172263255573648E-3</v>
          </cell>
        </row>
        <row r="435">
          <cell r="D435">
            <v>7</v>
          </cell>
          <cell r="G435">
            <v>40513</v>
          </cell>
          <cell r="K435">
            <v>109044</v>
          </cell>
          <cell r="L435">
            <v>0</v>
          </cell>
          <cell r="N435">
            <v>0</v>
          </cell>
          <cell r="O435">
            <v>5.4619912688232712E-3</v>
          </cell>
        </row>
        <row r="436">
          <cell r="D436">
            <v>8</v>
          </cell>
          <cell r="G436">
            <v>40513</v>
          </cell>
          <cell r="K436">
            <v>0</v>
          </cell>
          <cell r="L436">
            <v>0</v>
          </cell>
          <cell r="N436">
            <v>0</v>
          </cell>
          <cell r="O436">
            <v>0</v>
          </cell>
        </row>
        <row r="437">
          <cell r="D437">
            <v>9</v>
          </cell>
          <cell r="G437">
            <v>40513</v>
          </cell>
          <cell r="K437">
            <v>21991</v>
          </cell>
          <cell r="L437">
            <v>11993.33</v>
          </cell>
          <cell r="N437">
            <v>0</v>
          </cell>
          <cell r="O437">
            <v>5.4619912688232712E-3</v>
          </cell>
        </row>
        <row r="438">
          <cell r="D438">
            <v>1</v>
          </cell>
          <cell r="G438">
            <v>40544</v>
          </cell>
          <cell r="K438">
            <v>85729.196329183833</v>
          </cell>
          <cell r="L438">
            <v>72507.81</v>
          </cell>
          <cell r="O438">
            <v>1.1162858023615035E-2</v>
          </cell>
        </row>
        <row r="439">
          <cell r="D439">
            <v>2</v>
          </cell>
          <cell r="G439">
            <v>40544</v>
          </cell>
          <cell r="K439">
            <v>58427.043798275532</v>
          </cell>
          <cell r="L439">
            <v>37415.440000000002</v>
          </cell>
          <cell r="O439">
            <v>1.1162858023615035E-2</v>
          </cell>
        </row>
        <row r="440">
          <cell r="D440">
            <v>3</v>
          </cell>
          <cell r="G440">
            <v>40544</v>
          </cell>
          <cell r="K440">
            <v>2147.9196501351021</v>
          </cell>
          <cell r="L440">
            <v>0</v>
          </cell>
          <cell r="O440">
            <v>1.5628001233061049E-2</v>
          </cell>
        </row>
        <row r="441">
          <cell r="D441">
            <v>4</v>
          </cell>
          <cell r="G441">
            <v>40544</v>
          </cell>
          <cell r="K441">
            <v>188437.73578578013</v>
          </cell>
          <cell r="L441">
            <v>165778.51999999999</v>
          </cell>
          <cell r="O441">
            <v>7.6545312161931667E-3</v>
          </cell>
        </row>
        <row r="442">
          <cell r="D442">
            <v>5</v>
          </cell>
          <cell r="G442">
            <v>40544</v>
          </cell>
          <cell r="K442">
            <v>78479.841105290208</v>
          </cell>
          <cell r="L442">
            <v>85359.95</v>
          </cell>
          <cell r="O442">
            <v>1.3554899028675399E-2</v>
          </cell>
        </row>
        <row r="443">
          <cell r="D443">
            <v>6</v>
          </cell>
          <cell r="G443">
            <v>40544</v>
          </cell>
          <cell r="K443">
            <v>0</v>
          </cell>
          <cell r="L443">
            <v>0</v>
          </cell>
          <cell r="O443">
            <v>1.5946940033735764E-2</v>
          </cell>
        </row>
        <row r="444">
          <cell r="D444">
            <v>7</v>
          </cell>
          <cell r="G444">
            <v>40544</v>
          </cell>
          <cell r="K444">
            <v>8601.0666853994244</v>
          </cell>
          <cell r="L444">
            <v>7064.11</v>
          </cell>
          <cell r="O444">
            <v>9.2492252195667431E-3</v>
          </cell>
        </row>
        <row r="445">
          <cell r="D445">
            <v>8</v>
          </cell>
          <cell r="G445">
            <v>40544</v>
          </cell>
          <cell r="K445">
            <v>6553.201716115248</v>
          </cell>
          <cell r="L445">
            <v>0</v>
          </cell>
          <cell r="O445">
            <v>0</v>
          </cell>
        </row>
        <row r="446">
          <cell r="D446">
            <v>9</v>
          </cell>
          <cell r="G446">
            <v>40544</v>
          </cell>
          <cell r="K446">
            <v>9.420195438084299E-3</v>
          </cell>
          <cell r="L446">
            <v>0</v>
          </cell>
          <cell r="O446">
            <v>9.2492252195667431E-3</v>
          </cell>
        </row>
        <row r="447">
          <cell r="D447">
            <v>1</v>
          </cell>
          <cell r="G447">
            <v>40575</v>
          </cell>
          <cell r="K447">
            <v>66960.480852755136</v>
          </cell>
          <cell r="L447">
            <v>0</v>
          </cell>
          <cell r="N447">
            <v>66960.480852755136</v>
          </cell>
          <cell r="O447">
            <v>0</v>
          </cell>
        </row>
        <row r="448">
          <cell r="D448">
            <v>2</v>
          </cell>
          <cell r="G448">
            <v>40575</v>
          </cell>
          <cell r="K448">
            <v>43021.952453874546</v>
          </cell>
          <cell r="L448">
            <v>0</v>
          </cell>
          <cell r="N448">
            <v>43021.952453874546</v>
          </cell>
          <cell r="O448">
            <v>0</v>
          </cell>
        </row>
        <row r="449">
          <cell r="D449">
            <v>3</v>
          </cell>
          <cell r="G449">
            <v>40575</v>
          </cell>
          <cell r="K449">
            <v>2147.9196501351021</v>
          </cell>
          <cell r="L449">
            <v>0</v>
          </cell>
          <cell r="N449">
            <v>2147.9196501351021</v>
          </cell>
          <cell r="O449">
            <v>0</v>
          </cell>
        </row>
        <row r="450">
          <cell r="D450">
            <v>4</v>
          </cell>
          <cell r="G450">
            <v>40575</v>
          </cell>
          <cell r="K450">
            <v>188437.73578578013</v>
          </cell>
          <cell r="L450">
            <v>0</v>
          </cell>
          <cell r="N450">
            <v>188437.73578578013</v>
          </cell>
          <cell r="O450">
            <v>0</v>
          </cell>
        </row>
        <row r="451">
          <cell r="D451">
            <v>5</v>
          </cell>
          <cell r="G451">
            <v>40575</v>
          </cell>
          <cell r="K451">
            <v>89390.434333987127</v>
          </cell>
          <cell r="L451">
            <v>0</v>
          </cell>
          <cell r="N451">
            <v>89390.434333987127</v>
          </cell>
          <cell r="O451">
            <v>0</v>
          </cell>
        </row>
        <row r="452">
          <cell r="D452">
            <v>6</v>
          </cell>
          <cell r="G452">
            <v>40575</v>
          </cell>
          <cell r="K452">
            <v>0</v>
          </cell>
          <cell r="L452">
            <v>0</v>
          </cell>
          <cell r="N452">
            <v>0</v>
          </cell>
          <cell r="O452">
            <v>0</v>
          </cell>
        </row>
        <row r="453">
          <cell r="D453">
            <v>7</v>
          </cell>
          <cell r="G453">
            <v>40575</v>
          </cell>
          <cell r="K453">
            <v>8601.0519407456941</v>
          </cell>
          <cell r="L453">
            <v>0</v>
          </cell>
          <cell r="N453">
            <v>8601.0519407456941</v>
          </cell>
          <cell r="O453">
            <v>0</v>
          </cell>
        </row>
        <row r="454">
          <cell r="D454">
            <v>8</v>
          </cell>
          <cell r="G454">
            <v>40575</v>
          </cell>
          <cell r="K454">
            <v>6553.201716115248</v>
          </cell>
          <cell r="L454">
            <v>0</v>
          </cell>
          <cell r="N454">
            <v>6553.201716115248</v>
          </cell>
          <cell r="O454">
            <v>0</v>
          </cell>
        </row>
        <row r="455">
          <cell r="D455">
            <v>9</v>
          </cell>
          <cell r="G455">
            <v>40575</v>
          </cell>
          <cell r="K455">
            <v>1.8840390876168598E-2</v>
          </cell>
          <cell r="L455">
            <v>0</v>
          </cell>
          <cell r="N455">
            <v>1.8840390876168598E-2</v>
          </cell>
          <cell r="O455">
            <v>0</v>
          </cell>
        </row>
        <row r="456">
          <cell r="D456">
            <v>1</v>
          </cell>
          <cell r="G456">
            <v>40603</v>
          </cell>
          <cell r="K456">
            <v>66960.480852755136</v>
          </cell>
          <cell r="L456">
            <v>0</v>
          </cell>
          <cell r="N456">
            <v>66960.480852755136</v>
          </cell>
          <cell r="O456">
            <v>0</v>
          </cell>
        </row>
        <row r="457">
          <cell r="D457">
            <v>2</v>
          </cell>
          <cell r="G457">
            <v>40603</v>
          </cell>
          <cell r="K457">
            <v>45190.041725419862</v>
          </cell>
          <cell r="L457">
            <v>0</v>
          </cell>
          <cell r="N457">
            <v>45190.041725419862</v>
          </cell>
          <cell r="O457">
            <v>0</v>
          </cell>
        </row>
        <row r="458">
          <cell r="D458">
            <v>3</v>
          </cell>
          <cell r="G458">
            <v>40603</v>
          </cell>
          <cell r="K458">
            <v>2147.9196501351021</v>
          </cell>
          <cell r="L458">
            <v>0</v>
          </cell>
          <cell r="N458">
            <v>2147.9196501351021</v>
          </cell>
          <cell r="O458">
            <v>0</v>
          </cell>
        </row>
        <row r="459">
          <cell r="D459">
            <v>4</v>
          </cell>
          <cell r="G459">
            <v>40603</v>
          </cell>
          <cell r="K459">
            <v>189656.57260552808</v>
          </cell>
          <cell r="L459">
            <v>0</v>
          </cell>
          <cell r="N459">
            <v>189656.57260552808</v>
          </cell>
          <cell r="O459">
            <v>0</v>
          </cell>
        </row>
        <row r="460">
          <cell r="D460">
            <v>5</v>
          </cell>
          <cell r="G460">
            <v>40603</v>
          </cell>
          <cell r="K460">
            <v>111948.85142998424</v>
          </cell>
          <cell r="L460">
            <v>0</v>
          </cell>
          <cell r="N460">
            <v>111948.85142998424</v>
          </cell>
          <cell r="O460">
            <v>0</v>
          </cell>
        </row>
        <row r="461">
          <cell r="D461">
            <v>6</v>
          </cell>
          <cell r="G461">
            <v>40603</v>
          </cell>
          <cell r="K461">
            <v>0</v>
          </cell>
          <cell r="L461">
            <v>0</v>
          </cell>
          <cell r="N461">
            <v>0</v>
          </cell>
          <cell r="O461">
            <v>0</v>
          </cell>
        </row>
        <row r="462">
          <cell r="D462">
            <v>7</v>
          </cell>
          <cell r="G462">
            <v>40603</v>
          </cell>
          <cell r="K462">
            <v>8601.023925903608</v>
          </cell>
          <cell r="L462">
            <v>0</v>
          </cell>
          <cell r="N462">
            <v>8601.023925903608</v>
          </cell>
          <cell r="O462">
            <v>0</v>
          </cell>
        </row>
        <row r="463">
          <cell r="D463">
            <v>8</v>
          </cell>
          <cell r="G463">
            <v>40603</v>
          </cell>
          <cell r="K463">
            <v>6962.7768233724537</v>
          </cell>
          <cell r="L463">
            <v>0</v>
          </cell>
          <cell r="N463">
            <v>6962.7768233724537</v>
          </cell>
          <cell r="O463">
            <v>0</v>
          </cell>
        </row>
        <row r="464">
          <cell r="D464">
            <v>9</v>
          </cell>
          <cell r="G464">
            <v>40603</v>
          </cell>
          <cell r="K464">
            <v>3.7680781752337196E-2</v>
          </cell>
          <cell r="L464">
            <v>0</v>
          </cell>
          <cell r="N464">
            <v>3.7680781752337196E-2</v>
          </cell>
          <cell r="O464">
            <v>0</v>
          </cell>
        </row>
        <row r="465">
          <cell r="D465">
            <v>1</v>
          </cell>
          <cell r="G465">
            <v>40634</v>
          </cell>
          <cell r="K465">
            <v>71424.512909605488</v>
          </cell>
          <cell r="L465">
            <v>0</v>
          </cell>
          <cell r="N465">
            <v>71424.512909605488</v>
          </cell>
          <cell r="O465">
            <v>0</v>
          </cell>
        </row>
        <row r="466">
          <cell r="D466">
            <v>2</v>
          </cell>
          <cell r="G466">
            <v>40634</v>
          </cell>
          <cell r="K466">
            <v>45745.476435656426</v>
          </cell>
          <cell r="L466">
            <v>0</v>
          </cell>
          <cell r="N466">
            <v>45745.476435656426</v>
          </cell>
          <cell r="O466">
            <v>0</v>
          </cell>
        </row>
        <row r="467">
          <cell r="D467">
            <v>3</v>
          </cell>
          <cell r="G467">
            <v>40634</v>
          </cell>
          <cell r="K467">
            <v>2107.783637791918</v>
          </cell>
          <cell r="L467">
            <v>0</v>
          </cell>
          <cell r="N467">
            <v>2107.783637791918</v>
          </cell>
          <cell r="O467">
            <v>0</v>
          </cell>
        </row>
        <row r="468">
          <cell r="D468">
            <v>4</v>
          </cell>
          <cell r="G468">
            <v>40634</v>
          </cell>
          <cell r="K468">
            <v>200918.99571684893</v>
          </cell>
          <cell r="L468">
            <v>0</v>
          </cell>
          <cell r="N468">
            <v>200918.99571684893</v>
          </cell>
          <cell r="O468">
            <v>0</v>
          </cell>
        </row>
        <row r="469">
          <cell r="D469">
            <v>5</v>
          </cell>
          <cell r="G469">
            <v>40634</v>
          </cell>
          <cell r="K469">
            <v>115644.31767395501</v>
          </cell>
          <cell r="L469">
            <v>0</v>
          </cell>
          <cell r="N469">
            <v>115644.31767395501</v>
          </cell>
          <cell r="O469">
            <v>0</v>
          </cell>
        </row>
        <row r="470">
          <cell r="D470">
            <v>6</v>
          </cell>
          <cell r="G470">
            <v>40634</v>
          </cell>
          <cell r="K470">
            <v>0</v>
          </cell>
          <cell r="L470">
            <v>0</v>
          </cell>
          <cell r="N470">
            <v>0</v>
          </cell>
          <cell r="O470">
            <v>0</v>
          </cell>
        </row>
        <row r="471">
          <cell r="D471">
            <v>7</v>
          </cell>
          <cell r="G471">
            <v>40634</v>
          </cell>
          <cell r="K471">
            <v>9174.3982925032942</v>
          </cell>
          <cell r="L471">
            <v>0</v>
          </cell>
          <cell r="N471">
            <v>9174.3982925032942</v>
          </cell>
          <cell r="O471">
            <v>0</v>
          </cell>
        </row>
        <row r="472">
          <cell r="D472">
            <v>8</v>
          </cell>
          <cell r="G472">
            <v>40634</v>
          </cell>
          <cell r="K472">
            <v>6962.7768233724537</v>
          </cell>
          <cell r="L472">
            <v>0</v>
          </cell>
          <cell r="N472">
            <v>6962.7768233724537</v>
          </cell>
          <cell r="O472">
            <v>0</v>
          </cell>
        </row>
        <row r="473">
          <cell r="D473">
            <v>9</v>
          </cell>
          <cell r="G473">
            <v>40634</v>
          </cell>
          <cell r="K473">
            <v>5.6521172628505784E-2</v>
          </cell>
          <cell r="L473">
            <v>0</v>
          </cell>
          <cell r="N473">
            <v>5.6521172628505784E-2</v>
          </cell>
          <cell r="O473">
            <v>0</v>
          </cell>
        </row>
        <row r="474">
          <cell r="D474">
            <v>1</v>
          </cell>
          <cell r="G474">
            <v>40664</v>
          </cell>
          <cell r="K474">
            <v>84816.609080156515</v>
          </cell>
          <cell r="L474">
            <v>0</v>
          </cell>
          <cell r="N474">
            <v>84816.609080156515</v>
          </cell>
          <cell r="O474">
            <v>0</v>
          </cell>
        </row>
        <row r="475">
          <cell r="D475">
            <v>2</v>
          </cell>
          <cell r="G475">
            <v>40664</v>
          </cell>
          <cell r="K475">
            <v>47411.96118837432</v>
          </cell>
          <cell r="L475">
            <v>0</v>
          </cell>
          <cell r="N475">
            <v>47411.96118837432</v>
          </cell>
          <cell r="O475">
            <v>0</v>
          </cell>
        </row>
        <row r="476">
          <cell r="D476">
            <v>3</v>
          </cell>
          <cell r="G476">
            <v>40664</v>
          </cell>
          <cell r="K476">
            <v>2482.3683711132812</v>
          </cell>
          <cell r="L476">
            <v>0</v>
          </cell>
          <cell r="N476">
            <v>2482.3683711132812</v>
          </cell>
          <cell r="O476">
            <v>0</v>
          </cell>
        </row>
        <row r="477">
          <cell r="D477">
            <v>4</v>
          </cell>
          <cell r="G477">
            <v>40664</v>
          </cell>
          <cell r="K477">
            <v>234706.26505081152</v>
          </cell>
          <cell r="L477">
            <v>0</v>
          </cell>
          <cell r="N477">
            <v>234706.26505081152</v>
          </cell>
          <cell r="O477">
            <v>0</v>
          </cell>
        </row>
        <row r="478">
          <cell r="D478">
            <v>5</v>
          </cell>
          <cell r="G478">
            <v>40664</v>
          </cell>
          <cell r="K478">
            <v>98424.655531143653</v>
          </cell>
          <cell r="L478">
            <v>0</v>
          </cell>
          <cell r="N478">
            <v>98424.655531143653</v>
          </cell>
          <cell r="O478">
            <v>0</v>
          </cell>
        </row>
        <row r="479">
          <cell r="D479">
            <v>6</v>
          </cell>
          <cell r="G479">
            <v>40664</v>
          </cell>
          <cell r="K479">
            <v>0</v>
          </cell>
          <cell r="L479">
            <v>0</v>
          </cell>
          <cell r="N479">
            <v>0</v>
          </cell>
          <cell r="O479">
            <v>0</v>
          </cell>
        </row>
        <row r="480">
          <cell r="D480">
            <v>7</v>
          </cell>
          <cell r="G480">
            <v>40664</v>
          </cell>
          <cell r="K480">
            <v>10894.63934953219</v>
          </cell>
          <cell r="L480">
            <v>0</v>
          </cell>
          <cell r="N480">
            <v>10894.63934953219</v>
          </cell>
          <cell r="O480">
            <v>0</v>
          </cell>
        </row>
        <row r="481">
          <cell r="D481">
            <v>8</v>
          </cell>
          <cell r="G481">
            <v>40664</v>
          </cell>
          <cell r="K481">
            <v>6962.7768233724537</v>
          </cell>
          <cell r="L481">
            <v>0</v>
          </cell>
          <cell r="N481">
            <v>6962.7768233724537</v>
          </cell>
          <cell r="O481">
            <v>0</v>
          </cell>
        </row>
        <row r="482">
          <cell r="D482">
            <v>9</v>
          </cell>
          <cell r="G482">
            <v>40664</v>
          </cell>
          <cell r="K482">
            <v>3.7680781752337196E-2</v>
          </cell>
          <cell r="L482">
            <v>0</v>
          </cell>
          <cell r="N482">
            <v>3.7680781752337196E-2</v>
          </cell>
          <cell r="O482">
            <v>0</v>
          </cell>
        </row>
        <row r="483">
          <cell r="D483">
            <v>1</v>
          </cell>
          <cell r="G483">
            <v>40695</v>
          </cell>
          <cell r="K483">
            <v>89280.641137006867</v>
          </cell>
          <cell r="L483">
            <v>0</v>
          </cell>
          <cell r="N483">
            <v>89280.641137006867</v>
          </cell>
          <cell r="O483">
            <v>0</v>
          </cell>
        </row>
        <row r="484">
          <cell r="D484">
            <v>2</v>
          </cell>
          <cell r="G484">
            <v>40695</v>
          </cell>
          <cell r="K484">
            <v>47967.436036834923</v>
          </cell>
          <cell r="L484">
            <v>0</v>
          </cell>
          <cell r="N484">
            <v>47967.436036834923</v>
          </cell>
          <cell r="O484">
            <v>0</v>
          </cell>
        </row>
        <row r="485">
          <cell r="D485">
            <v>3</v>
          </cell>
          <cell r="G485">
            <v>40695</v>
          </cell>
          <cell r="K485">
            <v>2552.2307521814118</v>
          </cell>
          <cell r="L485">
            <v>0</v>
          </cell>
          <cell r="N485">
            <v>2552.2307521814118</v>
          </cell>
          <cell r="O485">
            <v>0</v>
          </cell>
        </row>
        <row r="486">
          <cell r="D486">
            <v>4</v>
          </cell>
          <cell r="G486">
            <v>40695</v>
          </cell>
          <cell r="K486">
            <v>245968.68816213237</v>
          </cell>
          <cell r="L486">
            <v>0</v>
          </cell>
          <cell r="N486">
            <v>245968.68816213237</v>
          </cell>
          <cell r="O486">
            <v>0</v>
          </cell>
        </row>
        <row r="487">
          <cell r="D487">
            <v>5</v>
          </cell>
          <cell r="G487">
            <v>40695</v>
          </cell>
          <cell r="K487">
            <v>82494.716523435141</v>
          </cell>
          <cell r="L487">
            <v>0</v>
          </cell>
          <cell r="N487">
            <v>82494.716523435141</v>
          </cell>
          <cell r="O487">
            <v>0</v>
          </cell>
        </row>
        <row r="488">
          <cell r="D488">
            <v>6</v>
          </cell>
          <cell r="G488">
            <v>40695</v>
          </cell>
          <cell r="K488">
            <v>0</v>
          </cell>
          <cell r="L488">
            <v>0</v>
          </cell>
          <cell r="N488">
            <v>0</v>
          </cell>
          <cell r="O488">
            <v>0</v>
          </cell>
        </row>
        <row r="489">
          <cell r="D489">
            <v>7</v>
          </cell>
          <cell r="G489">
            <v>40695</v>
          </cell>
          <cell r="K489">
            <v>11468.057950093069</v>
          </cell>
          <cell r="L489">
            <v>0</v>
          </cell>
          <cell r="N489">
            <v>11468.057950093069</v>
          </cell>
          <cell r="O489">
            <v>0</v>
          </cell>
        </row>
        <row r="490">
          <cell r="D490">
            <v>8</v>
          </cell>
          <cell r="G490">
            <v>40695</v>
          </cell>
          <cell r="K490">
            <v>6962.7768233724537</v>
          </cell>
          <cell r="L490">
            <v>0</v>
          </cell>
          <cell r="N490">
            <v>6962.7768233724537</v>
          </cell>
          <cell r="O490">
            <v>0</v>
          </cell>
        </row>
        <row r="491">
          <cell r="D491">
            <v>9</v>
          </cell>
          <cell r="G491">
            <v>40695</v>
          </cell>
          <cell r="K491">
            <v>2.8260586314252892E-2</v>
          </cell>
          <cell r="L491">
            <v>0</v>
          </cell>
          <cell r="N491">
            <v>2.8260586314252892E-2</v>
          </cell>
          <cell r="O491">
            <v>0</v>
          </cell>
        </row>
        <row r="492">
          <cell r="D492">
            <v>1</v>
          </cell>
          <cell r="G492">
            <v>40725</v>
          </cell>
          <cell r="K492">
            <v>85964.166666666672</v>
          </cell>
          <cell r="L492">
            <v>0</v>
          </cell>
          <cell r="N492">
            <v>85964.166666666672</v>
          </cell>
          <cell r="O492">
            <v>0</v>
          </cell>
        </row>
        <row r="493">
          <cell r="D493">
            <v>2</v>
          </cell>
          <cell r="G493">
            <v>40725</v>
          </cell>
          <cell r="K493">
            <v>20307.916666666668</v>
          </cell>
          <cell r="L493">
            <v>0</v>
          </cell>
          <cell r="N493">
            <v>20307.916666666668</v>
          </cell>
          <cell r="O493">
            <v>0</v>
          </cell>
        </row>
        <row r="494">
          <cell r="D494">
            <v>3</v>
          </cell>
          <cell r="G494">
            <v>40725</v>
          </cell>
          <cell r="K494">
            <v>0</v>
          </cell>
          <cell r="L494">
            <v>0</v>
          </cell>
          <cell r="N494">
            <v>0</v>
          </cell>
          <cell r="O494">
            <v>0</v>
          </cell>
        </row>
        <row r="495">
          <cell r="D495">
            <v>4</v>
          </cell>
          <cell r="G495">
            <v>40725</v>
          </cell>
          <cell r="K495">
            <v>411523</v>
          </cell>
          <cell r="L495">
            <v>0</v>
          </cell>
          <cell r="N495">
            <v>325063.08333333331</v>
          </cell>
          <cell r="O495">
            <v>0</v>
          </cell>
        </row>
        <row r="496">
          <cell r="D496">
            <v>5</v>
          </cell>
          <cell r="G496">
            <v>40725</v>
          </cell>
          <cell r="K496">
            <v>4198.166666666667</v>
          </cell>
          <cell r="L496">
            <v>0</v>
          </cell>
          <cell r="N496">
            <v>4198.166666666667</v>
          </cell>
          <cell r="O496">
            <v>0</v>
          </cell>
        </row>
        <row r="497">
          <cell r="D497">
            <v>6</v>
          </cell>
          <cell r="G497">
            <v>40725</v>
          </cell>
          <cell r="K497">
            <v>0</v>
          </cell>
          <cell r="L497">
            <v>0</v>
          </cell>
          <cell r="N497">
            <v>0</v>
          </cell>
          <cell r="O497">
            <v>0</v>
          </cell>
        </row>
        <row r="498">
          <cell r="D498">
            <v>7</v>
          </cell>
          <cell r="G498">
            <v>40725</v>
          </cell>
          <cell r="K498">
            <v>5721.166666666667</v>
          </cell>
          <cell r="L498">
            <v>0</v>
          </cell>
          <cell r="N498">
            <v>5721.166666666667</v>
          </cell>
          <cell r="O498">
            <v>0</v>
          </cell>
        </row>
        <row r="499">
          <cell r="D499">
            <v>8</v>
          </cell>
          <cell r="G499">
            <v>40725</v>
          </cell>
          <cell r="K499">
            <v>4054.8333333333335</v>
          </cell>
          <cell r="L499">
            <v>0</v>
          </cell>
          <cell r="N499">
            <v>4054.8333333333335</v>
          </cell>
          <cell r="O499">
            <v>0</v>
          </cell>
        </row>
        <row r="500">
          <cell r="D500">
            <v>9</v>
          </cell>
          <cell r="G500">
            <v>40725</v>
          </cell>
          <cell r="K500">
            <v>5513</v>
          </cell>
          <cell r="L500">
            <v>0</v>
          </cell>
          <cell r="N500">
            <v>5513</v>
          </cell>
          <cell r="O500">
            <v>0</v>
          </cell>
        </row>
        <row r="501">
          <cell r="D501">
            <v>1</v>
          </cell>
          <cell r="G501">
            <v>40756</v>
          </cell>
          <cell r="K501">
            <v>85964.166666666672</v>
          </cell>
          <cell r="L501">
            <v>0</v>
          </cell>
          <cell r="N501">
            <v>85964.166666666672</v>
          </cell>
          <cell r="O501">
            <v>0</v>
          </cell>
        </row>
        <row r="502">
          <cell r="D502">
            <v>2</v>
          </cell>
          <cell r="G502">
            <v>40756</v>
          </cell>
          <cell r="K502">
            <v>20307.916666666668</v>
          </cell>
          <cell r="L502">
            <v>0</v>
          </cell>
          <cell r="N502">
            <v>20307.916666666668</v>
          </cell>
          <cell r="O502">
            <v>0</v>
          </cell>
        </row>
        <row r="503">
          <cell r="D503">
            <v>3</v>
          </cell>
          <cell r="G503">
            <v>40756</v>
          </cell>
          <cell r="K503">
            <v>0</v>
          </cell>
          <cell r="L503">
            <v>0</v>
          </cell>
          <cell r="N503">
            <v>0</v>
          </cell>
          <cell r="O503">
            <v>0</v>
          </cell>
        </row>
        <row r="504">
          <cell r="D504">
            <v>4</v>
          </cell>
          <cell r="G504">
            <v>40756</v>
          </cell>
          <cell r="K504">
            <v>411523</v>
          </cell>
          <cell r="L504">
            <v>0</v>
          </cell>
          <cell r="N504">
            <v>325063.08333333331</v>
          </cell>
          <cell r="O504">
            <v>0</v>
          </cell>
        </row>
        <row r="505">
          <cell r="D505">
            <v>5</v>
          </cell>
          <cell r="G505">
            <v>40756</v>
          </cell>
          <cell r="K505">
            <v>4198.166666666667</v>
          </cell>
          <cell r="L505">
            <v>0</v>
          </cell>
          <cell r="N505">
            <v>4198.166666666667</v>
          </cell>
          <cell r="O505">
            <v>0</v>
          </cell>
        </row>
        <row r="506">
          <cell r="D506">
            <v>6</v>
          </cell>
          <cell r="G506">
            <v>40756</v>
          </cell>
          <cell r="K506">
            <v>0</v>
          </cell>
          <cell r="L506">
            <v>0</v>
          </cell>
          <cell r="N506">
            <v>0</v>
          </cell>
          <cell r="O506">
            <v>0</v>
          </cell>
        </row>
        <row r="507">
          <cell r="D507">
            <v>7</v>
          </cell>
          <cell r="G507">
            <v>40756</v>
          </cell>
          <cell r="K507">
            <v>5721.166666666667</v>
          </cell>
          <cell r="L507">
            <v>0</v>
          </cell>
          <cell r="N507">
            <v>5721.166666666667</v>
          </cell>
          <cell r="O507">
            <v>0</v>
          </cell>
        </row>
        <row r="508">
          <cell r="D508">
            <v>8</v>
          </cell>
          <cell r="G508">
            <v>40756</v>
          </cell>
          <cell r="K508">
            <v>4054.8333333333335</v>
          </cell>
          <cell r="L508">
            <v>0</v>
          </cell>
          <cell r="N508">
            <v>4054.8333333333335</v>
          </cell>
          <cell r="O508">
            <v>0</v>
          </cell>
        </row>
        <row r="509">
          <cell r="D509">
            <v>9</v>
          </cell>
          <cell r="G509">
            <v>40756</v>
          </cell>
          <cell r="K509">
            <v>5513</v>
          </cell>
          <cell r="L509">
            <v>0</v>
          </cell>
          <cell r="N509">
            <v>5513</v>
          </cell>
          <cell r="O509">
            <v>0</v>
          </cell>
        </row>
        <row r="510">
          <cell r="D510">
            <v>1</v>
          </cell>
          <cell r="G510">
            <v>40787</v>
          </cell>
          <cell r="K510">
            <v>85964.166666666672</v>
          </cell>
          <cell r="L510">
            <v>0</v>
          </cell>
          <cell r="N510">
            <v>85964.166666666672</v>
          </cell>
          <cell r="O510">
            <v>0</v>
          </cell>
        </row>
        <row r="511">
          <cell r="D511">
            <v>2</v>
          </cell>
          <cell r="G511">
            <v>40787</v>
          </cell>
          <cell r="K511">
            <v>20307.916666666668</v>
          </cell>
          <cell r="L511">
            <v>0</v>
          </cell>
          <cell r="N511">
            <v>20307.916666666668</v>
          </cell>
          <cell r="O511">
            <v>0</v>
          </cell>
        </row>
        <row r="512">
          <cell r="D512">
            <v>3</v>
          </cell>
          <cell r="G512">
            <v>40787</v>
          </cell>
          <cell r="K512">
            <v>0</v>
          </cell>
          <cell r="L512">
            <v>0</v>
          </cell>
          <cell r="N512">
            <v>0</v>
          </cell>
          <cell r="O512">
            <v>0</v>
          </cell>
        </row>
        <row r="513">
          <cell r="D513">
            <v>4</v>
          </cell>
          <cell r="G513">
            <v>40787</v>
          </cell>
          <cell r="K513">
            <v>411523</v>
          </cell>
          <cell r="L513">
            <v>0</v>
          </cell>
          <cell r="N513">
            <v>325063.08333333331</v>
          </cell>
          <cell r="O513">
            <v>0</v>
          </cell>
        </row>
        <row r="514">
          <cell r="D514">
            <v>5</v>
          </cell>
          <cell r="G514">
            <v>40787</v>
          </cell>
          <cell r="K514">
            <v>4198.166666666667</v>
          </cell>
          <cell r="L514">
            <v>0</v>
          </cell>
          <cell r="N514">
            <v>4198.166666666667</v>
          </cell>
          <cell r="O514">
            <v>0</v>
          </cell>
        </row>
        <row r="515">
          <cell r="D515">
            <v>6</v>
          </cell>
          <cell r="G515">
            <v>40787</v>
          </cell>
          <cell r="K515">
            <v>0</v>
          </cell>
          <cell r="L515">
            <v>0</v>
          </cell>
          <cell r="N515">
            <v>0</v>
          </cell>
          <cell r="O515">
            <v>0</v>
          </cell>
        </row>
        <row r="516">
          <cell r="D516">
            <v>7</v>
          </cell>
          <cell r="G516">
            <v>40787</v>
          </cell>
          <cell r="K516">
            <v>5721.166666666667</v>
          </cell>
          <cell r="L516">
            <v>0</v>
          </cell>
          <cell r="N516">
            <v>5721.166666666667</v>
          </cell>
          <cell r="O516">
            <v>0</v>
          </cell>
        </row>
        <row r="517">
          <cell r="D517">
            <v>8</v>
          </cell>
          <cell r="G517">
            <v>40787</v>
          </cell>
          <cell r="K517">
            <v>4054.8333333333335</v>
          </cell>
          <cell r="L517">
            <v>0</v>
          </cell>
          <cell r="N517">
            <v>4054.8333333333335</v>
          </cell>
          <cell r="O517">
            <v>0</v>
          </cell>
        </row>
        <row r="518">
          <cell r="D518">
            <v>9</v>
          </cell>
          <cell r="G518">
            <v>40787</v>
          </cell>
          <cell r="K518">
            <v>5513</v>
          </cell>
          <cell r="L518">
            <v>0</v>
          </cell>
          <cell r="N518">
            <v>5513</v>
          </cell>
          <cell r="O518">
            <v>0</v>
          </cell>
        </row>
        <row r="519">
          <cell r="D519">
            <v>1</v>
          </cell>
          <cell r="G519">
            <v>40817</v>
          </cell>
          <cell r="K519">
            <v>85964.166666666672</v>
          </cell>
          <cell r="L519">
            <v>0</v>
          </cell>
          <cell r="N519">
            <v>85964.166666666672</v>
          </cell>
          <cell r="O519">
            <v>0</v>
          </cell>
        </row>
        <row r="520">
          <cell r="D520">
            <v>2</v>
          </cell>
          <cell r="G520">
            <v>40817</v>
          </cell>
          <cell r="K520">
            <v>20307.916666666668</v>
          </cell>
          <cell r="L520">
            <v>0</v>
          </cell>
          <cell r="N520">
            <v>20307.916666666668</v>
          </cell>
          <cell r="O520">
            <v>0</v>
          </cell>
        </row>
        <row r="521">
          <cell r="D521">
            <v>3</v>
          </cell>
          <cell r="G521">
            <v>40817</v>
          </cell>
          <cell r="K521">
            <v>0</v>
          </cell>
          <cell r="L521">
            <v>0</v>
          </cell>
          <cell r="N521">
            <v>0</v>
          </cell>
          <cell r="O521">
            <v>0</v>
          </cell>
        </row>
        <row r="522">
          <cell r="D522">
            <v>4</v>
          </cell>
          <cell r="G522">
            <v>40817</v>
          </cell>
          <cell r="K522">
            <v>411523</v>
          </cell>
          <cell r="L522">
            <v>0</v>
          </cell>
          <cell r="N522">
            <v>325063.08333333331</v>
          </cell>
          <cell r="O522">
            <v>0</v>
          </cell>
        </row>
        <row r="523">
          <cell r="D523">
            <v>5</v>
          </cell>
          <cell r="G523">
            <v>40817</v>
          </cell>
          <cell r="K523">
            <v>4198.166666666667</v>
          </cell>
          <cell r="L523">
            <v>0</v>
          </cell>
          <cell r="N523">
            <v>4198.166666666667</v>
          </cell>
          <cell r="O523">
            <v>0</v>
          </cell>
        </row>
        <row r="524">
          <cell r="D524">
            <v>6</v>
          </cell>
          <cell r="G524">
            <v>40817</v>
          </cell>
          <cell r="K524">
            <v>0</v>
          </cell>
          <cell r="L524">
            <v>0</v>
          </cell>
          <cell r="N524">
            <v>0</v>
          </cell>
          <cell r="O524">
            <v>0</v>
          </cell>
        </row>
        <row r="525">
          <cell r="D525">
            <v>7</v>
          </cell>
          <cell r="G525">
            <v>40817</v>
          </cell>
          <cell r="K525">
            <v>5721.166666666667</v>
          </cell>
          <cell r="L525">
            <v>0</v>
          </cell>
          <cell r="N525">
            <v>5721.166666666667</v>
          </cell>
          <cell r="O525">
            <v>0</v>
          </cell>
        </row>
        <row r="526">
          <cell r="D526">
            <v>8</v>
          </cell>
          <cell r="G526">
            <v>40817</v>
          </cell>
          <cell r="K526">
            <v>4054.8333333333335</v>
          </cell>
          <cell r="L526">
            <v>0</v>
          </cell>
          <cell r="N526">
            <v>4054.8333333333335</v>
          </cell>
          <cell r="O526">
            <v>0</v>
          </cell>
        </row>
        <row r="527">
          <cell r="D527">
            <v>9</v>
          </cell>
          <cell r="G527">
            <v>40817</v>
          </cell>
          <cell r="K527">
            <v>5513</v>
          </cell>
          <cell r="L527">
            <v>0</v>
          </cell>
          <cell r="N527">
            <v>5513</v>
          </cell>
          <cell r="O527">
            <v>0</v>
          </cell>
        </row>
        <row r="528">
          <cell r="D528">
            <v>1</v>
          </cell>
          <cell r="G528">
            <v>40848</v>
          </cell>
          <cell r="K528">
            <v>85964.166666666672</v>
          </cell>
          <cell r="L528">
            <v>0</v>
          </cell>
          <cell r="N528">
            <v>85964.166666666672</v>
          </cell>
          <cell r="O528">
            <v>0</v>
          </cell>
        </row>
        <row r="529">
          <cell r="D529">
            <v>2</v>
          </cell>
          <cell r="G529">
            <v>40848</v>
          </cell>
          <cell r="K529">
            <v>20307.916666666668</v>
          </cell>
          <cell r="L529">
            <v>0</v>
          </cell>
          <cell r="N529">
            <v>20307.916666666668</v>
          </cell>
          <cell r="O529">
            <v>0</v>
          </cell>
        </row>
        <row r="530">
          <cell r="D530">
            <v>3</v>
          </cell>
          <cell r="G530">
            <v>40848</v>
          </cell>
          <cell r="K530">
            <v>0</v>
          </cell>
          <cell r="L530">
            <v>0</v>
          </cell>
          <cell r="N530">
            <v>0</v>
          </cell>
          <cell r="O530">
            <v>0</v>
          </cell>
        </row>
        <row r="531">
          <cell r="D531">
            <v>4</v>
          </cell>
          <cell r="G531">
            <v>40848</v>
          </cell>
          <cell r="K531">
            <v>411523</v>
          </cell>
          <cell r="L531">
            <v>0</v>
          </cell>
          <cell r="N531">
            <v>325063.08333333331</v>
          </cell>
          <cell r="O531">
            <v>0</v>
          </cell>
        </row>
        <row r="532">
          <cell r="D532">
            <v>5</v>
          </cell>
          <cell r="G532">
            <v>40848</v>
          </cell>
          <cell r="K532">
            <v>4198.166666666667</v>
          </cell>
          <cell r="L532">
            <v>0</v>
          </cell>
          <cell r="N532">
            <v>4198.166666666667</v>
          </cell>
          <cell r="O532">
            <v>0</v>
          </cell>
        </row>
        <row r="533">
          <cell r="D533">
            <v>6</v>
          </cell>
          <cell r="G533">
            <v>40848</v>
          </cell>
          <cell r="K533">
            <v>0</v>
          </cell>
          <cell r="L533">
            <v>0</v>
          </cell>
          <cell r="N533">
            <v>0</v>
          </cell>
          <cell r="O533">
            <v>0</v>
          </cell>
        </row>
        <row r="534">
          <cell r="D534">
            <v>7</v>
          </cell>
          <cell r="G534">
            <v>40848</v>
          </cell>
          <cell r="K534">
            <v>5721.166666666667</v>
          </cell>
          <cell r="L534">
            <v>0</v>
          </cell>
          <cell r="N534">
            <v>5721.166666666667</v>
          </cell>
          <cell r="O534">
            <v>0</v>
          </cell>
        </row>
        <row r="535">
          <cell r="D535">
            <v>8</v>
          </cell>
          <cell r="G535">
            <v>40848</v>
          </cell>
          <cell r="K535">
            <v>4054.8333333333335</v>
          </cell>
          <cell r="L535">
            <v>0</v>
          </cell>
          <cell r="N535">
            <v>4054.8333333333335</v>
          </cell>
          <cell r="O535">
            <v>0</v>
          </cell>
        </row>
        <row r="536">
          <cell r="D536">
            <v>9</v>
          </cell>
          <cell r="G536">
            <v>40848</v>
          </cell>
          <cell r="K536">
            <v>5513</v>
          </cell>
          <cell r="L536">
            <v>0</v>
          </cell>
          <cell r="N536">
            <v>5513</v>
          </cell>
          <cell r="O536">
            <v>0</v>
          </cell>
        </row>
        <row r="537">
          <cell r="D537">
            <v>1</v>
          </cell>
          <cell r="G537">
            <v>40878</v>
          </cell>
          <cell r="K537">
            <v>85964.166666666672</v>
          </cell>
          <cell r="L537">
            <v>0</v>
          </cell>
          <cell r="N537">
            <v>85964.166666666672</v>
          </cell>
          <cell r="O537">
            <v>0</v>
          </cell>
        </row>
        <row r="538">
          <cell r="D538">
            <v>2</v>
          </cell>
          <cell r="G538">
            <v>40878</v>
          </cell>
          <cell r="K538">
            <v>20307.916666666668</v>
          </cell>
          <cell r="L538">
            <v>0</v>
          </cell>
          <cell r="N538">
            <v>20307.916666666668</v>
          </cell>
          <cell r="O538">
            <v>0</v>
          </cell>
        </row>
        <row r="539">
          <cell r="D539">
            <v>3</v>
          </cell>
          <cell r="G539">
            <v>40878</v>
          </cell>
          <cell r="K539">
            <v>0</v>
          </cell>
          <cell r="L539">
            <v>0</v>
          </cell>
          <cell r="N539">
            <v>0</v>
          </cell>
          <cell r="O539">
            <v>0</v>
          </cell>
        </row>
        <row r="540">
          <cell r="D540">
            <v>4</v>
          </cell>
          <cell r="G540">
            <v>40878</v>
          </cell>
          <cell r="K540">
            <v>411523</v>
          </cell>
          <cell r="L540">
            <v>0</v>
          </cell>
          <cell r="N540">
            <v>325063.08333333331</v>
          </cell>
          <cell r="O540">
            <v>0</v>
          </cell>
        </row>
        <row r="541">
          <cell r="D541">
            <v>5</v>
          </cell>
          <cell r="G541">
            <v>40878</v>
          </cell>
          <cell r="K541">
            <v>4198.166666666667</v>
          </cell>
          <cell r="L541">
            <v>0</v>
          </cell>
          <cell r="N541">
            <v>4198.166666666667</v>
          </cell>
          <cell r="O541">
            <v>0</v>
          </cell>
        </row>
        <row r="542">
          <cell r="D542">
            <v>6</v>
          </cell>
          <cell r="G542">
            <v>40878</v>
          </cell>
          <cell r="K542">
            <v>0</v>
          </cell>
          <cell r="L542">
            <v>0</v>
          </cell>
          <cell r="N542">
            <v>0</v>
          </cell>
          <cell r="O542">
            <v>0</v>
          </cell>
        </row>
        <row r="543">
          <cell r="D543">
            <v>7</v>
          </cell>
          <cell r="G543">
            <v>40878</v>
          </cell>
          <cell r="K543">
            <v>5721.166666666667</v>
          </cell>
          <cell r="L543">
            <v>0</v>
          </cell>
          <cell r="N543">
            <v>5721.166666666667</v>
          </cell>
          <cell r="O543">
            <v>0</v>
          </cell>
        </row>
        <row r="544">
          <cell r="D544">
            <v>8</v>
          </cell>
          <cell r="G544">
            <v>40878</v>
          </cell>
          <cell r="K544">
            <v>4054.8333333333335</v>
          </cell>
          <cell r="L544">
            <v>0</v>
          </cell>
          <cell r="N544">
            <v>4054.8333333333335</v>
          </cell>
          <cell r="O544">
            <v>0</v>
          </cell>
        </row>
        <row r="545">
          <cell r="D545">
            <v>9</v>
          </cell>
          <cell r="G545">
            <v>40878</v>
          </cell>
          <cell r="K545">
            <v>5513</v>
          </cell>
          <cell r="L545">
            <v>0</v>
          </cell>
          <cell r="N545">
            <v>5513</v>
          </cell>
          <cell r="O545">
            <v>0</v>
          </cell>
        </row>
        <row r="546">
          <cell r="D546">
            <v>1</v>
          </cell>
          <cell r="G546">
            <v>40909</v>
          </cell>
          <cell r="K546">
            <v>85964.166666666672</v>
          </cell>
          <cell r="L546">
            <v>0</v>
          </cell>
          <cell r="N546">
            <v>85964.166666666672</v>
          </cell>
          <cell r="O546">
            <v>0</v>
          </cell>
        </row>
        <row r="547">
          <cell r="D547">
            <v>2</v>
          </cell>
          <cell r="G547">
            <v>40909</v>
          </cell>
          <cell r="K547">
            <v>20307.916666666668</v>
          </cell>
          <cell r="L547">
            <v>0</v>
          </cell>
          <cell r="N547">
            <v>20307.916666666668</v>
          </cell>
          <cell r="O547">
            <v>0</v>
          </cell>
        </row>
        <row r="548">
          <cell r="D548">
            <v>3</v>
          </cell>
          <cell r="G548">
            <v>40909</v>
          </cell>
          <cell r="K548">
            <v>0</v>
          </cell>
          <cell r="L548">
            <v>0</v>
          </cell>
          <cell r="N548">
            <v>0</v>
          </cell>
          <cell r="O548">
            <v>0</v>
          </cell>
        </row>
        <row r="549">
          <cell r="D549">
            <v>4</v>
          </cell>
          <cell r="G549">
            <v>40909</v>
          </cell>
          <cell r="K549">
            <v>411523</v>
          </cell>
          <cell r="L549">
            <v>0</v>
          </cell>
          <cell r="N549">
            <v>325063.08333333331</v>
          </cell>
          <cell r="O549">
            <v>0</v>
          </cell>
        </row>
        <row r="550">
          <cell r="D550">
            <v>5</v>
          </cell>
          <cell r="G550">
            <v>40909</v>
          </cell>
          <cell r="K550">
            <v>4198.166666666667</v>
          </cell>
          <cell r="L550">
            <v>0</v>
          </cell>
          <cell r="N550">
            <v>4198.166666666667</v>
          </cell>
          <cell r="O550">
            <v>0</v>
          </cell>
        </row>
        <row r="551">
          <cell r="D551">
            <v>6</v>
          </cell>
          <cell r="G551">
            <v>40909</v>
          </cell>
          <cell r="K551">
            <v>0</v>
          </cell>
          <cell r="L551">
            <v>0</v>
          </cell>
          <cell r="N551">
            <v>0</v>
          </cell>
          <cell r="O551">
            <v>0</v>
          </cell>
        </row>
        <row r="552">
          <cell r="D552">
            <v>7</v>
          </cell>
          <cell r="G552">
            <v>40909</v>
          </cell>
          <cell r="K552">
            <v>5721.166666666667</v>
          </cell>
          <cell r="L552">
            <v>0</v>
          </cell>
          <cell r="N552">
            <v>5721.166666666667</v>
          </cell>
          <cell r="O552">
            <v>0</v>
          </cell>
        </row>
        <row r="553">
          <cell r="D553">
            <v>8</v>
          </cell>
          <cell r="G553">
            <v>40909</v>
          </cell>
          <cell r="K553">
            <v>4054.8333333333335</v>
          </cell>
          <cell r="L553">
            <v>0</v>
          </cell>
          <cell r="N553">
            <v>4054.8333333333335</v>
          </cell>
          <cell r="O553">
            <v>0</v>
          </cell>
        </row>
        <row r="554">
          <cell r="D554">
            <v>9</v>
          </cell>
          <cell r="G554">
            <v>40909</v>
          </cell>
          <cell r="K554">
            <v>5513</v>
          </cell>
          <cell r="L554">
            <v>0</v>
          </cell>
          <cell r="N554">
            <v>5513</v>
          </cell>
          <cell r="O554">
            <v>0</v>
          </cell>
        </row>
        <row r="555">
          <cell r="D555">
            <v>1</v>
          </cell>
          <cell r="G555">
            <v>40940</v>
          </cell>
          <cell r="K555">
            <v>85964.166666666672</v>
          </cell>
          <cell r="L555">
            <v>0</v>
          </cell>
          <cell r="N555">
            <v>85964.166666666672</v>
          </cell>
          <cell r="O555">
            <v>0</v>
          </cell>
        </row>
        <row r="556">
          <cell r="D556">
            <v>2</v>
          </cell>
          <cell r="G556">
            <v>40940</v>
          </cell>
          <cell r="K556">
            <v>20307.916666666668</v>
          </cell>
          <cell r="L556">
            <v>0</v>
          </cell>
          <cell r="N556">
            <v>20307.916666666668</v>
          </cell>
          <cell r="O556">
            <v>0</v>
          </cell>
        </row>
        <row r="557">
          <cell r="D557">
            <v>3</v>
          </cell>
          <cell r="G557">
            <v>40940</v>
          </cell>
          <cell r="K557">
            <v>0</v>
          </cell>
          <cell r="L557">
            <v>0</v>
          </cell>
          <cell r="N557">
            <v>0</v>
          </cell>
          <cell r="O557">
            <v>0</v>
          </cell>
        </row>
        <row r="558">
          <cell r="D558">
            <v>4</v>
          </cell>
          <cell r="G558">
            <v>40940</v>
          </cell>
          <cell r="K558">
            <v>411523</v>
          </cell>
          <cell r="L558">
            <v>0</v>
          </cell>
          <cell r="N558">
            <v>325063.08333333331</v>
          </cell>
          <cell r="O558">
            <v>0</v>
          </cell>
        </row>
        <row r="559">
          <cell r="D559">
            <v>5</v>
          </cell>
          <cell r="G559">
            <v>40940</v>
          </cell>
          <cell r="K559">
            <v>4198.166666666667</v>
          </cell>
          <cell r="L559">
            <v>0</v>
          </cell>
          <cell r="N559">
            <v>4198.166666666667</v>
          </cell>
          <cell r="O559">
            <v>0</v>
          </cell>
        </row>
        <row r="560">
          <cell r="D560">
            <v>6</v>
          </cell>
          <cell r="G560">
            <v>40940</v>
          </cell>
          <cell r="K560">
            <v>0</v>
          </cell>
          <cell r="L560">
            <v>0</v>
          </cell>
          <cell r="N560">
            <v>0</v>
          </cell>
          <cell r="O560">
            <v>0</v>
          </cell>
        </row>
        <row r="561">
          <cell r="D561">
            <v>7</v>
          </cell>
          <cell r="G561">
            <v>40940</v>
          </cell>
          <cell r="K561">
            <v>5721.166666666667</v>
          </cell>
          <cell r="L561">
            <v>0</v>
          </cell>
          <cell r="N561">
            <v>5721.166666666667</v>
          </cell>
          <cell r="O561">
            <v>0</v>
          </cell>
        </row>
        <row r="562">
          <cell r="D562">
            <v>8</v>
          </cell>
          <cell r="G562">
            <v>40940</v>
          </cell>
          <cell r="K562">
            <v>4054.8333333333335</v>
          </cell>
          <cell r="L562">
            <v>0</v>
          </cell>
          <cell r="N562">
            <v>4054.8333333333335</v>
          </cell>
          <cell r="O562">
            <v>0</v>
          </cell>
        </row>
        <row r="563">
          <cell r="D563">
            <v>9</v>
          </cell>
          <cell r="G563">
            <v>40940</v>
          </cell>
          <cell r="K563">
            <v>5513</v>
          </cell>
          <cell r="L563">
            <v>0</v>
          </cell>
          <cell r="N563">
            <v>5513</v>
          </cell>
          <cell r="O563">
            <v>0</v>
          </cell>
        </row>
        <row r="564">
          <cell r="D564">
            <v>1</v>
          </cell>
          <cell r="G564">
            <v>40969</v>
          </cell>
          <cell r="K564">
            <v>85964.166666666672</v>
          </cell>
          <cell r="L564">
            <v>0</v>
          </cell>
          <cell r="N564">
            <v>85964.166666666672</v>
          </cell>
          <cell r="O564">
            <v>0</v>
          </cell>
        </row>
        <row r="565">
          <cell r="D565">
            <v>2</v>
          </cell>
          <cell r="G565">
            <v>40969</v>
          </cell>
          <cell r="K565">
            <v>20307.916666666668</v>
          </cell>
          <cell r="L565">
            <v>0</v>
          </cell>
          <cell r="N565">
            <v>20307.916666666668</v>
          </cell>
          <cell r="O565">
            <v>0</v>
          </cell>
        </row>
        <row r="566">
          <cell r="D566">
            <v>3</v>
          </cell>
          <cell r="G566">
            <v>40969</v>
          </cell>
          <cell r="K566">
            <v>0</v>
          </cell>
          <cell r="L566">
            <v>0</v>
          </cell>
          <cell r="N566">
            <v>0</v>
          </cell>
          <cell r="O566">
            <v>0</v>
          </cell>
        </row>
        <row r="567">
          <cell r="D567">
            <v>4</v>
          </cell>
          <cell r="G567">
            <v>40969</v>
          </cell>
          <cell r="K567">
            <v>411523</v>
          </cell>
          <cell r="L567">
            <v>0</v>
          </cell>
          <cell r="N567">
            <v>325063.08333333331</v>
          </cell>
          <cell r="O567">
            <v>0</v>
          </cell>
        </row>
        <row r="568">
          <cell r="D568">
            <v>5</v>
          </cell>
          <cell r="G568">
            <v>40969</v>
          </cell>
          <cell r="K568">
            <v>4198.166666666667</v>
          </cell>
          <cell r="L568">
            <v>0</v>
          </cell>
          <cell r="N568">
            <v>4198.166666666667</v>
          </cell>
          <cell r="O568">
            <v>0</v>
          </cell>
        </row>
        <row r="569">
          <cell r="D569">
            <v>6</v>
          </cell>
          <cell r="G569">
            <v>40969</v>
          </cell>
          <cell r="K569">
            <v>0</v>
          </cell>
          <cell r="L569">
            <v>0</v>
          </cell>
          <cell r="N569">
            <v>0</v>
          </cell>
          <cell r="O569">
            <v>0</v>
          </cell>
        </row>
        <row r="570">
          <cell r="D570">
            <v>7</v>
          </cell>
          <cell r="G570">
            <v>40969</v>
          </cell>
          <cell r="K570">
            <v>5721.166666666667</v>
          </cell>
          <cell r="L570">
            <v>0</v>
          </cell>
          <cell r="N570">
            <v>5721.166666666667</v>
          </cell>
          <cell r="O570">
            <v>0</v>
          </cell>
        </row>
        <row r="571">
          <cell r="D571">
            <v>8</v>
          </cell>
          <cell r="G571">
            <v>40969</v>
          </cell>
          <cell r="K571">
            <v>4054.8333333333335</v>
          </cell>
          <cell r="L571">
            <v>0</v>
          </cell>
          <cell r="N571">
            <v>4054.8333333333335</v>
          </cell>
          <cell r="O571">
            <v>0</v>
          </cell>
        </row>
        <row r="572">
          <cell r="D572">
            <v>9</v>
          </cell>
          <cell r="G572">
            <v>40969</v>
          </cell>
          <cell r="K572">
            <v>5513</v>
          </cell>
          <cell r="L572">
            <v>0</v>
          </cell>
          <cell r="N572">
            <v>5513</v>
          </cell>
          <cell r="O572">
            <v>0</v>
          </cell>
        </row>
        <row r="573">
          <cell r="D573">
            <v>1</v>
          </cell>
          <cell r="G573">
            <v>41000</v>
          </cell>
          <cell r="K573">
            <v>85964.166666666672</v>
          </cell>
          <cell r="L573">
            <v>0</v>
          </cell>
          <cell r="N573">
            <v>85964.166666666672</v>
          </cell>
          <cell r="O573">
            <v>0</v>
          </cell>
        </row>
        <row r="574">
          <cell r="D574">
            <v>2</v>
          </cell>
          <cell r="G574">
            <v>41000</v>
          </cell>
          <cell r="K574">
            <v>20307.916666666668</v>
          </cell>
          <cell r="L574">
            <v>0</v>
          </cell>
          <cell r="N574">
            <v>20307.916666666668</v>
          </cell>
          <cell r="O574">
            <v>0</v>
          </cell>
        </row>
        <row r="575">
          <cell r="D575">
            <v>3</v>
          </cell>
          <cell r="G575">
            <v>41000</v>
          </cell>
          <cell r="K575">
            <v>0</v>
          </cell>
          <cell r="L575">
            <v>0</v>
          </cell>
          <cell r="N575">
            <v>0</v>
          </cell>
          <cell r="O575">
            <v>0</v>
          </cell>
        </row>
        <row r="576">
          <cell r="D576">
            <v>4</v>
          </cell>
          <cell r="G576">
            <v>41000</v>
          </cell>
          <cell r="K576">
            <v>411523</v>
          </cell>
          <cell r="L576">
            <v>0</v>
          </cell>
          <cell r="N576">
            <v>325063.08333333331</v>
          </cell>
          <cell r="O576">
            <v>0</v>
          </cell>
        </row>
        <row r="577">
          <cell r="D577">
            <v>5</v>
          </cell>
          <cell r="G577">
            <v>41000</v>
          </cell>
          <cell r="K577">
            <v>4198.166666666667</v>
          </cell>
          <cell r="L577">
            <v>0</v>
          </cell>
          <cell r="N577">
            <v>4198.166666666667</v>
          </cell>
          <cell r="O577">
            <v>0</v>
          </cell>
        </row>
        <row r="578">
          <cell r="D578">
            <v>6</v>
          </cell>
          <cell r="G578">
            <v>41000</v>
          </cell>
          <cell r="K578">
            <v>0</v>
          </cell>
          <cell r="L578">
            <v>0</v>
          </cell>
          <cell r="N578">
            <v>0</v>
          </cell>
          <cell r="O578">
            <v>0</v>
          </cell>
        </row>
        <row r="579">
          <cell r="D579">
            <v>7</v>
          </cell>
          <cell r="G579">
            <v>41000</v>
          </cell>
          <cell r="K579">
            <v>5721.166666666667</v>
          </cell>
          <cell r="L579">
            <v>0</v>
          </cell>
          <cell r="N579">
            <v>5721.166666666667</v>
          </cell>
          <cell r="O579">
            <v>0</v>
          </cell>
        </row>
        <row r="580">
          <cell r="D580">
            <v>8</v>
          </cell>
          <cell r="G580">
            <v>41000</v>
          </cell>
          <cell r="K580">
            <v>4054.8333333333335</v>
          </cell>
          <cell r="L580">
            <v>0</v>
          </cell>
          <cell r="N580">
            <v>4054.8333333333335</v>
          </cell>
          <cell r="O580">
            <v>0</v>
          </cell>
        </row>
        <row r="581">
          <cell r="D581">
            <v>9</v>
          </cell>
          <cell r="G581">
            <v>41000</v>
          </cell>
          <cell r="K581">
            <v>5513</v>
          </cell>
          <cell r="L581">
            <v>0</v>
          </cell>
          <cell r="N581">
            <v>5513</v>
          </cell>
          <cell r="O581">
            <v>0</v>
          </cell>
        </row>
        <row r="582">
          <cell r="D582">
            <v>1</v>
          </cell>
          <cell r="G582">
            <v>41030</v>
          </cell>
          <cell r="K582">
            <v>85964.166666666672</v>
          </cell>
          <cell r="L582">
            <v>0</v>
          </cell>
          <cell r="N582">
            <v>85964.166666666672</v>
          </cell>
          <cell r="O582">
            <v>0</v>
          </cell>
        </row>
        <row r="583">
          <cell r="D583">
            <v>2</v>
          </cell>
          <cell r="G583">
            <v>41030</v>
          </cell>
          <cell r="K583">
            <v>20307.916666666668</v>
          </cell>
          <cell r="L583">
            <v>0</v>
          </cell>
          <cell r="N583">
            <v>20307.916666666668</v>
          </cell>
          <cell r="O583">
            <v>0</v>
          </cell>
        </row>
        <row r="584">
          <cell r="D584">
            <v>3</v>
          </cell>
          <cell r="G584">
            <v>41030</v>
          </cell>
          <cell r="K584">
            <v>0</v>
          </cell>
          <cell r="L584">
            <v>0</v>
          </cell>
          <cell r="N584">
            <v>0</v>
          </cell>
          <cell r="O584">
            <v>0</v>
          </cell>
        </row>
        <row r="585">
          <cell r="D585">
            <v>4</v>
          </cell>
          <cell r="G585">
            <v>41030</v>
          </cell>
          <cell r="K585">
            <v>411523</v>
          </cell>
          <cell r="L585">
            <v>0</v>
          </cell>
          <cell r="N585">
            <v>325063.08333333331</v>
          </cell>
          <cell r="O585">
            <v>0</v>
          </cell>
        </row>
        <row r="586">
          <cell r="D586">
            <v>5</v>
          </cell>
          <cell r="G586">
            <v>41030</v>
          </cell>
          <cell r="K586">
            <v>4198.166666666667</v>
          </cell>
          <cell r="L586">
            <v>0</v>
          </cell>
          <cell r="N586">
            <v>4198.166666666667</v>
          </cell>
          <cell r="O586">
            <v>0</v>
          </cell>
        </row>
        <row r="587">
          <cell r="D587">
            <v>6</v>
          </cell>
          <cell r="G587">
            <v>41030</v>
          </cell>
          <cell r="K587">
            <v>0</v>
          </cell>
          <cell r="L587">
            <v>0</v>
          </cell>
          <cell r="N587">
            <v>0</v>
          </cell>
          <cell r="O587">
            <v>0</v>
          </cell>
        </row>
        <row r="588">
          <cell r="D588">
            <v>7</v>
          </cell>
          <cell r="G588">
            <v>41030</v>
          </cell>
          <cell r="K588">
            <v>5721.166666666667</v>
          </cell>
          <cell r="L588">
            <v>0</v>
          </cell>
          <cell r="N588">
            <v>5721.166666666667</v>
          </cell>
          <cell r="O588">
            <v>0</v>
          </cell>
        </row>
        <row r="589">
          <cell r="D589">
            <v>8</v>
          </cell>
          <cell r="G589">
            <v>41030</v>
          </cell>
          <cell r="K589">
            <v>4054.8333333333335</v>
          </cell>
          <cell r="L589">
            <v>0</v>
          </cell>
          <cell r="N589">
            <v>4054.8333333333335</v>
          </cell>
          <cell r="O589">
            <v>0</v>
          </cell>
        </row>
        <row r="590">
          <cell r="D590">
            <v>9</v>
          </cell>
          <cell r="G590">
            <v>41030</v>
          </cell>
          <cell r="K590">
            <v>5513</v>
          </cell>
          <cell r="L590">
            <v>0</v>
          </cell>
          <cell r="N590">
            <v>5513</v>
          </cell>
          <cell r="O590">
            <v>0</v>
          </cell>
        </row>
        <row r="591">
          <cell r="D591">
            <v>1</v>
          </cell>
          <cell r="G591">
            <v>41061</v>
          </cell>
          <cell r="K591">
            <v>85964.166666666672</v>
          </cell>
          <cell r="L591">
            <v>0</v>
          </cell>
          <cell r="N591">
            <v>85964.166666666672</v>
          </cell>
          <cell r="O591">
            <v>0</v>
          </cell>
        </row>
        <row r="592">
          <cell r="D592">
            <v>2</v>
          </cell>
          <cell r="G592">
            <v>41061</v>
          </cell>
          <cell r="K592">
            <v>20307.916666666668</v>
          </cell>
          <cell r="L592">
            <v>0</v>
          </cell>
          <cell r="N592">
            <v>20307.916666666668</v>
          </cell>
          <cell r="O592">
            <v>0</v>
          </cell>
        </row>
        <row r="593">
          <cell r="D593">
            <v>3</v>
          </cell>
          <cell r="G593">
            <v>41061</v>
          </cell>
          <cell r="K593">
            <v>0</v>
          </cell>
          <cell r="L593">
            <v>0</v>
          </cell>
          <cell r="N593">
            <v>0</v>
          </cell>
          <cell r="O593">
            <v>0</v>
          </cell>
        </row>
        <row r="594">
          <cell r="D594">
            <v>4</v>
          </cell>
          <cell r="G594">
            <v>41061</v>
          </cell>
          <cell r="K594">
            <v>411523</v>
          </cell>
          <cell r="L594">
            <v>0</v>
          </cell>
          <cell r="N594">
            <v>325063.08333333331</v>
          </cell>
          <cell r="O594">
            <v>0</v>
          </cell>
        </row>
        <row r="595">
          <cell r="D595">
            <v>5</v>
          </cell>
          <cell r="G595">
            <v>41061</v>
          </cell>
          <cell r="K595">
            <v>4198.166666666667</v>
          </cell>
          <cell r="L595">
            <v>0</v>
          </cell>
          <cell r="N595">
            <v>4198.166666666667</v>
          </cell>
          <cell r="O595">
            <v>0</v>
          </cell>
        </row>
        <row r="596">
          <cell r="D596">
            <v>6</v>
          </cell>
          <cell r="G596">
            <v>41061</v>
          </cell>
          <cell r="K596">
            <v>0</v>
          </cell>
          <cell r="L596">
            <v>0</v>
          </cell>
          <cell r="N596">
            <v>0</v>
          </cell>
          <cell r="O596">
            <v>0</v>
          </cell>
        </row>
        <row r="597">
          <cell r="D597">
            <v>7</v>
          </cell>
          <cell r="G597">
            <v>41061</v>
          </cell>
          <cell r="K597">
            <v>5721.166666666667</v>
          </cell>
          <cell r="L597">
            <v>0</v>
          </cell>
          <cell r="N597">
            <v>5721.166666666667</v>
          </cell>
          <cell r="O597">
            <v>0</v>
          </cell>
        </row>
        <row r="598">
          <cell r="D598">
            <v>8</v>
          </cell>
          <cell r="G598">
            <v>41061</v>
          </cell>
          <cell r="K598">
            <v>4054.8333333333335</v>
          </cell>
          <cell r="L598">
            <v>0</v>
          </cell>
          <cell r="N598">
            <v>4054.8333333333335</v>
          </cell>
          <cell r="O598">
            <v>0</v>
          </cell>
        </row>
        <row r="599">
          <cell r="D599">
            <v>9</v>
          </cell>
          <cell r="G599">
            <v>41061</v>
          </cell>
          <cell r="K599">
            <v>5513</v>
          </cell>
          <cell r="L599">
            <v>0</v>
          </cell>
          <cell r="N599">
            <v>5513</v>
          </cell>
          <cell r="O599">
            <v>0</v>
          </cell>
        </row>
        <row r="762">
          <cell r="D762">
            <v>0</v>
          </cell>
        </row>
        <row r="763">
          <cell r="D763">
            <v>0</v>
          </cell>
        </row>
        <row r="764">
          <cell r="D764">
            <v>0</v>
          </cell>
        </row>
        <row r="765">
          <cell r="D765">
            <v>0</v>
          </cell>
        </row>
        <row r="766">
          <cell r="D766">
            <v>0</v>
          </cell>
        </row>
        <row r="767">
          <cell r="D767">
            <v>0</v>
          </cell>
        </row>
        <row r="768">
          <cell r="D768">
            <v>0</v>
          </cell>
        </row>
        <row r="769">
          <cell r="D769">
            <v>0</v>
          </cell>
        </row>
        <row r="770">
          <cell r="D770">
            <v>0</v>
          </cell>
        </row>
        <row r="771">
          <cell r="D771">
            <v>0</v>
          </cell>
        </row>
        <row r="772">
          <cell r="D772">
            <v>0</v>
          </cell>
        </row>
        <row r="773">
          <cell r="D773">
            <v>0</v>
          </cell>
        </row>
        <row r="774">
          <cell r="D774">
            <v>0</v>
          </cell>
        </row>
        <row r="775">
          <cell r="D775">
            <v>0</v>
          </cell>
        </row>
        <row r="776">
          <cell r="D776">
            <v>0</v>
          </cell>
        </row>
        <row r="777">
          <cell r="D777">
            <v>0</v>
          </cell>
        </row>
        <row r="778">
          <cell r="D778">
            <v>0</v>
          </cell>
        </row>
        <row r="779">
          <cell r="D779">
            <v>0</v>
          </cell>
        </row>
        <row r="780">
          <cell r="D780">
            <v>0</v>
          </cell>
        </row>
        <row r="781">
          <cell r="D781">
            <v>0</v>
          </cell>
        </row>
        <row r="782">
          <cell r="D782">
            <v>0</v>
          </cell>
        </row>
        <row r="783">
          <cell r="D783">
            <v>0</v>
          </cell>
        </row>
        <row r="784">
          <cell r="D784">
            <v>0</v>
          </cell>
        </row>
        <row r="785">
          <cell r="D785">
            <v>0</v>
          </cell>
        </row>
        <row r="786">
          <cell r="D786">
            <v>0</v>
          </cell>
        </row>
        <row r="787">
          <cell r="D787">
            <v>0</v>
          </cell>
        </row>
        <row r="788">
          <cell r="D788">
            <v>0</v>
          </cell>
        </row>
        <row r="789">
          <cell r="D789">
            <v>0</v>
          </cell>
        </row>
        <row r="790">
          <cell r="D790">
            <v>0</v>
          </cell>
        </row>
        <row r="791">
          <cell r="D791">
            <v>0</v>
          </cell>
        </row>
        <row r="792">
          <cell r="D792">
            <v>0</v>
          </cell>
        </row>
        <row r="793">
          <cell r="D793">
            <v>0</v>
          </cell>
        </row>
        <row r="794">
          <cell r="D794">
            <v>0</v>
          </cell>
        </row>
        <row r="795">
          <cell r="D795">
            <v>0</v>
          </cell>
        </row>
        <row r="796">
          <cell r="D796">
            <v>0</v>
          </cell>
        </row>
        <row r="797">
          <cell r="D797">
            <v>0</v>
          </cell>
        </row>
        <row r="798">
          <cell r="D798">
            <v>0</v>
          </cell>
        </row>
        <row r="799">
          <cell r="D799">
            <v>0</v>
          </cell>
        </row>
        <row r="800">
          <cell r="D800">
            <v>0</v>
          </cell>
        </row>
        <row r="801">
          <cell r="D801">
            <v>0</v>
          </cell>
        </row>
        <row r="802">
          <cell r="D802">
            <v>0</v>
          </cell>
        </row>
        <row r="803">
          <cell r="D803">
            <v>0</v>
          </cell>
        </row>
        <row r="804">
          <cell r="D804">
            <v>0</v>
          </cell>
        </row>
        <row r="805">
          <cell r="D805">
            <v>0</v>
          </cell>
        </row>
        <row r="806">
          <cell r="D806">
            <v>0</v>
          </cell>
        </row>
        <row r="807">
          <cell r="D807">
            <v>0</v>
          </cell>
        </row>
        <row r="808">
          <cell r="D808">
            <v>0</v>
          </cell>
        </row>
        <row r="809">
          <cell r="D809">
            <v>0</v>
          </cell>
        </row>
        <row r="810">
          <cell r="D810">
            <v>0</v>
          </cell>
        </row>
        <row r="811">
          <cell r="D811">
            <v>0</v>
          </cell>
        </row>
        <row r="812">
          <cell r="D812">
            <v>0</v>
          </cell>
        </row>
        <row r="813">
          <cell r="D813">
            <v>0</v>
          </cell>
        </row>
        <row r="814">
          <cell r="D814">
            <v>0</v>
          </cell>
        </row>
        <row r="815">
          <cell r="D815">
            <v>0</v>
          </cell>
        </row>
        <row r="816">
          <cell r="D816">
            <v>0</v>
          </cell>
        </row>
        <row r="817">
          <cell r="D817">
            <v>0</v>
          </cell>
        </row>
        <row r="818">
          <cell r="D818">
            <v>0</v>
          </cell>
        </row>
        <row r="819">
          <cell r="D819">
            <v>0</v>
          </cell>
        </row>
        <row r="820">
          <cell r="D820">
            <v>0</v>
          </cell>
        </row>
        <row r="821">
          <cell r="D821">
            <v>0</v>
          </cell>
        </row>
        <row r="822">
          <cell r="D822">
            <v>0</v>
          </cell>
        </row>
        <row r="823">
          <cell r="D823">
            <v>0</v>
          </cell>
        </row>
        <row r="824">
          <cell r="D824">
            <v>0</v>
          </cell>
        </row>
        <row r="825">
          <cell r="D825">
            <v>0</v>
          </cell>
        </row>
        <row r="826">
          <cell r="D826">
            <v>0</v>
          </cell>
        </row>
        <row r="827">
          <cell r="D827">
            <v>0</v>
          </cell>
        </row>
        <row r="828">
          <cell r="D828">
            <v>0</v>
          </cell>
        </row>
        <row r="829">
          <cell r="D829">
            <v>0</v>
          </cell>
        </row>
        <row r="830">
          <cell r="D830">
            <v>0</v>
          </cell>
        </row>
        <row r="831">
          <cell r="D831">
            <v>0</v>
          </cell>
        </row>
        <row r="832">
          <cell r="D832">
            <v>0</v>
          </cell>
        </row>
        <row r="833">
          <cell r="D833">
            <v>0</v>
          </cell>
        </row>
        <row r="834">
          <cell r="D834">
            <v>0</v>
          </cell>
        </row>
        <row r="835">
          <cell r="D835">
            <v>0</v>
          </cell>
        </row>
        <row r="836">
          <cell r="D836">
            <v>0</v>
          </cell>
        </row>
        <row r="837">
          <cell r="D837">
            <v>0</v>
          </cell>
        </row>
        <row r="838">
          <cell r="D838">
            <v>0</v>
          </cell>
        </row>
        <row r="839">
          <cell r="D839">
            <v>0</v>
          </cell>
        </row>
        <row r="840">
          <cell r="D840">
            <v>0</v>
          </cell>
        </row>
        <row r="841">
          <cell r="D841">
            <v>0</v>
          </cell>
        </row>
        <row r="842">
          <cell r="D842">
            <v>0</v>
          </cell>
        </row>
        <row r="843">
          <cell r="D843">
            <v>0</v>
          </cell>
        </row>
        <row r="844">
          <cell r="D844">
            <v>0</v>
          </cell>
        </row>
        <row r="845">
          <cell r="D845">
            <v>0</v>
          </cell>
        </row>
        <row r="846">
          <cell r="D846">
            <v>0</v>
          </cell>
        </row>
        <row r="847">
          <cell r="D847">
            <v>0</v>
          </cell>
        </row>
        <row r="848">
          <cell r="D848">
            <v>0</v>
          </cell>
        </row>
        <row r="849">
          <cell r="D849">
            <v>0</v>
          </cell>
        </row>
        <row r="850">
          <cell r="D850">
            <v>0</v>
          </cell>
        </row>
        <row r="851">
          <cell r="D851">
            <v>0</v>
          </cell>
        </row>
        <row r="852">
          <cell r="D852">
            <v>0</v>
          </cell>
        </row>
        <row r="853">
          <cell r="D853">
            <v>0</v>
          </cell>
        </row>
        <row r="854">
          <cell r="D854">
            <v>0</v>
          </cell>
        </row>
        <row r="855">
          <cell r="D855">
            <v>0</v>
          </cell>
        </row>
        <row r="856">
          <cell r="D856">
            <v>0</v>
          </cell>
        </row>
        <row r="857">
          <cell r="D857">
            <v>0</v>
          </cell>
        </row>
        <row r="858">
          <cell r="D858">
            <v>0</v>
          </cell>
        </row>
        <row r="859">
          <cell r="D859">
            <v>0</v>
          </cell>
        </row>
        <row r="860">
          <cell r="D860">
            <v>0</v>
          </cell>
        </row>
        <row r="861">
          <cell r="D861">
            <v>0</v>
          </cell>
        </row>
        <row r="862">
          <cell r="D862">
            <v>0</v>
          </cell>
        </row>
        <row r="863">
          <cell r="D863">
            <v>0</v>
          </cell>
        </row>
        <row r="864">
          <cell r="D864">
            <v>0</v>
          </cell>
        </row>
        <row r="865">
          <cell r="D865">
            <v>0</v>
          </cell>
        </row>
        <row r="866">
          <cell r="D866">
            <v>0</v>
          </cell>
        </row>
        <row r="867">
          <cell r="D867">
            <v>0</v>
          </cell>
        </row>
        <row r="868">
          <cell r="D868">
            <v>0</v>
          </cell>
        </row>
        <row r="869">
          <cell r="D869">
            <v>0</v>
          </cell>
        </row>
        <row r="918">
          <cell r="D918">
            <v>0</v>
          </cell>
        </row>
        <row r="919">
          <cell r="D919">
            <v>0</v>
          </cell>
        </row>
        <row r="920">
          <cell r="D920">
            <v>0</v>
          </cell>
        </row>
        <row r="921">
          <cell r="D921">
            <v>0</v>
          </cell>
        </row>
        <row r="922">
          <cell r="D922">
            <v>0</v>
          </cell>
        </row>
        <row r="923">
          <cell r="D923">
            <v>0</v>
          </cell>
        </row>
        <row r="924">
          <cell r="D924">
            <v>0</v>
          </cell>
        </row>
        <row r="925">
          <cell r="D925">
            <v>0</v>
          </cell>
        </row>
        <row r="926">
          <cell r="D926">
            <v>0</v>
          </cell>
        </row>
        <row r="927">
          <cell r="D927">
            <v>0</v>
          </cell>
        </row>
        <row r="928">
          <cell r="D928">
            <v>0</v>
          </cell>
        </row>
        <row r="929">
          <cell r="D929">
            <v>0</v>
          </cell>
        </row>
        <row r="930">
          <cell r="D930">
            <v>0</v>
          </cell>
        </row>
        <row r="931">
          <cell r="D931">
            <v>0</v>
          </cell>
        </row>
        <row r="932">
          <cell r="D932">
            <v>0</v>
          </cell>
        </row>
        <row r="933">
          <cell r="D933">
            <v>0</v>
          </cell>
        </row>
        <row r="934">
          <cell r="D934">
            <v>0</v>
          </cell>
        </row>
        <row r="935">
          <cell r="D935">
            <v>0</v>
          </cell>
        </row>
        <row r="936">
          <cell r="D936">
            <v>0</v>
          </cell>
        </row>
        <row r="937">
          <cell r="D937">
            <v>0</v>
          </cell>
        </row>
        <row r="938">
          <cell r="D938">
            <v>0</v>
          </cell>
        </row>
        <row r="939">
          <cell r="D939">
            <v>0</v>
          </cell>
        </row>
        <row r="940">
          <cell r="D940">
            <v>0</v>
          </cell>
        </row>
        <row r="941">
          <cell r="D941">
            <v>0</v>
          </cell>
        </row>
        <row r="942">
          <cell r="D942">
            <v>0</v>
          </cell>
        </row>
        <row r="943">
          <cell r="D943">
            <v>0</v>
          </cell>
        </row>
        <row r="944">
          <cell r="D944">
            <v>0</v>
          </cell>
        </row>
        <row r="945">
          <cell r="D945">
            <v>0</v>
          </cell>
        </row>
        <row r="946">
          <cell r="D946">
            <v>0</v>
          </cell>
        </row>
        <row r="947">
          <cell r="D947">
            <v>0</v>
          </cell>
        </row>
        <row r="948">
          <cell r="D948">
            <v>0</v>
          </cell>
        </row>
        <row r="949">
          <cell r="D949">
            <v>0</v>
          </cell>
        </row>
        <row r="950">
          <cell r="D950">
            <v>0</v>
          </cell>
        </row>
        <row r="951">
          <cell r="D951">
            <v>0</v>
          </cell>
        </row>
        <row r="952">
          <cell r="D952">
            <v>0</v>
          </cell>
        </row>
        <row r="953">
          <cell r="D953">
            <v>0</v>
          </cell>
        </row>
        <row r="954">
          <cell r="D954">
            <v>0</v>
          </cell>
        </row>
        <row r="955">
          <cell r="D955">
            <v>0</v>
          </cell>
        </row>
        <row r="956">
          <cell r="D956">
            <v>0</v>
          </cell>
        </row>
        <row r="957">
          <cell r="D957">
            <v>0</v>
          </cell>
        </row>
        <row r="958">
          <cell r="D958">
            <v>0</v>
          </cell>
        </row>
        <row r="959">
          <cell r="D959">
            <v>0</v>
          </cell>
        </row>
        <row r="960">
          <cell r="D960">
            <v>0</v>
          </cell>
        </row>
        <row r="961">
          <cell r="D961">
            <v>0</v>
          </cell>
        </row>
        <row r="962">
          <cell r="D962">
            <v>0</v>
          </cell>
        </row>
        <row r="963">
          <cell r="D963">
            <v>0</v>
          </cell>
        </row>
        <row r="964">
          <cell r="D964">
            <v>0</v>
          </cell>
        </row>
        <row r="965">
          <cell r="D965">
            <v>0</v>
          </cell>
        </row>
        <row r="966">
          <cell r="D966">
            <v>0</v>
          </cell>
        </row>
        <row r="967">
          <cell r="D967">
            <v>0</v>
          </cell>
        </row>
        <row r="968">
          <cell r="D968">
            <v>0</v>
          </cell>
        </row>
        <row r="969">
          <cell r="D969">
            <v>0</v>
          </cell>
        </row>
        <row r="970">
          <cell r="D970">
            <v>0</v>
          </cell>
        </row>
        <row r="971">
          <cell r="D971">
            <v>0</v>
          </cell>
        </row>
        <row r="972">
          <cell r="D972">
            <v>0</v>
          </cell>
        </row>
        <row r="973">
          <cell r="D973">
            <v>0</v>
          </cell>
        </row>
        <row r="974">
          <cell r="D974">
            <v>0</v>
          </cell>
        </row>
        <row r="975">
          <cell r="D975">
            <v>0</v>
          </cell>
        </row>
        <row r="976">
          <cell r="D976">
            <v>0</v>
          </cell>
        </row>
        <row r="977">
          <cell r="D977">
            <v>0</v>
          </cell>
        </row>
        <row r="978">
          <cell r="D978">
            <v>0</v>
          </cell>
        </row>
        <row r="979">
          <cell r="D979">
            <v>0</v>
          </cell>
        </row>
        <row r="980">
          <cell r="D980">
            <v>0</v>
          </cell>
        </row>
        <row r="981">
          <cell r="D981">
            <v>0</v>
          </cell>
        </row>
        <row r="982">
          <cell r="D982">
            <v>0</v>
          </cell>
        </row>
        <row r="983">
          <cell r="D983">
            <v>0</v>
          </cell>
        </row>
        <row r="984">
          <cell r="D984">
            <v>0</v>
          </cell>
        </row>
        <row r="985">
          <cell r="D985">
            <v>0</v>
          </cell>
        </row>
        <row r="986">
          <cell r="D986">
            <v>0</v>
          </cell>
        </row>
        <row r="987">
          <cell r="D987">
            <v>0</v>
          </cell>
        </row>
        <row r="988">
          <cell r="D988">
            <v>0</v>
          </cell>
        </row>
        <row r="989">
          <cell r="D989">
            <v>0</v>
          </cell>
        </row>
        <row r="990">
          <cell r="D990">
            <v>0</v>
          </cell>
        </row>
        <row r="991">
          <cell r="D991">
            <v>0</v>
          </cell>
        </row>
        <row r="992">
          <cell r="D992">
            <v>0</v>
          </cell>
        </row>
        <row r="993">
          <cell r="D993">
            <v>0</v>
          </cell>
        </row>
        <row r="994">
          <cell r="D994">
            <v>0</v>
          </cell>
        </row>
        <row r="995">
          <cell r="D995">
            <v>0</v>
          </cell>
        </row>
        <row r="996">
          <cell r="D996">
            <v>0</v>
          </cell>
        </row>
        <row r="997">
          <cell r="D997">
            <v>0</v>
          </cell>
        </row>
        <row r="998">
          <cell r="D998">
            <v>0</v>
          </cell>
        </row>
        <row r="999">
          <cell r="D999">
            <v>0</v>
          </cell>
        </row>
        <row r="1000">
          <cell r="D1000">
            <v>0</v>
          </cell>
        </row>
        <row r="1001">
          <cell r="D1001">
            <v>0</v>
          </cell>
        </row>
        <row r="1002">
          <cell r="D1002">
            <v>0</v>
          </cell>
        </row>
        <row r="1003">
          <cell r="D1003">
            <v>0</v>
          </cell>
        </row>
        <row r="1004">
          <cell r="D1004">
            <v>0</v>
          </cell>
        </row>
        <row r="1005">
          <cell r="D1005">
            <v>0</v>
          </cell>
        </row>
        <row r="1006">
          <cell r="D1006">
            <v>0</v>
          </cell>
        </row>
        <row r="1007">
          <cell r="D1007">
            <v>0</v>
          </cell>
        </row>
        <row r="1008">
          <cell r="D1008">
            <v>0</v>
          </cell>
        </row>
        <row r="1009">
          <cell r="D1009">
            <v>0</v>
          </cell>
        </row>
        <row r="1010">
          <cell r="D1010">
            <v>0</v>
          </cell>
        </row>
        <row r="1011">
          <cell r="D1011">
            <v>0</v>
          </cell>
        </row>
        <row r="1012">
          <cell r="D1012">
            <v>0</v>
          </cell>
        </row>
        <row r="1013">
          <cell r="D1013">
            <v>0</v>
          </cell>
        </row>
        <row r="1014">
          <cell r="D1014">
            <v>0</v>
          </cell>
        </row>
        <row r="1015">
          <cell r="D1015">
            <v>0</v>
          </cell>
        </row>
        <row r="1016">
          <cell r="D1016">
            <v>0</v>
          </cell>
        </row>
        <row r="1017">
          <cell r="D1017">
            <v>0</v>
          </cell>
        </row>
        <row r="1018">
          <cell r="D1018">
            <v>0</v>
          </cell>
        </row>
        <row r="1019">
          <cell r="D1019">
            <v>0</v>
          </cell>
        </row>
        <row r="1020">
          <cell r="D1020">
            <v>0</v>
          </cell>
        </row>
        <row r="1021">
          <cell r="D1021">
            <v>0</v>
          </cell>
        </row>
        <row r="1022">
          <cell r="D1022">
            <v>0</v>
          </cell>
        </row>
        <row r="1023">
          <cell r="D1023">
            <v>0</v>
          </cell>
        </row>
        <row r="1024">
          <cell r="D1024">
            <v>0</v>
          </cell>
        </row>
        <row r="1025">
          <cell r="D1025">
            <v>0</v>
          </cell>
        </row>
        <row r="1026">
          <cell r="D1026">
            <v>0</v>
          </cell>
        </row>
        <row r="1027">
          <cell r="D1027">
            <v>0</v>
          </cell>
        </row>
        <row r="1028">
          <cell r="D1028">
            <v>0</v>
          </cell>
        </row>
        <row r="1029">
          <cell r="D1029">
            <v>0</v>
          </cell>
        </row>
        <row r="1030">
          <cell r="D1030">
            <v>0</v>
          </cell>
        </row>
        <row r="1031">
          <cell r="D1031">
            <v>0</v>
          </cell>
        </row>
        <row r="1032">
          <cell r="D1032">
            <v>0</v>
          </cell>
        </row>
        <row r="1033">
          <cell r="D1033">
            <v>0</v>
          </cell>
        </row>
        <row r="1034">
          <cell r="D1034">
            <v>0</v>
          </cell>
        </row>
        <row r="1035">
          <cell r="D1035">
            <v>0</v>
          </cell>
        </row>
        <row r="1036">
          <cell r="D1036">
            <v>0</v>
          </cell>
        </row>
        <row r="1037">
          <cell r="D1037">
            <v>0</v>
          </cell>
        </row>
        <row r="1038">
          <cell r="D1038">
            <v>0</v>
          </cell>
        </row>
        <row r="1039">
          <cell r="D1039">
            <v>0</v>
          </cell>
        </row>
        <row r="1040">
          <cell r="D1040">
            <v>0</v>
          </cell>
        </row>
        <row r="1041">
          <cell r="D1041">
            <v>0</v>
          </cell>
        </row>
        <row r="1042">
          <cell r="D1042">
            <v>0</v>
          </cell>
        </row>
        <row r="1043">
          <cell r="D1043">
            <v>0</v>
          </cell>
        </row>
        <row r="1044">
          <cell r="D1044">
            <v>0</v>
          </cell>
        </row>
        <row r="1045">
          <cell r="D1045">
            <v>0</v>
          </cell>
        </row>
        <row r="1046">
          <cell r="D1046">
            <v>0</v>
          </cell>
        </row>
        <row r="1047">
          <cell r="D1047">
            <v>0</v>
          </cell>
        </row>
        <row r="1048">
          <cell r="D1048">
            <v>0</v>
          </cell>
        </row>
        <row r="1049">
          <cell r="D1049">
            <v>0</v>
          </cell>
        </row>
        <row r="1122">
          <cell r="D1122">
            <v>0</v>
          </cell>
        </row>
        <row r="1123">
          <cell r="D1123">
            <v>0</v>
          </cell>
        </row>
        <row r="1124">
          <cell r="D1124">
            <v>0</v>
          </cell>
        </row>
        <row r="1125">
          <cell r="D1125">
            <v>0</v>
          </cell>
        </row>
        <row r="1126">
          <cell r="D1126">
            <v>0</v>
          </cell>
        </row>
        <row r="1127">
          <cell r="D1127">
            <v>0</v>
          </cell>
        </row>
        <row r="1128">
          <cell r="D1128">
            <v>0</v>
          </cell>
        </row>
        <row r="1129">
          <cell r="D1129">
            <v>0</v>
          </cell>
        </row>
        <row r="1130">
          <cell r="D1130">
            <v>0</v>
          </cell>
        </row>
        <row r="1131">
          <cell r="D1131">
            <v>0</v>
          </cell>
        </row>
        <row r="1132">
          <cell r="D1132">
            <v>0</v>
          </cell>
        </row>
        <row r="1133">
          <cell r="D1133">
            <v>0</v>
          </cell>
        </row>
        <row r="1134">
          <cell r="D1134">
            <v>0</v>
          </cell>
        </row>
        <row r="1135">
          <cell r="D1135">
            <v>0</v>
          </cell>
        </row>
        <row r="1136">
          <cell r="D1136">
            <v>0</v>
          </cell>
        </row>
        <row r="1137">
          <cell r="D1137">
            <v>0</v>
          </cell>
        </row>
        <row r="1138">
          <cell r="D1138">
            <v>0</v>
          </cell>
        </row>
        <row r="1139">
          <cell r="D1139">
            <v>0</v>
          </cell>
        </row>
        <row r="1140">
          <cell r="D1140">
            <v>0</v>
          </cell>
        </row>
        <row r="1141">
          <cell r="D1141">
            <v>0</v>
          </cell>
        </row>
        <row r="1142">
          <cell r="D1142">
            <v>0</v>
          </cell>
        </row>
        <row r="1143">
          <cell r="D1143">
            <v>0</v>
          </cell>
        </row>
        <row r="1144">
          <cell r="D1144">
            <v>0</v>
          </cell>
        </row>
        <row r="1145">
          <cell r="D1145">
            <v>0</v>
          </cell>
        </row>
        <row r="1146">
          <cell r="D1146">
            <v>0</v>
          </cell>
        </row>
        <row r="1147">
          <cell r="D1147">
            <v>0</v>
          </cell>
        </row>
        <row r="1148">
          <cell r="D1148">
            <v>0</v>
          </cell>
        </row>
        <row r="1149">
          <cell r="D1149">
            <v>0</v>
          </cell>
        </row>
        <row r="1150">
          <cell r="D1150">
            <v>0</v>
          </cell>
        </row>
        <row r="1151">
          <cell r="D1151">
            <v>0</v>
          </cell>
        </row>
        <row r="1152">
          <cell r="D1152">
            <v>0</v>
          </cell>
        </row>
        <row r="1153">
          <cell r="D1153">
            <v>0</v>
          </cell>
        </row>
        <row r="1154">
          <cell r="D1154">
            <v>0</v>
          </cell>
        </row>
        <row r="1155">
          <cell r="D1155">
            <v>0</v>
          </cell>
        </row>
        <row r="1156">
          <cell r="D1156">
            <v>0</v>
          </cell>
        </row>
        <row r="1157">
          <cell r="D1157">
            <v>0</v>
          </cell>
        </row>
        <row r="1158">
          <cell r="D1158">
            <v>0</v>
          </cell>
        </row>
        <row r="1159">
          <cell r="D1159">
            <v>0</v>
          </cell>
        </row>
        <row r="1160">
          <cell r="D1160">
            <v>0</v>
          </cell>
        </row>
        <row r="1161">
          <cell r="D1161">
            <v>0</v>
          </cell>
        </row>
        <row r="1162">
          <cell r="D1162">
            <v>0</v>
          </cell>
        </row>
        <row r="1163">
          <cell r="D1163">
            <v>0</v>
          </cell>
        </row>
        <row r="1164">
          <cell r="D1164">
            <v>0</v>
          </cell>
        </row>
        <row r="1165">
          <cell r="D1165">
            <v>0</v>
          </cell>
        </row>
        <row r="1166">
          <cell r="D1166">
            <v>0</v>
          </cell>
        </row>
        <row r="1167">
          <cell r="D1167">
            <v>0</v>
          </cell>
        </row>
        <row r="1168">
          <cell r="D1168">
            <v>0</v>
          </cell>
        </row>
        <row r="1169">
          <cell r="D1169">
            <v>0</v>
          </cell>
        </row>
        <row r="1170">
          <cell r="D1170">
            <v>0</v>
          </cell>
        </row>
        <row r="1171">
          <cell r="D1171">
            <v>0</v>
          </cell>
        </row>
        <row r="1172">
          <cell r="D1172">
            <v>0</v>
          </cell>
        </row>
        <row r="1173">
          <cell r="D1173">
            <v>0</v>
          </cell>
        </row>
        <row r="1174">
          <cell r="D1174">
            <v>0</v>
          </cell>
        </row>
        <row r="1175">
          <cell r="D1175">
            <v>0</v>
          </cell>
        </row>
        <row r="1176">
          <cell r="D1176">
            <v>0</v>
          </cell>
        </row>
        <row r="1177">
          <cell r="D1177">
            <v>0</v>
          </cell>
        </row>
        <row r="1178">
          <cell r="D1178">
            <v>0</v>
          </cell>
        </row>
        <row r="1179">
          <cell r="D1179">
            <v>0</v>
          </cell>
        </row>
        <row r="1180">
          <cell r="D1180">
            <v>0</v>
          </cell>
        </row>
        <row r="1181">
          <cell r="D1181">
            <v>0</v>
          </cell>
        </row>
        <row r="1182">
          <cell r="D1182">
            <v>0</v>
          </cell>
        </row>
        <row r="1183">
          <cell r="D1183">
            <v>0</v>
          </cell>
        </row>
        <row r="1184">
          <cell r="D1184">
            <v>0</v>
          </cell>
        </row>
        <row r="1185">
          <cell r="D1185">
            <v>0</v>
          </cell>
        </row>
        <row r="1186">
          <cell r="D1186">
            <v>0</v>
          </cell>
        </row>
        <row r="1187">
          <cell r="D1187">
            <v>0</v>
          </cell>
        </row>
        <row r="1188">
          <cell r="D1188">
            <v>0</v>
          </cell>
        </row>
        <row r="1189">
          <cell r="D1189">
            <v>0</v>
          </cell>
        </row>
        <row r="1190">
          <cell r="D1190">
            <v>0</v>
          </cell>
        </row>
        <row r="1191">
          <cell r="D1191">
            <v>0</v>
          </cell>
        </row>
        <row r="1192">
          <cell r="D1192">
            <v>0</v>
          </cell>
        </row>
        <row r="1193">
          <cell r="D1193">
            <v>0</v>
          </cell>
        </row>
        <row r="1194">
          <cell r="D1194">
            <v>0</v>
          </cell>
        </row>
        <row r="1195">
          <cell r="D1195">
            <v>0</v>
          </cell>
        </row>
        <row r="1196">
          <cell r="D1196">
            <v>0</v>
          </cell>
        </row>
        <row r="1197">
          <cell r="D1197">
            <v>0</v>
          </cell>
        </row>
        <row r="1198">
          <cell r="D1198">
            <v>0</v>
          </cell>
        </row>
        <row r="1199">
          <cell r="D1199">
            <v>0</v>
          </cell>
        </row>
        <row r="1200">
          <cell r="D1200">
            <v>0</v>
          </cell>
        </row>
        <row r="1201">
          <cell r="D1201">
            <v>0</v>
          </cell>
        </row>
        <row r="1202">
          <cell r="D1202">
            <v>0</v>
          </cell>
        </row>
        <row r="1203">
          <cell r="D1203">
            <v>0</v>
          </cell>
        </row>
        <row r="1204">
          <cell r="D1204">
            <v>0</v>
          </cell>
        </row>
        <row r="1205">
          <cell r="D1205">
            <v>0</v>
          </cell>
        </row>
        <row r="1206">
          <cell r="D1206">
            <v>0</v>
          </cell>
        </row>
        <row r="1207">
          <cell r="D1207">
            <v>0</v>
          </cell>
        </row>
        <row r="1208">
          <cell r="D1208">
            <v>0</v>
          </cell>
        </row>
        <row r="1209">
          <cell r="D1209">
            <v>0</v>
          </cell>
        </row>
        <row r="1210">
          <cell r="D1210">
            <v>0</v>
          </cell>
        </row>
        <row r="1211">
          <cell r="D1211">
            <v>0</v>
          </cell>
        </row>
        <row r="1212">
          <cell r="D1212">
            <v>0</v>
          </cell>
        </row>
        <row r="1213">
          <cell r="D1213">
            <v>0</v>
          </cell>
        </row>
        <row r="1214">
          <cell r="D1214">
            <v>0</v>
          </cell>
        </row>
        <row r="1215">
          <cell r="D1215">
            <v>0</v>
          </cell>
        </row>
        <row r="1216">
          <cell r="D1216">
            <v>0</v>
          </cell>
        </row>
        <row r="1217">
          <cell r="D1217">
            <v>0</v>
          </cell>
        </row>
        <row r="1218">
          <cell r="D1218">
            <v>0</v>
          </cell>
        </row>
        <row r="1219">
          <cell r="D1219">
            <v>0</v>
          </cell>
        </row>
        <row r="1220">
          <cell r="D1220">
            <v>0</v>
          </cell>
        </row>
        <row r="1221">
          <cell r="D1221">
            <v>0</v>
          </cell>
        </row>
        <row r="1222">
          <cell r="D1222">
            <v>0</v>
          </cell>
        </row>
        <row r="1223">
          <cell r="D1223">
            <v>0</v>
          </cell>
        </row>
        <row r="1224">
          <cell r="D1224">
            <v>0</v>
          </cell>
        </row>
        <row r="1225">
          <cell r="D1225">
            <v>0</v>
          </cell>
        </row>
        <row r="1226">
          <cell r="D1226">
            <v>0</v>
          </cell>
        </row>
        <row r="1227">
          <cell r="D1227">
            <v>0</v>
          </cell>
        </row>
        <row r="1228">
          <cell r="D1228">
            <v>0</v>
          </cell>
        </row>
        <row r="1229">
          <cell r="D1229">
            <v>0</v>
          </cell>
        </row>
        <row r="1230">
          <cell r="D1230">
            <v>0</v>
          </cell>
        </row>
        <row r="1231">
          <cell r="D1231">
            <v>0</v>
          </cell>
        </row>
        <row r="1232">
          <cell r="D1232">
            <v>0</v>
          </cell>
        </row>
        <row r="1233">
          <cell r="D1233">
            <v>0</v>
          </cell>
        </row>
        <row r="1234">
          <cell r="D1234">
            <v>0</v>
          </cell>
        </row>
        <row r="1235">
          <cell r="D1235">
            <v>0</v>
          </cell>
        </row>
        <row r="1236">
          <cell r="D1236">
            <v>0</v>
          </cell>
        </row>
        <row r="1237">
          <cell r="D1237">
            <v>0</v>
          </cell>
        </row>
        <row r="1238">
          <cell r="D1238">
            <v>0</v>
          </cell>
        </row>
        <row r="1239">
          <cell r="D1239">
            <v>0</v>
          </cell>
        </row>
        <row r="1240">
          <cell r="D1240">
            <v>0</v>
          </cell>
        </row>
        <row r="1241">
          <cell r="D1241">
            <v>0</v>
          </cell>
        </row>
        <row r="1242">
          <cell r="D1242">
            <v>0</v>
          </cell>
        </row>
        <row r="1243">
          <cell r="D1243">
            <v>0</v>
          </cell>
        </row>
        <row r="1244">
          <cell r="D1244">
            <v>0</v>
          </cell>
        </row>
        <row r="1245">
          <cell r="D1245">
            <v>0</v>
          </cell>
        </row>
        <row r="1246">
          <cell r="D1246">
            <v>0</v>
          </cell>
        </row>
        <row r="1247">
          <cell r="D1247">
            <v>0</v>
          </cell>
        </row>
        <row r="1248">
          <cell r="D1248">
            <v>0</v>
          </cell>
        </row>
        <row r="1249">
          <cell r="D1249">
            <v>0</v>
          </cell>
        </row>
        <row r="1250">
          <cell r="D1250">
            <v>0</v>
          </cell>
        </row>
        <row r="1251">
          <cell r="D1251">
            <v>0</v>
          </cell>
        </row>
        <row r="1252">
          <cell r="D1252">
            <v>0</v>
          </cell>
        </row>
        <row r="1253">
          <cell r="D1253">
            <v>0</v>
          </cell>
        </row>
        <row r="1254">
          <cell r="D1254">
            <v>0</v>
          </cell>
        </row>
        <row r="1255">
          <cell r="D1255">
            <v>0</v>
          </cell>
        </row>
        <row r="1256">
          <cell r="D1256">
            <v>0</v>
          </cell>
        </row>
        <row r="1257">
          <cell r="D1257">
            <v>0</v>
          </cell>
        </row>
        <row r="1258">
          <cell r="D1258">
            <v>0</v>
          </cell>
        </row>
        <row r="1259">
          <cell r="D1259">
            <v>0</v>
          </cell>
        </row>
        <row r="1260">
          <cell r="D1260">
            <v>0</v>
          </cell>
        </row>
        <row r="1261">
          <cell r="D1261">
            <v>0</v>
          </cell>
        </row>
        <row r="1262">
          <cell r="D1262">
            <v>0</v>
          </cell>
        </row>
        <row r="1263">
          <cell r="D1263">
            <v>0</v>
          </cell>
        </row>
        <row r="1264">
          <cell r="D1264">
            <v>0</v>
          </cell>
        </row>
        <row r="1265">
          <cell r="D1265">
            <v>0</v>
          </cell>
        </row>
        <row r="1266">
          <cell r="D1266">
            <v>0</v>
          </cell>
        </row>
        <row r="1267">
          <cell r="D1267">
            <v>0</v>
          </cell>
        </row>
        <row r="1268">
          <cell r="D1268">
            <v>0</v>
          </cell>
        </row>
        <row r="1269">
          <cell r="D1269">
            <v>0</v>
          </cell>
        </row>
        <row r="1270">
          <cell r="D1270">
            <v>0</v>
          </cell>
        </row>
        <row r="1271">
          <cell r="D1271">
            <v>0</v>
          </cell>
        </row>
        <row r="1272">
          <cell r="D1272">
            <v>0</v>
          </cell>
        </row>
        <row r="1273">
          <cell r="D1273">
            <v>0</v>
          </cell>
        </row>
        <row r="1274">
          <cell r="D1274">
            <v>0</v>
          </cell>
        </row>
        <row r="1275">
          <cell r="D1275">
            <v>0</v>
          </cell>
        </row>
        <row r="1276">
          <cell r="D1276">
            <v>0</v>
          </cell>
        </row>
        <row r="1277">
          <cell r="D1277">
            <v>0</v>
          </cell>
        </row>
        <row r="1278">
          <cell r="D1278">
            <v>0</v>
          </cell>
        </row>
        <row r="1279">
          <cell r="D1279">
            <v>0</v>
          </cell>
        </row>
        <row r="1280">
          <cell r="D1280">
            <v>0</v>
          </cell>
        </row>
        <row r="1281">
          <cell r="D1281">
            <v>0</v>
          </cell>
        </row>
        <row r="1282">
          <cell r="D1282">
            <v>0</v>
          </cell>
        </row>
        <row r="1283">
          <cell r="D1283">
            <v>0</v>
          </cell>
        </row>
        <row r="1284">
          <cell r="D1284">
            <v>0</v>
          </cell>
        </row>
        <row r="1285">
          <cell r="D1285">
            <v>0</v>
          </cell>
        </row>
        <row r="1286">
          <cell r="D1286">
            <v>0</v>
          </cell>
        </row>
        <row r="1287">
          <cell r="D1287">
            <v>0</v>
          </cell>
        </row>
        <row r="1288">
          <cell r="D1288">
            <v>0</v>
          </cell>
        </row>
        <row r="1289">
          <cell r="D1289">
            <v>0</v>
          </cell>
        </row>
        <row r="1290">
          <cell r="D1290">
            <v>0</v>
          </cell>
        </row>
        <row r="1291">
          <cell r="D1291">
            <v>0</v>
          </cell>
        </row>
        <row r="1292">
          <cell r="D1292">
            <v>0</v>
          </cell>
        </row>
        <row r="1293">
          <cell r="D1293">
            <v>0</v>
          </cell>
        </row>
        <row r="1294">
          <cell r="D1294">
            <v>0</v>
          </cell>
        </row>
        <row r="1295">
          <cell r="D1295">
            <v>0</v>
          </cell>
        </row>
        <row r="1296">
          <cell r="D1296">
            <v>0</v>
          </cell>
        </row>
        <row r="1297">
          <cell r="D1297">
            <v>0</v>
          </cell>
        </row>
        <row r="1298">
          <cell r="D1298">
            <v>0</v>
          </cell>
        </row>
        <row r="1299">
          <cell r="D1299">
            <v>0</v>
          </cell>
        </row>
        <row r="1300">
          <cell r="D1300">
            <v>0</v>
          </cell>
        </row>
        <row r="1301">
          <cell r="D1301">
            <v>0</v>
          </cell>
        </row>
        <row r="1302">
          <cell r="D1302">
            <v>0</v>
          </cell>
        </row>
        <row r="1303">
          <cell r="D1303">
            <v>0</v>
          </cell>
        </row>
        <row r="1304">
          <cell r="D1304">
            <v>0</v>
          </cell>
        </row>
        <row r="1305">
          <cell r="D1305">
            <v>0</v>
          </cell>
        </row>
        <row r="1306">
          <cell r="D1306">
            <v>0</v>
          </cell>
        </row>
        <row r="1307">
          <cell r="D1307">
            <v>0</v>
          </cell>
        </row>
        <row r="1308">
          <cell r="D1308">
            <v>0</v>
          </cell>
        </row>
        <row r="1309">
          <cell r="D1309">
            <v>0</v>
          </cell>
        </row>
        <row r="1310">
          <cell r="D1310">
            <v>0</v>
          </cell>
        </row>
        <row r="1311">
          <cell r="D1311">
            <v>0</v>
          </cell>
        </row>
        <row r="1312">
          <cell r="D1312">
            <v>0</v>
          </cell>
        </row>
        <row r="1313">
          <cell r="D1313">
            <v>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Pivot (2)"/>
      <sheetName val="AP Aging Report"/>
      <sheetName val="Dispute Summary"/>
      <sheetName val="Invoice Tracking"/>
      <sheetName val="Dispute Detail"/>
      <sheetName val="Aging Detail"/>
      <sheetName val="Field Descriptions"/>
      <sheetName val="Contract Listing"/>
      <sheetName val="Reasons for Dispute"/>
      <sheetName val="Drop Down Legend"/>
      <sheetName val="_TM_Holidays - CA"/>
      <sheetName val="Contract Types"/>
      <sheetName val="Holidays - CA"/>
      <sheetName val="Aging Rank"/>
      <sheetName val="Sheet4"/>
      <sheetName val="Report"/>
      <sheetName val="Chart Data"/>
      <sheetName val="AP1 "/>
      <sheetName val="AP2 - DUE TO CM"/>
      <sheetName val="AP3 - CM APPROVAL"/>
      <sheetName val="AP4 - DISPUTE"/>
      <sheetName val="AP5 - SENT TO SCO"/>
      <sheetName val="AP6 - PAYMENT DUE"/>
      <sheetName val="AP7 - PAID"/>
      <sheetName val="AP8 - OPEN INV"/>
      <sheetName val="AP9.2 - Encumbrances (215)"/>
      <sheetName val="AP9.3 - Encumbrances (PO)"/>
      <sheetName val="AP9.5 Encumbrance (Excel - All)"/>
      <sheetName val="AP10 - OUTSTANDING DISPUTE"/>
      <sheetName val="Disputes and Open Invoices"/>
      <sheetName val="Outstanding ORF"/>
      <sheetName val="FISCAL Voucher ID"/>
      <sheetName val="Dispute Aging Piv Type &amp; Vendor"/>
      <sheetName val="Vendor Type Pivot"/>
      <sheetName val="Vendor &amp; Type"/>
      <sheetName val="CM List"/>
      <sheetName val="Min,Ave,Max"/>
      <sheetName val="AP10.1 - DISPUTE AGING"/>
      <sheetName val="Sheet2"/>
      <sheetName val="01 INVOICE TRACKING LOG READ-ON"/>
      <sheetName val="Direct Transfers FY2017-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C4">
            <v>40179</v>
          </cell>
        </row>
        <row r="5">
          <cell r="C5">
            <v>40196</v>
          </cell>
        </row>
        <row r="6">
          <cell r="C6">
            <v>40224</v>
          </cell>
        </row>
        <row r="7">
          <cell r="C7">
            <v>40268</v>
          </cell>
        </row>
        <row r="8">
          <cell r="C8">
            <v>40329</v>
          </cell>
        </row>
        <row r="9">
          <cell r="C9">
            <v>40364</v>
          </cell>
        </row>
        <row r="10">
          <cell r="C10">
            <v>40422</v>
          </cell>
        </row>
        <row r="11">
          <cell r="C11">
            <v>40493</v>
          </cell>
        </row>
        <row r="12">
          <cell r="C12">
            <v>40507</v>
          </cell>
        </row>
        <row r="13">
          <cell r="C13">
            <v>40508</v>
          </cell>
        </row>
        <row r="14">
          <cell r="C14">
            <v>40536</v>
          </cell>
        </row>
        <row r="15">
          <cell r="C15">
            <v>40543</v>
          </cell>
        </row>
        <row r="16">
          <cell r="C16">
            <v>40560</v>
          </cell>
        </row>
        <row r="17">
          <cell r="C17">
            <v>40595</v>
          </cell>
        </row>
        <row r="18">
          <cell r="C18">
            <v>40633</v>
          </cell>
        </row>
        <row r="19">
          <cell r="C19">
            <v>40693</v>
          </cell>
        </row>
        <row r="20">
          <cell r="C20">
            <v>40728</v>
          </cell>
        </row>
        <row r="21">
          <cell r="C21">
            <v>40788</v>
          </cell>
        </row>
        <row r="22">
          <cell r="C22">
            <v>40858</v>
          </cell>
        </row>
        <row r="23">
          <cell r="C23">
            <v>40871</v>
          </cell>
        </row>
        <row r="24">
          <cell r="C24">
            <v>40872</v>
          </cell>
        </row>
        <row r="25">
          <cell r="C25">
            <v>40903</v>
          </cell>
        </row>
        <row r="26">
          <cell r="C26">
            <v>40910</v>
          </cell>
        </row>
        <row r="27">
          <cell r="C27">
            <v>40924</v>
          </cell>
        </row>
        <row r="28">
          <cell r="C28">
            <v>40959</v>
          </cell>
        </row>
        <row r="29">
          <cell r="C29">
            <v>40998</v>
          </cell>
        </row>
        <row r="30">
          <cell r="C30">
            <v>41057</v>
          </cell>
        </row>
        <row r="31">
          <cell r="C31">
            <v>41094</v>
          </cell>
        </row>
        <row r="32">
          <cell r="C32">
            <v>41156</v>
          </cell>
        </row>
        <row r="33">
          <cell r="C33">
            <v>41225</v>
          </cell>
        </row>
        <row r="34">
          <cell r="C34">
            <v>41235</v>
          </cell>
        </row>
        <row r="35">
          <cell r="C35">
            <v>41236</v>
          </cell>
        </row>
        <row r="36">
          <cell r="C36">
            <v>41268</v>
          </cell>
        </row>
        <row r="37">
          <cell r="C37">
            <v>41275</v>
          </cell>
        </row>
        <row r="38">
          <cell r="C38">
            <v>41295</v>
          </cell>
        </row>
        <row r="39">
          <cell r="C39">
            <v>41323</v>
          </cell>
        </row>
        <row r="40">
          <cell r="C40">
            <v>41365</v>
          </cell>
        </row>
        <row r="41">
          <cell r="C41">
            <v>41421</v>
          </cell>
        </row>
        <row r="42">
          <cell r="C42">
            <v>41459</v>
          </cell>
        </row>
        <row r="43">
          <cell r="C43">
            <v>41522</v>
          </cell>
        </row>
        <row r="44">
          <cell r="C44">
            <v>41589</v>
          </cell>
        </row>
        <row r="45">
          <cell r="C45">
            <v>41606</v>
          </cell>
        </row>
        <row r="46">
          <cell r="C46">
            <v>41607</v>
          </cell>
        </row>
        <row r="47">
          <cell r="C47">
            <v>41633</v>
          </cell>
        </row>
        <row r="48">
          <cell r="C48">
            <v>41640</v>
          </cell>
        </row>
        <row r="49">
          <cell r="C49">
            <v>41659</v>
          </cell>
        </row>
        <row r="50">
          <cell r="C50">
            <v>41687</v>
          </cell>
        </row>
        <row r="51">
          <cell r="C51">
            <v>41729</v>
          </cell>
        </row>
        <row r="52">
          <cell r="C52">
            <v>41785</v>
          </cell>
        </row>
        <row r="53">
          <cell r="C53">
            <v>41824</v>
          </cell>
        </row>
        <row r="54">
          <cell r="C54">
            <v>41888</v>
          </cell>
        </row>
        <row r="55">
          <cell r="C55">
            <v>41954</v>
          </cell>
        </row>
        <row r="56">
          <cell r="C56">
            <v>41970</v>
          </cell>
        </row>
        <row r="57">
          <cell r="C57">
            <v>41971</v>
          </cell>
        </row>
        <row r="58">
          <cell r="C58">
            <v>41998</v>
          </cell>
        </row>
        <row r="59">
          <cell r="C59">
            <v>42005</v>
          </cell>
        </row>
        <row r="60">
          <cell r="C60">
            <v>42023</v>
          </cell>
        </row>
        <row r="61">
          <cell r="C61">
            <v>42051</v>
          </cell>
        </row>
        <row r="62">
          <cell r="C62">
            <v>42094</v>
          </cell>
        </row>
        <row r="63">
          <cell r="C63">
            <v>42149</v>
          </cell>
        </row>
        <row r="64">
          <cell r="C64">
            <v>42188</v>
          </cell>
        </row>
        <row r="65">
          <cell r="C65">
            <v>42254</v>
          </cell>
        </row>
        <row r="66">
          <cell r="C66">
            <v>42319</v>
          </cell>
        </row>
        <row r="67">
          <cell r="C67">
            <v>42334</v>
          </cell>
        </row>
        <row r="68">
          <cell r="C68">
            <v>42335</v>
          </cell>
        </row>
        <row r="69">
          <cell r="C69">
            <v>42363</v>
          </cell>
        </row>
        <row r="70">
          <cell r="C70">
            <v>42370</v>
          </cell>
        </row>
        <row r="71">
          <cell r="C71">
            <v>42387</v>
          </cell>
        </row>
        <row r="72">
          <cell r="C72">
            <v>42415</v>
          </cell>
        </row>
        <row r="73">
          <cell r="C73">
            <v>42460</v>
          </cell>
        </row>
        <row r="74">
          <cell r="C74">
            <v>42520</v>
          </cell>
        </row>
        <row r="75">
          <cell r="C75">
            <v>42555</v>
          </cell>
        </row>
        <row r="76">
          <cell r="C76">
            <v>42615</v>
          </cell>
        </row>
        <row r="77">
          <cell r="C77">
            <v>43049</v>
          </cell>
        </row>
        <row r="78">
          <cell r="C78">
            <v>42698</v>
          </cell>
        </row>
        <row r="79">
          <cell r="C79">
            <v>42699</v>
          </cell>
        </row>
        <row r="80">
          <cell r="C80">
            <v>42730</v>
          </cell>
        </row>
        <row r="81">
          <cell r="C81">
            <v>42737</v>
          </cell>
        </row>
        <row r="82">
          <cell r="C82">
            <v>42751</v>
          </cell>
        </row>
        <row r="83">
          <cell r="C83">
            <v>42786</v>
          </cell>
        </row>
        <row r="84">
          <cell r="C84">
            <v>42825</v>
          </cell>
        </row>
        <row r="85">
          <cell r="C85">
            <v>42884</v>
          </cell>
        </row>
        <row r="86">
          <cell r="C86">
            <v>42920</v>
          </cell>
        </row>
        <row r="87">
          <cell r="C87">
            <v>42981</v>
          </cell>
        </row>
        <row r="88">
          <cell r="C88">
            <v>43050</v>
          </cell>
        </row>
        <row r="89">
          <cell r="C89">
            <v>43062</v>
          </cell>
        </row>
        <row r="90">
          <cell r="C90">
            <v>43063</v>
          </cell>
        </row>
        <row r="91">
          <cell r="C91">
            <v>43094</v>
          </cell>
        </row>
        <row r="92">
          <cell r="C92">
            <v>43101</v>
          </cell>
        </row>
        <row r="93">
          <cell r="C93">
            <v>43115</v>
          </cell>
        </row>
        <row r="94">
          <cell r="C94">
            <v>43150</v>
          </cell>
        </row>
        <row r="95">
          <cell r="C95">
            <v>43189</v>
          </cell>
        </row>
        <row r="96">
          <cell r="C96">
            <v>43248</v>
          </cell>
        </row>
        <row r="97">
          <cell r="C97">
            <v>43285</v>
          </cell>
        </row>
        <row r="98">
          <cell r="C98">
            <v>43347</v>
          </cell>
        </row>
        <row r="99">
          <cell r="C99">
            <v>43416</v>
          </cell>
        </row>
        <row r="100">
          <cell r="C100">
            <v>43426</v>
          </cell>
        </row>
        <row r="101">
          <cell r="C101">
            <v>43427</v>
          </cell>
        </row>
        <row r="102">
          <cell r="C102">
            <v>43459</v>
          </cell>
        </row>
        <row r="103">
          <cell r="C103">
            <v>43466</v>
          </cell>
        </row>
        <row r="104">
          <cell r="C104">
            <v>43486</v>
          </cell>
        </row>
        <row r="105">
          <cell r="C105">
            <v>43514</v>
          </cell>
        </row>
        <row r="106">
          <cell r="C106">
            <v>43556</v>
          </cell>
        </row>
        <row r="107">
          <cell r="C107">
            <v>43612</v>
          </cell>
        </row>
        <row r="108">
          <cell r="C108">
            <v>43650</v>
          </cell>
        </row>
        <row r="109">
          <cell r="C109">
            <v>43713</v>
          </cell>
        </row>
        <row r="110">
          <cell r="C110">
            <v>43780</v>
          </cell>
        </row>
        <row r="111">
          <cell r="C111">
            <v>43797</v>
          </cell>
        </row>
        <row r="112">
          <cell r="C112">
            <v>43798</v>
          </cell>
        </row>
        <row r="113">
          <cell r="C113">
            <v>43824</v>
          </cell>
        </row>
        <row r="114">
          <cell r="C114">
            <v>43831</v>
          </cell>
        </row>
        <row r="115">
          <cell r="C115">
            <v>43850</v>
          </cell>
        </row>
        <row r="116">
          <cell r="C116">
            <v>43878</v>
          </cell>
        </row>
        <row r="117">
          <cell r="C117">
            <v>43921</v>
          </cell>
        </row>
        <row r="118">
          <cell r="C118">
            <v>43976</v>
          </cell>
        </row>
        <row r="119">
          <cell r="C119">
            <v>44015</v>
          </cell>
        </row>
        <row r="120">
          <cell r="C120">
            <v>44081</v>
          </cell>
        </row>
        <row r="121">
          <cell r="C121">
            <v>44146</v>
          </cell>
        </row>
        <row r="122">
          <cell r="C122">
            <v>44161</v>
          </cell>
        </row>
        <row r="123">
          <cell r="C123">
            <v>44162</v>
          </cell>
        </row>
        <row r="124">
          <cell r="C124">
            <v>44190</v>
          </cell>
        </row>
        <row r="125">
          <cell r="C125">
            <v>44197</v>
          </cell>
        </row>
        <row r="126">
          <cell r="C126">
            <v>44214</v>
          </cell>
        </row>
        <row r="127">
          <cell r="C127">
            <v>44242</v>
          </cell>
        </row>
        <row r="128">
          <cell r="C128">
            <v>44286</v>
          </cell>
        </row>
        <row r="129">
          <cell r="C129">
            <v>44347</v>
          </cell>
        </row>
        <row r="130">
          <cell r="C130">
            <v>44382</v>
          </cell>
        </row>
        <row r="131">
          <cell r="C131">
            <v>44440</v>
          </cell>
        </row>
        <row r="132">
          <cell r="C132">
            <v>44511</v>
          </cell>
        </row>
        <row r="133">
          <cell r="C133">
            <v>44525</v>
          </cell>
        </row>
        <row r="134">
          <cell r="C134">
            <v>44526</v>
          </cell>
        </row>
        <row r="135">
          <cell r="C135">
            <v>44554</v>
          </cell>
        </row>
        <row r="136">
          <cell r="C136">
            <v>44561</v>
          </cell>
        </row>
        <row r="137">
          <cell r="C137">
            <v>44578</v>
          </cell>
        </row>
        <row r="138">
          <cell r="C138">
            <v>44613</v>
          </cell>
        </row>
        <row r="139">
          <cell r="C139">
            <v>44651</v>
          </cell>
        </row>
        <row r="140">
          <cell r="C140">
            <v>44711</v>
          </cell>
        </row>
        <row r="141">
          <cell r="C141">
            <v>44746</v>
          </cell>
        </row>
        <row r="142">
          <cell r="C142">
            <v>44806</v>
          </cell>
        </row>
        <row r="143">
          <cell r="C143">
            <v>45240</v>
          </cell>
        </row>
        <row r="144">
          <cell r="C144">
            <v>44889</v>
          </cell>
        </row>
        <row r="145">
          <cell r="C145">
            <v>44890</v>
          </cell>
        </row>
        <row r="146">
          <cell r="C146">
            <v>44921</v>
          </cell>
        </row>
        <row r="147">
          <cell r="C147">
            <v>44928</v>
          </cell>
        </row>
        <row r="148">
          <cell r="C148">
            <v>44942</v>
          </cell>
        </row>
        <row r="149">
          <cell r="C149">
            <v>44977</v>
          </cell>
        </row>
        <row r="150">
          <cell r="C150">
            <v>45016</v>
          </cell>
        </row>
        <row r="151">
          <cell r="C151">
            <v>45075</v>
          </cell>
        </row>
        <row r="152">
          <cell r="C152">
            <v>45111</v>
          </cell>
        </row>
        <row r="153">
          <cell r="C153">
            <v>45172</v>
          </cell>
        </row>
        <row r="154">
          <cell r="C154">
            <v>45241</v>
          </cell>
        </row>
        <row r="155">
          <cell r="C155">
            <v>45253</v>
          </cell>
        </row>
        <row r="156">
          <cell r="C156">
            <v>45254</v>
          </cell>
        </row>
        <row r="157">
          <cell r="C157">
            <v>45285</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refreshError="1"/>
      <sheetData sheetId="40"/>
      <sheetData sheetId="41" refreshError="1"/>
      <sheetData sheetId="4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 Aging Report"/>
      <sheetName val="Dispute Summary"/>
      <sheetName val="Dispute Detail"/>
      <sheetName val="Aging Detail"/>
      <sheetName val="Disputes and Open Invoices"/>
      <sheetName val="Dispute Aging Piv Type &amp; Vendor"/>
      <sheetName val="Vendor Pivot"/>
      <sheetName val="Vendor &amp; Type"/>
      <sheetName val="Outstanding ORF"/>
      <sheetName val="FISCAL Voucher ID"/>
      <sheetName val="Check PO"/>
      <sheetName val="30+ Days Aged"/>
      <sheetName val="30+"/>
      <sheetName val="Dispute Form Pending"/>
      <sheetName val="SCO Denied Invoices"/>
      <sheetName val="Flag Pivot."/>
      <sheetName val="Invoice Status"/>
      <sheetName val="CTL Pivot"/>
      <sheetName val="Invoice Tracking"/>
      <sheetName val="Contract Listing"/>
      <sheetName val="CM List - Do not re-sort page"/>
      <sheetName val="Field Descriptions"/>
      <sheetName val="Reasons for Dispute"/>
      <sheetName val="Drop Down Legend"/>
      <sheetName val="_TM_Holidays - CA"/>
      <sheetName val="Holidays - CA"/>
      <sheetName val="Contract Types"/>
      <sheetName val="Aging Rank"/>
      <sheetName val="Chart Data"/>
      <sheetName val="AP1 "/>
      <sheetName val="AP2 - DUE TO CM"/>
      <sheetName val="AP3 - CM APPROVAL"/>
      <sheetName val="AP4 - DISPUTE"/>
      <sheetName val="AP5 - SENT TO SCO"/>
      <sheetName val="AP6 - PAYMENT DUE"/>
      <sheetName val="AP7 - PAID"/>
      <sheetName val="AP8 - OPEN INV"/>
      <sheetName val="AP9.2 - Encumbrances (215)"/>
      <sheetName val="AP9.3 - Encumbrances (PO)"/>
      <sheetName val="AP10 - OUTSTANDING DISPUTE"/>
      <sheetName val="AP10.1 - DISPUTE AGING"/>
      <sheetName val="01 INVOICE TRACKING LOG - Rea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ow r="4">
          <cell r="C4">
            <v>40179</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 by Subtask"/>
      <sheetName val="AD Task 1 by Co."/>
      <sheetName val="AD Task 1 by Person"/>
      <sheetName val="Master Deliverables"/>
      <sheetName val="Classifications"/>
      <sheetName val="Task 1 Subtask Rollup"/>
      <sheetName val="Task 1 Total"/>
      <sheetName val="Task 1 Subtask PB"/>
      <sheetName val="Task 1 Subtask Cordoba"/>
      <sheetName val="Task 1 Subtask Spectrum"/>
      <sheetName val="Task 1 Subtask TMFF"/>
      <sheetName val="Subtotal"/>
      <sheetName val="PB"/>
      <sheetName val="Cordoba"/>
      <sheetName val="Spectrum"/>
      <sheetName val="TMFF"/>
      <sheetName val="Task 1 Subtask TBD_SB"/>
      <sheetName val="Task 1 Subtask Zoon"/>
      <sheetName val="TBD_SB"/>
      <sheetName val="Zoon"/>
      <sheetName val="Sheet1"/>
      <sheetName val="Sheet2"/>
      <sheetName val="Sheet3"/>
    </sheetNames>
    <sheetDataSet>
      <sheetData sheetId="0"/>
      <sheetData sheetId="1">
        <row r="2">
          <cell r="A2" t="str">
            <v>PB</v>
          </cell>
        </row>
        <row r="3">
          <cell r="A3" t="str">
            <v>ATC</v>
          </cell>
        </row>
        <row r="4">
          <cell r="A4" t="str">
            <v>Balfour_Beatty</v>
          </cell>
        </row>
        <row r="5">
          <cell r="A5" t="str">
            <v>Cambridge</v>
          </cell>
        </row>
        <row r="6">
          <cell r="A6" t="str">
            <v>Cordoba</v>
          </cell>
        </row>
        <row r="7">
          <cell r="A7" t="str">
            <v>Dubbink</v>
          </cell>
        </row>
        <row r="8">
          <cell r="A8" t="str">
            <v>Gil_Mallery</v>
          </cell>
        </row>
        <row r="9">
          <cell r="A9" t="str">
            <v>John_Diener</v>
          </cell>
        </row>
        <row r="10">
          <cell r="A10" t="str">
            <v>Julia_Sankey</v>
          </cell>
        </row>
        <row r="11">
          <cell r="A11" t="str">
            <v>Lucas</v>
          </cell>
        </row>
        <row r="12">
          <cell r="A12" t="str">
            <v>Next_Gen</v>
          </cell>
        </row>
        <row r="13">
          <cell r="A13" t="str">
            <v>Padilla</v>
          </cell>
        </row>
        <row r="14">
          <cell r="A14" t="str">
            <v>Paragon</v>
          </cell>
        </row>
        <row r="15">
          <cell r="A15" t="str">
            <v>PB_Halsall</v>
          </cell>
        </row>
        <row r="16">
          <cell r="A16" t="str">
            <v>PWR_Solutions</v>
          </cell>
        </row>
        <row r="17">
          <cell r="A17" t="str">
            <v>REU</v>
          </cell>
        </row>
        <row r="18">
          <cell r="A18" t="str">
            <v>SC_Solutions</v>
          </cell>
        </row>
        <row r="19">
          <cell r="A19" t="str">
            <v>SG_H</v>
          </cell>
        </row>
        <row r="20">
          <cell r="A20" t="str">
            <v>Solis</v>
          </cell>
        </row>
        <row r="21">
          <cell r="A21" t="str">
            <v>Spectrum</v>
          </cell>
        </row>
        <row r="22">
          <cell r="A22" t="str">
            <v>TAP</v>
          </cell>
        </row>
        <row r="23">
          <cell r="A23" t="str">
            <v>Turner</v>
          </cell>
        </row>
        <row r="24">
          <cell r="A24" t="str">
            <v>UIC</v>
          </cell>
        </row>
        <row r="25">
          <cell r="A25" t="str">
            <v>Urban_Ecos</v>
          </cell>
        </row>
        <row r="26">
          <cell r="A26" t="str">
            <v>TMFF</v>
          </cell>
        </row>
        <row r="27">
          <cell r="A27" t="str">
            <v>Gibson_Skordal</v>
          </cell>
        </row>
        <row r="28">
          <cell r="A28" t="str">
            <v>TBD3</v>
          </cell>
        </row>
        <row r="29">
          <cell r="A29" t="str">
            <v>TBD4</v>
          </cell>
        </row>
        <row r="30">
          <cell r="A30" t="str">
            <v>TBD5</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lassifications"/>
      <sheetName val="Firm"/>
      <sheetName val="Personnel"/>
      <sheetName val="LA-SD by Subtask"/>
      <sheetName val="LA-SD by Company"/>
      <sheetName val="LA-SD Total by Person"/>
      <sheetName val="Master Deliverables"/>
      <sheetName val="Task 5.C Subtask Rollup"/>
      <sheetName val="Task 5.C Total"/>
      <sheetName val="Task Subtotal PB"/>
      <sheetName val="Task Subtotal Cordoba"/>
      <sheetName val="Subtotal"/>
      <sheetName val="PB"/>
      <sheetName val="Cordoba"/>
    </sheetNames>
    <sheetDataSet>
      <sheetData sheetId="0" refreshError="1"/>
      <sheetData sheetId="1" refreshError="1"/>
      <sheetData sheetId="2" refreshError="1">
        <row r="2">
          <cell r="A2" t="str">
            <v>PB</v>
          </cell>
        </row>
        <row r="3">
          <cell r="A3" t="str">
            <v>ATC</v>
          </cell>
        </row>
        <row r="4">
          <cell r="A4" t="str">
            <v>Balfour_Beatty</v>
          </cell>
        </row>
        <row r="5">
          <cell r="A5" t="str">
            <v>Cambridge</v>
          </cell>
        </row>
        <row r="6">
          <cell r="A6" t="str">
            <v>Cordoba</v>
          </cell>
        </row>
        <row r="7">
          <cell r="A7" t="str">
            <v>Dubbink</v>
          </cell>
        </row>
        <row r="8">
          <cell r="A8" t="str">
            <v>Gil_Mallery</v>
          </cell>
        </row>
        <row r="9">
          <cell r="A9" t="str">
            <v>John_Diener</v>
          </cell>
        </row>
        <row r="10">
          <cell r="A10" t="str">
            <v>Julia_Sankey</v>
          </cell>
        </row>
        <row r="11">
          <cell r="A11" t="str">
            <v>Loop_Initiative</v>
          </cell>
        </row>
        <row r="12">
          <cell r="A12" t="str">
            <v>Lucas</v>
          </cell>
        </row>
        <row r="13">
          <cell r="A13" t="str">
            <v>Next_Gen</v>
          </cell>
        </row>
        <row r="14">
          <cell r="A14" t="str">
            <v>NREL</v>
          </cell>
        </row>
        <row r="15">
          <cell r="A15" t="str">
            <v>Padilla</v>
          </cell>
        </row>
        <row r="16">
          <cell r="A16" t="str">
            <v>Paragon</v>
          </cell>
        </row>
        <row r="17">
          <cell r="A17" t="str">
            <v>PB_EUMENA</v>
          </cell>
        </row>
        <row r="18">
          <cell r="A18" t="str">
            <v>PB_Halsall</v>
          </cell>
        </row>
        <row r="19">
          <cell r="A19" t="str">
            <v>REU</v>
          </cell>
        </row>
        <row r="20">
          <cell r="A20" t="str">
            <v>SC_Solutions</v>
          </cell>
        </row>
        <row r="21">
          <cell r="A21" t="str">
            <v>SG_H</v>
          </cell>
        </row>
        <row r="22">
          <cell r="A22" t="str">
            <v>Solis</v>
          </cell>
        </row>
        <row r="23">
          <cell r="A23" t="str">
            <v>Spectrum</v>
          </cell>
        </row>
        <row r="24">
          <cell r="A24" t="str">
            <v>TAP</v>
          </cell>
        </row>
        <row r="25">
          <cell r="A25" t="str">
            <v>Turner</v>
          </cell>
        </row>
        <row r="26">
          <cell r="A26" t="str">
            <v>UIC</v>
          </cell>
        </row>
        <row r="27">
          <cell r="A27" t="str">
            <v>TBD2</v>
          </cell>
        </row>
        <row r="28">
          <cell r="A28" t="str">
            <v>TBD3</v>
          </cell>
        </row>
        <row r="29">
          <cell r="A29" t="str">
            <v>TBD4</v>
          </cell>
        </row>
        <row r="30">
          <cell r="A30" t="str">
            <v>TBD5</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4.D2 by Subtask"/>
      <sheetName val="Task 14.D2 by Company"/>
      <sheetName val="Task 14.D2 Total by Person"/>
      <sheetName val="Master Deliverables"/>
      <sheetName val="Classifications"/>
      <sheetName val="Task 14.D2 Subtask Rollup"/>
      <sheetName val="Task 14.D2 Total"/>
      <sheetName val="Task 14.D2 Subtask PB"/>
      <sheetName val="Task 14.D2 Subtask Cordoba"/>
      <sheetName val="Task 14.D2 Subtask TBD_SB"/>
      <sheetName val="Subtotal"/>
      <sheetName val="PB"/>
      <sheetName val="Cordoba"/>
      <sheetName val="TBD_SB"/>
    </sheetNames>
    <sheetDataSet>
      <sheetData sheetId="0" refreshError="1"/>
      <sheetData sheetId="1" refreshError="1">
        <row r="2">
          <cell r="A2" t="str">
            <v>PB</v>
          </cell>
          <cell r="J2" t="str">
            <v>J. Leonardo (Mike) - Dty Director</v>
          </cell>
          <cell r="K2" t="str">
            <v>G. Kennerley - PB Regional Mgr</v>
          </cell>
          <cell r="L2" t="str">
            <v>Sr Eng II</v>
          </cell>
          <cell r="M2" t="str">
            <v>Sr Eng I</v>
          </cell>
          <cell r="N2" t="str">
            <v>Admin</v>
          </cell>
          <cell r="O2">
            <v>0</v>
          </cell>
          <cell r="P2">
            <v>0</v>
          </cell>
          <cell r="Q2">
            <v>0</v>
          </cell>
          <cell r="R2">
            <v>0</v>
          </cell>
          <cell r="S2">
            <v>0</v>
          </cell>
          <cell r="T2">
            <v>0</v>
          </cell>
        </row>
        <row r="3">
          <cell r="A3" t="str">
            <v>AVS</v>
          </cell>
        </row>
        <row r="4">
          <cell r="A4" t="str">
            <v>ATC</v>
          </cell>
        </row>
        <row r="5">
          <cell r="A5" t="str">
            <v>FUKUJI</v>
          </cell>
        </row>
        <row r="6">
          <cell r="A6" t="str">
            <v>BB</v>
          </cell>
        </row>
        <row r="7">
          <cell r="A7" t="str">
            <v>BICKMORE</v>
          </cell>
        </row>
        <row r="8">
          <cell r="A8" t="str">
            <v>CAI</v>
          </cell>
        </row>
        <row r="9">
          <cell r="A9" t="str">
            <v>CS</v>
          </cell>
        </row>
        <row r="10">
          <cell r="A10" t="str">
            <v>COR</v>
          </cell>
        </row>
        <row r="11">
          <cell r="A11" t="str">
            <v>HOYT</v>
          </cell>
        </row>
        <row r="12">
          <cell r="A12" t="str">
            <v>DUBBINK</v>
          </cell>
        </row>
        <row r="13">
          <cell r="A13" t="str">
            <v>ECI</v>
          </cell>
        </row>
        <row r="14">
          <cell r="A14" t="str">
            <v>GBP</v>
          </cell>
        </row>
        <row r="15">
          <cell r="A15" t="str">
            <v>G&amp;S</v>
          </cell>
        </row>
        <row r="16">
          <cell r="A16" t="str">
            <v>MALLERY</v>
          </cell>
        </row>
        <row r="17">
          <cell r="A17" t="str">
            <v>DCA</v>
          </cell>
        </row>
        <row r="18">
          <cell r="A18" t="str">
            <v>Julia_Sankey</v>
          </cell>
        </row>
        <row r="19">
          <cell r="A19" t="str">
            <v>LCA</v>
          </cell>
        </row>
        <row r="20">
          <cell r="A20" t="str">
            <v>Lucas</v>
          </cell>
        </row>
        <row r="21">
          <cell r="A21" t="str">
            <v>NEXT_GEN</v>
          </cell>
        </row>
        <row r="22">
          <cell r="A22" t="str">
            <v>PADILLA</v>
          </cell>
        </row>
        <row r="23">
          <cell r="A23" t="str">
            <v>PARAGON</v>
          </cell>
        </row>
        <row r="24">
          <cell r="A24" t="str">
            <v>PBHALSALL</v>
          </cell>
        </row>
        <row r="25">
          <cell r="A25" t="str">
            <v>REU</v>
          </cell>
        </row>
        <row r="26">
          <cell r="A26" t="str">
            <v>RK</v>
          </cell>
        </row>
        <row r="27">
          <cell r="A27" t="str">
            <v xml:space="preserve">SC </v>
          </cell>
        </row>
        <row r="28">
          <cell r="A28" t="str">
            <v>SCI</v>
          </cell>
        </row>
        <row r="29">
          <cell r="A29" t="str">
            <v>SG_H</v>
          </cell>
        </row>
        <row r="30">
          <cell r="A30" t="str">
            <v>SJTC</v>
          </cell>
        </row>
        <row r="31">
          <cell r="A31" t="str">
            <v>Solis</v>
          </cell>
        </row>
        <row r="32">
          <cell r="A32" t="str">
            <v>SPECTRUM</v>
          </cell>
        </row>
        <row r="33">
          <cell r="A33" t="str">
            <v>TAP</v>
          </cell>
        </row>
        <row r="34">
          <cell r="A34" t="str">
            <v>TMFF</v>
          </cell>
        </row>
        <row r="35">
          <cell r="A35" t="str">
            <v>TE</v>
          </cell>
        </row>
        <row r="36">
          <cell r="A36" t="str">
            <v>UCLA</v>
          </cell>
        </row>
        <row r="37">
          <cell r="A37" t="str">
            <v>UIC</v>
          </cell>
        </row>
        <row r="38">
          <cell r="A38" t="str">
            <v>UE</v>
          </cell>
        </row>
        <row r="39">
          <cell r="A39" t="str">
            <v>Zoon</v>
          </cell>
        </row>
        <row r="40">
          <cell r="A40" t="str">
            <v>TBD</v>
          </cell>
        </row>
        <row r="41">
          <cell r="A41" t="str">
            <v>TBD_SB</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4.E1 by Subtask"/>
      <sheetName val="Task 14.E1 by Company"/>
      <sheetName val="Task 14.E1 Total by Person"/>
      <sheetName val="Master Deliverables"/>
      <sheetName val="Classifications"/>
      <sheetName val="Task 14.E1 Subtask Rollup"/>
      <sheetName val="Task 14.E1 Total"/>
      <sheetName val="Task 14.E1 Subtask PB"/>
      <sheetName val="Task 14.E1 Subtask Padilla"/>
      <sheetName val="Task 14.E1 Subtask TBD_SB"/>
      <sheetName val="Task 14.E1 Subtask TBD"/>
      <sheetName val="Task 14.E1 Subtask Cordoba"/>
      <sheetName val="Task 14.E1 Subtask Zoon"/>
      <sheetName val="Subtotal"/>
      <sheetName val="PB"/>
      <sheetName val="Padilla"/>
      <sheetName val="TBD_SB"/>
      <sheetName val="TBD"/>
      <sheetName val="Cordoba"/>
      <sheetName val="Zoon"/>
      <sheetName val="Sheet3"/>
      <sheetName val="Sheet1"/>
    </sheetNames>
    <sheetDataSet>
      <sheetData sheetId="0" refreshError="1"/>
      <sheetData sheetId="1" refreshError="1">
        <row r="2">
          <cell r="A2" t="str">
            <v>PB</v>
          </cell>
        </row>
        <row r="3">
          <cell r="A3" t="str">
            <v>AVS</v>
          </cell>
        </row>
        <row r="4">
          <cell r="A4" t="str">
            <v>ATC</v>
          </cell>
        </row>
        <row r="5">
          <cell r="A5" t="str">
            <v>FUKUJI</v>
          </cell>
        </row>
        <row r="6">
          <cell r="A6" t="str">
            <v>BB</v>
          </cell>
        </row>
        <row r="7">
          <cell r="A7" t="str">
            <v>BICKMORE</v>
          </cell>
        </row>
        <row r="8">
          <cell r="A8" t="str">
            <v>CAI</v>
          </cell>
        </row>
        <row r="9">
          <cell r="A9" t="str">
            <v>CS</v>
          </cell>
        </row>
        <row r="10">
          <cell r="A10" t="str">
            <v>COR</v>
          </cell>
        </row>
        <row r="11">
          <cell r="A11" t="str">
            <v>HOYT</v>
          </cell>
        </row>
        <row r="12">
          <cell r="A12" t="str">
            <v>DUBBINK</v>
          </cell>
        </row>
        <row r="13">
          <cell r="A13" t="str">
            <v>ECI</v>
          </cell>
        </row>
        <row r="14">
          <cell r="A14" t="str">
            <v>GBP</v>
          </cell>
        </row>
        <row r="15">
          <cell r="A15" t="str">
            <v>G&amp;S</v>
          </cell>
        </row>
        <row r="16">
          <cell r="A16" t="str">
            <v>MALLERY</v>
          </cell>
        </row>
        <row r="17">
          <cell r="A17" t="str">
            <v>DCA</v>
          </cell>
        </row>
        <row r="18">
          <cell r="A18" t="str">
            <v>Julia_Sankey</v>
          </cell>
        </row>
        <row r="19">
          <cell r="A19" t="str">
            <v>LCA</v>
          </cell>
        </row>
        <row r="20">
          <cell r="A20" t="str">
            <v>Lucas</v>
          </cell>
        </row>
        <row r="21">
          <cell r="A21" t="str">
            <v>NEXT_GEN</v>
          </cell>
        </row>
        <row r="22">
          <cell r="A22" t="str">
            <v>PADILLA</v>
          </cell>
        </row>
        <row r="23">
          <cell r="A23" t="str">
            <v>PARAGON</v>
          </cell>
        </row>
        <row r="24">
          <cell r="A24" t="str">
            <v>PBHALSALL</v>
          </cell>
        </row>
        <row r="25">
          <cell r="A25" t="str">
            <v>REU</v>
          </cell>
        </row>
        <row r="26">
          <cell r="A26" t="str">
            <v>RK</v>
          </cell>
        </row>
        <row r="27">
          <cell r="A27" t="str">
            <v xml:space="preserve">SC </v>
          </cell>
        </row>
        <row r="28">
          <cell r="A28" t="str">
            <v>SCI</v>
          </cell>
        </row>
        <row r="29">
          <cell r="A29" t="str">
            <v>SG_H</v>
          </cell>
        </row>
        <row r="30">
          <cell r="A30" t="str">
            <v>SJTC</v>
          </cell>
        </row>
        <row r="31">
          <cell r="A31" t="str">
            <v>Solis</v>
          </cell>
        </row>
        <row r="32">
          <cell r="A32" t="str">
            <v>SPECTRUM</v>
          </cell>
        </row>
        <row r="33">
          <cell r="A33" t="str">
            <v>TAP</v>
          </cell>
        </row>
        <row r="34">
          <cell r="A34" t="str">
            <v>TMFF</v>
          </cell>
        </row>
        <row r="35">
          <cell r="A35" t="str">
            <v>TE</v>
          </cell>
        </row>
        <row r="36">
          <cell r="A36" t="str">
            <v>UCLA</v>
          </cell>
        </row>
        <row r="37">
          <cell r="A37" t="str">
            <v>UIC</v>
          </cell>
        </row>
        <row r="38">
          <cell r="A38" t="str">
            <v>UE</v>
          </cell>
        </row>
        <row r="39">
          <cell r="A39" t="str">
            <v>Zoon</v>
          </cell>
        </row>
        <row r="40">
          <cell r="A40" t="str">
            <v>TBD</v>
          </cell>
        </row>
        <row r="41">
          <cell r="A41" t="str">
            <v>TBD_SB</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IES TO RUN"/>
      <sheetName val="GL PIVOT by FUND"/>
      <sheetName val="GL Full DATA"/>
      <sheetName val="Intersection Stats"/>
      <sheetName val="Stats"/>
      <sheetName val="CrossWalk Key Check"/>
      <sheetName val="CrossWalk"/>
      <sheetName val="Sheet4"/>
      <sheetName val="GL JID TOTALS"/>
      <sheetName val="AP to GL JID TOTALS"/>
      <sheetName val="AP sent to GL"/>
      <sheetName val="HSR_AP_VHRS ALL"/>
      <sheetName val="HSR_AP_PAYMENT"/>
      <sheetName val="HSR_EXP_REPORT_W_JID"/>
      <sheetName val="Firm"/>
    </sheetNames>
    <sheetDataSet>
      <sheetData sheetId="0"/>
      <sheetData sheetId="1"/>
      <sheetData sheetId="2"/>
      <sheetData sheetId="3"/>
      <sheetData sheetId="4"/>
      <sheetData sheetId="5"/>
      <sheetData sheetId="6">
        <row r="4">
          <cell r="Q4" t="str">
            <v>10000</v>
          </cell>
          <cell r="R4" t="str">
            <v>admin</v>
          </cell>
        </row>
        <row r="5">
          <cell r="Q5" t="str">
            <v>10002</v>
          </cell>
          <cell r="R5" t="str">
            <v>admin</v>
          </cell>
        </row>
        <row r="6">
          <cell r="Q6" t="str">
            <v>10003</v>
          </cell>
          <cell r="R6" t="str">
            <v>admin</v>
          </cell>
        </row>
        <row r="7">
          <cell r="Q7" t="str">
            <v>10004</v>
          </cell>
          <cell r="R7" t="str">
            <v>admin</v>
          </cell>
        </row>
        <row r="8">
          <cell r="Q8" t="str">
            <v>31000</v>
          </cell>
          <cell r="R8" t="str">
            <v>ARRA PD</v>
          </cell>
        </row>
        <row r="9">
          <cell r="Q9" t="str">
            <v>31000</v>
          </cell>
          <cell r="R9" t="str">
            <v>ARRA PD</v>
          </cell>
        </row>
        <row r="10">
          <cell r="Q10" t="str">
            <v>31000</v>
          </cell>
          <cell r="R10" t="str">
            <v>ARRA PD</v>
          </cell>
        </row>
        <row r="11">
          <cell r="Q11" t="str">
            <v>31000</v>
          </cell>
          <cell r="R11" t="str">
            <v>ARRA PD</v>
          </cell>
        </row>
        <row r="12">
          <cell r="Q12" t="str">
            <v>31000</v>
          </cell>
          <cell r="R12" t="str">
            <v>ARRA PD</v>
          </cell>
        </row>
        <row r="13">
          <cell r="Q13" t="str">
            <v>31000</v>
          </cell>
          <cell r="R13" t="str">
            <v>ARRA PD</v>
          </cell>
        </row>
        <row r="14">
          <cell r="Q14" t="str">
            <v>31000</v>
          </cell>
          <cell r="R14" t="str">
            <v>ARRA PD</v>
          </cell>
        </row>
        <row r="15">
          <cell r="Q15" t="str">
            <v>31000</v>
          </cell>
          <cell r="R15" t="str">
            <v>ARRA PD</v>
          </cell>
        </row>
        <row r="16">
          <cell r="Q16" t="str">
            <v>31000</v>
          </cell>
          <cell r="R16" t="str">
            <v>ARRA PD</v>
          </cell>
        </row>
        <row r="17">
          <cell r="Q17" t="str">
            <v>31300</v>
          </cell>
          <cell r="R17" t="str">
            <v>ARRA 100/0</v>
          </cell>
        </row>
        <row r="18">
          <cell r="Q18" t="str">
            <v>31300</v>
          </cell>
          <cell r="R18" t="str">
            <v>ARRA 100/0</v>
          </cell>
        </row>
        <row r="19">
          <cell r="Q19" t="str">
            <v>31300</v>
          </cell>
          <cell r="R19" t="str">
            <v>ARRA 100/0</v>
          </cell>
        </row>
        <row r="20">
          <cell r="Q20" t="str">
            <v>31300</v>
          </cell>
          <cell r="R20" t="str">
            <v>ARRA 100/0</v>
          </cell>
        </row>
        <row r="21">
          <cell r="Q21" t="str">
            <v>31300</v>
          </cell>
          <cell r="R21" t="str">
            <v>ARRA 100/0</v>
          </cell>
        </row>
        <row r="22">
          <cell r="Q22" t="str">
            <v>31300</v>
          </cell>
          <cell r="R22" t="str">
            <v>ARRA 100/0</v>
          </cell>
        </row>
        <row r="23">
          <cell r="Q23" t="str">
            <v>31300</v>
          </cell>
          <cell r="R23" t="str">
            <v>ARRA 100/0</v>
          </cell>
        </row>
        <row r="24">
          <cell r="Q24" t="str">
            <v>31300</v>
          </cell>
          <cell r="R24" t="str">
            <v>ARRA 100/0</v>
          </cell>
        </row>
        <row r="25">
          <cell r="Q25" t="str">
            <v>31300</v>
          </cell>
          <cell r="R25" t="str">
            <v>ARRA 100/0</v>
          </cell>
        </row>
        <row r="26">
          <cell r="Q26" t="str">
            <v>60601</v>
          </cell>
          <cell r="R26" t="str">
            <v>ARRA ROW</v>
          </cell>
        </row>
        <row r="27">
          <cell r="Q27" t="str">
            <v>60601</v>
          </cell>
          <cell r="R27" t="str">
            <v>ARRA ROW</v>
          </cell>
        </row>
        <row r="28">
          <cell r="Q28" t="str">
            <v>60601</v>
          </cell>
          <cell r="R28" t="str">
            <v>ARRA ROW</v>
          </cell>
        </row>
        <row r="29">
          <cell r="Q29" t="str">
            <v>60601</v>
          </cell>
          <cell r="R29" t="str">
            <v>ARRA ROW</v>
          </cell>
        </row>
        <row r="30">
          <cell r="Q30" t="str">
            <v>60601</v>
          </cell>
          <cell r="R30" t="str">
            <v>ARRA ROW</v>
          </cell>
        </row>
        <row r="31">
          <cell r="Q31" t="str">
            <v>60601</v>
          </cell>
          <cell r="R31" t="str">
            <v>ARRA ROW</v>
          </cell>
        </row>
        <row r="32">
          <cell r="Q32" t="str">
            <v>60601</v>
          </cell>
          <cell r="R32" t="str">
            <v>ARRA ROW</v>
          </cell>
        </row>
        <row r="33">
          <cell r="Q33" t="str">
            <v>60601</v>
          </cell>
          <cell r="R33" t="str">
            <v>ARRA ROW</v>
          </cell>
        </row>
        <row r="34">
          <cell r="Q34" t="str">
            <v>51000</v>
          </cell>
          <cell r="R34" t="str">
            <v>Prop 1A PD Match</v>
          </cell>
        </row>
        <row r="35">
          <cell r="Q35" t="str">
            <v>51000</v>
          </cell>
          <cell r="R35" t="str">
            <v>Prop 1A PD Match</v>
          </cell>
        </row>
        <row r="36">
          <cell r="Q36" t="str">
            <v>51000</v>
          </cell>
          <cell r="R36" t="str">
            <v>Prop 1A PD Match</v>
          </cell>
        </row>
        <row r="37">
          <cell r="Q37" t="str">
            <v>51000</v>
          </cell>
          <cell r="R37" t="str">
            <v>Prop 1A PD Match</v>
          </cell>
        </row>
        <row r="38">
          <cell r="Q38" t="str">
            <v>51000</v>
          </cell>
          <cell r="R38" t="str">
            <v>Prop 1A PD Match</v>
          </cell>
        </row>
        <row r="39">
          <cell r="Q39" t="str">
            <v>51000</v>
          </cell>
          <cell r="R39" t="str">
            <v>Prop 1A PD Match</v>
          </cell>
        </row>
        <row r="40">
          <cell r="Q40" t="str">
            <v>51000</v>
          </cell>
          <cell r="R40" t="str">
            <v>Prop 1A PD Match</v>
          </cell>
        </row>
        <row r="41">
          <cell r="Q41" t="str">
            <v>51000</v>
          </cell>
          <cell r="R41" t="str">
            <v>Prop 1A PD Match</v>
          </cell>
        </row>
        <row r="42">
          <cell r="Q42" t="str">
            <v>51000</v>
          </cell>
          <cell r="R42" t="str">
            <v>Prop 1A PD Match</v>
          </cell>
        </row>
        <row r="43">
          <cell r="Q43" t="str">
            <v>52000</v>
          </cell>
          <cell r="R43" t="str">
            <v>Prop 1A PD Non Match</v>
          </cell>
        </row>
        <row r="44">
          <cell r="Q44" t="str">
            <v>52000</v>
          </cell>
          <cell r="R44" t="str">
            <v>Prop 1A PD Non Match</v>
          </cell>
        </row>
        <row r="45">
          <cell r="Q45" t="str">
            <v>52000</v>
          </cell>
          <cell r="R45" t="str">
            <v>Prop 1A PD Non Match</v>
          </cell>
        </row>
        <row r="46">
          <cell r="Q46" t="str">
            <v>52000</v>
          </cell>
          <cell r="R46" t="str">
            <v>Prop 1A PD Non Match</v>
          </cell>
        </row>
        <row r="47">
          <cell r="Q47" t="str">
            <v>52000</v>
          </cell>
          <cell r="R47" t="str">
            <v>Prop 1A PD Non Match</v>
          </cell>
        </row>
        <row r="48">
          <cell r="Q48" t="str">
            <v>52000</v>
          </cell>
          <cell r="R48" t="str">
            <v>Prop 1A PD Non Match</v>
          </cell>
        </row>
        <row r="49">
          <cell r="Q49" t="str">
            <v>52000</v>
          </cell>
          <cell r="R49" t="str">
            <v>Prop 1A PD Non Match</v>
          </cell>
        </row>
        <row r="50">
          <cell r="Q50" t="str">
            <v>52000</v>
          </cell>
          <cell r="R50" t="str">
            <v>Prop 1A PD Non Match</v>
          </cell>
        </row>
        <row r="51">
          <cell r="Q51" t="str">
            <v>52000</v>
          </cell>
          <cell r="R51" t="str">
            <v>Prop 1A PD Non Match</v>
          </cell>
        </row>
        <row r="52">
          <cell r="Q52" t="str">
            <v>52000</v>
          </cell>
          <cell r="R52" t="str">
            <v>Prop 1A PD Non Match</v>
          </cell>
        </row>
        <row r="53">
          <cell r="Q53" t="str">
            <v>51000</v>
          </cell>
          <cell r="R53" t="str">
            <v>Prop 1A PD Match</v>
          </cell>
        </row>
        <row r="54">
          <cell r="Q54" t="str">
            <v>51000</v>
          </cell>
          <cell r="R54" t="str">
            <v>Prop 1A PD Match</v>
          </cell>
        </row>
        <row r="55">
          <cell r="Q55" t="str">
            <v>51000</v>
          </cell>
          <cell r="R55" t="str">
            <v>Prop 1A PD Match</v>
          </cell>
        </row>
        <row r="56">
          <cell r="Q56" t="str">
            <v>51000</v>
          </cell>
          <cell r="R56" t="str">
            <v>Prop 1A PD Match</v>
          </cell>
        </row>
        <row r="57">
          <cell r="Q57" t="str">
            <v>51000</v>
          </cell>
          <cell r="R57" t="str">
            <v>Prop 1A PD Match</v>
          </cell>
        </row>
        <row r="58">
          <cell r="Q58" t="str">
            <v>51000</v>
          </cell>
          <cell r="R58" t="str">
            <v>Prop 1A PD Match</v>
          </cell>
        </row>
        <row r="59">
          <cell r="Q59" t="str">
            <v>51000</v>
          </cell>
          <cell r="R59" t="str">
            <v>Prop 1A PD Match</v>
          </cell>
        </row>
        <row r="60">
          <cell r="Q60" t="str">
            <v>51000</v>
          </cell>
          <cell r="R60" t="str">
            <v>Prop 1A PD Match</v>
          </cell>
        </row>
        <row r="61">
          <cell r="Q61" t="str">
            <v>51000</v>
          </cell>
          <cell r="R61" t="str">
            <v>Prop 1A PD Match</v>
          </cell>
        </row>
        <row r="62">
          <cell r="Q62" t="str">
            <v>52000</v>
          </cell>
          <cell r="R62" t="str">
            <v>Prop 1A PD Non Match</v>
          </cell>
        </row>
        <row r="63">
          <cell r="Q63" t="str">
            <v>52000</v>
          </cell>
          <cell r="R63" t="str">
            <v>Prop 1A PD Non Match</v>
          </cell>
        </row>
        <row r="64">
          <cell r="Q64" t="str">
            <v>52000</v>
          </cell>
          <cell r="R64" t="str">
            <v>Prop 1A PD Non Match</v>
          </cell>
        </row>
        <row r="65">
          <cell r="Q65" t="str">
            <v>52000</v>
          </cell>
          <cell r="R65" t="str">
            <v>Prop 1A PD Non Match</v>
          </cell>
        </row>
        <row r="66">
          <cell r="Q66" t="str">
            <v>52000</v>
          </cell>
          <cell r="R66" t="str">
            <v>Prop 1A PD Non Match</v>
          </cell>
        </row>
        <row r="67">
          <cell r="Q67" t="str">
            <v>52000</v>
          </cell>
          <cell r="R67" t="str">
            <v>Prop 1A PD Non Match</v>
          </cell>
        </row>
        <row r="68">
          <cell r="Q68" t="str">
            <v>52000</v>
          </cell>
          <cell r="R68" t="str">
            <v>Prop 1A PD Non Match</v>
          </cell>
        </row>
        <row r="69">
          <cell r="Q69" t="str">
            <v>52000</v>
          </cell>
          <cell r="R69" t="str">
            <v>Prop 1A PD Non Match</v>
          </cell>
        </row>
        <row r="70">
          <cell r="Q70" t="str">
            <v>52000</v>
          </cell>
          <cell r="R70" t="str">
            <v>Prop 1A PD Non Match</v>
          </cell>
        </row>
        <row r="71">
          <cell r="Q71" t="str">
            <v>52000</v>
          </cell>
          <cell r="R71" t="str">
            <v>Prop 1A PD Non Match</v>
          </cell>
        </row>
        <row r="72">
          <cell r="Q72" t="str">
            <v>52000</v>
          </cell>
          <cell r="R72" t="str">
            <v>Prop 1A PD Non Match</v>
          </cell>
        </row>
        <row r="73">
          <cell r="Q73" t="str">
            <v>52000</v>
          </cell>
          <cell r="R73" t="str">
            <v>Prop 1A PD Non Match</v>
          </cell>
        </row>
        <row r="74">
          <cell r="Q74" t="str">
            <v>71000</v>
          </cell>
          <cell r="R74" t="str">
            <v>Cap &amp; Trade Match PD</v>
          </cell>
        </row>
        <row r="75">
          <cell r="Q75" t="str">
            <v>71000</v>
          </cell>
          <cell r="R75" t="str">
            <v>Cap &amp; Trade Match PD</v>
          </cell>
        </row>
        <row r="76">
          <cell r="Q76" t="str">
            <v>71000</v>
          </cell>
          <cell r="R76" t="str">
            <v>Cap &amp; Trade Match PD</v>
          </cell>
        </row>
        <row r="77">
          <cell r="Q77" t="str">
            <v>71000</v>
          </cell>
          <cell r="R77" t="str">
            <v>Cap &amp; Trade Match PD</v>
          </cell>
        </row>
        <row r="78">
          <cell r="Q78" t="str">
            <v>71000</v>
          </cell>
          <cell r="R78" t="str">
            <v>Cap &amp; Trade Match PD</v>
          </cell>
        </row>
        <row r="79">
          <cell r="Q79" t="str">
            <v>71000</v>
          </cell>
          <cell r="R79" t="str">
            <v>Cap &amp; Trade Match PD</v>
          </cell>
        </row>
        <row r="80">
          <cell r="Q80" t="str">
            <v>71000</v>
          </cell>
          <cell r="R80" t="str">
            <v>Cap &amp; Trade Match PD</v>
          </cell>
        </row>
        <row r="81">
          <cell r="Q81" t="str">
            <v>71000</v>
          </cell>
          <cell r="R81" t="str">
            <v>Cap &amp; Trade Match PD</v>
          </cell>
        </row>
        <row r="82">
          <cell r="Q82" t="str">
            <v>71000</v>
          </cell>
          <cell r="R82" t="str">
            <v>Cap &amp; Trade Match PD</v>
          </cell>
        </row>
        <row r="83">
          <cell r="Q83" t="str">
            <v>72000</v>
          </cell>
          <cell r="R83" t="str">
            <v>Cap &amp; Trade Non-Match PD</v>
          </cell>
        </row>
        <row r="84">
          <cell r="Q84" t="str">
            <v>72000</v>
          </cell>
          <cell r="R84" t="str">
            <v>Cap &amp; Trade Non-Match PD</v>
          </cell>
        </row>
        <row r="85">
          <cell r="Q85" t="str">
            <v>72000</v>
          </cell>
          <cell r="R85" t="str">
            <v>Cap &amp; Trade Non-Match PD</v>
          </cell>
        </row>
        <row r="86">
          <cell r="Q86" t="str">
            <v>72000</v>
          </cell>
          <cell r="R86" t="str">
            <v>Cap &amp; Trade Non-Match PD</v>
          </cell>
        </row>
        <row r="87">
          <cell r="Q87" t="str">
            <v>72000</v>
          </cell>
          <cell r="R87" t="str">
            <v>Cap &amp; Trade Non-Match PD</v>
          </cell>
        </row>
        <row r="88">
          <cell r="Q88" t="str">
            <v>72000</v>
          </cell>
          <cell r="R88" t="str">
            <v>Cap &amp; Trade Non-Match PD</v>
          </cell>
        </row>
        <row r="89">
          <cell r="Q89" t="str">
            <v>72000</v>
          </cell>
          <cell r="R89" t="str">
            <v>Cap &amp; Trade Non-Match PD</v>
          </cell>
        </row>
        <row r="90">
          <cell r="Q90" t="str">
            <v>72000</v>
          </cell>
          <cell r="R90" t="str">
            <v>Cap &amp; Trade Non-Match PD</v>
          </cell>
        </row>
        <row r="91">
          <cell r="Q91" t="str">
            <v>72000</v>
          </cell>
          <cell r="R91" t="str">
            <v>Cap &amp; Trade Non-Match PD</v>
          </cell>
        </row>
        <row r="92">
          <cell r="Q92" t="str">
            <v>72000</v>
          </cell>
          <cell r="R92" t="str">
            <v>Cap &amp; Trade Non-Match PD</v>
          </cell>
        </row>
        <row r="93">
          <cell r="Q93" t="str">
            <v>72000</v>
          </cell>
          <cell r="R93" t="str">
            <v>Cap &amp; Trade Non-Match PD</v>
          </cell>
        </row>
        <row r="94">
          <cell r="Q94" t="str">
            <v>72000</v>
          </cell>
          <cell r="R94" t="str">
            <v>Cap &amp; Trade Non-Match PD</v>
          </cell>
        </row>
        <row r="95">
          <cell r="Q95" t="str">
            <v>68000</v>
          </cell>
          <cell r="R95" t="str">
            <v>Cap &amp; Trade Match PD</v>
          </cell>
        </row>
        <row r="96">
          <cell r="Q96" t="str">
            <v>68000</v>
          </cell>
          <cell r="R96" t="str">
            <v>Cap &amp; Trade Match PD</v>
          </cell>
        </row>
        <row r="97">
          <cell r="Q97" t="str">
            <v>68000</v>
          </cell>
          <cell r="R97" t="str">
            <v>Cap &amp; Trade Match PD</v>
          </cell>
        </row>
        <row r="98">
          <cell r="Q98" t="str">
            <v>68000</v>
          </cell>
          <cell r="R98" t="str">
            <v>Cap &amp; Trade Match PD</v>
          </cell>
        </row>
        <row r="99">
          <cell r="Q99" t="str">
            <v>68000</v>
          </cell>
          <cell r="R99" t="str">
            <v>Cap &amp; Trade Match PD</v>
          </cell>
        </row>
        <row r="100">
          <cell r="Q100" t="str">
            <v>68000</v>
          </cell>
          <cell r="R100" t="str">
            <v>Cap &amp; Trade Match PD</v>
          </cell>
        </row>
        <row r="101">
          <cell r="Q101" t="str">
            <v>68000</v>
          </cell>
          <cell r="R101" t="str">
            <v>Cap &amp; Trade Match PD</v>
          </cell>
        </row>
        <row r="102">
          <cell r="Q102" t="str">
            <v>68000</v>
          </cell>
          <cell r="R102" t="str">
            <v>Cap &amp; Trade Match PD</v>
          </cell>
        </row>
        <row r="103">
          <cell r="Q103" t="str">
            <v>68000</v>
          </cell>
          <cell r="R103" t="str">
            <v>Cap &amp; Trade Match PD</v>
          </cell>
        </row>
        <row r="104">
          <cell r="Q104" t="str">
            <v>68200</v>
          </cell>
          <cell r="R104" t="str">
            <v>Cap &amp; Trade Non-Match PD</v>
          </cell>
        </row>
        <row r="105">
          <cell r="Q105" t="str">
            <v>68200</v>
          </cell>
          <cell r="R105" t="str">
            <v>Cap &amp; Trade Non-Match PD</v>
          </cell>
        </row>
        <row r="106">
          <cell r="Q106" t="str">
            <v>68200</v>
          </cell>
          <cell r="R106" t="str">
            <v>Cap &amp; Trade Non-Match PD</v>
          </cell>
        </row>
        <row r="107">
          <cell r="Q107" t="str">
            <v>68200</v>
          </cell>
          <cell r="R107" t="str">
            <v>Cap &amp; Trade Non-Match PD</v>
          </cell>
        </row>
        <row r="108">
          <cell r="Q108" t="str">
            <v>68200</v>
          </cell>
          <cell r="R108" t="str">
            <v>Cap &amp; Trade Non-Match PD</v>
          </cell>
        </row>
        <row r="109">
          <cell r="Q109" t="str">
            <v>68200</v>
          </cell>
          <cell r="R109" t="str">
            <v>Cap &amp; Trade Non-Match PD</v>
          </cell>
        </row>
        <row r="110">
          <cell r="Q110" t="str">
            <v>68200</v>
          </cell>
          <cell r="R110" t="str">
            <v>Cap &amp; Trade Non-Match PD</v>
          </cell>
        </row>
        <row r="111">
          <cell r="Q111" t="str">
            <v>68200</v>
          </cell>
          <cell r="R111" t="str">
            <v>Cap &amp; Trade Non-Match PD</v>
          </cell>
        </row>
        <row r="112">
          <cell r="Q112" t="str">
            <v>68200</v>
          </cell>
          <cell r="R112" t="str">
            <v>Cap &amp; Trade Non-Match PD</v>
          </cell>
        </row>
        <row r="113">
          <cell r="Q113" t="str">
            <v>68200</v>
          </cell>
          <cell r="R113" t="str">
            <v>Cap &amp; Trade Non-Match PD</v>
          </cell>
        </row>
        <row r="114">
          <cell r="Q114" t="str">
            <v>68200</v>
          </cell>
          <cell r="R114" t="str">
            <v>Cap &amp; Trade Non-Match PD</v>
          </cell>
        </row>
        <row r="115">
          <cell r="Q115" t="str">
            <v>68200</v>
          </cell>
          <cell r="R115" t="str">
            <v>Cap &amp; Trade Non-Match PD</v>
          </cell>
        </row>
        <row r="116">
          <cell r="Q116" t="str">
            <v>51300</v>
          </cell>
          <cell r="R116" t="str">
            <v>Prop 1A Con Match</v>
          </cell>
        </row>
        <row r="117">
          <cell r="Q117" t="str">
            <v>51300</v>
          </cell>
          <cell r="R117" t="str">
            <v>Prop 1A Con Match</v>
          </cell>
        </row>
        <row r="118">
          <cell r="Q118" t="str">
            <v>51300</v>
          </cell>
          <cell r="R118" t="str">
            <v>Prop 1A Con Match</v>
          </cell>
        </row>
        <row r="119">
          <cell r="Q119" t="str">
            <v>51300</v>
          </cell>
          <cell r="R119" t="str">
            <v>Prop 1A Con Match</v>
          </cell>
        </row>
        <row r="120">
          <cell r="Q120" t="str">
            <v>51300</v>
          </cell>
          <cell r="R120" t="str">
            <v>Prop 1A Con Match</v>
          </cell>
        </row>
        <row r="121">
          <cell r="Q121" t="str">
            <v>51300</v>
          </cell>
          <cell r="R121" t="str">
            <v>Prop 1A Con Match</v>
          </cell>
        </row>
        <row r="122">
          <cell r="Q122" t="str">
            <v>51300</v>
          </cell>
          <cell r="R122" t="str">
            <v>Prop 1A Con Match</v>
          </cell>
        </row>
        <row r="123">
          <cell r="Q123" t="str">
            <v>51300</v>
          </cell>
          <cell r="R123" t="str">
            <v>Prop 1A Con Match</v>
          </cell>
        </row>
        <row r="124">
          <cell r="Q124" t="str">
            <v>51300</v>
          </cell>
          <cell r="R124" t="str">
            <v>Prop 1A Con Match</v>
          </cell>
        </row>
        <row r="125">
          <cell r="Q125" t="str">
            <v>51300</v>
          </cell>
          <cell r="R125" t="str">
            <v>Prop 1A Con Match</v>
          </cell>
        </row>
        <row r="126">
          <cell r="Q126" t="str">
            <v>51300</v>
          </cell>
          <cell r="R126" t="str">
            <v>Prop 1A Con Match</v>
          </cell>
        </row>
        <row r="127">
          <cell r="Q127" t="str">
            <v>51300</v>
          </cell>
          <cell r="R127" t="str">
            <v>Prop 1A Con Match</v>
          </cell>
        </row>
        <row r="128">
          <cell r="Q128" t="str">
            <v>54300</v>
          </cell>
          <cell r="R128" t="str">
            <v>Prop 1A Con Non-Match</v>
          </cell>
        </row>
        <row r="129">
          <cell r="Q129" t="str">
            <v>54300</v>
          </cell>
          <cell r="R129" t="str">
            <v>Prop 1A Con Non-Match</v>
          </cell>
        </row>
        <row r="130">
          <cell r="Q130" t="str">
            <v>54300</v>
          </cell>
          <cell r="R130" t="str">
            <v>Prop 1A Con Non-Match</v>
          </cell>
        </row>
        <row r="131">
          <cell r="Q131" t="str">
            <v>54300</v>
          </cell>
          <cell r="R131" t="str">
            <v>Prop 1A Con Non-Match</v>
          </cell>
        </row>
        <row r="132">
          <cell r="Q132" t="str">
            <v>54300</v>
          </cell>
          <cell r="R132" t="str">
            <v>Prop 1A Con Non-Match</v>
          </cell>
        </row>
        <row r="133">
          <cell r="Q133" t="str">
            <v>54300</v>
          </cell>
          <cell r="R133" t="str">
            <v>Prop 1A Con Non-Match</v>
          </cell>
        </row>
        <row r="134">
          <cell r="Q134" t="str">
            <v>54300</v>
          </cell>
          <cell r="R134" t="str">
            <v>Prop 1A Con Non-Match</v>
          </cell>
        </row>
        <row r="135">
          <cell r="Q135" t="str">
            <v>54300</v>
          </cell>
          <cell r="R135" t="str">
            <v>Prop 1A Con Non-Match</v>
          </cell>
        </row>
        <row r="136">
          <cell r="Q136" t="str">
            <v>54300</v>
          </cell>
          <cell r="R136" t="str">
            <v>Prop 1A Con Non-Match</v>
          </cell>
        </row>
        <row r="137">
          <cell r="Q137" t="str">
            <v>54300</v>
          </cell>
          <cell r="R137" t="str">
            <v>Prop 1A Con Non-Match</v>
          </cell>
        </row>
        <row r="138">
          <cell r="Q138" t="str">
            <v>54300</v>
          </cell>
          <cell r="R138" t="str">
            <v>Prop 1A Con Non-Match</v>
          </cell>
        </row>
        <row r="139">
          <cell r="Q139" t="str">
            <v>54300</v>
          </cell>
          <cell r="R139" t="str">
            <v>Prop 1A Con Non-Match</v>
          </cell>
        </row>
        <row r="140">
          <cell r="Q140" t="str">
            <v>68300</v>
          </cell>
          <cell r="R140" t="str">
            <v>Cap &amp; Trade Con Match</v>
          </cell>
        </row>
        <row r="141">
          <cell r="Q141" t="str">
            <v>68300</v>
          </cell>
          <cell r="R141" t="str">
            <v>Cap &amp; Trade Con Match</v>
          </cell>
        </row>
        <row r="142">
          <cell r="Q142" t="str">
            <v>68300</v>
          </cell>
          <cell r="R142" t="str">
            <v>Cap &amp; Trade Con Match</v>
          </cell>
        </row>
        <row r="143">
          <cell r="Q143" t="str">
            <v>68300</v>
          </cell>
          <cell r="R143" t="str">
            <v>Cap &amp; Trade Con Match</v>
          </cell>
        </row>
        <row r="144">
          <cell r="Q144" t="str">
            <v>68300</v>
          </cell>
          <cell r="R144" t="str">
            <v>Cap &amp; Trade Con Match</v>
          </cell>
        </row>
        <row r="145">
          <cell r="Q145" t="str">
            <v>68300</v>
          </cell>
          <cell r="R145" t="str">
            <v>Cap &amp; Trade Con Match</v>
          </cell>
        </row>
        <row r="146">
          <cell r="Q146" t="str">
            <v>68300</v>
          </cell>
          <cell r="R146" t="str">
            <v>Cap &amp; Trade Con Match</v>
          </cell>
        </row>
        <row r="147">
          <cell r="Q147" t="str">
            <v>68300</v>
          </cell>
          <cell r="R147" t="str">
            <v>Cap &amp; Trade Con Match</v>
          </cell>
        </row>
        <row r="148">
          <cell r="Q148" t="str">
            <v>68300</v>
          </cell>
          <cell r="R148" t="str">
            <v>Cap &amp; Trade Con Match</v>
          </cell>
        </row>
        <row r="149">
          <cell r="Q149" t="str">
            <v>68400</v>
          </cell>
          <cell r="R149" t="str">
            <v>Cap &amp; Trade Con Non-Match</v>
          </cell>
        </row>
        <row r="150">
          <cell r="Q150" t="str">
            <v>68400</v>
          </cell>
          <cell r="R150" t="str">
            <v>Cap &amp; Trade Con Non-Match</v>
          </cell>
        </row>
        <row r="151">
          <cell r="Q151" t="str">
            <v>68400</v>
          </cell>
          <cell r="R151" t="str">
            <v>Cap &amp; Trade Con Non-Match</v>
          </cell>
        </row>
        <row r="152">
          <cell r="Q152" t="str">
            <v>68400</v>
          </cell>
          <cell r="R152" t="str">
            <v>Cap &amp; Trade Con Non-Match</v>
          </cell>
        </row>
        <row r="153">
          <cell r="Q153" t="str">
            <v>68400</v>
          </cell>
          <cell r="R153" t="str">
            <v>Cap &amp; Trade Con Non-Match</v>
          </cell>
        </row>
        <row r="154">
          <cell r="Q154" t="str">
            <v>68400</v>
          </cell>
          <cell r="R154" t="str">
            <v>Cap &amp; Trade Con Non-Match</v>
          </cell>
        </row>
        <row r="155">
          <cell r="Q155" t="str">
            <v>68400</v>
          </cell>
          <cell r="R155" t="str">
            <v>Cap &amp; Trade Con Non-Match</v>
          </cell>
        </row>
        <row r="156">
          <cell r="Q156" t="str">
            <v>68400</v>
          </cell>
          <cell r="R156" t="str">
            <v>Cap &amp; Trade Con Non-Match</v>
          </cell>
        </row>
        <row r="157">
          <cell r="Q157" t="str">
            <v>68400</v>
          </cell>
          <cell r="R157" t="str">
            <v>Cap &amp; Trade Con Non-Match</v>
          </cell>
        </row>
        <row r="158">
          <cell r="Q158" t="str">
            <v>68400</v>
          </cell>
          <cell r="R158" t="str">
            <v>Cap &amp; Trade Con Non-Match</v>
          </cell>
        </row>
        <row r="159">
          <cell r="Q159" t="str">
            <v>68400</v>
          </cell>
          <cell r="R159" t="str">
            <v>Cap &amp; Trade Con Non-Match</v>
          </cell>
        </row>
        <row r="160">
          <cell r="Q160" t="str">
            <v>68400</v>
          </cell>
          <cell r="R160" t="str">
            <v>Cap &amp; Trade Con Non-Match</v>
          </cell>
        </row>
        <row r="161">
          <cell r="Q161" t="str">
            <v>61300</v>
          </cell>
          <cell r="R161" t="str">
            <v>Cap &amp; Trade Con Match</v>
          </cell>
        </row>
        <row r="162">
          <cell r="Q162" t="str">
            <v>61300</v>
          </cell>
          <cell r="R162" t="str">
            <v>Cap &amp; Trade Con Match</v>
          </cell>
        </row>
        <row r="163">
          <cell r="Q163" t="str">
            <v>61300</v>
          </cell>
          <cell r="R163" t="str">
            <v>Cap &amp; Trade Con Match</v>
          </cell>
        </row>
        <row r="164">
          <cell r="Q164" t="str">
            <v>61300</v>
          </cell>
          <cell r="R164" t="str">
            <v>Cap &amp; Trade Con Match</v>
          </cell>
        </row>
        <row r="165">
          <cell r="Q165" t="str">
            <v>61300</v>
          </cell>
          <cell r="R165" t="str">
            <v>Cap &amp; Trade Con Match</v>
          </cell>
        </row>
        <row r="166">
          <cell r="Q166" t="str">
            <v>61300</v>
          </cell>
          <cell r="R166" t="str">
            <v>Cap &amp; Trade Con Match</v>
          </cell>
        </row>
        <row r="167">
          <cell r="Q167" t="str">
            <v>61300</v>
          </cell>
          <cell r="R167" t="str">
            <v>Cap &amp; Trade Con Match</v>
          </cell>
        </row>
        <row r="168">
          <cell r="Q168" t="str">
            <v>61300</v>
          </cell>
          <cell r="R168" t="str">
            <v>Cap &amp; Trade Con Match</v>
          </cell>
        </row>
        <row r="169">
          <cell r="Q169" t="str">
            <v>61300</v>
          </cell>
          <cell r="R169" t="str">
            <v>Cap &amp; Trade Con Match</v>
          </cell>
        </row>
        <row r="170">
          <cell r="Q170" t="str">
            <v>PCA</v>
          </cell>
        </row>
        <row r="171">
          <cell r="Q171" t="str">
            <v>31000</v>
          </cell>
          <cell r="R171" t="str">
            <v>ARRA PD</v>
          </cell>
        </row>
        <row r="172">
          <cell r="Q172" t="str">
            <v>31000</v>
          </cell>
          <cell r="R172" t="str">
            <v>ARRA PD</v>
          </cell>
        </row>
        <row r="173">
          <cell r="Q173" t="str">
            <v>31000</v>
          </cell>
          <cell r="R173" t="str">
            <v>ARRA PD</v>
          </cell>
        </row>
        <row r="174">
          <cell r="Q174" t="str">
            <v>31000</v>
          </cell>
          <cell r="R174" t="str">
            <v>ARRA PD</v>
          </cell>
        </row>
        <row r="175">
          <cell r="Q175" t="str">
            <v>31000</v>
          </cell>
          <cell r="R175" t="str">
            <v>ARRA PD</v>
          </cell>
        </row>
        <row r="176">
          <cell r="Q176" t="str">
            <v>31000</v>
          </cell>
          <cell r="R176" t="str">
            <v>ARRA PD</v>
          </cell>
        </row>
        <row r="177">
          <cell r="Q177" t="str">
            <v>31000</v>
          </cell>
          <cell r="R177" t="str">
            <v>ARRA PD</v>
          </cell>
        </row>
        <row r="178">
          <cell r="Q178" t="str">
            <v>31000</v>
          </cell>
          <cell r="R178" t="str">
            <v>ARRA PD</v>
          </cell>
        </row>
        <row r="179">
          <cell r="Q179" t="str">
            <v>31000</v>
          </cell>
          <cell r="R179" t="str">
            <v>ARRA PD</v>
          </cell>
        </row>
        <row r="180">
          <cell r="Q180">
            <v>0</v>
          </cell>
        </row>
        <row r="181">
          <cell r="Q181" t="str">
            <v>31300</v>
          </cell>
          <cell r="R181" t="str">
            <v>ARRA 100/0</v>
          </cell>
        </row>
        <row r="182">
          <cell r="Q182" t="str">
            <v>31300</v>
          </cell>
          <cell r="R182" t="str">
            <v>ARRA 100/0</v>
          </cell>
        </row>
        <row r="183">
          <cell r="Q183" t="str">
            <v>31300</v>
          </cell>
          <cell r="R183" t="str">
            <v>ARRA 100/0</v>
          </cell>
        </row>
        <row r="184">
          <cell r="Q184" t="str">
            <v>31300</v>
          </cell>
          <cell r="R184" t="str">
            <v>ARRA 100/0</v>
          </cell>
        </row>
        <row r="185">
          <cell r="Q185" t="str">
            <v>31300</v>
          </cell>
          <cell r="R185" t="str">
            <v>ARRA 100/0</v>
          </cell>
        </row>
        <row r="186">
          <cell r="Q186" t="str">
            <v>31300</v>
          </cell>
          <cell r="R186" t="str">
            <v>ARRA 100/0</v>
          </cell>
        </row>
        <row r="187">
          <cell r="Q187" t="str">
            <v>31300</v>
          </cell>
          <cell r="R187" t="str">
            <v>ARRA 100/0</v>
          </cell>
        </row>
        <row r="188">
          <cell r="Q188" t="str">
            <v>31300</v>
          </cell>
          <cell r="R188" t="str">
            <v>ARRA 100/0</v>
          </cell>
        </row>
        <row r="189">
          <cell r="Q189" t="str">
            <v>31300</v>
          </cell>
          <cell r="R189" t="str">
            <v>ARRA 100/0</v>
          </cell>
        </row>
      </sheetData>
      <sheetData sheetId="7"/>
      <sheetData sheetId="8"/>
      <sheetData sheetId="9"/>
      <sheetData sheetId="10"/>
      <sheetData sheetId="11"/>
      <sheetData sheetId="12"/>
      <sheetData sheetId="13"/>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k 5c Sum"/>
      <sheetName val="Task 5c NTP Sum"/>
      <sheetName val="LA-SD by Company"/>
      <sheetName val="LA-SD Total by Person"/>
      <sheetName val="Dep Dir"/>
      <sheetName val="Sr Prog Mgr"/>
      <sheetName val="Jose Martinez"/>
      <sheetName val="George Pla"/>
      <sheetName val="Kathy Ortiz"/>
      <sheetName val="Marciela Raya"/>
      <sheetName val="Jose Avendano"/>
      <sheetName val="Angel Iraheta"/>
      <sheetName val="Hodges"/>
      <sheetName val="Eng"/>
      <sheetName val="CF Month LA-San Diego"/>
      <sheetName val="PB CF Month LA-SD"/>
      <sheetName val="Cord CF Month LA-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D1">
            <v>247.02360000000002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Directions"/>
      <sheetName val="Expenditures FRA - Annual"/>
      <sheetName val="Exp for FCP"/>
      <sheetName val="Expenditures FRA - Monthly"/>
      <sheetName val="Expenditures Board Report "/>
      <sheetName val="Board Report Data"/>
      <sheetName val="Task Summary State-Fed"/>
      <sheetName val="FRA Task Summary"/>
      <sheetName val="Task by Year"/>
      <sheetName val="Original Task Summary"/>
      <sheetName val="PR &amp; UC"/>
      <sheetName val="3rd Parties"/>
      <sheetName val="D-B"/>
      <sheetName val="CP1"/>
      <sheetName val="CP2-3"/>
      <sheetName val="SR 99"/>
      <sheetName val="ROW"/>
      <sheetName val="PCM"/>
      <sheetName val="Curve Adjustment"/>
      <sheetName val="LAUS"/>
      <sheetName val="SAP"/>
      <sheetName val="SWCAP"/>
      <sheetName val="RA RC PMT Test"/>
      <sheetName val="RAs"/>
      <sheetName val="RCs"/>
      <sheetName val="PMT"/>
      <sheetName val="FCP Data COBCP"/>
      <sheetName val="PMT-RC EV Expenditure"/>
      <sheetName val="PMT-RC Forecast"/>
      <sheetName val="Source COBCPv5.8 modified"/>
      <sheetName val="COBCP v5.8 v2"/>
      <sheetName val="Source COBCPv5.7 modified v2"/>
      <sheetName val="Source COBCPv5.7 modified"/>
      <sheetName val="% alloc of 2.5M sav PMT"/>
      <sheetName val="1415_AWP"/>
      <sheetName val="FB BP Sect 28 122613"/>
      <sheetName val="F-B B-P Sec 28 Contract 122613"/>
      <sheetName val="FY14-15AWPv2.0 "/>
      <sheetName val="FY13-14 AWPv2.0"/>
      <sheetName val="BUDGET PMT"/>
      <sheetName val="BUDGET RC"/>
      <sheetName val="BUDGET ALL OTH"/>
      <sheetName val="BUDGET JUNE FCP"/>
      <sheetName val="BOARD"/>
      <sheetName val="RC AWP 10 11"/>
      <sheetName val="RC AWP 11 12"/>
      <sheetName val="RC AWP 12 13"/>
      <sheetName val="COBCP v5.8"/>
      <sheetName val="Funding By CP"/>
      <sheetName val="Source List"/>
      <sheetName val="Crosswalk"/>
      <sheetName val="PMT RC Crosswalk"/>
      <sheetName val="FRA C2C (1a.1 2a.1 4a)"/>
      <sheetName val="C2C Cummulative"/>
      <sheetName val="Estimating (4 raw)"/>
      <sheetName val="C2C Act&amp;Fcst (2 raw + 3a)"/>
      <sheetName val="COBCP C2C FCST by Section (3a)"/>
      <sheetName val="COBCP C2C (3 raw data)"/>
      <sheetName val="Crosswalk Detail"/>
      <sheetName val="EV- RA Quarterly Report (1 raw)"/>
      <sheetName val="OLD"/>
      <sheetName val="COBCP v5.7"/>
      <sheetName val="Curve Adjustment - old"/>
      <sheetName val="SR 99 - old"/>
      <sheetName val="CP1 - old"/>
      <sheetName val="PR &amp; UC - old"/>
      <sheetName val="ROW - old"/>
    </sheetNames>
    <sheetDataSet>
      <sheetData sheetId="0"/>
      <sheetData sheetId="1"/>
      <sheetData sheetId="2"/>
      <sheetData sheetId="3"/>
      <sheetData sheetId="4"/>
      <sheetData sheetId="5"/>
      <sheetData sheetId="6">
        <row r="3">
          <cell r="A3">
            <v>42216</v>
          </cell>
        </row>
        <row r="4">
          <cell r="A4">
            <v>42247</v>
          </cell>
        </row>
        <row r="5">
          <cell r="A5">
            <v>42277</v>
          </cell>
        </row>
        <row r="6">
          <cell r="A6">
            <v>42308</v>
          </cell>
        </row>
        <row r="7">
          <cell r="A7">
            <v>42338</v>
          </cell>
        </row>
        <row r="8">
          <cell r="A8">
            <v>42369</v>
          </cell>
        </row>
        <row r="9">
          <cell r="A9">
            <v>42400</v>
          </cell>
        </row>
        <row r="10">
          <cell r="A10">
            <v>42428</v>
          </cell>
        </row>
        <row r="11">
          <cell r="A11">
            <v>42460</v>
          </cell>
        </row>
        <row r="12">
          <cell r="A12">
            <v>42490</v>
          </cell>
        </row>
        <row r="13">
          <cell r="A13">
            <v>42521</v>
          </cell>
        </row>
        <row r="14">
          <cell r="A14">
            <v>42551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6 by Subtask"/>
      <sheetName val="Task 16 by Co."/>
      <sheetName val="Task 16 by Person"/>
      <sheetName val="Classifications"/>
      <sheetName val="Master Deliverables"/>
      <sheetName val="Task 16 Subtask Rollup"/>
      <sheetName val="Task 16 Total"/>
      <sheetName val="Task 16 Subtask PB"/>
      <sheetName val="Task 16 Subtask Alta_Vista"/>
      <sheetName val="Task 16 Subtask Turner"/>
      <sheetName val="Subtotal"/>
      <sheetName val="PB"/>
      <sheetName val="Alta_Vista"/>
      <sheetName val="Turner"/>
      <sheetName val="Sheet1"/>
      <sheetName val="Task 16 Subtask TBD"/>
      <sheetName val="TBD"/>
    </sheetNames>
    <sheetDataSet>
      <sheetData sheetId="0" refreshError="1"/>
      <sheetData sheetId="1" refreshError="1">
        <row r="1">
          <cell r="B1" t="str">
            <v xml:space="preserve">Home </v>
          </cell>
          <cell r="C1" t="str">
            <v>Field</v>
          </cell>
        </row>
        <row r="6">
          <cell r="M6">
            <v>0</v>
          </cell>
        </row>
        <row r="16">
          <cell r="M1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 Up"/>
      <sheetName val="Summary"/>
      <sheetName val="Negotiated Setttmnt- Acqusition"/>
      <sheetName val="Legal Acquisition"/>
      <sheetName val="Relocation Expenses"/>
      <sheetName val="ROW Consultants"/>
      <sheetName val="Parcels List"/>
      <sheetName val="Field Key"/>
      <sheetName val="Project Sum Status v1.1"/>
      <sheetName val="Data"/>
    </sheetNames>
    <sheetDataSet>
      <sheetData sheetId="0"/>
      <sheetData sheetId="1">
        <row r="4">
          <cell r="C4" t="str">
            <v>TE-BNSF-12.0</v>
          </cell>
        </row>
        <row r="5">
          <cell r="C5" t="str">
            <v>TE-BNSF-15.0</v>
          </cell>
        </row>
        <row r="6">
          <cell r="C6" t="str">
            <v>TE-BNSF-15.5</v>
          </cell>
        </row>
        <row r="7">
          <cell r="C7" t="str">
            <v>442-122-02</v>
          </cell>
        </row>
        <row r="8">
          <cell r="C8" t="str">
            <v>442-122-03</v>
          </cell>
        </row>
        <row r="9">
          <cell r="C9" t="str">
            <v>442-122-15</v>
          </cell>
        </row>
        <row r="10">
          <cell r="C10" t="str">
            <v>442-122-05</v>
          </cell>
        </row>
        <row r="11">
          <cell r="C11" t="str">
            <v>442-122-22</v>
          </cell>
        </row>
        <row r="12">
          <cell r="C12" t="str">
            <v>442-122-24</v>
          </cell>
        </row>
        <row r="13">
          <cell r="C13" t="str">
            <v>442-122-28</v>
          </cell>
        </row>
        <row r="14">
          <cell r="C14" t="str">
            <v>442-122-33</v>
          </cell>
        </row>
        <row r="15">
          <cell r="C15" t="str">
            <v>442-122-34</v>
          </cell>
        </row>
        <row r="16">
          <cell r="C16" t="str">
            <v>442-122-35</v>
          </cell>
        </row>
        <row r="17">
          <cell r="C17" t="str">
            <v>442-122-36</v>
          </cell>
        </row>
        <row r="18">
          <cell r="C18" t="str">
            <v>442-122-37</v>
          </cell>
        </row>
        <row r="19">
          <cell r="C19" t="str">
            <v>449-161-02</v>
          </cell>
        </row>
        <row r="20">
          <cell r="C20" t="str">
            <v>449-161-04</v>
          </cell>
        </row>
        <row r="21">
          <cell r="C21" t="str">
            <v>449-161-05</v>
          </cell>
        </row>
        <row r="22">
          <cell r="C22" t="str">
            <v>449-161-08</v>
          </cell>
        </row>
        <row r="23">
          <cell r="C23" t="str">
            <v>449-162-01</v>
          </cell>
        </row>
        <row r="24">
          <cell r="C24" t="str">
            <v>449-162-02</v>
          </cell>
        </row>
        <row r="25">
          <cell r="C25" t="str">
            <v>449-162-03</v>
          </cell>
        </row>
        <row r="26">
          <cell r="C26" t="str">
            <v>449-162-04</v>
          </cell>
        </row>
        <row r="27">
          <cell r="C27" t="str">
            <v>449-162-05</v>
          </cell>
        </row>
        <row r="28">
          <cell r="C28" t="str">
            <v>449-162-20</v>
          </cell>
        </row>
        <row r="29">
          <cell r="C29" t="str">
            <v>449-180-08</v>
          </cell>
        </row>
        <row r="30">
          <cell r="C30" t="str">
            <v>449-180-09</v>
          </cell>
        </row>
        <row r="31">
          <cell r="C31" t="str">
            <v>449-180-10</v>
          </cell>
        </row>
        <row r="32">
          <cell r="C32" t="str">
            <v>449-020-16</v>
          </cell>
        </row>
        <row r="33">
          <cell r="C33" t="str">
            <v>450-154-08</v>
          </cell>
        </row>
        <row r="34">
          <cell r="C34" t="str">
            <v>450-154-09</v>
          </cell>
        </row>
        <row r="35">
          <cell r="C35" t="str">
            <v>450-155-15</v>
          </cell>
        </row>
        <row r="36">
          <cell r="C36" t="str">
            <v>450-155-16</v>
          </cell>
        </row>
        <row r="37">
          <cell r="C37" t="str">
            <v>450-155-17</v>
          </cell>
        </row>
        <row r="38">
          <cell r="C38" t="str">
            <v>450-155-18</v>
          </cell>
        </row>
        <row r="39">
          <cell r="C39" t="str">
            <v>450-010-03U</v>
          </cell>
        </row>
        <row r="40">
          <cell r="C40" t="str">
            <v>450-010-09U</v>
          </cell>
        </row>
        <row r="41">
          <cell r="C41" t="str">
            <v>450-010-10U</v>
          </cell>
        </row>
        <row r="42">
          <cell r="C42" t="str">
            <v>450-010-15U</v>
          </cell>
        </row>
        <row r="43">
          <cell r="C43" t="str">
            <v>450-010-16U</v>
          </cell>
        </row>
        <row r="44">
          <cell r="C44" t="str">
            <v>450-010-17U</v>
          </cell>
        </row>
        <row r="45">
          <cell r="C45" t="str">
            <v>450-010-18U</v>
          </cell>
        </row>
        <row r="46">
          <cell r="C46" t="str">
            <v>450-271-12</v>
          </cell>
        </row>
        <row r="47">
          <cell r="C47" t="str">
            <v>450-272-13</v>
          </cell>
        </row>
        <row r="48">
          <cell r="C48" t="str">
            <v>450-272-14</v>
          </cell>
        </row>
        <row r="49">
          <cell r="C49" t="str">
            <v>450-272-27</v>
          </cell>
        </row>
        <row r="50">
          <cell r="C50" t="str">
            <v>450-272-28</v>
          </cell>
        </row>
        <row r="51">
          <cell r="C51" t="str">
            <v>450-273-26</v>
          </cell>
        </row>
        <row r="52">
          <cell r="C52" t="str">
            <v>450-280-01</v>
          </cell>
        </row>
        <row r="53">
          <cell r="C53" t="str">
            <v>450-280-02</v>
          </cell>
        </row>
        <row r="54">
          <cell r="C54" t="str">
            <v>450-280-03</v>
          </cell>
        </row>
        <row r="55">
          <cell r="C55" t="str">
            <v>450-280-08</v>
          </cell>
        </row>
        <row r="56">
          <cell r="C56" t="str">
            <v>450-280-11</v>
          </cell>
        </row>
        <row r="57">
          <cell r="C57" t="str">
            <v>450-280-12</v>
          </cell>
        </row>
        <row r="58">
          <cell r="C58" t="str">
            <v>450-280-31</v>
          </cell>
        </row>
        <row r="59">
          <cell r="C59" t="str">
            <v>450-280-34</v>
          </cell>
        </row>
        <row r="60">
          <cell r="C60" t="str">
            <v>458-133-15</v>
          </cell>
        </row>
        <row r="61">
          <cell r="C61" t="str">
            <v>459-023-59</v>
          </cell>
        </row>
        <row r="62">
          <cell r="C62" t="str">
            <v>459-023-51</v>
          </cell>
        </row>
        <row r="63">
          <cell r="C63" t="str">
            <v>459-023-55</v>
          </cell>
        </row>
        <row r="64">
          <cell r="C64" t="str">
            <v>459-023-56</v>
          </cell>
        </row>
        <row r="65">
          <cell r="C65" t="str">
            <v>459-111-14</v>
          </cell>
        </row>
        <row r="66">
          <cell r="C66" t="str">
            <v>458-240-30</v>
          </cell>
        </row>
        <row r="67">
          <cell r="C67" t="str">
            <v>458-240-31</v>
          </cell>
        </row>
        <row r="68">
          <cell r="C68" t="str">
            <v>458-240-10</v>
          </cell>
        </row>
        <row r="69">
          <cell r="C69" t="str">
            <v>458-240-32</v>
          </cell>
        </row>
        <row r="70">
          <cell r="C70" t="str">
            <v>458-240-33</v>
          </cell>
        </row>
        <row r="71">
          <cell r="C71" t="str">
            <v>458-250-10</v>
          </cell>
        </row>
        <row r="72">
          <cell r="C72" t="str">
            <v>458-250-23</v>
          </cell>
        </row>
        <row r="73">
          <cell r="C73" t="str">
            <v>458-250-25</v>
          </cell>
        </row>
        <row r="74">
          <cell r="C74" t="str">
            <v>458-010-05</v>
          </cell>
        </row>
        <row r="75">
          <cell r="C75" t="str">
            <v>458-010-17</v>
          </cell>
        </row>
        <row r="76">
          <cell r="C76" t="str">
            <v>458-010-19</v>
          </cell>
        </row>
        <row r="77">
          <cell r="C77" t="str">
            <v>458-010-20</v>
          </cell>
        </row>
        <row r="78">
          <cell r="C78" t="str">
            <v>458-250-07</v>
          </cell>
        </row>
        <row r="79">
          <cell r="C79" t="str">
            <v>458-250-08</v>
          </cell>
        </row>
        <row r="80">
          <cell r="C80" t="str">
            <v>458-250-24</v>
          </cell>
        </row>
        <row r="81">
          <cell r="C81" t="str">
            <v>458-250-37</v>
          </cell>
        </row>
        <row r="82">
          <cell r="C82" t="str">
            <v>465-020-13</v>
          </cell>
        </row>
        <row r="83">
          <cell r="C83" t="str">
            <v>465-020-22</v>
          </cell>
        </row>
        <row r="84">
          <cell r="C84" t="str">
            <v>465-020-23</v>
          </cell>
        </row>
        <row r="85">
          <cell r="C85" t="str">
            <v>465-030-16</v>
          </cell>
        </row>
        <row r="86">
          <cell r="C86" t="str">
            <v>465-030-18</v>
          </cell>
        </row>
        <row r="87">
          <cell r="C87" t="str">
            <v>465-040-03</v>
          </cell>
        </row>
        <row r="88">
          <cell r="C88" t="str">
            <v>465-040-04</v>
          </cell>
        </row>
        <row r="89">
          <cell r="C89" t="str">
            <v>465-040-05</v>
          </cell>
        </row>
        <row r="90">
          <cell r="C90" t="str">
            <v>465-040-06</v>
          </cell>
        </row>
        <row r="91">
          <cell r="C91" t="str">
            <v>465-040-21</v>
          </cell>
        </row>
        <row r="92">
          <cell r="C92" t="str">
            <v>465-040-22</v>
          </cell>
        </row>
        <row r="93">
          <cell r="C93" t="str">
            <v>465-040-23</v>
          </cell>
        </row>
        <row r="94">
          <cell r="C94" t="str">
            <v>465-040-31</v>
          </cell>
        </row>
        <row r="95">
          <cell r="C95" t="str">
            <v>465-040-34U</v>
          </cell>
        </row>
        <row r="96">
          <cell r="C96" t="str">
            <v>465-040-35U</v>
          </cell>
        </row>
        <row r="97">
          <cell r="C97" t="str">
            <v>465-040-36</v>
          </cell>
        </row>
        <row r="98">
          <cell r="C98" t="str">
            <v>467-030-19</v>
          </cell>
        </row>
        <row r="99">
          <cell r="C99" t="str">
            <v>467-030-22</v>
          </cell>
        </row>
        <row r="100">
          <cell r="C100" t="str">
            <v>467-030-23</v>
          </cell>
        </row>
        <row r="101">
          <cell r="C101" t="str">
            <v>467-030-25</v>
          </cell>
        </row>
        <row r="102">
          <cell r="C102" t="str">
            <v>467-030-04</v>
          </cell>
        </row>
        <row r="103">
          <cell r="C103" t="str">
            <v>467-030-17</v>
          </cell>
        </row>
        <row r="104">
          <cell r="C104" t="str">
            <v>467-030-29</v>
          </cell>
        </row>
        <row r="105">
          <cell r="C105" t="str">
            <v>467-030-32</v>
          </cell>
        </row>
        <row r="106">
          <cell r="C106" t="str">
            <v>467-030-34</v>
          </cell>
        </row>
        <row r="107">
          <cell r="C107" t="str">
            <v>467-040-04</v>
          </cell>
        </row>
        <row r="108">
          <cell r="C108" t="str">
            <v>467-040-05</v>
          </cell>
        </row>
        <row r="109">
          <cell r="C109" t="str">
            <v>467-040-06</v>
          </cell>
        </row>
        <row r="110">
          <cell r="C110" t="str">
            <v>467-040-07</v>
          </cell>
        </row>
        <row r="111">
          <cell r="C111" t="str">
            <v>467-040-12</v>
          </cell>
        </row>
        <row r="112">
          <cell r="C112" t="str">
            <v>467-040-21</v>
          </cell>
        </row>
        <row r="113">
          <cell r="C113" t="str">
            <v>467-081-08</v>
          </cell>
        </row>
        <row r="114">
          <cell r="C114" t="str">
            <v>467-081-19</v>
          </cell>
        </row>
        <row r="115">
          <cell r="C115" t="str">
            <v>467-082-12</v>
          </cell>
        </row>
        <row r="116">
          <cell r="C116" t="str">
            <v>467-050-13</v>
          </cell>
        </row>
        <row r="117">
          <cell r="C117" t="str">
            <v>467-050-28</v>
          </cell>
        </row>
        <row r="118">
          <cell r="C118" t="str">
            <v>467-050-23</v>
          </cell>
        </row>
        <row r="119">
          <cell r="C119" t="str">
            <v>467-050-24</v>
          </cell>
        </row>
        <row r="120">
          <cell r="C120" t="str">
            <v>450-272-12</v>
          </cell>
        </row>
        <row r="121">
          <cell r="C121" t="str">
            <v>450-273-12</v>
          </cell>
        </row>
        <row r="122">
          <cell r="C122" t="str">
            <v>450-273-13</v>
          </cell>
        </row>
        <row r="123">
          <cell r="C123" t="str">
            <v>467-061-15</v>
          </cell>
        </row>
        <row r="124">
          <cell r="C124" t="str">
            <v>467-062-03</v>
          </cell>
        </row>
        <row r="125">
          <cell r="C125" t="str">
            <v>467-062-11</v>
          </cell>
        </row>
        <row r="126">
          <cell r="C126" t="str">
            <v>467-063-18</v>
          </cell>
        </row>
        <row r="127">
          <cell r="C127" t="str">
            <v>467-063-19</v>
          </cell>
        </row>
        <row r="128">
          <cell r="C128" t="str">
            <v>467-063-37</v>
          </cell>
        </row>
        <row r="129">
          <cell r="C129" t="str">
            <v>467-071-01</v>
          </cell>
        </row>
        <row r="130">
          <cell r="C130" t="str">
            <v>467-081-05</v>
          </cell>
        </row>
        <row r="131">
          <cell r="C131" t="str">
            <v>467-081-06</v>
          </cell>
        </row>
        <row r="132">
          <cell r="C132" t="str">
            <v>467-082-01</v>
          </cell>
        </row>
        <row r="133">
          <cell r="C133" t="str">
            <v>467-030-03</v>
          </cell>
        </row>
        <row r="134">
          <cell r="C134" t="str">
            <v>467-071-02</v>
          </cell>
        </row>
        <row r="135">
          <cell r="C135" t="str">
            <v>467-081-07</v>
          </cell>
        </row>
        <row r="136">
          <cell r="C136" t="str">
            <v>467-030-37</v>
          </cell>
        </row>
        <row r="137">
          <cell r="C137" t="str">
            <v>450-271-18</v>
          </cell>
        </row>
        <row r="138">
          <cell r="C138" t="str">
            <v>459-023-18</v>
          </cell>
        </row>
        <row r="139">
          <cell r="C139" t="str">
            <v>467-030-38</v>
          </cell>
        </row>
        <row r="140">
          <cell r="C140" t="str">
            <v>450-260-03T</v>
          </cell>
        </row>
        <row r="141">
          <cell r="C141" t="str">
            <v>458-250-15</v>
          </cell>
        </row>
        <row r="142">
          <cell r="C142" t="str">
            <v>458-250-09</v>
          </cell>
        </row>
        <row r="143">
          <cell r="C143" t="str">
            <v>465-091-20</v>
          </cell>
        </row>
        <row r="144">
          <cell r="C144" t="str">
            <v>458-250-27</v>
          </cell>
        </row>
        <row r="145">
          <cell r="C145" t="str">
            <v>442-123-05</v>
          </cell>
        </row>
        <row r="146">
          <cell r="C146" t="str">
            <v>442-123-03</v>
          </cell>
        </row>
        <row r="147">
          <cell r="C147" t="str">
            <v>458-240-25</v>
          </cell>
        </row>
        <row r="148">
          <cell r="C148" t="str">
            <v>442-010-11U</v>
          </cell>
        </row>
        <row r="149">
          <cell r="C149" t="str">
            <v>442-010-12U</v>
          </cell>
        </row>
        <row r="150">
          <cell r="C150" t="str">
            <v>449-010-01U</v>
          </cell>
        </row>
        <row r="151">
          <cell r="C151" t="str">
            <v>449-010-02U</v>
          </cell>
        </row>
        <row r="152">
          <cell r="C152" t="str">
            <v>504-130-22</v>
          </cell>
        </row>
        <row r="153">
          <cell r="C153" t="str">
            <v>504-130-08</v>
          </cell>
        </row>
        <row r="154">
          <cell r="C154" t="str">
            <v>504-050-34</v>
          </cell>
        </row>
        <row r="155">
          <cell r="C155" t="str">
            <v>504-070-33</v>
          </cell>
        </row>
        <row r="156">
          <cell r="C156" t="str">
            <v>504-070-51</v>
          </cell>
        </row>
        <row r="157">
          <cell r="C157" t="str">
            <v>504-070-41</v>
          </cell>
        </row>
        <row r="158">
          <cell r="C158" t="str">
            <v>504-070-52</v>
          </cell>
        </row>
        <row r="159">
          <cell r="C159" t="str">
            <v>504-070-39</v>
          </cell>
        </row>
        <row r="160">
          <cell r="C160" t="str">
            <v>504-106-02</v>
          </cell>
        </row>
        <row r="161">
          <cell r="C161" t="str">
            <v>504-060-73</v>
          </cell>
        </row>
        <row r="162">
          <cell r="C162" t="str">
            <v>504-106-04</v>
          </cell>
        </row>
        <row r="163">
          <cell r="C163" t="str">
            <v>504-106-05</v>
          </cell>
        </row>
        <row r="164">
          <cell r="C164" t="str">
            <v>504-060-71</v>
          </cell>
        </row>
        <row r="165">
          <cell r="C165" t="str">
            <v>504-060-70</v>
          </cell>
        </row>
        <row r="166">
          <cell r="C166" t="str">
            <v>504-060-75</v>
          </cell>
        </row>
        <row r="167">
          <cell r="C167" t="str">
            <v>504-140-11</v>
          </cell>
        </row>
        <row r="168">
          <cell r="C168" t="str">
            <v>504-080-37</v>
          </cell>
        </row>
        <row r="169">
          <cell r="C169" t="str">
            <v>504-080-33</v>
          </cell>
        </row>
        <row r="170">
          <cell r="C170" t="str">
            <v>504-080-69</v>
          </cell>
        </row>
        <row r="171">
          <cell r="C171" t="str">
            <v>504-080-74</v>
          </cell>
        </row>
        <row r="172">
          <cell r="C172" t="str">
            <v>504-080-71</v>
          </cell>
        </row>
        <row r="173">
          <cell r="C173" t="str">
            <v>504-080-46</v>
          </cell>
        </row>
        <row r="174">
          <cell r="C174" t="str">
            <v>504-080-14</v>
          </cell>
        </row>
        <row r="175">
          <cell r="C175" t="str">
            <v>505-080-25</v>
          </cell>
        </row>
        <row r="176">
          <cell r="C176" t="str">
            <v>505-080-16</v>
          </cell>
        </row>
        <row r="177">
          <cell r="C177" t="str">
            <v>505-080-21</v>
          </cell>
        </row>
        <row r="178">
          <cell r="C178" t="str">
            <v>505-080-22</v>
          </cell>
        </row>
        <row r="179">
          <cell r="C179" t="str">
            <v>508-020-04</v>
          </cell>
        </row>
        <row r="180">
          <cell r="C180" t="str">
            <v>508-020-10</v>
          </cell>
        </row>
        <row r="181">
          <cell r="C181" t="str">
            <v>508-020-11</v>
          </cell>
        </row>
        <row r="182">
          <cell r="C182" t="str">
            <v>508-020-12</v>
          </cell>
        </row>
        <row r="183">
          <cell r="C183" t="str">
            <v>508-020-13</v>
          </cell>
        </row>
        <row r="184">
          <cell r="C184" t="str">
            <v>508-020-14</v>
          </cell>
        </row>
        <row r="185">
          <cell r="C185" t="str">
            <v>508-020-15</v>
          </cell>
        </row>
        <row r="186">
          <cell r="C186" t="str">
            <v>508-020-16</v>
          </cell>
        </row>
        <row r="187">
          <cell r="C187" t="str">
            <v>508-020-17</v>
          </cell>
        </row>
        <row r="188">
          <cell r="C188" t="str">
            <v>508-020-21</v>
          </cell>
        </row>
        <row r="189">
          <cell r="C189" t="str">
            <v>508-020-23</v>
          </cell>
        </row>
        <row r="190">
          <cell r="C190" t="str">
            <v>508-020-25</v>
          </cell>
        </row>
        <row r="191">
          <cell r="C191" t="str">
            <v>508-030-12</v>
          </cell>
        </row>
        <row r="192">
          <cell r="C192" t="str">
            <v>508-101-18</v>
          </cell>
        </row>
        <row r="193">
          <cell r="C193" t="str">
            <v>508-101-19</v>
          </cell>
        </row>
        <row r="194">
          <cell r="C194" t="str">
            <v>508-102-04</v>
          </cell>
        </row>
        <row r="195">
          <cell r="C195" t="str">
            <v>508-102-35</v>
          </cell>
        </row>
        <row r="196">
          <cell r="C196" t="str">
            <v>508-102-07</v>
          </cell>
        </row>
        <row r="197">
          <cell r="C197" t="str">
            <v>508-102-08</v>
          </cell>
        </row>
        <row r="198">
          <cell r="C198" t="str">
            <v>508-102-10</v>
          </cell>
        </row>
        <row r="199">
          <cell r="C199" t="str">
            <v>508-102-09</v>
          </cell>
        </row>
        <row r="200">
          <cell r="C200" t="str">
            <v>508-110-45</v>
          </cell>
        </row>
        <row r="201">
          <cell r="C201" t="str">
            <v>508-110-46</v>
          </cell>
        </row>
        <row r="202">
          <cell r="C202" t="str">
            <v>509-080-45</v>
          </cell>
        </row>
        <row r="203">
          <cell r="C203" t="str">
            <v>508-110-06</v>
          </cell>
        </row>
        <row r="204">
          <cell r="C204" t="str">
            <v>508-110-07</v>
          </cell>
        </row>
        <row r="205">
          <cell r="C205" t="str">
            <v>508-110-08</v>
          </cell>
        </row>
        <row r="206">
          <cell r="C206" t="str">
            <v>508-130-01</v>
          </cell>
        </row>
        <row r="207">
          <cell r="C207" t="str">
            <v>508-110-09</v>
          </cell>
        </row>
        <row r="208">
          <cell r="C208" t="str">
            <v>508-110-14</v>
          </cell>
        </row>
        <row r="209">
          <cell r="C209" t="str">
            <v>508-120-18</v>
          </cell>
        </row>
        <row r="210">
          <cell r="C210" t="str">
            <v>508-110-48</v>
          </cell>
        </row>
        <row r="211">
          <cell r="C211" t="str">
            <v>509-080-13</v>
          </cell>
        </row>
        <row r="212">
          <cell r="C212" t="str">
            <v>509-080-11</v>
          </cell>
        </row>
        <row r="213">
          <cell r="C213" t="str">
            <v>510-050-01</v>
          </cell>
        </row>
        <row r="214">
          <cell r="C214" t="str">
            <v>510-050-02</v>
          </cell>
        </row>
        <row r="215">
          <cell r="C215" t="str">
            <v>510-050-04</v>
          </cell>
        </row>
        <row r="216">
          <cell r="C216" t="str">
            <v>510-050-03</v>
          </cell>
        </row>
        <row r="217">
          <cell r="C217" t="str">
            <v>510-050-30</v>
          </cell>
        </row>
        <row r="218">
          <cell r="C218" t="str">
            <v>510-050-55</v>
          </cell>
        </row>
        <row r="219">
          <cell r="C219" t="str">
            <v>510-050-31</v>
          </cell>
        </row>
        <row r="220">
          <cell r="C220" t="str">
            <v>510-050-25</v>
          </cell>
        </row>
        <row r="221">
          <cell r="C221" t="str">
            <v>510-050-26</v>
          </cell>
        </row>
        <row r="222">
          <cell r="C222" t="str">
            <v>510-060-32</v>
          </cell>
        </row>
        <row r="223">
          <cell r="C223" t="str">
            <v>510-060-33</v>
          </cell>
        </row>
        <row r="224">
          <cell r="C224" t="str">
            <v>510-070-53</v>
          </cell>
        </row>
        <row r="225">
          <cell r="C225" t="str">
            <v>510-070-62</v>
          </cell>
        </row>
        <row r="226">
          <cell r="C226" t="str">
            <v>510-070-63</v>
          </cell>
        </row>
        <row r="227">
          <cell r="C227" t="str">
            <v>510-090-46</v>
          </cell>
        </row>
        <row r="228">
          <cell r="C228" t="str">
            <v>510-090-45</v>
          </cell>
        </row>
        <row r="229">
          <cell r="C229" t="str">
            <v>510-090-43</v>
          </cell>
        </row>
        <row r="230">
          <cell r="C230" t="str">
            <v>510-090-65</v>
          </cell>
        </row>
        <row r="231">
          <cell r="C231" t="str">
            <v>510-460-05</v>
          </cell>
        </row>
        <row r="232">
          <cell r="C232" t="str">
            <v>510-460-16</v>
          </cell>
        </row>
        <row r="233">
          <cell r="C233" t="str">
            <v>510-460-15</v>
          </cell>
        </row>
        <row r="234">
          <cell r="C234" t="str">
            <v>510-460-14</v>
          </cell>
        </row>
        <row r="235">
          <cell r="C235" t="str">
            <v>510-100-14</v>
          </cell>
        </row>
        <row r="236">
          <cell r="C236" t="str">
            <v>510-100-15</v>
          </cell>
        </row>
        <row r="237">
          <cell r="C237" t="str">
            <v>510-100-12</v>
          </cell>
        </row>
        <row r="238">
          <cell r="C238" t="str">
            <v>510-470-0X</v>
          </cell>
        </row>
        <row r="239">
          <cell r="C239" t="str">
            <v>510-470-03</v>
          </cell>
        </row>
        <row r="240">
          <cell r="C240" t="str">
            <v>510-470-08</v>
          </cell>
        </row>
        <row r="241">
          <cell r="C241" t="str">
            <v>510-470-09</v>
          </cell>
        </row>
        <row r="242">
          <cell r="C242" t="str">
            <v>510-470-10</v>
          </cell>
        </row>
        <row r="243">
          <cell r="C243" t="str">
            <v>510-470-11</v>
          </cell>
        </row>
        <row r="244">
          <cell r="C244" t="str">
            <v>504-080-66</v>
          </cell>
        </row>
        <row r="245">
          <cell r="C245" t="str">
            <v>508-110-13</v>
          </cell>
        </row>
        <row r="246">
          <cell r="C246" t="str">
            <v>509-050-05</v>
          </cell>
        </row>
        <row r="247">
          <cell r="C247" t="str">
            <v>509-050-06</v>
          </cell>
        </row>
        <row r="248">
          <cell r="C248" t="str">
            <v>510-050-05</v>
          </cell>
        </row>
        <row r="249">
          <cell r="C249" t="str">
            <v>510-050-06</v>
          </cell>
        </row>
        <row r="250">
          <cell r="C250" t="str">
            <v>510-470-01</v>
          </cell>
        </row>
        <row r="251">
          <cell r="C251" t="str">
            <v>510-470-02</v>
          </cell>
        </row>
        <row r="252">
          <cell r="C252" t="str">
            <v>510-470-04</v>
          </cell>
        </row>
        <row r="253">
          <cell r="C253" t="str">
            <v>510-470-05</v>
          </cell>
        </row>
        <row r="254">
          <cell r="C254" t="str">
            <v>510-470-06</v>
          </cell>
        </row>
        <row r="255">
          <cell r="C255" t="str">
            <v>510-470-07</v>
          </cell>
        </row>
        <row r="256">
          <cell r="C256" t="str">
            <v>504-080-39</v>
          </cell>
        </row>
        <row r="257">
          <cell r="C257" t="str">
            <v>504-080-38</v>
          </cell>
        </row>
        <row r="258">
          <cell r="C258" t="str">
            <v>504-091-02</v>
          </cell>
        </row>
        <row r="259">
          <cell r="C259" t="str">
            <v>504-091-03</v>
          </cell>
        </row>
        <row r="260">
          <cell r="C260" t="str">
            <v>504-091-04</v>
          </cell>
        </row>
        <row r="261">
          <cell r="C261" t="str">
            <v>504-080-47</v>
          </cell>
        </row>
        <row r="262">
          <cell r="C262" t="str">
            <v>504-080-67</v>
          </cell>
        </row>
        <row r="263">
          <cell r="C263" t="str">
            <v>504-080-32</v>
          </cell>
        </row>
        <row r="264">
          <cell r="C264" t="str">
            <v>510-470-12</v>
          </cell>
        </row>
        <row r="265">
          <cell r="C265" t="str">
            <v>504-010-09</v>
          </cell>
        </row>
        <row r="266">
          <cell r="C266" t="str">
            <v>508-020-01</v>
          </cell>
        </row>
        <row r="267">
          <cell r="C267" t="str">
            <v>504-130-20</v>
          </cell>
        </row>
        <row r="268">
          <cell r="C268" t="str">
            <v>508-010-07</v>
          </cell>
        </row>
        <row r="269">
          <cell r="C269" t="str">
            <v>504-010-16</v>
          </cell>
        </row>
        <row r="270">
          <cell r="C270" t="str">
            <v>504-010-15</v>
          </cell>
        </row>
        <row r="271">
          <cell r="C271" t="str">
            <v>504-010-01</v>
          </cell>
        </row>
        <row r="272">
          <cell r="C272" t="str">
            <v>510-050-56</v>
          </cell>
        </row>
        <row r="273">
          <cell r="C273" t="str">
            <v>TE-MF-10-9000</v>
          </cell>
        </row>
        <row r="274">
          <cell r="C274" t="str">
            <v>048-200-007</v>
          </cell>
        </row>
        <row r="275">
          <cell r="C275" t="str">
            <v>048-200-006</v>
          </cell>
        </row>
        <row r="276">
          <cell r="C276" t="str">
            <v>048-200-008</v>
          </cell>
        </row>
        <row r="277">
          <cell r="C277" t="str">
            <v>048-200-002</v>
          </cell>
        </row>
        <row r="278">
          <cell r="C278" t="str">
            <v>048-190-014</v>
          </cell>
        </row>
        <row r="279">
          <cell r="C279" t="str">
            <v>048-190-029</v>
          </cell>
        </row>
        <row r="280">
          <cell r="C280" t="str">
            <v>048-190-028</v>
          </cell>
        </row>
        <row r="281">
          <cell r="C281" t="str">
            <v>048-190-011</v>
          </cell>
        </row>
        <row r="282">
          <cell r="C282" t="str">
            <v>048-080-004</v>
          </cell>
        </row>
        <row r="283">
          <cell r="C283" t="str">
            <v>048-080-003</v>
          </cell>
        </row>
        <row r="284">
          <cell r="C284" t="str">
            <v>048-080-001</v>
          </cell>
        </row>
        <row r="285">
          <cell r="C285" t="str">
            <v>048-070-008</v>
          </cell>
        </row>
        <row r="286">
          <cell r="C286" t="str">
            <v>047-330-005</v>
          </cell>
        </row>
        <row r="287">
          <cell r="C287" t="str">
            <v>047-320-005</v>
          </cell>
        </row>
        <row r="288">
          <cell r="C288" t="str">
            <v>047-320-004</v>
          </cell>
        </row>
        <row r="289">
          <cell r="C289" t="str">
            <v>047-320-010</v>
          </cell>
        </row>
        <row r="290">
          <cell r="C290" t="str">
            <v>047-320-009</v>
          </cell>
        </row>
        <row r="291">
          <cell r="C291" t="str">
            <v>047-240-003</v>
          </cell>
        </row>
        <row r="292">
          <cell r="C292" t="str">
            <v>047-240-004</v>
          </cell>
        </row>
        <row r="293">
          <cell r="C293" t="str">
            <v>047-240-007</v>
          </cell>
        </row>
        <row r="294">
          <cell r="C294" t="str">
            <v>047-240-006</v>
          </cell>
        </row>
        <row r="295">
          <cell r="C295" t="str">
            <v>047-130-030</v>
          </cell>
        </row>
        <row r="296">
          <cell r="C296" t="str">
            <v>047-130-029</v>
          </cell>
        </row>
        <row r="297">
          <cell r="C297" t="str">
            <v>047-130-028</v>
          </cell>
        </row>
        <row r="298">
          <cell r="C298" t="str">
            <v>047-130-027</v>
          </cell>
        </row>
        <row r="299">
          <cell r="C299" t="str">
            <v>047-130-016</v>
          </cell>
        </row>
        <row r="300">
          <cell r="C300" t="str">
            <v>047-130-026</v>
          </cell>
        </row>
        <row r="301">
          <cell r="C301" t="str">
            <v>047-070-007</v>
          </cell>
        </row>
        <row r="302">
          <cell r="C302" t="str">
            <v>047-070-013</v>
          </cell>
        </row>
        <row r="303">
          <cell r="C303" t="str">
            <v>047-080-001</v>
          </cell>
        </row>
        <row r="304">
          <cell r="C304" t="str">
            <v>047-070-014</v>
          </cell>
        </row>
        <row r="305">
          <cell r="C305" t="str">
            <v>034-210-049</v>
          </cell>
        </row>
        <row r="306">
          <cell r="C306" t="str">
            <v>034-210-045</v>
          </cell>
        </row>
        <row r="307">
          <cell r="C307" t="str">
            <v>034-190-031</v>
          </cell>
        </row>
        <row r="308">
          <cell r="C308" t="str">
            <v>035-232-003</v>
          </cell>
        </row>
        <row r="309">
          <cell r="C309" t="str">
            <v>035-232-002</v>
          </cell>
        </row>
        <row r="310">
          <cell r="C310" t="str">
            <v>035-211-006</v>
          </cell>
        </row>
        <row r="311">
          <cell r="C311" t="str">
            <v>035-212-002</v>
          </cell>
        </row>
        <row r="312">
          <cell r="C312" t="str">
            <v>035-171-010</v>
          </cell>
        </row>
        <row r="313">
          <cell r="C313" t="str">
            <v>035-171-011</v>
          </cell>
        </row>
        <row r="314">
          <cell r="C314" t="str">
            <v>035-171-005</v>
          </cell>
        </row>
        <row r="315">
          <cell r="C315" t="str">
            <v>035-171-013</v>
          </cell>
        </row>
        <row r="316">
          <cell r="C316" t="str">
            <v>035-171-003</v>
          </cell>
        </row>
        <row r="317">
          <cell r="C317" t="str">
            <v>035-171-001</v>
          </cell>
        </row>
        <row r="318">
          <cell r="C318" t="str">
            <v>035-162-034</v>
          </cell>
        </row>
        <row r="319">
          <cell r="C319" t="str">
            <v>035-162-024</v>
          </cell>
        </row>
        <row r="320">
          <cell r="C320" t="str">
            <v>035-162-025</v>
          </cell>
        </row>
        <row r="321">
          <cell r="C321" t="str">
            <v>035-162-032</v>
          </cell>
        </row>
        <row r="322">
          <cell r="C322" t="str">
            <v>035-110-029</v>
          </cell>
        </row>
        <row r="323">
          <cell r="C323" t="str">
            <v>035-110-020</v>
          </cell>
        </row>
        <row r="324">
          <cell r="C324" t="str">
            <v>035-110-021</v>
          </cell>
        </row>
        <row r="325">
          <cell r="C325" t="str">
            <v>035-110-011</v>
          </cell>
        </row>
        <row r="326">
          <cell r="C326" t="str">
            <v>035-110-010</v>
          </cell>
        </row>
        <row r="327">
          <cell r="C327" t="str">
            <v>035-102-039</v>
          </cell>
        </row>
        <row r="328">
          <cell r="C328" t="str">
            <v>035-102-018</v>
          </cell>
        </row>
        <row r="329">
          <cell r="C329" t="str">
            <v>035-102-038</v>
          </cell>
        </row>
        <row r="330">
          <cell r="C330" t="str">
            <v>035-102-037</v>
          </cell>
        </row>
        <row r="331">
          <cell r="C331" t="str">
            <v>035-092-011</v>
          </cell>
        </row>
        <row r="332">
          <cell r="C332" t="str">
            <v>035-092-012</v>
          </cell>
        </row>
        <row r="333">
          <cell r="C333" t="str">
            <v>035-092-008</v>
          </cell>
        </row>
        <row r="334">
          <cell r="C334" t="str">
            <v>035-092-009</v>
          </cell>
        </row>
        <row r="335">
          <cell r="C335" t="str">
            <v>035-092-010</v>
          </cell>
        </row>
        <row r="336">
          <cell r="C336" t="str">
            <v>035-092-002</v>
          </cell>
        </row>
        <row r="337">
          <cell r="C337" t="str">
            <v>035-092-001</v>
          </cell>
        </row>
        <row r="338">
          <cell r="C338" t="str">
            <v>035-091-016</v>
          </cell>
        </row>
        <row r="339">
          <cell r="C339" t="str">
            <v>035-030-017</v>
          </cell>
        </row>
        <row r="340">
          <cell r="C340" t="str">
            <v>035-030-016</v>
          </cell>
        </row>
        <row r="341">
          <cell r="C341" t="str">
            <v>037-112-004</v>
          </cell>
        </row>
        <row r="342">
          <cell r="C342" t="str">
            <v>035-030-003</v>
          </cell>
        </row>
        <row r="343">
          <cell r="C343" t="str">
            <v>035-030-015</v>
          </cell>
        </row>
        <row r="344">
          <cell r="C344" t="str">
            <v>037-112-003</v>
          </cell>
        </row>
        <row r="345">
          <cell r="C345" t="str">
            <v>037-111-033</v>
          </cell>
        </row>
        <row r="346">
          <cell r="C346" t="str">
            <v>037-111-032</v>
          </cell>
        </row>
        <row r="347">
          <cell r="C347" t="str">
            <v>037-111-025</v>
          </cell>
        </row>
        <row r="348">
          <cell r="C348" t="str">
            <v>037-111-024</v>
          </cell>
        </row>
        <row r="349">
          <cell r="C349" t="str">
            <v>037-111-023</v>
          </cell>
        </row>
        <row r="350">
          <cell r="C350" t="str">
            <v>037-060-021</v>
          </cell>
        </row>
        <row r="351">
          <cell r="C351" t="str">
            <v>037-060-018</v>
          </cell>
        </row>
        <row r="352">
          <cell r="C352" t="str">
            <v>037-060-017</v>
          </cell>
        </row>
        <row r="353">
          <cell r="C353" t="str">
            <v>037-060-016</v>
          </cell>
        </row>
        <row r="354">
          <cell r="C354" t="str">
            <v>037-030-016</v>
          </cell>
        </row>
        <row r="355">
          <cell r="C355" t="str">
            <v>037-030-013</v>
          </cell>
        </row>
        <row r="356">
          <cell r="C356" t="str">
            <v>037-030-012</v>
          </cell>
        </row>
        <row r="357">
          <cell r="C357" t="str">
            <v>037-030-008</v>
          </cell>
        </row>
        <row r="358">
          <cell r="C358" t="str">
            <v>037-030-007</v>
          </cell>
        </row>
        <row r="359">
          <cell r="C359" t="str">
            <v>037-030-006</v>
          </cell>
        </row>
        <row r="360">
          <cell r="C360" t="str">
            <v>048-270-009</v>
          </cell>
        </row>
      </sheetData>
      <sheetData sheetId="2"/>
      <sheetData sheetId="3"/>
      <sheetData sheetId="4"/>
      <sheetData sheetId="5"/>
      <sheetData sheetId="6"/>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PMT Data"/>
      <sheetName val="Budget Breakdown"/>
      <sheetName val="Sheet1"/>
      <sheetName val="PMT Hours"/>
      <sheetName val="PMT Dollars"/>
      <sheetName val="PMT Hours Cost FY"/>
      <sheetName val="PMT Hours Cost TOTAL"/>
      <sheetName val="Task &amp; Subtask Weights"/>
      <sheetName val="PMT EV Table"/>
      <sheetName val="PMT CPR"/>
      <sheetName val="PMT Monthly EV Curve"/>
      <sheetName val="Definitions"/>
      <sheetName val="FY 10-11 Budget"/>
      <sheetName val="INPUT RC Data"/>
      <sheetName val="RC Sum Hours "/>
      <sheetName val="RC Sum Dollars"/>
      <sheetName val="Program CPR"/>
      <sheetName val="Program Overview"/>
      <sheetName val="Chart4"/>
      <sheetName val="Chart3"/>
      <sheetName val="EPS"/>
      <sheetName val="Program Monthly EV Curve"/>
    </sheetNames>
    <sheetDataSet>
      <sheetData sheetId="0">
        <row r="3">
          <cell r="B3" t="str">
            <v>ID Code</v>
          </cell>
        </row>
      </sheetData>
      <sheetData sheetId="1" refreshError="1"/>
      <sheetData sheetId="2" refreshError="1"/>
      <sheetData sheetId="3">
        <row r="3">
          <cell r="G3">
            <v>40725</v>
          </cell>
        </row>
      </sheetData>
      <sheetData sheetId="4">
        <row r="2">
          <cell r="G2" t="str">
            <v>J</v>
          </cell>
        </row>
      </sheetData>
      <sheetData sheetId="5" refreshError="1"/>
      <sheetData sheetId="6" refreshError="1"/>
      <sheetData sheetId="7" refreshError="1"/>
      <sheetData sheetId="8">
        <row r="1">
          <cell r="T1">
            <v>40756</v>
          </cell>
        </row>
        <row r="110">
          <cell r="G110">
            <v>0.51542040473408968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y Month with Unident"/>
      <sheetName val="Summary by FY WORKING"/>
      <sheetName val="COBCP Spring 16 data"/>
      <sheetName val="SUM S&amp;U"/>
      <sheetName val="Waterfall"/>
      <sheetName val="Pivot "/>
      <sheetName val="Summary"/>
      <sheetName val="Working Summary"/>
      <sheetName val="final Mar Report"/>
      <sheetName val="CP1 Forecast"/>
      <sheetName val="Drop Down"/>
      <sheetName val="CapOutlay Vlookup"/>
      <sheetName val="Project List"/>
      <sheetName val="Contract Summary"/>
      <sheetName val="Invoice Summary"/>
      <sheetName val="Actual Expenditures Jan 2016"/>
      <sheetName val="Contract List Jan 2016"/>
      <sheetName val="Contract Listing"/>
      <sheetName val="Additional Electrification"/>
      <sheetName val="Summary (Old)"/>
      <sheetName val="Summary by Authority"/>
      <sheetName val="Pivot Table"/>
      <sheetName val="Air Qual Miti"/>
      <sheetName val="2016 BP"/>
      <sheetName val="CP 1 Cash Flow"/>
      <sheetName val="Expenditure Plan"/>
      <sheetName val="SAP"/>
      <sheetName val="Time-Phased Contracts"/>
      <sheetName val="final Feb Report"/>
      <sheetName val="final Contract Expend"/>
      <sheetName val="Actuals"/>
      <sheetName val="Unexpired Contracts"/>
      <sheetName val="Env Other"/>
      <sheetName val="Env &amp; Mit"/>
      <sheetName val="Env RA Est"/>
      <sheetName val="Task 5_PCM"/>
      <sheetName val="CMTS Pending"/>
      <sheetName val="Third Party"/>
      <sheetName val="TPA Time-phased"/>
      <sheetName val="Madera Acres Co"/>
      <sheetName val="SoCal TPA"/>
      <sheetName val="NorCal TPA"/>
      <sheetName val="FCP LAUS"/>
      <sheetName val="RC's"/>
      <sheetName val="Caltrain &amp; Transbay"/>
      <sheetName val="ROW FY v7 11315"/>
      <sheetName val="Indexation"/>
      <sheetName val="WBS Mapping"/>
      <sheetName val="CHRIS Contract 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sheetData sheetId="12">
        <row r="1">
          <cell r="A1" t="str">
            <v>Project</v>
          </cell>
        </row>
      </sheetData>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2">
          <cell r="H2" t="str">
            <v>AJ001.</v>
          </cell>
          <cell r="I2" t="str">
            <v>BP001.</v>
          </cell>
          <cell r="J2" t="str">
            <v>CVI01.</v>
          </cell>
          <cell r="K2" t="str">
            <v>CP001.</v>
          </cell>
          <cell r="L2" t="str">
            <v>CP003.</v>
          </cell>
          <cell r="M2" t="str">
            <v>CP004.</v>
          </cell>
          <cell r="N2" t="str">
            <v>CP05a.</v>
          </cell>
          <cell r="O2" t="str">
            <v>CP05b.</v>
          </cell>
          <cell r="P2" t="str">
            <v>FB001.</v>
          </cell>
          <cell r="Q2" t="str">
            <v>FB010.</v>
          </cell>
          <cell r="R2" t="str">
            <v>FB020.</v>
          </cell>
          <cell r="S2" t="str">
            <v>FJ001.</v>
          </cell>
          <cell r="T2" t="str">
            <v>HMF01.</v>
          </cell>
          <cell r="U2" t="str">
            <v>JM001.</v>
          </cell>
          <cell r="V2" t="str">
            <v>JM010.</v>
          </cell>
          <cell r="W2" t="str">
            <v>JM020.</v>
          </cell>
          <cell r="X2" t="str">
            <v>LD001.</v>
          </cell>
          <cell r="Y2" t="str">
            <v>LO001.</v>
          </cell>
          <cell r="Z2" t="str">
            <v>LO010.</v>
          </cell>
          <cell r="AA2" t="str">
            <v>LO020.</v>
          </cell>
          <cell r="AB2" t="str">
            <v>MF001.</v>
          </cell>
          <cell r="AC2" t="str">
            <v>MS001.</v>
          </cell>
          <cell r="AD2" t="str">
            <v>PL001.</v>
          </cell>
          <cell r="AE2" t="str">
            <v>PL010.</v>
          </cell>
          <cell r="AF2" t="str">
            <v>PL020.</v>
          </cell>
          <cell r="AG2" t="str">
            <v>PL030.</v>
          </cell>
          <cell r="AH2" t="str">
            <v>PW001.</v>
          </cell>
          <cell r="AI2" t="str">
            <v>RDP001.</v>
          </cell>
          <cell r="AJ2" t="str">
            <v>SR099.</v>
          </cell>
          <cell r="AK2" t="str">
            <v>N/A</v>
          </cell>
          <cell r="AL2" t="str">
            <v>See Comment</v>
          </cell>
        </row>
      </sheetData>
      <sheetData sheetId="4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cel Forecast"/>
      <sheetName val="Flow v3.6"/>
      <sheetName val="Flow Week v1.6"/>
      <sheetName val="Flow Private"/>
      <sheetName val="Flow Public"/>
      <sheetName val="Proj Sum Priv_Pub"/>
      <sheetName val="Trend Sum All Priv_Pub"/>
      <sheetName val="Flow"/>
      <sheetName val="Flow v3"/>
      <sheetName val="Delivered to DB - FvsAvsP - OLD"/>
      <sheetName val="ROW Pipeline v4.3"/>
      <sheetName val="RON Summary Status v2"/>
      <sheetName val="OP Counts v2"/>
      <sheetName val="ExSumWorDoc v3"/>
      <sheetName val="CP1C Certification Report (2)"/>
      <sheetName val="Exceptions by Firm OLD (2)"/>
      <sheetName val="Funding Forecast OLD"/>
      <sheetName val="ROW Litigation2 (2)"/>
      <sheetName val="Early Bridge Starts (2)"/>
      <sheetName val="CP1AB Certification Report v2"/>
      <sheetName val="Counts By TO (2)"/>
      <sheetName val="Project Sum F&amp;A"/>
      <sheetName val="Schedule Month"/>
      <sheetName val="Schedule Q"/>
      <sheetName val="Schedule Q (2)"/>
      <sheetName val="Project Sum Status"/>
      <sheetName val="Planned v Forecast"/>
      <sheetName val="Planned v Forecast_v2"/>
      <sheetName val="Firm Old"/>
      <sheetName val="Firm"/>
      <sheetName val="Metric Old"/>
      <sheetName val="Metric old 2"/>
      <sheetName val="Metric"/>
      <sheetName val="Trend Sum All"/>
      <sheetName val="CP1AB Summary (2)"/>
      <sheetName val="CP1C Summary (2)"/>
      <sheetName val="CP2-3 Summary (2)"/>
      <sheetName val="CP4A Summary (2)"/>
      <sheetName val="CP4B Summary (2)"/>
      <sheetName val="CP1AB Summary_Old"/>
      <sheetName val="CP1AB Summary"/>
      <sheetName val="Trend CP1AB"/>
      <sheetName val="CP1C Summary_Old"/>
      <sheetName val="CP1C Summary"/>
      <sheetName val="Trend CP1C"/>
      <sheetName val="CP2-3 Summary_Old"/>
      <sheetName val="CP2-3 Summary"/>
      <sheetName val="Trend CP2-3"/>
      <sheetName val="CP4 Summary_Old"/>
      <sheetName val="CP4A Summary"/>
      <sheetName val="Trend CP4A"/>
      <sheetName val="CP4B Summary"/>
      <sheetName val="Trend CP4B"/>
      <sheetName val="Counts By Date Old"/>
      <sheetName val="Counts By Date"/>
      <sheetName val="Counts By TO"/>
      <sheetName val="Count By Group"/>
      <sheetName val="Cert Parcel Counts OLD"/>
      <sheetName val="Cert Parcel Counts v2"/>
      <sheetName val="Parcel Month"/>
      <sheetName val="Parcel Month - PvsA"/>
      <sheetName val="Parcel Month - PvsA v2"/>
      <sheetName val="Parcel Month - PvsA_V2_OLD"/>
      <sheetName val="Delivered to DB - PvsA"/>
      <sheetName val="Delivered to DB - PvsA v2"/>
      <sheetName val="Parcel Month - FvsA"/>
      <sheetName val="Parcel Month - FvsA v2"/>
      <sheetName val="Delivered to DB - FvsA"/>
      <sheetName val="Delivered to DB - FvsA v2"/>
      <sheetName val="Delivered to DB"/>
      <sheetName val="Delivered to DB v2"/>
      <sheetName val="Pending Poss_RON_All"/>
      <sheetName val="PendPoss by ROWC OLD2"/>
      <sheetName val="PendPoss by ROWC OLD"/>
      <sheetName val="PendPoss by ROWC"/>
      <sheetName val="PWB RONs"/>
      <sheetName val="PWB RONv2"/>
      <sheetName val="Late RON OLD2"/>
      <sheetName val="Late RON OLD"/>
      <sheetName val="Late RON"/>
      <sheetName val="Ball In Court"/>
      <sheetName val="Ball In Court_V2"/>
      <sheetName val="Ball In Court_Per Parcel"/>
      <sheetName val="Contractor BIC OLD2"/>
      <sheetName val="Contractor BIC"/>
      <sheetName val="ROW Pipeline"/>
      <sheetName val="ROW Pipeline v2"/>
      <sheetName val="ROW Pipeline v3"/>
      <sheetName val="ROW Pipeline v4"/>
      <sheetName val="ROW Pipeline v4.2"/>
      <sheetName val="ROW Pipeline v4.2_TEMPLATE"/>
      <sheetName val="Pipeline Trend v4.2"/>
      <sheetName val="Pipeline Trendv3"/>
      <sheetName val="Pipeline Trend"/>
      <sheetName val="RON Summary Status"/>
      <sheetName val="RON Summary Status_V2 OLD"/>
      <sheetName val="RON Summary old"/>
      <sheetName val="RON Summary Status Old 2"/>
      <sheetName val="Potential RONs"/>
      <sheetName val="Durations"/>
      <sheetName val="Durations v2"/>
      <sheetName val="Accomplishments"/>
      <sheetName val="Early Bridge Starts"/>
      <sheetName val="CP1AB Certification Report"/>
      <sheetName val="CP1AB Status to DB-P1 &amp; Struct"/>
      <sheetName val="CP1AB Status to DB"/>
      <sheetName val="CP1C Certification Report"/>
      <sheetName val="Acq Plan CP1C"/>
      <sheetName val="CP1C Status to DB"/>
      <sheetName val="CP2-3 Certification Report"/>
      <sheetName val="CP2-3 Status to DB-P1 &amp; Struct"/>
      <sheetName val="Acq Plan CP2-3"/>
      <sheetName val="CP2-3 Status to DB"/>
      <sheetName val="CP4A Certification Report"/>
      <sheetName val="CP4A Status to DB-P1 &amp; Struct"/>
      <sheetName val="CP4A Status to DB"/>
      <sheetName val="CP4B Certification Report"/>
      <sheetName val="CP4B Status to DB-P1 &amp; Struct"/>
      <sheetName val="Exceptions by Firm OLD2"/>
      <sheetName val="Exceptions by Firm old"/>
      <sheetName val="Exceptions by Firm"/>
      <sheetName val="RON Status"/>
      <sheetName val="Parcel Scope Data"/>
      <sheetName val="Suit Filing CP 50%"/>
      <sheetName val="Suit Filing CP 50% v2"/>
      <sheetName val="Suit Filing County 50%"/>
      <sheetName val="Suit Filing County 50% v2"/>
      <sheetName val="Suit Filing CP 75%"/>
      <sheetName val="Suit Filing CP 75% v2"/>
      <sheetName val="Suit Filing County 75%"/>
      <sheetName val="Suit Filing County 75% v2"/>
      <sheetName val="Condemn Dep"/>
      <sheetName val="Data"/>
      <sheetName val="Field Key"/>
      <sheetName val="ExpendituresDetail"/>
      <sheetName val="GIS Report"/>
      <sheetName val="GIS Report v2"/>
      <sheetName val="Counts By CP"/>
      <sheetName val="ROW Cost Data"/>
      <sheetName val="CP1AB Funding Sum"/>
      <sheetName val="ROW Funding FvsA"/>
      <sheetName val="ExSumWorDoc"/>
      <sheetName val="ExSumWorDoc_Old"/>
      <sheetName val="ROW Litigation1"/>
      <sheetName val="ROW Litigation2"/>
      <sheetName val="ROW Litigation1 (2)"/>
      <sheetName val="GIS Report (2)"/>
      <sheetName val="ExSumWorDoc v2"/>
      <sheetName val="Count By Group (2)"/>
      <sheetName val="CP1AB Certification Report (2)"/>
      <sheetName val="RON Status (2)"/>
      <sheetName val="Funding Forecast v2"/>
      <sheetName val="Flow v3.1"/>
      <sheetName val="Flow Week v1.1"/>
      <sheetName val="Durations (2)"/>
      <sheetName val="Suit Filing County 50% v2 (2)"/>
      <sheetName val="Suit Filing County 75% v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4">
          <cell r="C4">
            <v>42090</v>
          </cell>
        </row>
      </sheetData>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11">
          <cell r="B11" t="str">
            <v>CP1AB</v>
          </cell>
        </row>
      </sheetData>
      <sheetData sheetId="133">
        <row r="2">
          <cell r="A2" t="str">
            <v>A</v>
          </cell>
        </row>
      </sheetData>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 Summary"/>
      <sheetName val="Summary"/>
      <sheetName val="Summary Detail v3"/>
      <sheetName val="Summary Detail v2"/>
      <sheetName val="Summary Detail"/>
      <sheetName val="High"/>
      <sheetName val="Medium"/>
      <sheetName val="Low"/>
      <sheetName val="CPCA Costs v2"/>
      <sheetName val="CPCA Costs"/>
      <sheetName val="Dropdown List"/>
      <sheetName val="Sheet1"/>
      <sheetName val="Forecast for KPMG"/>
    </sheetNames>
    <sheetDataSet>
      <sheetData sheetId="0"/>
      <sheetData sheetId="1"/>
      <sheetData sheetId="2"/>
      <sheetData sheetId="3">
        <row r="5">
          <cell r="Q5">
            <v>196507.3</v>
          </cell>
        </row>
      </sheetData>
      <sheetData sheetId="4"/>
      <sheetData sheetId="5">
        <row r="39">
          <cell r="F39">
            <v>657955</v>
          </cell>
        </row>
      </sheetData>
      <sheetData sheetId="6">
        <row r="39">
          <cell r="F39">
            <v>657955</v>
          </cell>
        </row>
      </sheetData>
      <sheetData sheetId="7">
        <row r="39">
          <cell r="F39">
            <v>657955</v>
          </cell>
        </row>
      </sheetData>
      <sheetData sheetId="8"/>
      <sheetData sheetId="9"/>
      <sheetData sheetId="10">
        <row r="2">
          <cell r="A2" t="str">
            <v>High</v>
          </cell>
        </row>
        <row r="3">
          <cell r="A3" t="str">
            <v>Medium</v>
          </cell>
        </row>
        <row r="4">
          <cell r="A4" t="str">
            <v>Low</v>
          </cell>
        </row>
      </sheetData>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sk 1 Subtask Rollup"/>
      <sheetName val="Task 1 Total"/>
      <sheetName val="PB"/>
      <sheetName val="Cordoba"/>
      <sheetName val="ATC"/>
      <sheetName val="Turner"/>
      <sheetName val="SCSolutions"/>
      <sheetName val="Kleinfelder"/>
      <sheetName val="Lucas"/>
      <sheetName val="Paragon"/>
      <sheetName val="Cambridge"/>
      <sheetName val="Townsend"/>
      <sheetName val="Classific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001">
          <cell r="BB10001" t="str">
            <v>Adm 1</v>
          </cell>
        </row>
        <row r="10002">
          <cell r="BB10002" t="str">
            <v>Adm 2</v>
          </cell>
        </row>
        <row r="10003">
          <cell r="BB10003" t="str">
            <v>Adm 3</v>
          </cell>
        </row>
        <row r="10004">
          <cell r="BB10004" t="str">
            <v>Apsr</v>
          </cell>
        </row>
        <row r="10005">
          <cell r="BB10005" t="str">
            <v>Arch 1</v>
          </cell>
        </row>
        <row r="10006">
          <cell r="BB10006" t="str">
            <v>Arch 2</v>
          </cell>
        </row>
        <row r="10007">
          <cell r="BB10007" t="str">
            <v>Arch 3</v>
          </cell>
        </row>
        <row r="10008">
          <cell r="BB10008" t="str">
            <v>Arch Int</v>
          </cell>
        </row>
        <row r="10009">
          <cell r="BB10009" t="str">
            <v>Arch Mgr</v>
          </cell>
        </row>
        <row r="10010">
          <cell r="BB10010" t="str">
            <v>Arch Sp</v>
          </cell>
        </row>
        <row r="10011">
          <cell r="BB10011" t="str">
            <v>Clrc 1</v>
          </cell>
        </row>
        <row r="10012">
          <cell r="BB10012" t="str">
            <v>Clrc 2</v>
          </cell>
        </row>
        <row r="10013">
          <cell r="BB10013" t="str">
            <v>Clrc 3</v>
          </cell>
        </row>
        <row r="10014">
          <cell r="BB10014" t="str">
            <v>Dep Arch Mgr</v>
          </cell>
        </row>
        <row r="10015">
          <cell r="BB10015" t="str">
            <v>Dep Dir</v>
          </cell>
        </row>
        <row r="10016">
          <cell r="BB10016" t="str">
            <v>Dep Eng Mgr</v>
          </cell>
        </row>
        <row r="10017">
          <cell r="BB10017" t="str">
            <v>Dep Env Mgr</v>
          </cell>
        </row>
        <row r="10018">
          <cell r="BB10018" t="str">
            <v>Dep Land Mgr</v>
          </cell>
        </row>
        <row r="10019">
          <cell r="BB10019" t="str">
            <v>Dep Proj Mgr</v>
          </cell>
        </row>
        <row r="10020">
          <cell r="BB10020" t="str">
            <v>Des Mgr</v>
          </cell>
        </row>
        <row r="10021">
          <cell r="BB10021" t="str">
            <v>Dgnr 1</v>
          </cell>
        </row>
        <row r="10022">
          <cell r="BB10022" t="str">
            <v>Dgnr 2</v>
          </cell>
        </row>
        <row r="10023">
          <cell r="BB10023" t="str">
            <v>Dgnr 3</v>
          </cell>
        </row>
        <row r="10024">
          <cell r="BB10024" t="str">
            <v>Eng 1</v>
          </cell>
        </row>
        <row r="10025">
          <cell r="BB10025" t="str">
            <v>Eng 2</v>
          </cell>
        </row>
        <row r="10026">
          <cell r="BB10026" t="str">
            <v>Eng 3</v>
          </cell>
        </row>
        <row r="10027">
          <cell r="BB10027" t="str">
            <v>Eng Int</v>
          </cell>
        </row>
        <row r="10028">
          <cell r="BB10028" t="str">
            <v>Eng Mgr</v>
          </cell>
        </row>
        <row r="10029">
          <cell r="BB10029" t="str">
            <v>Eng Sp</v>
          </cell>
        </row>
        <row r="10030">
          <cell r="BB10030" t="str">
            <v>Eng Sup Mgr</v>
          </cell>
        </row>
        <row r="10031">
          <cell r="BB10031" t="str">
            <v>Env Int</v>
          </cell>
        </row>
        <row r="10032">
          <cell r="BB10032" t="str">
            <v>Env Mgr</v>
          </cell>
        </row>
        <row r="10033">
          <cell r="BB10033" t="str">
            <v>Env Plnr</v>
          </cell>
        </row>
        <row r="10034">
          <cell r="BB10034" t="str">
            <v>Env Sci 1</v>
          </cell>
        </row>
        <row r="10035">
          <cell r="BB10035" t="str">
            <v>Env Sci 2</v>
          </cell>
        </row>
        <row r="10036">
          <cell r="BB10036" t="str">
            <v>Env Sci 3</v>
          </cell>
        </row>
        <row r="10037">
          <cell r="BB10037" t="str">
            <v>Env Sp</v>
          </cell>
        </row>
        <row r="10038">
          <cell r="BB10038" t="str">
            <v>Land 1</v>
          </cell>
        </row>
        <row r="10039">
          <cell r="BB10039" t="str">
            <v>Land 2</v>
          </cell>
        </row>
        <row r="10040">
          <cell r="BB10040" t="str">
            <v>Land 3</v>
          </cell>
        </row>
        <row r="10041">
          <cell r="BB10041" t="str">
            <v>Land Dgnr 1</v>
          </cell>
        </row>
        <row r="10042">
          <cell r="BB10042" t="str">
            <v>Land Dgnr 2</v>
          </cell>
        </row>
        <row r="10043">
          <cell r="BB10043" t="str">
            <v>Land Dgnr 3</v>
          </cell>
        </row>
        <row r="10044">
          <cell r="BB10044" t="str">
            <v>Land Int</v>
          </cell>
        </row>
        <row r="10045">
          <cell r="BB10045" t="str">
            <v>Land Mgr</v>
          </cell>
        </row>
        <row r="10046">
          <cell r="BB10046" t="str">
            <v>Land Sp</v>
          </cell>
        </row>
        <row r="10047">
          <cell r="BB10047" t="str">
            <v>Op Mgr</v>
          </cell>
        </row>
        <row r="10048">
          <cell r="BB10048" t="str">
            <v>Prog Dir</v>
          </cell>
        </row>
        <row r="10049">
          <cell r="BB10049" t="str">
            <v>Proj Mgr</v>
          </cell>
        </row>
        <row r="10050">
          <cell r="BB10050" t="str">
            <v>R/W Agt</v>
          </cell>
        </row>
        <row r="10051">
          <cell r="BB10051" t="str">
            <v>R/W Int</v>
          </cell>
        </row>
        <row r="10052">
          <cell r="BB10052" t="str">
            <v>R/W Mgr</v>
          </cell>
        </row>
        <row r="10053">
          <cell r="BB10053" t="str">
            <v>R/W Sp</v>
          </cell>
        </row>
        <row r="10054">
          <cell r="BB10054" t="str">
            <v>Reg Env Mgr</v>
          </cell>
        </row>
        <row r="10055">
          <cell r="BB10055" t="str">
            <v>Reg Mgr</v>
          </cell>
        </row>
        <row r="10056">
          <cell r="BB10056" t="str">
            <v>Sched</v>
          </cell>
        </row>
        <row r="10057">
          <cell r="BB10057" t="str">
            <v>Sr Apsr</v>
          </cell>
        </row>
        <row r="10058">
          <cell r="BB10058" t="str">
            <v>Sr Arch</v>
          </cell>
        </row>
        <row r="10059">
          <cell r="BB10059" t="str">
            <v>Sr Eng</v>
          </cell>
        </row>
        <row r="10060">
          <cell r="BB10060" t="str">
            <v>Sr Env Plnr</v>
          </cell>
        </row>
        <row r="10061">
          <cell r="BB10061" t="str">
            <v>Sr Land</v>
          </cell>
        </row>
        <row r="10062">
          <cell r="BB10062" t="str">
            <v>Sr R/W Agt</v>
          </cell>
        </row>
        <row r="10063">
          <cell r="BB10063" t="str">
            <v>Sr Sched</v>
          </cell>
        </row>
        <row r="10064">
          <cell r="BB10064" t="str">
            <v>Sr Tech Ed</v>
          </cell>
        </row>
        <row r="10065">
          <cell r="BB10065" t="str">
            <v>Surv 1</v>
          </cell>
        </row>
        <row r="10066">
          <cell r="BB10066" t="str">
            <v>Surv 2</v>
          </cell>
        </row>
        <row r="10067">
          <cell r="BB10067" t="str">
            <v>Surv 3</v>
          </cell>
        </row>
        <row r="10068">
          <cell r="BB10068" t="str">
            <v>Tech 1</v>
          </cell>
        </row>
        <row r="10069">
          <cell r="BB10069" t="str">
            <v>Tech 2</v>
          </cell>
        </row>
        <row r="10070">
          <cell r="BB10070" t="str">
            <v>Tech 3</v>
          </cell>
        </row>
        <row r="10071">
          <cell r="BB10071" t="str">
            <v>Tech Ed</v>
          </cell>
        </row>
        <row r="10072">
          <cell r="BB10072" t="str">
            <v>Althorp</v>
          </cell>
        </row>
        <row r="10073">
          <cell r="BB10073" t="str">
            <v>Banko</v>
          </cell>
        </row>
        <row r="10074">
          <cell r="BB10074" t="str">
            <v>Buxbaum</v>
          </cell>
        </row>
        <row r="10075">
          <cell r="BB10075" t="str">
            <v>Chirco</v>
          </cell>
        </row>
        <row r="10076">
          <cell r="BB10076" t="str">
            <v>Const/Staging Mgr</v>
          </cell>
        </row>
        <row r="10077">
          <cell r="BB10077" t="str">
            <v>Daniels</v>
          </cell>
        </row>
        <row r="10078">
          <cell r="BB10078" t="str">
            <v>Dep Prog Mgr</v>
          </cell>
        </row>
        <row r="10079">
          <cell r="BB10079" t="str">
            <v>Doc Cntr Mgr</v>
          </cell>
        </row>
        <row r="10080">
          <cell r="BB10080" t="str">
            <v>Finkelstein</v>
          </cell>
        </row>
        <row r="10081">
          <cell r="BB10081" t="str">
            <v>Frankhuizen</v>
          </cell>
        </row>
        <row r="10082">
          <cell r="BB10082" t="str">
            <v xml:space="preserve">Harrison </v>
          </cell>
        </row>
        <row r="10083">
          <cell r="BB10083" t="str">
            <v>Hartley</v>
          </cell>
        </row>
        <row r="10084">
          <cell r="BB10084" t="str">
            <v>Jong</v>
          </cell>
        </row>
        <row r="10085">
          <cell r="BB10085" t="str">
            <v>Kanevskiy</v>
          </cell>
        </row>
        <row r="10086">
          <cell r="BB10086" t="str">
            <v>Kennerley</v>
          </cell>
        </row>
        <row r="10087">
          <cell r="BB10087" t="str">
            <v>Kurth</v>
          </cell>
        </row>
        <row r="10088">
          <cell r="BB10088" t="str">
            <v>Lucas Team</v>
          </cell>
        </row>
        <row r="10089">
          <cell r="BB10089" t="str">
            <v>Martinez</v>
          </cell>
        </row>
        <row r="10090">
          <cell r="BB10090" t="str">
            <v>Mazur</v>
          </cell>
        </row>
        <row r="10091">
          <cell r="BB10091" t="str">
            <v>Modeller</v>
          </cell>
        </row>
        <row r="10092">
          <cell r="BB10092" t="str">
            <v>Mosier</v>
          </cell>
        </row>
        <row r="10093">
          <cell r="BB10093" t="str">
            <v>Murphy</v>
          </cell>
        </row>
        <row r="10094">
          <cell r="BB10094" t="str">
            <v>O'Carroll</v>
          </cell>
        </row>
        <row r="10095">
          <cell r="BB10095" t="str">
            <v>Pickrell</v>
          </cell>
        </row>
        <row r="10096">
          <cell r="BB10096" t="str">
            <v>Porter</v>
          </cell>
        </row>
        <row r="10097">
          <cell r="BB10097" t="str">
            <v>Procure Mgr</v>
          </cell>
        </row>
        <row r="10098">
          <cell r="BB10098" t="str">
            <v>Prossologlou</v>
          </cell>
        </row>
        <row r="10099">
          <cell r="BB10099" t="str">
            <v>Read</v>
          </cell>
        </row>
        <row r="10100">
          <cell r="BB10100" t="str">
            <v>Reg Prog Mgr</v>
          </cell>
        </row>
        <row r="10101">
          <cell r="BB10101" t="str">
            <v>Reg Prog Mgr</v>
          </cell>
        </row>
        <row r="10102">
          <cell r="BB10102" t="str">
            <v>ROW Mgr</v>
          </cell>
        </row>
        <row r="10103">
          <cell r="BB10103" t="str">
            <v>Schmedes</v>
          </cell>
        </row>
        <row r="10104">
          <cell r="BB10104" t="str">
            <v xml:space="preserve">Scotson </v>
          </cell>
        </row>
        <row r="10105">
          <cell r="BB10105" t="str">
            <v>Smith</v>
          </cell>
        </row>
        <row r="10106">
          <cell r="BB10106" t="str">
            <v>Sr Planner</v>
          </cell>
        </row>
        <row r="10107">
          <cell r="BB10107" t="str">
            <v>Sr Prog Mgr</v>
          </cell>
        </row>
        <row r="10108">
          <cell r="BB10108" t="str">
            <v>Support</v>
          </cell>
        </row>
        <row r="10109">
          <cell r="BB10109" t="str">
            <v>Townsend</v>
          </cell>
        </row>
        <row r="10110">
          <cell r="BB10110" t="str">
            <v>Tracy</v>
          </cell>
        </row>
        <row r="10111">
          <cell r="BB10111" t="str">
            <v>Valentine</v>
          </cell>
        </row>
        <row r="10112">
          <cell r="BB10112" t="str">
            <v>West</v>
          </cell>
        </row>
        <row r="10113">
          <cell r="BB10113" t="str">
            <v>Wolf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K16" sqref="K16"/>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49" t="s">
        <v>1767</v>
      </c>
      <c r="B1" s="250"/>
      <c r="C1" s="250"/>
      <c r="D1" s="250"/>
      <c r="E1" s="250"/>
      <c r="F1" s="251"/>
    </row>
    <row r="2" spans="1:6" x14ac:dyDescent="0.3">
      <c r="A2" s="252"/>
      <c r="B2" s="253"/>
      <c r="C2" s="253"/>
      <c r="D2" s="253"/>
      <c r="E2" s="253"/>
      <c r="F2" s="254"/>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B170-52A5-4909-A823-1FEA2B7B4BF5}">
  <sheetPr>
    <tabColor theme="9" tint="0.59999389629810485"/>
    <pageSetUpPr fitToPage="1"/>
  </sheetPr>
  <dimension ref="A1:S193"/>
  <sheetViews>
    <sheetView tabSelected="1" zoomScale="70" zoomScaleNormal="70" workbookViewId="0">
      <selection activeCell="K124" sqref="K124"/>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7" t="s">
        <v>1661</v>
      </c>
      <c r="B1" s="257"/>
      <c r="C1" s="257"/>
      <c r="D1" s="257"/>
      <c r="E1" s="257"/>
      <c r="F1" s="257"/>
      <c r="G1" s="257"/>
      <c r="H1" s="257"/>
      <c r="I1" s="257"/>
      <c r="J1" s="257"/>
      <c r="K1" s="25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5" t="s">
        <v>13</v>
      </c>
      <c r="B3" s="255"/>
      <c r="C3" s="255"/>
      <c r="D3" s="255"/>
      <c r="E3" s="255"/>
      <c r="F3" s="258" t="s">
        <v>24</v>
      </c>
      <c r="G3" s="258"/>
      <c r="H3" s="258"/>
      <c r="I3" s="258"/>
    </row>
    <row r="4" spans="1:19" ht="16.5" customHeight="1" x14ac:dyDescent="0.25">
      <c r="A4" s="255" t="s">
        <v>209</v>
      </c>
      <c r="B4" s="255"/>
      <c r="C4" s="255"/>
      <c r="D4" s="255"/>
      <c r="E4" s="255"/>
      <c r="F4" s="256" t="s">
        <v>1883</v>
      </c>
      <c r="G4" s="256"/>
      <c r="H4" s="256"/>
      <c r="I4" s="256"/>
    </row>
    <row r="5" spans="1:19" ht="16.5" customHeight="1" x14ac:dyDescent="0.25">
      <c r="A5" s="255" t="s">
        <v>1640</v>
      </c>
      <c r="B5" s="255"/>
      <c r="C5" s="255"/>
      <c r="D5" s="255"/>
      <c r="E5" s="255"/>
      <c r="F5" s="256" t="s">
        <v>703</v>
      </c>
      <c r="G5" s="256"/>
      <c r="H5" s="256"/>
      <c r="I5" s="256"/>
      <c r="L5" s="39"/>
      <c r="M5" s="39"/>
      <c r="N5" s="39"/>
      <c r="O5" s="39"/>
      <c r="P5" s="39"/>
      <c r="Q5" s="39"/>
    </row>
    <row r="6" spans="1:19" ht="16.5" customHeight="1" x14ac:dyDescent="0.3">
      <c r="A6" s="255" t="s">
        <v>1683</v>
      </c>
      <c r="B6" s="255"/>
      <c r="C6" s="255"/>
      <c r="D6" s="255"/>
      <c r="E6" s="255"/>
      <c r="F6" s="259">
        <v>3228</v>
      </c>
      <c r="G6" s="259"/>
      <c r="H6" s="259"/>
      <c r="I6" s="259"/>
      <c r="L6" s="40"/>
      <c r="M6" s="40"/>
      <c r="N6" s="40"/>
      <c r="O6" s="40"/>
      <c r="P6" s="39"/>
      <c r="Q6" s="39"/>
    </row>
    <row r="7" spans="1:19" ht="16.5" customHeight="1" x14ac:dyDescent="0.3">
      <c r="A7" s="255" t="s">
        <v>3</v>
      </c>
      <c r="B7" s="255"/>
      <c r="C7" s="255"/>
      <c r="D7" s="255"/>
      <c r="E7" s="255"/>
      <c r="F7" s="259" t="s">
        <v>124</v>
      </c>
      <c r="G7" s="259"/>
      <c r="H7" s="259"/>
      <c r="I7" s="259"/>
      <c r="K7" s="96"/>
      <c r="L7" s="40"/>
      <c r="M7" s="40"/>
      <c r="N7" s="40"/>
      <c r="O7" s="40"/>
      <c r="P7" s="39"/>
      <c r="Q7" s="39"/>
    </row>
    <row r="8" spans="1:19" ht="16.5" customHeight="1" x14ac:dyDescent="0.3">
      <c r="A8" s="255" t="s">
        <v>1641</v>
      </c>
      <c r="B8" s="255"/>
      <c r="C8" s="255"/>
      <c r="D8" s="255"/>
      <c r="E8" s="255"/>
      <c r="F8" s="259" t="s">
        <v>165</v>
      </c>
      <c r="G8" s="259"/>
      <c r="H8" s="259"/>
      <c r="I8" s="259"/>
      <c r="K8" s="96"/>
      <c r="L8" s="40"/>
      <c r="M8" s="40"/>
      <c r="N8" s="40"/>
      <c r="O8" s="40"/>
      <c r="P8" s="39"/>
      <c r="Q8" s="39"/>
    </row>
    <row r="9" spans="1:19" ht="16.5" customHeight="1" x14ac:dyDescent="0.3">
      <c r="A9" s="255" t="s">
        <v>1639</v>
      </c>
      <c r="B9" s="255"/>
      <c r="C9" s="255"/>
      <c r="D9" s="255"/>
      <c r="E9" s="255"/>
      <c r="F9" s="260" t="str">
        <f>IFERROR(IF(F7="Proprietary","Proprietary Fund",VLOOKUP(F5,qryIndex02a!$A$2:$K$654,4,FALSE)),"Unidentified")</f>
        <v>TRANSPORTATION</v>
      </c>
      <c r="G9" s="260"/>
      <c r="H9" s="260"/>
      <c r="I9" s="260"/>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1" t="s">
        <v>1673</v>
      </c>
      <c r="N14" s="262"/>
      <c r="O14" s="188"/>
      <c r="P14" s="261" t="s">
        <v>1668</v>
      </c>
      <c r="Q14" s="262"/>
      <c r="R14" s="188"/>
      <c r="S14" s="222" t="s">
        <v>1669</v>
      </c>
    </row>
    <row r="15" spans="1:19" ht="16.5" customHeight="1" x14ac:dyDescent="0.3">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7">
        <f>M16</f>
        <v>0</v>
      </c>
      <c r="M16" s="196"/>
      <c r="P16" s="196"/>
      <c r="Q16" s="224"/>
      <c r="S16" s="223">
        <f t="shared" si="0"/>
        <v>0</v>
      </c>
    </row>
    <row r="17" spans="1:19" ht="16.5" customHeight="1" x14ac:dyDescent="0.3">
      <c r="A17" s="228" t="s">
        <v>1690</v>
      </c>
      <c r="B17" s="26" t="s">
        <v>183</v>
      </c>
      <c r="C17" s="26"/>
      <c r="D17" s="26"/>
      <c r="E17" s="193"/>
      <c r="F17" s="194"/>
      <c r="G17" s="194"/>
      <c r="H17" s="195"/>
      <c r="I17" s="195"/>
      <c r="J17" s="247">
        <f>M17</f>
        <v>123406</v>
      </c>
      <c r="M17" s="196">
        <v>123406</v>
      </c>
      <c r="P17" s="196">
        <v>0</v>
      </c>
      <c r="Q17" s="224"/>
      <c r="S17" s="223">
        <f t="shared" si="0"/>
        <v>-123406</v>
      </c>
    </row>
    <row r="18" spans="1:19" ht="16.5" customHeight="1" x14ac:dyDescent="0.3">
      <c r="A18" s="99"/>
      <c r="B18" s="26" t="s">
        <v>179</v>
      </c>
      <c r="C18" s="26"/>
      <c r="D18" s="26"/>
      <c r="E18" s="193"/>
      <c r="F18" s="194"/>
      <c r="G18" s="194"/>
      <c r="H18" s="195"/>
      <c r="I18" s="195"/>
      <c r="J18" s="247">
        <f>P18</f>
        <v>0</v>
      </c>
      <c r="M18" s="196">
        <v>41758</v>
      </c>
      <c r="P18" s="221">
        <f>IF(SUM($Q$21:$Q$23)&gt;SUM($P$15:$P$17),SUM($Q$21:$Q$23)-SUM($P$15:$P$17),0)</f>
        <v>0</v>
      </c>
      <c r="Q18" s="224"/>
      <c r="S18" s="223">
        <f t="shared" si="0"/>
        <v>-41758</v>
      </c>
    </row>
    <row r="19" spans="1:19" ht="16.5" customHeight="1" x14ac:dyDescent="0.3">
      <c r="A19" s="99"/>
      <c r="B19" s="26" t="s">
        <v>180</v>
      </c>
      <c r="C19" s="26"/>
      <c r="D19" s="26"/>
      <c r="E19" s="193"/>
      <c r="F19" s="194"/>
      <c r="G19" s="194"/>
      <c r="H19" s="195"/>
      <c r="I19" s="195"/>
      <c r="J19" s="247">
        <f>IF(SUM($K$21:$K$24)&gt;SUM($J$15:$J$18),SUM($K$21:$K$24)-SUM($J$15:$J$18),0)</f>
        <v>41758</v>
      </c>
      <c r="M19" s="196"/>
      <c r="P19" s="224"/>
      <c r="Q19" s="224"/>
      <c r="S19" s="223">
        <f t="shared" si="0"/>
        <v>0</v>
      </c>
    </row>
    <row r="20" spans="1:19" ht="16.5" customHeight="1" x14ac:dyDescent="0.3">
      <c r="A20" s="99"/>
      <c r="B20" s="26"/>
      <c r="C20" s="26" t="s">
        <v>188</v>
      </c>
      <c r="D20" s="26"/>
      <c r="E20" s="193"/>
      <c r="F20" s="194"/>
      <c r="G20" s="194"/>
      <c r="H20" s="195"/>
      <c r="I20" s="195"/>
      <c r="J20" s="213"/>
      <c r="K20" s="247">
        <f>N20</f>
        <v>0</v>
      </c>
      <c r="N20" s="196"/>
      <c r="P20" s="224"/>
      <c r="Q20" s="196"/>
      <c r="S20" s="223">
        <f t="shared" si="0"/>
        <v>0</v>
      </c>
    </row>
    <row r="21" spans="1:19" ht="16.5" customHeight="1" x14ac:dyDescent="0.3">
      <c r="A21" s="99"/>
      <c r="B21" s="26"/>
      <c r="C21" s="26" t="s">
        <v>185</v>
      </c>
      <c r="D21" s="26"/>
      <c r="E21" s="193"/>
      <c r="F21" s="194"/>
      <c r="G21" s="194"/>
      <c r="H21" s="195"/>
      <c r="I21" s="195"/>
      <c r="J21" s="213"/>
      <c r="K21" s="247">
        <f>N21</f>
        <v>0</v>
      </c>
      <c r="N21" s="196"/>
      <c r="P21" s="224"/>
      <c r="Q21" s="196"/>
      <c r="S21" s="223">
        <f>Q21-N21</f>
        <v>0</v>
      </c>
    </row>
    <row r="22" spans="1:19" ht="16.5" customHeight="1" x14ac:dyDescent="0.3">
      <c r="A22" s="99"/>
      <c r="B22" s="26"/>
      <c r="C22" s="26" t="s">
        <v>189</v>
      </c>
      <c r="D22" s="26"/>
      <c r="E22" s="193"/>
      <c r="F22" s="194"/>
      <c r="G22" s="194"/>
      <c r="H22" s="195"/>
      <c r="I22" s="195"/>
      <c r="J22" s="213"/>
      <c r="K22" s="247">
        <f>N22</f>
        <v>35913</v>
      </c>
      <c r="N22" s="196">
        <v>35913</v>
      </c>
      <c r="P22" s="224"/>
      <c r="Q22" s="196">
        <v>0</v>
      </c>
      <c r="S22" s="223">
        <f t="shared" ref="S22:S25" si="1">Q22-N22</f>
        <v>-35913</v>
      </c>
    </row>
    <row r="23" spans="1:19" ht="16.5" customHeight="1" x14ac:dyDescent="0.3">
      <c r="A23" s="234" t="s">
        <v>1698</v>
      </c>
      <c r="B23" s="26"/>
      <c r="C23" s="26" t="s">
        <v>184</v>
      </c>
      <c r="D23" s="26"/>
      <c r="E23" s="193"/>
      <c r="F23" s="194"/>
      <c r="G23" s="194"/>
      <c r="H23" s="195"/>
      <c r="I23" s="195"/>
      <c r="J23" s="213"/>
      <c r="K23" s="247">
        <f>N23</f>
        <v>129251</v>
      </c>
      <c r="N23" s="196">
        <v>129251</v>
      </c>
      <c r="P23" s="224"/>
      <c r="Q23" s="196">
        <v>0</v>
      </c>
      <c r="S23" s="223">
        <f t="shared" si="1"/>
        <v>-129251</v>
      </c>
    </row>
    <row r="24" spans="1:19" ht="16.5" customHeight="1" x14ac:dyDescent="0.3">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3">
      <c r="A25" s="99"/>
      <c r="B25" s="26"/>
      <c r="C25" s="26" t="s">
        <v>187</v>
      </c>
      <c r="D25" s="26"/>
      <c r="E25" s="193"/>
      <c r="F25" s="194"/>
      <c r="G25" s="194"/>
      <c r="H25" s="195"/>
      <c r="I25" s="195"/>
      <c r="J25" s="213"/>
      <c r="K25" s="247">
        <f>IF(SUM($K$21:$K$24)&lt;SUM($J$15:$J$18),-SUM($K$21:$K$24)+SUM($J$15:$J$18),0)</f>
        <v>0</v>
      </c>
      <c r="N25" s="196"/>
      <c r="P25" s="224"/>
      <c r="Q25" s="224"/>
      <c r="S25" s="223">
        <f t="shared" si="1"/>
        <v>0</v>
      </c>
    </row>
    <row r="26" spans="1:19" ht="16.5" customHeight="1" x14ac:dyDescent="0.3">
      <c r="A26" s="99"/>
      <c r="C26" s="47"/>
      <c r="D26" s="47"/>
      <c r="E26" s="47"/>
      <c r="F26" s="179"/>
      <c r="G26" s="179"/>
      <c r="H26" s="49"/>
      <c r="I26" s="49"/>
      <c r="J26" s="155">
        <f>SUM(J15:J25)</f>
        <v>165164</v>
      </c>
      <c r="K26" s="155">
        <f>SUM(K15:K25)</f>
        <v>165164</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72815</v>
      </c>
      <c r="K33" s="197"/>
    </row>
    <row r="34" spans="1:12" ht="16.5" customHeight="1" x14ac:dyDescent="0.3">
      <c r="A34" s="99"/>
      <c r="B34" s="26"/>
      <c r="C34" s="26" t="s">
        <v>1861</v>
      </c>
      <c r="D34" s="193"/>
      <c r="E34" s="193"/>
      <c r="F34" s="194"/>
      <c r="G34" s="194"/>
      <c r="H34" s="195"/>
      <c r="I34" s="195"/>
      <c r="J34" s="197"/>
      <c r="K34" s="196">
        <v>72815</v>
      </c>
    </row>
    <row r="35" spans="1:12" ht="16.5" customHeight="1" x14ac:dyDescent="0.3">
      <c r="A35" s="99"/>
      <c r="B35" s="26"/>
      <c r="C35" s="26" t="str">
        <f>IF($F$7="Proprietary","Cr: Acct 0870 - SERVICES &amp; CHARGES (MG ADJ)",VLOOKUP($F$9,'Drop Down Menus'!$F$2:$G$10,2,FALSE))</f>
        <v>Cr: Acct 0830 - TRANSPORTATION (GAAP ADJ)</v>
      </c>
      <c r="D35" s="193"/>
      <c r="E35" s="193"/>
      <c r="F35" s="194"/>
      <c r="G35" s="194"/>
      <c r="H35" s="195"/>
      <c r="I35" s="195"/>
      <c r="J35" s="197"/>
      <c r="K35" s="196">
        <v>0</v>
      </c>
    </row>
    <row r="36" spans="1:12" ht="16.5" customHeight="1" x14ac:dyDescent="0.3">
      <c r="A36" s="99"/>
      <c r="C36" s="43"/>
      <c r="D36" s="43"/>
      <c r="E36" s="43"/>
      <c r="F36" s="44"/>
      <c r="G36" s="44"/>
      <c r="H36" s="45"/>
      <c r="I36" s="45"/>
      <c r="J36" s="155">
        <f>SUM(J33:J35)</f>
        <v>72815</v>
      </c>
      <c r="K36" s="155">
        <f>SUM(K33:K35)</f>
        <v>72815</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72815</v>
      </c>
      <c r="K41" s="197"/>
    </row>
    <row r="42" spans="1:12" ht="16.5" customHeight="1" x14ac:dyDescent="0.3">
      <c r="A42" s="99"/>
      <c r="B42" s="26"/>
      <c r="C42" s="26" t="s">
        <v>198</v>
      </c>
      <c r="D42" s="193"/>
      <c r="E42" s="193"/>
      <c r="F42" s="194"/>
      <c r="G42" s="194"/>
      <c r="H42" s="195"/>
      <c r="I42" s="195"/>
      <c r="J42" s="197"/>
      <c r="K42" s="196">
        <v>72815</v>
      </c>
    </row>
    <row r="43" spans="1:12" ht="16.5" customHeight="1" x14ac:dyDescent="0.3">
      <c r="A43" s="99"/>
      <c r="B43" s="182" t="s">
        <v>1692</v>
      </c>
      <c r="C43" s="43"/>
      <c r="D43" s="43"/>
      <c r="E43" s="43"/>
      <c r="F43" s="44"/>
      <c r="G43" s="44"/>
      <c r="H43" s="45"/>
      <c r="I43" s="45"/>
      <c r="J43" s="155">
        <f>SUM(J39:J42)</f>
        <v>72815</v>
      </c>
      <c r="K43" s="155">
        <f>SUM(K39:K42)</f>
        <v>72815</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72815</v>
      </c>
      <c r="K47" s="197"/>
    </row>
    <row r="48" spans="1:12" ht="16.5" customHeight="1" x14ac:dyDescent="0.3">
      <c r="A48" s="234" t="s">
        <v>1698</v>
      </c>
      <c r="B48" s="26"/>
      <c r="C48" s="26" t="s">
        <v>184</v>
      </c>
      <c r="D48" s="193"/>
      <c r="E48" s="193"/>
      <c r="F48" s="194"/>
      <c r="G48" s="194"/>
      <c r="H48" s="195"/>
      <c r="I48" s="195"/>
      <c r="J48" s="197"/>
      <c r="K48" s="196">
        <v>72815</v>
      </c>
    </row>
    <row r="49" spans="1:16" ht="16.5" customHeight="1" x14ac:dyDescent="0.3">
      <c r="A49" s="99"/>
      <c r="C49" s="43"/>
      <c r="D49" s="43"/>
      <c r="E49" s="43"/>
      <c r="F49" s="44"/>
      <c r="G49" s="44"/>
      <c r="H49" s="45"/>
      <c r="I49" s="45"/>
      <c r="J49" s="155">
        <f>SUM(J47:J48)</f>
        <v>72815</v>
      </c>
      <c r="K49" s="155">
        <f>SUM(K47:K48)</f>
        <v>72815</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202571</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202571</v>
      </c>
    </row>
    <row r="59" spans="1:16" ht="16.5" customHeight="1" x14ac:dyDescent="0.3">
      <c r="A59" s="99"/>
      <c r="C59" s="43"/>
      <c r="D59" s="43"/>
      <c r="E59" s="43"/>
      <c r="F59" s="44"/>
      <c r="G59" s="44"/>
      <c r="H59" s="45"/>
      <c r="I59" s="45"/>
      <c r="J59" s="155">
        <f>SUM(J55:J58)</f>
        <v>202571</v>
      </c>
      <c r="K59" s="155">
        <f>SUM(K55:K58)</f>
        <v>202571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196220</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6362</v>
      </c>
      <c r="K63" s="200"/>
    </row>
    <row r="64" spans="1:16" ht="16.5" customHeight="1" x14ac:dyDescent="0.3">
      <c r="A64" s="99"/>
      <c r="B64" s="26"/>
      <c r="C64" s="26" t="str">
        <f>IF($F$7="Proprietary","Cr: Acct 0870 - SERVICES &amp; CHARGES (MG ADJ)",VLOOKUP($F$9,'Drop Down Menus'!$F$2:$G$10,2,FALSE))</f>
        <v>Cr: Acct 0830 - TRANSPORTATION (GAAP ADJ)</v>
      </c>
      <c r="D64" s="193"/>
      <c r="E64" s="193"/>
      <c r="F64" s="194"/>
      <c r="G64" s="194"/>
      <c r="H64" s="195"/>
      <c r="I64" s="195"/>
      <c r="J64" s="200"/>
      <c r="K64" s="196">
        <v>202582</v>
      </c>
    </row>
    <row r="65" spans="1:12" ht="16.5" customHeight="1" x14ac:dyDescent="0.3">
      <c r="A65" s="99"/>
      <c r="C65" s="43"/>
      <c r="D65" s="43"/>
      <c r="E65" s="43"/>
      <c r="F65" s="44"/>
      <c r="G65" s="44"/>
      <c r="H65" s="45"/>
      <c r="I65" s="45"/>
      <c r="J65" s="155">
        <f>SUM(J62:J64)</f>
        <v>202582</v>
      </c>
      <c r="K65" s="155">
        <f>SUM(K62:K64)</f>
        <v>202582</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196220</v>
      </c>
      <c r="K68" s="197"/>
    </row>
    <row r="69" spans="1:12" ht="16.5" customHeight="1" x14ac:dyDescent="0.3">
      <c r="A69" s="99"/>
      <c r="B69" s="26"/>
      <c r="C69" s="26" t="s">
        <v>203</v>
      </c>
      <c r="D69" s="193"/>
      <c r="E69" s="193"/>
      <c r="F69" s="194"/>
      <c r="G69" s="194"/>
      <c r="H69" s="195"/>
      <c r="I69" s="195"/>
      <c r="J69" s="197"/>
      <c r="K69" s="196">
        <v>196220</v>
      </c>
    </row>
    <row r="70" spans="1:12" ht="16.5" customHeight="1" x14ac:dyDescent="0.3">
      <c r="A70" s="99"/>
      <c r="C70" s="43"/>
      <c r="D70" s="43"/>
      <c r="E70" s="43"/>
      <c r="F70" s="44"/>
      <c r="G70" s="44"/>
      <c r="H70" s="45"/>
      <c r="I70" s="45"/>
      <c r="J70" s="155">
        <f>SUM(J68:J69)</f>
        <v>196220</v>
      </c>
      <c r="K70" s="155">
        <f>SUM(K68:K69)</f>
        <v>196220</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72815</v>
      </c>
      <c r="K75" s="197"/>
    </row>
    <row r="76" spans="1:12" ht="16.5" customHeight="1" x14ac:dyDescent="0.3">
      <c r="A76" s="99"/>
      <c r="B76" s="26"/>
      <c r="C76" s="26" t="s">
        <v>211</v>
      </c>
      <c r="D76" s="193"/>
      <c r="E76" s="193"/>
      <c r="F76" s="194"/>
      <c r="G76" s="194"/>
      <c r="H76" s="195"/>
      <c r="I76" s="195"/>
      <c r="J76" s="197"/>
      <c r="K76" s="196">
        <v>72815</v>
      </c>
    </row>
    <row r="77" spans="1:12" ht="16.5" customHeight="1" x14ac:dyDescent="0.25">
      <c r="A77" s="99"/>
      <c r="B77" s="263" t="s">
        <v>1841</v>
      </c>
      <c r="C77" s="263"/>
      <c r="D77" s="263"/>
      <c r="E77" s="263"/>
      <c r="F77" s="263"/>
      <c r="G77" s="263"/>
      <c r="H77" s="263"/>
      <c r="I77" s="263"/>
      <c r="J77" s="155">
        <f>SUM(J75:J76)</f>
        <v>72815</v>
      </c>
      <c r="K77" s="155">
        <f>SUM(K75:K76)</f>
        <v>72815</v>
      </c>
      <c r="L77" s="21" t="str">
        <f>IF(J77=K77,"&lt;- Debits and Credits equal each other.","&lt;- Debits and Credits do not equal each other.")</f>
        <v>&lt;- Debits and Credits equal each other.</v>
      </c>
    </row>
    <row r="78" spans="1:12" ht="16.5" customHeight="1" x14ac:dyDescent="0.25">
      <c r="A78" s="99"/>
      <c r="B78" s="263"/>
      <c r="C78" s="263"/>
      <c r="D78" s="263"/>
      <c r="E78" s="263"/>
      <c r="F78" s="263"/>
      <c r="G78" s="263"/>
      <c r="H78" s="263"/>
      <c r="I78" s="263"/>
      <c r="J78" s="155"/>
      <c r="K78" s="155"/>
      <c r="L78" s="21"/>
    </row>
    <row r="79" spans="1:12" ht="24.6" customHeight="1" x14ac:dyDescent="0.25">
      <c r="A79" s="99"/>
      <c r="B79" s="263"/>
      <c r="C79" s="263"/>
      <c r="D79" s="263"/>
      <c r="E79" s="263"/>
      <c r="F79" s="263"/>
      <c r="G79" s="263"/>
      <c r="H79" s="263"/>
      <c r="I79" s="263"/>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v>80933</v>
      </c>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v>80933</v>
      </c>
    </row>
    <row r="91" spans="1:16" ht="16.5" customHeight="1" x14ac:dyDescent="0.3">
      <c r="B91" s="182" t="s">
        <v>1693</v>
      </c>
      <c r="H91" s="37"/>
      <c r="J91" s="156">
        <f>SUM(J85:J90)</f>
        <v>80933</v>
      </c>
      <c r="K91" s="156">
        <f>SUM(K85:K90)</f>
        <v>80933</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115288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-157551</v>
      </c>
    </row>
    <row r="128" spans="1:12" ht="16.5" customHeight="1" x14ac:dyDescent="0.3">
      <c r="D128" s="193" t="s">
        <v>1709</v>
      </c>
      <c r="H128" s="37"/>
      <c r="K128" s="238">
        <f>-K23-K48+J68+J75+J96-K113</f>
        <v>66969</v>
      </c>
    </row>
    <row r="129" spans="4:11" ht="16.5" customHeight="1" x14ac:dyDescent="0.3">
      <c r="D129" s="193" t="s">
        <v>1710</v>
      </c>
      <c r="H129" s="37"/>
      <c r="K129" s="238">
        <f>-K76</f>
        <v>-72815</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5297FC43-FCC3-40B2-A772-AB705F044A5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2A69B6B-D309-4EAB-9148-D511D829B2E0}">
      <formula1>0</formula1>
    </dataValidation>
    <dataValidation operator="lessThan" allowBlank="1" showInputMessage="1" showErrorMessage="1" sqref="A3:A8" xr:uid="{431E3CDF-7ACA-45AE-B98A-13E24CE5A89D}"/>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780AE65-3C36-49F7-96EE-F9C05BBF9ADD}">
          <x14:formula1>
            <xm:f>'Drop Down Menus'!$E$1:$E$3</xm:f>
          </x14:formula1>
          <xm:sqref>F8</xm:sqref>
        </x14:dataValidation>
        <x14:dataValidation type="list" allowBlank="1" showInputMessage="1" showErrorMessage="1" xr:uid="{E8F50FE3-C8DC-4441-B02D-8B50E0054955}">
          <x14:formula1>
            <xm:f>'Drop Down Menus'!$B$1:$B$2</xm:f>
          </x14:formula1>
          <xm:sqref>F7</xm:sqref>
        </x14:dataValidation>
        <x14:dataValidation type="list" allowBlank="1" showInputMessage="1" showErrorMessage="1" xr:uid="{EE035065-7322-4798-87A8-102B887AF26A}">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K128" sqref="K128:K129"/>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7" t="s">
        <v>1661</v>
      </c>
      <c r="B1" s="257"/>
      <c r="C1" s="257"/>
      <c r="D1" s="257"/>
      <c r="E1" s="257"/>
      <c r="F1" s="257"/>
      <c r="G1" s="257"/>
      <c r="H1" s="257"/>
      <c r="I1" s="257"/>
      <c r="J1" s="257"/>
      <c r="K1" s="25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5" t="s">
        <v>13</v>
      </c>
      <c r="B3" s="255"/>
      <c r="C3" s="255"/>
      <c r="D3" s="255"/>
      <c r="E3" s="255"/>
      <c r="F3" s="258" t="s">
        <v>24</v>
      </c>
      <c r="G3" s="258"/>
      <c r="H3" s="258"/>
      <c r="I3" s="258"/>
    </row>
    <row r="4" spans="1:19" ht="16.5" customHeight="1" x14ac:dyDescent="0.25">
      <c r="A4" s="255" t="s">
        <v>209</v>
      </c>
      <c r="B4" s="255"/>
      <c r="C4" s="255"/>
      <c r="D4" s="255"/>
      <c r="E4" s="255"/>
      <c r="F4" s="256" t="s">
        <v>1883</v>
      </c>
      <c r="G4" s="256"/>
      <c r="H4" s="256"/>
      <c r="I4" s="256"/>
    </row>
    <row r="5" spans="1:19" ht="16.5" customHeight="1" x14ac:dyDescent="0.25">
      <c r="A5" s="255" t="s">
        <v>1640</v>
      </c>
      <c r="B5" s="255"/>
      <c r="C5" s="255"/>
      <c r="D5" s="255"/>
      <c r="E5" s="255"/>
      <c r="F5" s="256" t="s">
        <v>703</v>
      </c>
      <c r="G5" s="256"/>
      <c r="H5" s="256"/>
      <c r="I5" s="256"/>
      <c r="L5" s="39"/>
      <c r="M5" s="39"/>
      <c r="N5" s="39"/>
      <c r="O5" s="39"/>
      <c r="P5" s="39"/>
      <c r="Q5" s="39"/>
    </row>
    <row r="6" spans="1:19" ht="16.5" customHeight="1" x14ac:dyDescent="0.3">
      <c r="A6" s="255" t="s">
        <v>1683</v>
      </c>
      <c r="B6" s="255"/>
      <c r="C6" s="255"/>
      <c r="D6" s="255"/>
      <c r="E6" s="255"/>
      <c r="F6" s="259">
        <v>6043</v>
      </c>
      <c r="G6" s="259"/>
      <c r="H6" s="259"/>
      <c r="I6" s="259"/>
      <c r="L6" s="40"/>
      <c r="M6" s="40"/>
      <c r="N6" s="40"/>
      <c r="O6" s="40"/>
      <c r="P6" s="39"/>
      <c r="Q6" s="39"/>
    </row>
    <row r="7" spans="1:19" ht="16.5" customHeight="1" x14ac:dyDescent="0.3">
      <c r="A7" s="255" t="s">
        <v>3</v>
      </c>
      <c r="B7" s="255"/>
      <c r="C7" s="255"/>
      <c r="D7" s="255"/>
      <c r="E7" s="255"/>
      <c r="F7" s="259" t="s">
        <v>124</v>
      </c>
      <c r="G7" s="259"/>
      <c r="H7" s="259"/>
      <c r="I7" s="259"/>
      <c r="K7" s="96"/>
      <c r="L7" s="40"/>
      <c r="M7" s="40"/>
      <c r="N7" s="40"/>
      <c r="O7" s="40"/>
      <c r="P7" s="39"/>
      <c r="Q7" s="39"/>
    </row>
    <row r="8" spans="1:19" ht="16.5" customHeight="1" x14ac:dyDescent="0.3">
      <c r="A8" s="255" t="s">
        <v>1641</v>
      </c>
      <c r="B8" s="255"/>
      <c r="C8" s="255"/>
      <c r="D8" s="255"/>
      <c r="E8" s="255"/>
      <c r="F8" s="259" t="s">
        <v>165</v>
      </c>
      <c r="G8" s="259"/>
      <c r="H8" s="259"/>
      <c r="I8" s="259"/>
      <c r="K8" s="96"/>
      <c r="L8" s="40"/>
      <c r="M8" s="40"/>
      <c r="N8" s="40"/>
      <c r="O8" s="40"/>
      <c r="P8" s="39"/>
      <c r="Q8" s="39"/>
    </row>
    <row r="9" spans="1:19" ht="16.5" customHeight="1" x14ac:dyDescent="0.3">
      <c r="A9" s="255" t="s">
        <v>1639</v>
      </c>
      <c r="B9" s="255"/>
      <c r="C9" s="255"/>
      <c r="D9" s="255"/>
      <c r="E9" s="255"/>
      <c r="F9" s="260" t="str">
        <f>IFERROR(IF(F7="Proprietary","Proprietary Fund",VLOOKUP(F5,qryIndex02a!$A$2:$K$654,4,FALSE)),"Unidentified")</f>
        <v>TRANSPORTATION</v>
      </c>
      <c r="G9" s="260"/>
      <c r="H9" s="260"/>
      <c r="I9" s="260"/>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1" t="s">
        <v>1673</v>
      </c>
      <c r="N14" s="262"/>
      <c r="O14" s="188"/>
      <c r="P14" s="261" t="s">
        <v>1668</v>
      </c>
      <c r="Q14" s="262"/>
      <c r="R14" s="188"/>
      <c r="S14" s="222" t="s">
        <v>1669</v>
      </c>
    </row>
    <row r="15" spans="1:19" ht="16.5" customHeight="1" x14ac:dyDescent="0.3">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7">
        <f>M16</f>
        <v>0</v>
      </c>
      <c r="M16" s="196"/>
      <c r="P16" s="196"/>
      <c r="Q16" s="224"/>
      <c r="S16" s="223">
        <f t="shared" si="0"/>
        <v>0</v>
      </c>
    </row>
    <row r="17" spans="1:19" ht="16.5" customHeight="1" x14ac:dyDescent="0.3">
      <c r="A17" s="228" t="s">
        <v>1690</v>
      </c>
      <c r="B17" s="26" t="s">
        <v>183</v>
      </c>
      <c r="C17" s="26"/>
      <c r="D17" s="26"/>
      <c r="E17" s="193"/>
      <c r="F17" s="194"/>
      <c r="G17" s="194"/>
      <c r="H17" s="195"/>
      <c r="I17" s="195"/>
      <c r="J17" s="247">
        <f>M17</f>
        <v>4257832</v>
      </c>
      <c r="M17" s="196">
        <v>4257832</v>
      </c>
      <c r="P17" s="196">
        <v>4381238</v>
      </c>
      <c r="Q17" s="224"/>
      <c r="S17" s="223">
        <f t="shared" si="0"/>
        <v>123406</v>
      </c>
    </row>
    <row r="18" spans="1:19" ht="16.5" customHeight="1" x14ac:dyDescent="0.3">
      <c r="A18" s="99"/>
      <c r="B18" s="26" t="s">
        <v>179</v>
      </c>
      <c r="C18" s="26"/>
      <c r="D18" s="26"/>
      <c r="E18" s="193"/>
      <c r="F18" s="194"/>
      <c r="G18" s="194"/>
      <c r="H18" s="195"/>
      <c r="I18" s="195"/>
      <c r="J18" s="247">
        <f>P18</f>
        <v>50983</v>
      </c>
      <c r="M18" s="196">
        <v>9225</v>
      </c>
      <c r="P18" s="221">
        <f>IF(SUM($Q$21:$Q$23)&gt;SUM($P$15:$P$17),SUM($Q$21:$Q$23)-SUM($P$15:$P$17),0)</f>
        <v>50983</v>
      </c>
      <c r="Q18" s="224"/>
      <c r="S18" s="223">
        <f t="shared" si="0"/>
        <v>41758</v>
      </c>
    </row>
    <row r="19" spans="1:19" ht="16.5" customHeight="1" x14ac:dyDescent="0.3">
      <c r="A19" s="99"/>
      <c r="B19" s="26" t="s">
        <v>180</v>
      </c>
      <c r="C19" s="26"/>
      <c r="D19" s="26"/>
      <c r="E19" s="193"/>
      <c r="F19" s="194"/>
      <c r="G19" s="194"/>
      <c r="H19" s="195"/>
      <c r="I19" s="195"/>
      <c r="J19" s="247">
        <f>IF(SUM($K$21:$K$24)&gt;SUM($J$15:$J$18),SUM($K$21:$K$24)-SUM($J$15:$J$18),0)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7">
        <f>N20</f>
        <v>0</v>
      </c>
      <c r="N20" s="196"/>
      <c r="P20" s="224"/>
      <c r="Q20" s="196"/>
      <c r="S20" s="223">
        <f t="shared" si="0"/>
        <v>0</v>
      </c>
    </row>
    <row r="21" spans="1:19" ht="16.5" customHeight="1" x14ac:dyDescent="0.3">
      <c r="A21" s="99"/>
      <c r="B21" s="26"/>
      <c r="C21" s="26" t="s">
        <v>185</v>
      </c>
      <c r="D21" s="26"/>
      <c r="E21" s="193"/>
      <c r="F21" s="194"/>
      <c r="G21" s="194"/>
      <c r="H21" s="195"/>
      <c r="I21" s="195"/>
      <c r="J21" s="213"/>
      <c r="K21" s="247">
        <f>N21</f>
        <v>0</v>
      </c>
      <c r="N21" s="196"/>
      <c r="P21" s="224"/>
      <c r="Q21" s="196"/>
      <c r="S21" s="223">
        <f>Q21-N21</f>
        <v>0</v>
      </c>
    </row>
    <row r="22" spans="1:19" ht="16.5" customHeight="1" x14ac:dyDescent="0.3">
      <c r="A22" s="99"/>
      <c r="B22" s="26"/>
      <c r="C22" s="26" t="s">
        <v>189</v>
      </c>
      <c r="D22" s="26"/>
      <c r="E22" s="193"/>
      <c r="F22" s="194"/>
      <c r="G22" s="194"/>
      <c r="H22" s="195"/>
      <c r="I22" s="195"/>
      <c r="J22" s="213"/>
      <c r="K22" s="247">
        <f>N22</f>
        <v>1239093</v>
      </c>
      <c r="N22" s="196">
        <v>1239093</v>
      </c>
      <c r="P22" s="224"/>
      <c r="Q22" s="196">
        <v>1275006</v>
      </c>
      <c r="S22" s="223">
        <f t="shared" ref="S22:S25" si="1">Q22-N22</f>
        <v>35913</v>
      </c>
    </row>
    <row r="23" spans="1:19" ht="16.5" customHeight="1" x14ac:dyDescent="0.3">
      <c r="A23" s="234" t="s">
        <v>1698</v>
      </c>
      <c r="B23" s="26"/>
      <c r="C23" s="26" t="s">
        <v>184</v>
      </c>
      <c r="D23" s="26"/>
      <c r="E23" s="193"/>
      <c r="F23" s="194"/>
      <c r="G23" s="194"/>
      <c r="H23" s="195"/>
      <c r="I23" s="195"/>
      <c r="J23" s="213"/>
      <c r="K23" s="247">
        <f>N23</f>
        <v>3027964</v>
      </c>
      <c r="N23" s="196">
        <v>3027964</v>
      </c>
      <c r="P23" s="224"/>
      <c r="Q23" s="196">
        <v>3157215</v>
      </c>
      <c r="S23" s="223">
        <f t="shared" si="1"/>
        <v>129251</v>
      </c>
    </row>
    <row r="24" spans="1:19" ht="16.5" customHeight="1" x14ac:dyDescent="0.3">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3">
      <c r="A25" s="99"/>
      <c r="B25" s="26"/>
      <c r="C25" s="26" t="s">
        <v>187</v>
      </c>
      <c r="D25" s="26"/>
      <c r="E25" s="193"/>
      <c r="F25" s="194"/>
      <c r="G25" s="194"/>
      <c r="H25" s="195"/>
      <c r="I25" s="195"/>
      <c r="J25" s="213"/>
      <c r="K25" s="247">
        <f>IF(SUM($K$21:$K$24)&lt;SUM($J$15:$J$18),-SUM($K$21:$K$24)+SUM($J$15:$J$18),0)</f>
        <v>41758</v>
      </c>
      <c r="N25" s="196"/>
      <c r="P25" s="224"/>
      <c r="Q25" s="224"/>
      <c r="S25" s="223">
        <f t="shared" si="1"/>
        <v>0</v>
      </c>
    </row>
    <row r="26" spans="1:19" ht="16.5" customHeight="1" x14ac:dyDescent="0.3">
      <c r="A26" s="99"/>
      <c r="C26" s="47"/>
      <c r="D26" s="47"/>
      <c r="E26" s="47"/>
      <c r="F26" s="179"/>
      <c r="G26" s="179"/>
      <c r="H26" s="49"/>
      <c r="I26" s="49"/>
      <c r="J26" s="155">
        <f>SUM(J15:J25)</f>
        <v>4308815</v>
      </c>
      <c r="K26" s="155">
        <f>SUM(K15:K25)</f>
        <v>4308815</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1246936</v>
      </c>
      <c r="K33" s="197"/>
    </row>
    <row r="34" spans="1:12" ht="16.5" customHeight="1" x14ac:dyDescent="0.3">
      <c r="A34" s="99"/>
      <c r="B34" s="26"/>
      <c r="C34" s="26" t="s">
        <v>1861</v>
      </c>
      <c r="D34" s="193"/>
      <c r="E34" s="193"/>
      <c r="F34" s="194"/>
      <c r="G34" s="194"/>
      <c r="H34" s="195"/>
      <c r="I34" s="195"/>
      <c r="J34" s="197"/>
      <c r="K34" s="196">
        <v>1246936</v>
      </c>
    </row>
    <row r="35" spans="1:12" ht="16.5" customHeight="1" x14ac:dyDescent="0.3">
      <c r="A35" s="99"/>
      <c r="B35" s="26"/>
      <c r="C35" s="26" t="str">
        <f>IF($F$7="Proprietary","Cr: Acct 0870 - SERVICES &amp; CHARGES (MG ADJ)",VLOOKUP($F$9,'Drop Down Menus'!$F$2:$G$10,2,FALSE))</f>
        <v>Cr: Acct 0830 - TRANSPORTATION (GAAP ADJ)</v>
      </c>
      <c r="D35" s="193"/>
      <c r="E35" s="193"/>
      <c r="F35" s="194"/>
      <c r="G35" s="194"/>
      <c r="H35" s="195"/>
      <c r="I35" s="195"/>
      <c r="J35" s="197"/>
      <c r="K35" s="196">
        <v>0</v>
      </c>
    </row>
    <row r="36" spans="1:12" ht="16.5" customHeight="1" x14ac:dyDescent="0.3">
      <c r="A36" s="99"/>
      <c r="C36" s="43"/>
      <c r="D36" s="43"/>
      <c r="E36" s="43"/>
      <c r="F36" s="44"/>
      <c r="G36" s="44"/>
      <c r="H36" s="45"/>
      <c r="I36" s="45"/>
      <c r="J36" s="155">
        <f>SUM(J33:J35)</f>
        <v>1246936</v>
      </c>
      <c r="K36" s="155">
        <f>SUM(K33:K35)</f>
        <v>1246936</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1246936</v>
      </c>
      <c r="K41" s="197"/>
    </row>
    <row r="42" spans="1:12" ht="16.5" customHeight="1" x14ac:dyDescent="0.3">
      <c r="A42" s="99"/>
      <c r="B42" s="26"/>
      <c r="C42" s="26" t="s">
        <v>198</v>
      </c>
      <c r="D42" s="193"/>
      <c r="E42" s="193"/>
      <c r="F42" s="194"/>
      <c r="G42" s="194"/>
      <c r="H42" s="195"/>
      <c r="I42" s="195"/>
      <c r="J42" s="197"/>
      <c r="K42" s="196">
        <v>1246936</v>
      </c>
    </row>
    <row r="43" spans="1:12" ht="16.5" customHeight="1" x14ac:dyDescent="0.3">
      <c r="A43" s="99"/>
      <c r="B43" s="182" t="s">
        <v>1692</v>
      </c>
      <c r="C43" s="43"/>
      <c r="D43" s="43"/>
      <c r="E43" s="43"/>
      <c r="F43" s="44"/>
      <c r="G43" s="44"/>
      <c r="H43" s="45"/>
      <c r="I43" s="45"/>
      <c r="J43" s="155">
        <f>SUM(J39:J42)</f>
        <v>1246936</v>
      </c>
      <c r="K43" s="155">
        <f>SUM(K39:K42)</f>
        <v>1246936</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1246936</v>
      </c>
      <c r="K47" s="197"/>
    </row>
    <row r="48" spans="1:12" ht="16.5" customHeight="1" x14ac:dyDescent="0.3">
      <c r="A48" s="234" t="s">
        <v>1698</v>
      </c>
      <c r="B48" s="26"/>
      <c r="C48" s="26" t="s">
        <v>184</v>
      </c>
      <c r="D48" s="193"/>
      <c r="E48" s="193"/>
      <c r="F48" s="194"/>
      <c r="G48" s="194"/>
      <c r="H48" s="195"/>
      <c r="I48" s="195"/>
      <c r="J48" s="197"/>
      <c r="K48" s="196">
        <v>1246936</v>
      </c>
    </row>
    <row r="49" spans="1:16" ht="16.5" customHeight="1" x14ac:dyDescent="0.3">
      <c r="A49" s="99"/>
      <c r="C49" s="43"/>
      <c r="D49" s="43"/>
      <c r="E49" s="43"/>
      <c r="F49" s="44"/>
      <c r="G49" s="44"/>
      <c r="H49" s="45"/>
      <c r="I49" s="45"/>
      <c r="J49" s="155">
        <f>SUM(J47:J48)</f>
        <v>1246936</v>
      </c>
      <c r="K49" s="155">
        <f>SUM(K47:K48)</f>
        <v>1246936</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1878950</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1878950</v>
      </c>
    </row>
    <row r="59" spans="1:16" ht="16.5" customHeight="1" x14ac:dyDescent="0.3">
      <c r="A59" s="99"/>
      <c r="C59" s="43"/>
      <c r="D59" s="43"/>
      <c r="E59" s="43"/>
      <c r="F59" s="44"/>
      <c r="G59" s="44"/>
      <c r="H59" s="45"/>
      <c r="I59" s="45"/>
      <c r="J59" s="155">
        <f>SUM(J55:J58)</f>
        <v>1878950</v>
      </c>
      <c r="K59" s="155">
        <f>SUM(K55:K58)</f>
        <v>1878950</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1855437</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26064</v>
      </c>
      <c r="K63" s="200"/>
    </row>
    <row r="64" spans="1:16" ht="16.5" customHeight="1" x14ac:dyDescent="0.3">
      <c r="A64" s="99"/>
      <c r="B64" s="26"/>
      <c r="C64" s="26" t="str">
        <f>IF($F$7="Proprietary","Cr: Acct 0870 - SERVICES &amp; CHARGES (MG ADJ)",VLOOKUP($F$9,'Drop Down Menus'!$F$2:$G$10,2,FALSE))</f>
        <v>Cr: Acct 0830 - TRANSPORTATION (GAAP ADJ)</v>
      </c>
      <c r="D64" s="193"/>
      <c r="E64" s="193"/>
      <c r="F64" s="194"/>
      <c r="G64" s="194"/>
      <c r="H64" s="195"/>
      <c r="I64" s="195"/>
      <c r="J64" s="200"/>
      <c r="K64" s="196">
        <v>1881501</v>
      </c>
    </row>
    <row r="65" spans="1:12" ht="16.5" customHeight="1" x14ac:dyDescent="0.3">
      <c r="A65" s="99"/>
      <c r="C65" s="43"/>
      <c r="D65" s="43"/>
      <c r="E65" s="43"/>
      <c r="F65" s="44"/>
      <c r="G65" s="44"/>
      <c r="H65" s="45"/>
      <c r="I65" s="45"/>
      <c r="J65" s="155">
        <f>SUM(J62:J64)</f>
        <v>1881501</v>
      </c>
      <c r="K65" s="155">
        <f>SUM(K62:K64)</f>
        <v>1881501</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1855437</v>
      </c>
      <c r="K68" s="197"/>
    </row>
    <row r="69" spans="1:12" ht="16.5" customHeight="1" x14ac:dyDescent="0.3">
      <c r="A69" s="99"/>
      <c r="B69" s="26"/>
      <c r="C69" s="26" t="s">
        <v>203</v>
      </c>
      <c r="D69" s="193"/>
      <c r="E69" s="193"/>
      <c r="F69" s="194"/>
      <c r="G69" s="194"/>
      <c r="H69" s="195"/>
      <c r="I69" s="195"/>
      <c r="J69" s="197"/>
      <c r="K69" s="196">
        <v>1855437</v>
      </c>
    </row>
    <row r="70" spans="1:12" ht="16.5" customHeight="1" x14ac:dyDescent="0.3">
      <c r="A70" s="99"/>
      <c r="C70" s="43"/>
      <c r="D70" s="43"/>
      <c r="E70" s="43"/>
      <c r="F70" s="44"/>
      <c r="G70" s="44"/>
      <c r="H70" s="45"/>
      <c r="I70" s="45"/>
      <c r="J70" s="155">
        <f>SUM(J68:J69)</f>
        <v>1855437</v>
      </c>
      <c r="K70" s="155">
        <f>SUM(K68:K69)</f>
        <v>1855437</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620871</v>
      </c>
      <c r="K75" s="197"/>
    </row>
    <row r="76" spans="1:12" ht="16.5" customHeight="1" x14ac:dyDescent="0.3">
      <c r="A76" s="99"/>
      <c r="B76" s="26"/>
      <c r="C76" s="26" t="s">
        <v>211</v>
      </c>
      <c r="D76" s="193"/>
      <c r="E76" s="193"/>
      <c r="F76" s="194"/>
      <c r="G76" s="194"/>
      <c r="H76" s="195"/>
      <c r="I76" s="195"/>
      <c r="J76" s="197"/>
      <c r="K76" s="196">
        <v>620871</v>
      </c>
    </row>
    <row r="77" spans="1:12" ht="16.5" customHeight="1" x14ac:dyDescent="0.25">
      <c r="A77" s="99"/>
      <c r="B77" s="263" t="s">
        <v>1841</v>
      </c>
      <c r="C77" s="263"/>
      <c r="D77" s="263"/>
      <c r="E77" s="263"/>
      <c r="F77" s="263"/>
      <c r="G77" s="263"/>
      <c r="H77" s="263"/>
      <c r="I77" s="263"/>
      <c r="J77" s="155">
        <f>SUM(J75:J76)</f>
        <v>620871</v>
      </c>
      <c r="K77" s="155">
        <f>SUM(K75:K76)</f>
        <v>620871</v>
      </c>
      <c r="L77" s="21" t="str">
        <f>IF(J77=K77,"&lt;- Debits and Credits equal each other.","&lt;- Debits and Credits do not equal each other.")</f>
        <v>&lt;- Debits and Credits equal each other.</v>
      </c>
    </row>
    <row r="78" spans="1:12" ht="16.5" customHeight="1" x14ac:dyDescent="0.25">
      <c r="A78" s="99"/>
      <c r="B78" s="263"/>
      <c r="C78" s="263"/>
      <c r="D78" s="263"/>
      <c r="E78" s="263"/>
      <c r="F78" s="263"/>
      <c r="G78" s="263"/>
      <c r="H78" s="263"/>
      <c r="I78" s="263"/>
      <c r="J78" s="155"/>
      <c r="K78" s="155"/>
      <c r="L78" s="21"/>
    </row>
    <row r="79" spans="1:12" ht="24.6" customHeight="1" x14ac:dyDescent="0.25">
      <c r="A79" s="99"/>
      <c r="B79" s="263"/>
      <c r="C79" s="263"/>
      <c r="D79" s="263"/>
      <c r="E79" s="263"/>
      <c r="F79" s="263"/>
      <c r="G79" s="263"/>
      <c r="H79" s="263"/>
      <c r="I79" s="263"/>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v>1839037</v>
      </c>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v>1839037</v>
      </c>
    </row>
    <row r="91" spans="1:16" ht="16.5" customHeight="1" x14ac:dyDescent="0.3">
      <c r="B91" s="182" t="s">
        <v>1693</v>
      </c>
      <c r="H91" s="37"/>
      <c r="J91" s="156">
        <f>SUM(J85:J90)</f>
        <v>1839037</v>
      </c>
      <c r="K91" s="156">
        <f>SUM(K85:K90)</f>
        <v>1839037</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3665731</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-1279006</v>
      </c>
    </row>
    <row r="128" spans="1:12" ht="16.5" customHeight="1" x14ac:dyDescent="0.3">
      <c r="D128" s="193" t="s">
        <v>1709</v>
      </c>
      <c r="H128" s="37"/>
      <c r="K128" s="238">
        <f>-K23-K48+J68+J75+J96-K113</f>
        <v>-1798592</v>
      </c>
    </row>
    <row r="129" spans="4:11" ht="16.5" customHeight="1" x14ac:dyDescent="0.3">
      <c r="D129" s="193" t="s">
        <v>1710</v>
      </c>
      <c r="H129" s="37"/>
      <c r="K129" s="238">
        <f>-K76</f>
        <v>-620871</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5m/HXnGOqaij6aW/iUobP0xTOKRmho+Kt+8klrl8KfKLrSbKGzJTXtjbRYVRmooY1zStD3qeKL19aQB13iqMJA==" saltValue="FZUa2JnMmHy9xNg93qJ3+w=="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80" zoomScaleNormal="80" workbookViewId="0">
      <selection activeCell="B20" sqref="B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3" t="s">
        <v>150</v>
      </c>
      <c r="B1" s="273"/>
      <c r="C1" s="273"/>
      <c r="D1" s="273"/>
      <c r="E1" s="273"/>
      <c r="F1" s="273"/>
      <c r="G1" s="5"/>
      <c r="H1" s="5"/>
      <c r="I1" s="5"/>
      <c r="J1" s="5"/>
      <c r="K1" s="5"/>
      <c r="L1" s="5"/>
      <c r="M1" s="5"/>
    </row>
    <row r="2" spans="1:13" ht="64.2" customHeight="1" x14ac:dyDescent="0.3">
      <c r="A2" s="272" t="s">
        <v>148</v>
      </c>
      <c r="B2" s="272"/>
      <c r="C2" s="272"/>
      <c r="D2" s="272"/>
      <c r="E2" s="272"/>
      <c r="F2" s="272"/>
      <c r="G2" s="5"/>
      <c r="H2" s="5"/>
      <c r="I2" s="5"/>
      <c r="J2" s="5"/>
      <c r="K2" s="5"/>
      <c r="L2" s="5"/>
      <c r="M2" s="5"/>
    </row>
    <row r="3" spans="1:13" ht="31.95" customHeight="1" x14ac:dyDescent="0.3">
      <c r="A3" s="266" t="s">
        <v>212</v>
      </c>
      <c r="B3" s="266"/>
      <c r="C3" s="266"/>
      <c r="D3" s="52"/>
      <c r="E3" s="5"/>
      <c r="F3" s="5"/>
      <c r="G3" s="5"/>
      <c r="H3" s="5"/>
      <c r="I3" s="5"/>
      <c r="J3" s="5"/>
      <c r="K3" s="5"/>
      <c r="L3" s="5"/>
      <c r="M3" s="5"/>
    </row>
    <row r="4" spans="1:13" ht="31.2" customHeight="1" x14ac:dyDescent="0.3">
      <c r="A4" s="267" t="s">
        <v>7</v>
      </c>
      <c r="B4" s="267"/>
      <c r="C4" s="267"/>
      <c r="D4" s="52"/>
      <c r="E4" s="5"/>
      <c r="F4" s="5"/>
      <c r="G4" s="5"/>
      <c r="H4" s="5"/>
      <c r="I4" s="5"/>
      <c r="J4" s="5"/>
      <c r="K4" s="5"/>
      <c r="L4" s="5"/>
      <c r="M4" s="5"/>
    </row>
    <row r="5" spans="1:13" ht="31.2" customHeight="1" x14ac:dyDescent="0.3">
      <c r="A5" s="267" t="s">
        <v>9</v>
      </c>
      <c r="B5" s="267"/>
      <c r="C5" s="267"/>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4" t="s">
        <v>24</v>
      </c>
      <c r="C8" s="274"/>
      <c r="D8" s="5"/>
      <c r="E8" s="5"/>
      <c r="F8" s="5"/>
    </row>
    <row r="9" spans="1:13" ht="15.6" x14ac:dyDescent="0.3">
      <c r="A9" s="12" t="s">
        <v>210</v>
      </c>
      <c r="B9" s="276">
        <v>2665</v>
      </c>
      <c r="C9" s="276"/>
      <c r="D9" s="5"/>
      <c r="E9" s="5"/>
      <c r="F9" s="5"/>
    </row>
    <row r="10" spans="1:13" ht="15.6" x14ac:dyDescent="0.3">
      <c r="A10" s="12" t="s">
        <v>209</v>
      </c>
      <c r="B10" s="277" t="s">
        <v>1883</v>
      </c>
      <c r="C10" s="277"/>
      <c r="D10" s="5"/>
      <c r="E10" s="5"/>
      <c r="F10" s="5"/>
      <c r="G10" s="55"/>
      <c r="H10" s="55"/>
      <c r="I10" s="55"/>
      <c r="J10" s="55"/>
      <c r="K10" s="55"/>
      <c r="L10" s="55"/>
      <c r="M10" s="55"/>
    </row>
    <row r="11" spans="1:13" ht="32.25" customHeight="1" x14ac:dyDescent="0.3">
      <c r="A11" s="278" t="s">
        <v>10</v>
      </c>
      <c r="B11" s="278"/>
      <c r="C11" s="278"/>
      <c r="D11" s="5"/>
      <c r="E11" s="5"/>
      <c r="F11" s="5"/>
      <c r="G11" s="57"/>
      <c r="H11" s="57"/>
      <c r="I11" s="57"/>
      <c r="J11" s="57"/>
      <c r="K11" s="57"/>
      <c r="L11" s="57"/>
      <c r="M11" s="57"/>
    </row>
    <row r="12" spans="1:13" ht="15" customHeight="1" x14ac:dyDescent="0.3">
      <c r="A12" s="84"/>
      <c r="B12" s="85" t="s">
        <v>11</v>
      </c>
      <c r="C12" s="85" t="s">
        <v>12</v>
      </c>
      <c r="D12" s="275" t="str">
        <f>"All of the below questions are for Fiscal Year "&amp;$B$8&amp;":"</f>
        <v>All of the below questions are for Fiscal Year 2022–2023:</v>
      </c>
      <c r="E12" s="275"/>
      <c r="F12" s="275"/>
      <c r="G12" s="57"/>
      <c r="H12" s="57"/>
      <c r="I12" s="57"/>
      <c r="J12" s="57"/>
      <c r="K12" s="57"/>
      <c r="L12" s="57"/>
      <c r="M12" s="57"/>
    </row>
    <row r="13" spans="1:13" ht="15.6" customHeight="1" x14ac:dyDescent="0.3">
      <c r="A13" s="84" t="str">
        <f>RIGHT(B8,4)&amp;"–"&amp;RIGHT(B8,4)+1</f>
        <v>2023–2024</v>
      </c>
      <c r="B13" s="100">
        <v>693686</v>
      </c>
      <c r="C13" s="100">
        <v>27566</v>
      </c>
      <c r="D13" s="269" t="s">
        <v>6</v>
      </c>
      <c r="E13" s="270"/>
      <c r="F13" s="270"/>
      <c r="G13" s="57"/>
      <c r="H13" s="57"/>
      <c r="I13" s="57"/>
      <c r="J13" s="57"/>
      <c r="K13" s="57"/>
      <c r="L13" s="57"/>
      <c r="M13" s="57"/>
    </row>
    <row r="14" spans="1:13" x14ac:dyDescent="0.25">
      <c r="A14" s="84" t="str">
        <f>LEFT(A13,4)+1&amp;"–"&amp;RIGHT(A13,4)+1</f>
        <v>2024–2025</v>
      </c>
      <c r="B14" s="100">
        <v>144026</v>
      </c>
      <c r="C14" s="100">
        <v>25077</v>
      </c>
      <c r="D14" s="269"/>
      <c r="E14" s="270"/>
      <c r="F14" s="270"/>
    </row>
    <row r="15" spans="1:13" ht="15.6" x14ac:dyDescent="0.25">
      <c r="A15" s="84" t="str">
        <f>LEFT(A14,4)+1&amp;"–"&amp;RIGHT(A14,4)+1</f>
        <v>2025–2026</v>
      </c>
      <c r="B15" s="100">
        <v>151307</v>
      </c>
      <c r="C15" s="100">
        <v>22869</v>
      </c>
      <c r="D15" s="265" t="s">
        <v>131</v>
      </c>
      <c r="E15" s="265"/>
      <c r="F15" s="265"/>
      <c r="G15" s="58"/>
      <c r="H15" s="58"/>
      <c r="I15" s="58"/>
      <c r="J15" s="58"/>
      <c r="K15" s="58"/>
      <c r="L15" s="58"/>
      <c r="M15" s="58"/>
    </row>
    <row r="16" spans="1:13" x14ac:dyDescent="0.25">
      <c r="A16" s="84" t="str">
        <f>LEFT(A15,4)+1&amp;"–"&amp;RIGHT(A15,4)+1</f>
        <v>2026–2027</v>
      </c>
      <c r="B16" s="100">
        <v>158851</v>
      </c>
      <c r="C16" s="100">
        <v>20551</v>
      </c>
      <c r="D16" s="268" t="str">
        <f>"If yes, record the dollar amount of variable payments below for fiscal year "&amp;$B$8&amp;":"</f>
        <v>If yes, record the dollar amount of variable payments below for fiscal year 2022–2023:</v>
      </c>
      <c r="E16" s="268"/>
      <c r="F16" s="268"/>
      <c r="G16" s="59"/>
      <c r="H16" s="59"/>
      <c r="I16" s="59"/>
      <c r="J16" s="59"/>
      <c r="K16" s="59"/>
    </row>
    <row r="17" spans="1:13" ht="15" customHeight="1" x14ac:dyDescent="0.25">
      <c r="A17" s="84" t="str">
        <f>LEFT(A16,4)+1&amp;"–"&amp;RIGHT(A16,4)+1</f>
        <v>2027–2028</v>
      </c>
      <c r="B17" s="100">
        <v>183224</v>
      </c>
      <c r="C17" s="100">
        <v>17911</v>
      </c>
      <c r="D17" s="265">
        <v>0</v>
      </c>
      <c r="E17" s="265"/>
      <c r="F17" s="265"/>
      <c r="G17" s="59"/>
      <c r="H17" s="59"/>
      <c r="I17" s="59"/>
      <c r="J17" s="59"/>
      <c r="K17" s="59"/>
    </row>
    <row r="18" spans="1:13" ht="15" customHeight="1" x14ac:dyDescent="0.3">
      <c r="A18" s="84" t="str">
        <f>LEFT(A17,4)+1&amp;"–"&amp;RIGHT(A17,4)+5</f>
        <v>2028–2033</v>
      </c>
      <c r="B18" s="100">
        <v>1055236</v>
      </c>
      <c r="C18" s="100">
        <v>44656</v>
      </c>
      <c r="D18" s="269" t="s">
        <v>8</v>
      </c>
      <c r="E18" s="270"/>
      <c r="F18" s="270"/>
      <c r="G18" s="57"/>
      <c r="H18" s="57"/>
      <c r="I18" s="57"/>
      <c r="J18" s="57"/>
      <c r="K18" s="57"/>
      <c r="L18" s="57"/>
      <c r="M18" s="57"/>
    </row>
    <row r="19" spans="1:13" x14ac:dyDescent="0.25">
      <c r="A19" s="84" t="str">
        <f t="shared" ref="A19:A32" si="0">LEFT(A18,4)+5&amp;"–"&amp;RIGHT(A18,4)+5</f>
        <v>2033–2038</v>
      </c>
      <c r="B19" s="100">
        <f>38978+1</f>
        <v>38979</v>
      </c>
      <c r="C19" s="100">
        <v>73</v>
      </c>
      <c r="D19" s="269"/>
      <c r="E19" s="270"/>
      <c r="F19" s="270"/>
    </row>
    <row r="20" spans="1:13" ht="15.6" x14ac:dyDescent="0.25">
      <c r="A20" s="84" t="str">
        <f t="shared" si="0"/>
        <v>2038–2043</v>
      </c>
      <c r="B20" s="100"/>
      <c r="C20" s="100"/>
      <c r="D20" s="265" t="s">
        <v>131</v>
      </c>
      <c r="E20" s="265"/>
      <c r="F20" s="265"/>
      <c r="G20" s="58"/>
      <c r="H20" s="58"/>
      <c r="I20" s="58"/>
      <c r="J20" s="58"/>
      <c r="K20" s="58"/>
      <c r="L20" s="58"/>
      <c r="M20" s="58"/>
    </row>
    <row r="21" spans="1:13" ht="15" customHeight="1" x14ac:dyDescent="0.25">
      <c r="A21" s="84" t="str">
        <f t="shared" si="0"/>
        <v>2043–2048</v>
      </c>
      <c r="B21" s="100"/>
      <c r="C21" s="100"/>
      <c r="D21" s="271" t="str">
        <f>"If yes, record the dollar amount of any payments made for residual value guarantees below for fiscal year "&amp;$B$8&amp;":"</f>
        <v>If yes, record the dollar amount of any payments made for residual value guarantees below for fiscal year 2022–2023:</v>
      </c>
      <c r="E21" s="268"/>
      <c r="F21" s="268"/>
    </row>
    <row r="22" spans="1:13" x14ac:dyDescent="0.25">
      <c r="A22" s="84" t="str">
        <f t="shared" si="0"/>
        <v>2048–2053</v>
      </c>
      <c r="B22" s="100"/>
      <c r="C22" s="100"/>
      <c r="D22" s="271"/>
      <c r="E22" s="268"/>
      <c r="F22" s="268"/>
    </row>
    <row r="23" spans="1:13" x14ac:dyDescent="0.25">
      <c r="A23" s="84" t="str">
        <f t="shared" si="0"/>
        <v>2053–2058</v>
      </c>
      <c r="B23" s="100"/>
      <c r="C23" s="100"/>
      <c r="D23" s="265">
        <v>0</v>
      </c>
      <c r="E23" s="265"/>
      <c r="F23" s="265"/>
    </row>
    <row r="24" spans="1:13" x14ac:dyDescent="0.25">
      <c r="A24" s="84" t="str">
        <f t="shared" si="0"/>
        <v>2058–2063</v>
      </c>
      <c r="B24" s="100"/>
      <c r="C24" s="100"/>
      <c r="D24" s="27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8"/>
      <c r="F24" s="268"/>
    </row>
    <row r="25" spans="1:13" ht="15" customHeight="1" x14ac:dyDescent="0.25">
      <c r="A25" s="84" t="str">
        <f t="shared" si="0"/>
        <v>2063–2068</v>
      </c>
      <c r="B25" s="100"/>
      <c r="C25" s="100"/>
      <c r="D25" s="271"/>
      <c r="E25" s="268"/>
      <c r="F25" s="268"/>
    </row>
    <row r="26" spans="1:13" x14ac:dyDescent="0.25">
      <c r="A26" s="84" t="str">
        <f t="shared" si="0"/>
        <v>2068–2073</v>
      </c>
      <c r="B26" s="100"/>
      <c r="C26" s="100"/>
      <c r="D26" s="265">
        <v>0</v>
      </c>
      <c r="E26" s="265"/>
      <c r="F26" s="265"/>
    </row>
    <row r="27" spans="1:13" ht="15" customHeight="1" x14ac:dyDescent="0.25">
      <c r="A27" s="84" t="str">
        <f t="shared" si="0"/>
        <v>2073–2078</v>
      </c>
      <c r="B27" s="100"/>
      <c r="C27" s="100"/>
      <c r="D27" s="26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0"/>
      <c r="F27" s="270"/>
    </row>
    <row r="28" spans="1:13" ht="15.6" x14ac:dyDescent="0.25">
      <c r="A28" s="84" t="str">
        <f t="shared" si="0"/>
        <v>2078–2083</v>
      </c>
      <c r="B28" s="100"/>
      <c r="C28" s="100"/>
      <c r="D28" s="269"/>
      <c r="E28" s="270"/>
      <c r="F28" s="270"/>
      <c r="G28" s="61"/>
      <c r="H28" s="61"/>
      <c r="I28" s="61"/>
      <c r="J28" s="61"/>
      <c r="K28" s="61"/>
      <c r="L28" s="61"/>
      <c r="M28" s="61"/>
    </row>
    <row r="29" spans="1:13" ht="15.6" x14ac:dyDescent="0.25">
      <c r="A29" s="84" t="str">
        <f t="shared" si="0"/>
        <v>2083–2088</v>
      </c>
      <c r="B29" s="100"/>
      <c r="C29" s="100"/>
      <c r="D29" s="265" t="s">
        <v>131</v>
      </c>
      <c r="E29" s="265"/>
      <c r="F29" s="265"/>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5" t="s">
        <v>132</v>
      </c>
      <c r="E31" s="265"/>
      <c r="F31" s="265"/>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5">
        <v>1273990.6399999999</v>
      </c>
      <c r="E33" s="265"/>
      <c r="F33" s="265"/>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64" t="str">
        <f>B8</f>
        <v>2022–2023</v>
      </c>
      <c r="C39" s="264"/>
      <c r="E39" s="60"/>
    </row>
    <row r="40" spans="1:13" ht="15.6" customHeight="1" x14ac:dyDescent="0.3">
      <c r="A40" s="12" t="s">
        <v>210</v>
      </c>
      <c r="B40" s="279">
        <f>B9</f>
        <v>2665</v>
      </c>
      <c r="C40" s="279"/>
      <c r="E40" s="60"/>
    </row>
    <row r="41" spans="1:13" ht="15.6" x14ac:dyDescent="0.3">
      <c r="A41" s="12" t="s">
        <v>209</v>
      </c>
      <c r="B41" s="264" t="str">
        <f>B10</f>
        <v>High Speed Rail Authority</v>
      </c>
      <c r="C41" s="264"/>
      <c r="E41" s="60"/>
    </row>
    <row r="42" spans="1:13" ht="32.25" customHeight="1" x14ac:dyDescent="0.3">
      <c r="A42" s="278" t="s">
        <v>10</v>
      </c>
      <c r="B42" s="278"/>
      <c r="C42" s="278"/>
      <c r="D42" s="5"/>
      <c r="E42" s="5"/>
      <c r="F42" s="5"/>
      <c r="G42" s="57"/>
      <c r="H42" s="57"/>
      <c r="I42" s="57"/>
      <c r="J42" s="57"/>
      <c r="K42" s="57"/>
      <c r="L42" s="57"/>
      <c r="M42" s="57"/>
    </row>
    <row r="43" spans="1:13" ht="15" customHeight="1" x14ac:dyDescent="0.3">
      <c r="A43" s="84"/>
      <c r="B43" s="85" t="s">
        <v>11</v>
      </c>
      <c r="C43" s="85" t="s">
        <v>12</v>
      </c>
      <c r="D43" s="275" t="str">
        <f>"All of the below questions are for Fiscal Year "&amp;$B$8&amp;":"</f>
        <v>All of the below questions are for Fiscal Year 2022–2023:</v>
      </c>
      <c r="E43" s="275"/>
      <c r="F43" s="275"/>
    </row>
    <row r="44" spans="1:13" ht="15" customHeight="1" x14ac:dyDescent="0.25">
      <c r="A44" s="84" t="str">
        <f>RIGHT(B39,4)&amp;"–"&amp;RIGHT(B39,4)+1</f>
        <v>2023–2024</v>
      </c>
      <c r="B44" s="100"/>
      <c r="C44" s="100"/>
      <c r="D44" s="269" t="s">
        <v>6</v>
      </c>
      <c r="E44" s="270"/>
      <c r="F44" s="270"/>
    </row>
    <row r="45" spans="1:13" ht="15" customHeight="1" x14ac:dyDescent="0.25">
      <c r="A45" s="84" t="str">
        <f>LEFT(A44,4)+1&amp;"–"&amp;RIGHT(A44,4)+1</f>
        <v>2024–2025</v>
      </c>
      <c r="B45" s="100"/>
      <c r="C45" s="100"/>
      <c r="D45" s="269"/>
      <c r="E45" s="270"/>
      <c r="F45" s="270"/>
    </row>
    <row r="46" spans="1:13" x14ac:dyDescent="0.25">
      <c r="A46" s="84" t="str">
        <f>LEFT(A45,4)+1&amp;"–"&amp;RIGHT(A45,4)+1</f>
        <v>2025–2026</v>
      </c>
      <c r="B46" s="100"/>
      <c r="C46" s="100"/>
      <c r="D46" s="265"/>
      <c r="E46" s="265"/>
      <c r="F46" s="265"/>
    </row>
    <row r="47" spans="1:13" ht="15" customHeight="1" x14ac:dyDescent="0.25">
      <c r="A47" s="84" t="str">
        <f>LEFT(A46,4)+1&amp;"–"&amp;RIGHT(A46,4)+1</f>
        <v>2026–2027</v>
      </c>
      <c r="B47" s="100"/>
      <c r="C47" s="100"/>
      <c r="D47" s="268" t="str">
        <f>"If yes, record the dollar amount of variable payments below for fiscal year "&amp;$B$8&amp;":"</f>
        <v>If yes, record the dollar amount of variable payments below for fiscal year 2022–2023:</v>
      </c>
      <c r="E47" s="268"/>
      <c r="F47" s="268"/>
    </row>
    <row r="48" spans="1:13" ht="15" customHeight="1" x14ac:dyDescent="0.25">
      <c r="A48" s="84" t="str">
        <f>LEFT(A47,4)+1&amp;"–"&amp;RIGHT(A47,4)+1</f>
        <v>2027–2028</v>
      </c>
      <c r="B48" s="100"/>
      <c r="C48" s="100"/>
      <c r="D48" s="265"/>
      <c r="E48" s="265"/>
      <c r="F48" s="265"/>
    </row>
    <row r="49" spans="1:6" ht="15" customHeight="1" x14ac:dyDescent="0.25">
      <c r="A49" s="84" t="str">
        <f>LEFT(A48,4)+1&amp;"–"&amp;RIGHT(A48,4)+5</f>
        <v>2028–2033</v>
      </c>
      <c r="B49" s="100"/>
      <c r="C49" s="100"/>
      <c r="D49" s="269" t="s">
        <v>8</v>
      </c>
      <c r="E49" s="270"/>
      <c r="F49" s="270"/>
    </row>
    <row r="50" spans="1:6" x14ac:dyDescent="0.25">
      <c r="A50" s="84" t="str">
        <f t="shared" ref="A50:A63" si="1">LEFT(A49,4)+5&amp;"–"&amp;RIGHT(A49,4)+5</f>
        <v>2033–2038</v>
      </c>
      <c r="B50" s="100"/>
      <c r="C50" s="100"/>
      <c r="D50" s="269"/>
      <c r="E50" s="270"/>
      <c r="F50" s="270"/>
    </row>
    <row r="51" spans="1:6" ht="15" customHeight="1" x14ac:dyDescent="0.25">
      <c r="A51" s="84" t="str">
        <f t="shared" si="1"/>
        <v>2038–2043</v>
      </c>
      <c r="B51" s="100"/>
      <c r="C51" s="100"/>
      <c r="D51" s="265"/>
      <c r="E51" s="265"/>
      <c r="F51" s="265"/>
    </row>
    <row r="52" spans="1:6" ht="15" customHeight="1" x14ac:dyDescent="0.25">
      <c r="A52" s="84" t="str">
        <f t="shared" si="1"/>
        <v>2043–2048</v>
      </c>
      <c r="B52" s="100"/>
      <c r="C52" s="100"/>
      <c r="D52" s="271" t="str">
        <f>"If yes, record the dollar amount of any payments made for residual value guarantees below for fiscal year "&amp;$B$8&amp;":"</f>
        <v>If yes, record the dollar amount of any payments made for residual value guarantees below for fiscal year 2022–2023:</v>
      </c>
      <c r="E52" s="268"/>
      <c r="F52" s="268"/>
    </row>
    <row r="53" spans="1:6" x14ac:dyDescent="0.25">
      <c r="A53" s="84" t="str">
        <f t="shared" si="1"/>
        <v>2048–2053</v>
      </c>
      <c r="B53" s="100"/>
      <c r="C53" s="100"/>
      <c r="D53" s="271"/>
      <c r="E53" s="268"/>
      <c r="F53" s="268"/>
    </row>
    <row r="54" spans="1:6" x14ac:dyDescent="0.25">
      <c r="A54" s="84" t="str">
        <f t="shared" si="1"/>
        <v>2053–2058</v>
      </c>
      <c r="B54" s="100"/>
      <c r="C54" s="100"/>
      <c r="D54" s="265"/>
      <c r="E54" s="265"/>
      <c r="F54" s="265"/>
    </row>
    <row r="55" spans="1:6" ht="15" customHeight="1" x14ac:dyDescent="0.25">
      <c r="A55" s="84" t="str">
        <f t="shared" si="1"/>
        <v>2058–2063</v>
      </c>
      <c r="B55" s="100"/>
      <c r="C55" s="100"/>
      <c r="D55" s="27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8"/>
      <c r="F55" s="268"/>
    </row>
    <row r="56" spans="1:6" ht="15" customHeight="1" x14ac:dyDescent="0.25">
      <c r="A56" s="84" t="str">
        <f t="shared" si="1"/>
        <v>2063–2068</v>
      </c>
      <c r="B56" s="100"/>
      <c r="C56" s="100"/>
      <c r="D56" s="271"/>
      <c r="E56" s="268"/>
      <c r="F56" s="268"/>
    </row>
    <row r="57" spans="1:6" x14ac:dyDescent="0.25">
      <c r="A57" s="84" t="str">
        <f t="shared" si="1"/>
        <v>2068–2073</v>
      </c>
      <c r="B57" s="100"/>
      <c r="C57" s="100"/>
      <c r="D57" s="265"/>
      <c r="E57" s="265"/>
      <c r="F57" s="265"/>
    </row>
    <row r="58" spans="1:6" x14ac:dyDescent="0.25">
      <c r="A58" s="84" t="str">
        <f t="shared" si="1"/>
        <v>2073–2078</v>
      </c>
      <c r="B58" s="100"/>
      <c r="C58" s="100"/>
      <c r="D58" s="26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0"/>
      <c r="F58" s="270"/>
    </row>
    <row r="59" spans="1:6" x14ac:dyDescent="0.25">
      <c r="A59" s="84" t="str">
        <f t="shared" si="1"/>
        <v>2078–2083</v>
      </c>
      <c r="B59" s="100"/>
      <c r="C59" s="100"/>
      <c r="D59" s="269"/>
      <c r="E59" s="270"/>
      <c r="F59" s="270"/>
    </row>
    <row r="60" spans="1:6" ht="15" customHeight="1" x14ac:dyDescent="0.25">
      <c r="A60" s="84" t="str">
        <f t="shared" si="1"/>
        <v>2083–2088</v>
      </c>
      <c r="B60" s="100"/>
      <c r="C60" s="100"/>
      <c r="D60" s="265"/>
      <c r="E60" s="265"/>
      <c r="F60" s="265"/>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5"/>
      <c r="E62" s="265"/>
      <c r="F62" s="265"/>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5"/>
      <c r="E64" s="265"/>
      <c r="F64" s="265"/>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64" t="str">
        <f>B8</f>
        <v>2022–2023</v>
      </c>
      <c r="C70" s="264"/>
    </row>
    <row r="71" spans="1:13" ht="15.6" x14ac:dyDescent="0.3">
      <c r="A71" s="12" t="s">
        <v>210</v>
      </c>
      <c r="B71" s="279">
        <f>B9</f>
        <v>2665</v>
      </c>
      <c r="C71" s="279"/>
    </row>
    <row r="72" spans="1:13" ht="15.6" x14ac:dyDescent="0.3">
      <c r="A72" s="12" t="s">
        <v>209</v>
      </c>
      <c r="B72" s="264" t="str">
        <f>B10</f>
        <v>High Speed Rail Authority</v>
      </c>
      <c r="C72" s="264"/>
    </row>
    <row r="73" spans="1:13" ht="32.25" customHeight="1" x14ac:dyDescent="0.3">
      <c r="A73" s="278" t="s">
        <v>10</v>
      </c>
      <c r="B73" s="278"/>
      <c r="C73" s="278"/>
      <c r="D73" s="5"/>
      <c r="E73" s="5"/>
      <c r="F73" s="5"/>
      <c r="G73" s="57"/>
      <c r="H73" s="57"/>
      <c r="I73" s="57"/>
      <c r="J73" s="57"/>
      <c r="K73" s="57"/>
      <c r="L73" s="57"/>
      <c r="M73" s="57"/>
    </row>
    <row r="74" spans="1:13" ht="15.6" x14ac:dyDescent="0.3">
      <c r="A74" s="84"/>
      <c r="B74" s="85" t="s">
        <v>11</v>
      </c>
      <c r="C74" s="85" t="s">
        <v>12</v>
      </c>
      <c r="D74" s="275" t="str">
        <f>"All of the below questions are for Fiscal Year "&amp;$B$8&amp;":"</f>
        <v>All of the below questions are for Fiscal Year 2022–2023:</v>
      </c>
      <c r="E74" s="275"/>
      <c r="F74" s="275"/>
    </row>
    <row r="75" spans="1:13" ht="15" customHeight="1" x14ac:dyDescent="0.25">
      <c r="A75" s="84" t="str">
        <f>RIGHT(B70,4)&amp;"–"&amp;RIGHT(B70,4)+1</f>
        <v>2023–2024</v>
      </c>
      <c r="B75" s="100"/>
      <c r="C75" s="100"/>
      <c r="D75" s="269" t="s">
        <v>6</v>
      </c>
      <c r="E75" s="270"/>
      <c r="F75" s="270"/>
    </row>
    <row r="76" spans="1:13" x14ac:dyDescent="0.25">
      <c r="A76" s="84" t="str">
        <f>LEFT(A75,4)+1&amp;"–"&amp;RIGHT(A75,4)+1</f>
        <v>2024–2025</v>
      </c>
      <c r="B76" s="100"/>
      <c r="C76" s="100"/>
      <c r="D76" s="269"/>
      <c r="E76" s="270"/>
      <c r="F76" s="270"/>
    </row>
    <row r="77" spans="1:13" x14ac:dyDescent="0.25">
      <c r="A77" s="84" t="str">
        <f>LEFT(A76,4)+1&amp;"–"&amp;RIGHT(A76,4)+1</f>
        <v>2025–2026</v>
      </c>
      <c r="B77" s="100"/>
      <c r="C77" s="100"/>
      <c r="D77" s="265"/>
      <c r="E77" s="265"/>
      <c r="F77" s="265"/>
    </row>
    <row r="78" spans="1:13" ht="15" customHeight="1" x14ac:dyDescent="0.25">
      <c r="A78" s="84" t="str">
        <f>LEFT(A77,4)+1&amp;"–"&amp;RIGHT(A77,4)+1</f>
        <v>2026–2027</v>
      </c>
      <c r="B78" s="100"/>
      <c r="C78" s="100"/>
      <c r="D78" s="268" t="str">
        <f>"If yes, record the dollar amount of variable payments below for fiscal year "&amp;$B$8&amp;":"</f>
        <v>If yes, record the dollar amount of variable payments below for fiscal year 2022–2023:</v>
      </c>
      <c r="E78" s="268"/>
      <c r="F78" s="268"/>
    </row>
    <row r="79" spans="1:13" x14ac:dyDescent="0.25">
      <c r="A79" s="84" t="str">
        <f>LEFT(A78,4)+1&amp;"–"&amp;RIGHT(A78,4)+1</f>
        <v>2027–2028</v>
      </c>
      <c r="B79" s="100"/>
      <c r="C79" s="100"/>
      <c r="D79" s="265"/>
      <c r="E79" s="265"/>
      <c r="F79" s="265"/>
    </row>
    <row r="80" spans="1:13" ht="15" customHeight="1" x14ac:dyDescent="0.25">
      <c r="A80" s="84" t="str">
        <f>LEFT(A79,4)+1&amp;"–"&amp;RIGHT(A79,4)+5</f>
        <v>2028–2033</v>
      </c>
      <c r="B80" s="100"/>
      <c r="C80" s="100"/>
      <c r="D80" s="269" t="s">
        <v>8</v>
      </c>
      <c r="E80" s="270"/>
      <c r="F80" s="270"/>
    </row>
    <row r="81" spans="1:6" x14ac:dyDescent="0.25">
      <c r="A81" s="84" t="str">
        <f t="shared" ref="A81:A94" si="2">LEFT(A80,4)+5&amp;"–"&amp;RIGHT(A80,4)+5</f>
        <v>2033–2038</v>
      </c>
      <c r="B81" s="100"/>
      <c r="C81" s="100"/>
      <c r="D81" s="269"/>
      <c r="E81" s="270"/>
      <c r="F81" s="270"/>
    </row>
    <row r="82" spans="1:6" x14ac:dyDescent="0.25">
      <c r="A82" s="84" t="str">
        <f t="shared" si="2"/>
        <v>2038–2043</v>
      </c>
      <c r="B82" s="100"/>
      <c r="C82" s="100"/>
      <c r="D82" s="265"/>
      <c r="E82" s="265"/>
      <c r="F82" s="265"/>
    </row>
    <row r="83" spans="1:6" ht="15" customHeight="1" x14ac:dyDescent="0.25">
      <c r="A83" s="84" t="str">
        <f t="shared" si="2"/>
        <v>2043–2048</v>
      </c>
      <c r="B83" s="100"/>
      <c r="C83" s="100"/>
      <c r="D83" s="271" t="str">
        <f>"If yes, record the dollar amount of any payments made for residual value guarantees below for fiscal year "&amp;$B$8&amp;":"</f>
        <v>If yes, record the dollar amount of any payments made for residual value guarantees below for fiscal year 2022–2023:</v>
      </c>
      <c r="E83" s="268"/>
      <c r="F83" s="268"/>
    </row>
    <row r="84" spans="1:6" x14ac:dyDescent="0.25">
      <c r="A84" s="84" t="str">
        <f t="shared" si="2"/>
        <v>2048–2053</v>
      </c>
      <c r="B84" s="100"/>
      <c r="C84" s="100"/>
      <c r="D84" s="271"/>
      <c r="E84" s="268"/>
      <c r="F84" s="268"/>
    </row>
    <row r="85" spans="1:6" x14ac:dyDescent="0.25">
      <c r="A85" s="84" t="str">
        <f t="shared" si="2"/>
        <v>2053–2058</v>
      </c>
      <c r="B85" s="100"/>
      <c r="C85" s="100"/>
      <c r="D85" s="265"/>
      <c r="E85" s="265"/>
      <c r="F85" s="265"/>
    </row>
    <row r="86" spans="1:6" ht="15" customHeight="1" x14ac:dyDescent="0.25">
      <c r="A86" s="84" t="str">
        <f t="shared" si="2"/>
        <v>2058–2063</v>
      </c>
      <c r="B86" s="100"/>
      <c r="C86" s="100"/>
      <c r="D86" s="27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8"/>
      <c r="F86" s="268"/>
    </row>
    <row r="87" spans="1:6" x14ac:dyDescent="0.25">
      <c r="A87" s="84" t="str">
        <f t="shared" si="2"/>
        <v>2063–2068</v>
      </c>
      <c r="B87" s="100"/>
      <c r="C87" s="100"/>
      <c r="D87" s="271"/>
      <c r="E87" s="268"/>
      <c r="F87" s="268"/>
    </row>
    <row r="88" spans="1:6" x14ac:dyDescent="0.25">
      <c r="A88" s="84" t="str">
        <f t="shared" si="2"/>
        <v>2068–2073</v>
      </c>
      <c r="B88" s="100"/>
      <c r="C88" s="100"/>
      <c r="D88" s="265"/>
      <c r="E88" s="265"/>
      <c r="F88" s="265"/>
    </row>
    <row r="89" spans="1:6" x14ac:dyDescent="0.25">
      <c r="A89" s="84" t="str">
        <f t="shared" si="2"/>
        <v>2073–2078</v>
      </c>
      <c r="B89" s="100"/>
      <c r="C89" s="100"/>
      <c r="D89" s="26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0"/>
      <c r="F89" s="270"/>
    </row>
    <row r="90" spans="1:6" x14ac:dyDescent="0.25">
      <c r="A90" s="84" t="str">
        <f t="shared" si="2"/>
        <v>2078–2083</v>
      </c>
      <c r="B90" s="100"/>
      <c r="C90" s="100"/>
      <c r="D90" s="269"/>
      <c r="E90" s="270"/>
      <c r="F90" s="270"/>
    </row>
    <row r="91" spans="1:6" ht="15" customHeight="1" x14ac:dyDescent="0.25">
      <c r="A91" s="84" t="str">
        <f t="shared" si="2"/>
        <v>2083–2088</v>
      </c>
      <c r="B91" s="100"/>
      <c r="C91" s="100"/>
      <c r="D91" s="265"/>
      <c r="E91" s="265"/>
      <c r="F91" s="265"/>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5"/>
      <c r="E93" s="265"/>
      <c r="F93" s="265"/>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5"/>
      <c r="E95" s="265"/>
      <c r="F95" s="265"/>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8" zoomScale="90" zoomScaleNormal="90" workbookViewId="0">
      <selection activeCell="N11" sqref="N11"/>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6043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2665 - High Speed Rail Authority</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3157215</v>
      </c>
      <c r="G10" s="103"/>
      <c r="H10" s="107">
        <v>1319751</v>
      </c>
      <c r="I10" s="103"/>
      <c r="J10" s="107">
        <v>2051657</v>
      </c>
      <c r="K10" s="103"/>
      <c r="L10" s="109">
        <f>SUM(F10+H10-J10)</f>
        <v>2425309</v>
      </c>
      <c r="M10" s="103"/>
      <c r="N10" s="107">
        <v>693686</v>
      </c>
      <c r="O10" s="103"/>
      <c r="P10" s="109">
        <f>L10-N10</f>
        <v>1731623</v>
      </c>
      <c r="Q10" s="71"/>
    </row>
    <row r="11" spans="2:17" ht="19.2" thickTop="1" thickBot="1" x14ac:dyDescent="0.4">
      <c r="B11" s="69"/>
      <c r="C11" s="73" t="s">
        <v>22</v>
      </c>
      <c r="F11" s="108">
        <f>SUM(F10:F10)</f>
        <v>3157215</v>
      </c>
      <c r="G11" s="103"/>
      <c r="H11" s="108">
        <f>SUM(H10:H10)</f>
        <v>1319751</v>
      </c>
      <c r="I11" s="103"/>
      <c r="J11" s="108">
        <f>SUM(J10:J10)</f>
        <v>2051657</v>
      </c>
      <c r="K11" s="103"/>
      <c r="L11" s="108">
        <f>SUM(L10:L10)</f>
        <v>2425309</v>
      </c>
      <c r="M11" s="103"/>
      <c r="N11" s="108">
        <f>SUM(N10:N10)</f>
        <v>693686</v>
      </c>
      <c r="O11" s="103"/>
      <c r="P11" s="108">
        <f>SUM(P10:P10)</f>
        <v>1731623</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42" sqref="P42"/>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0" t="s">
        <v>164</v>
      </c>
      <c r="B5" s="280"/>
      <c r="C5" s="280"/>
      <c r="D5" s="280"/>
      <c r="E5" s="280"/>
      <c r="F5" s="280"/>
      <c r="G5" s="280"/>
      <c r="H5" s="280"/>
      <c r="I5" s="280"/>
      <c r="J5" s="280"/>
      <c r="K5" s="280"/>
      <c r="L5" s="280"/>
      <c r="M5" s="280"/>
      <c r="N5" s="280"/>
      <c r="O5" s="280"/>
      <c r="P5" s="280"/>
      <c r="Q5" s="280"/>
    </row>
    <row r="6" spans="1:17" ht="15" customHeight="1" x14ac:dyDescent="0.3">
      <c r="A6" s="280"/>
      <c r="B6" s="280"/>
      <c r="C6" s="280"/>
      <c r="D6" s="280"/>
      <c r="E6" s="280"/>
      <c r="F6" s="280"/>
      <c r="G6" s="280"/>
      <c r="H6" s="280"/>
      <c r="I6" s="280"/>
      <c r="J6" s="280"/>
      <c r="K6" s="280"/>
      <c r="L6" s="280"/>
      <c r="M6" s="280"/>
      <c r="N6" s="280"/>
      <c r="O6" s="280"/>
      <c r="P6" s="280"/>
      <c r="Q6" s="280"/>
    </row>
    <row r="7" spans="1:17" x14ac:dyDescent="0.3">
      <c r="A7" s="280"/>
      <c r="B7" s="280"/>
      <c r="C7" s="280"/>
      <c r="D7" s="280"/>
      <c r="E7" s="280"/>
      <c r="F7" s="280"/>
      <c r="G7" s="280"/>
      <c r="H7" s="280"/>
      <c r="I7" s="280"/>
      <c r="J7" s="280"/>
      <c r="K7" s="280"/>
      <c r="L7" s="280"/>
      <c r="M7" s="280"/>
      <c r="N7" s="280"/>
      <c r="O7" s="280"/>
      <c r="P7" s="280"/>
      <c r="Q7" s="280"/>
    </row>
    <row r="8" spans="1:17" ht="15" customHeight="1" x14ac:dyDescent="0.3">
      <c r="A8" s="281" t="s">
        <v>1660</v>
      </c>
      <c r="B8" s="281"/>
      <c r="C8" s="281"/>
      <c r="D8" s="281"/>
      <c r="E8" s="281"/>
      <c r="F8" s="281"/>
      <c r="G8" s="281"/>
      <c r="H8" s="281"/>
      <c r="I8" s="281"/>
      <c r="J8" s="281"/>
      <c r="K8" s="281"/>
      <c r="L8" s="281"/>
      <c r="M8" s="281"/>
      <c r="N8" s="281"/>
      <c r="O8" s="281"/>
      <c r="P8" s="281"/>
      <c r="Q8" s="281"/>
    </row>
    <row r="9" spans="1:17" x14ac:dyDescent="0.3">
      <c r="A9" s="281"/>
      <c r="B9" s="281"/>
      <c r="C9" s="281"/>
      <c r="D9" s="281"/>
      <c r="E9" s="281"/>
      <c r="F9" s="281"/>
      <c r="G9" s="281"/>
      <c r="H9" s="281"/>
      <c r="I9" s="281"/>
      <c r="J9" s="281"/>
      <c r="K9" s="281"/>
      <c r="L9" s="281"/>
      <c r="M9" s="281"/>
      <c r="N9" s="281"/>
      <c r="O9" s="281"/>
      <c r="P9" s="281"/>
      <c r="Q9" s="281"/>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2" t="s">
        <v>153</v>
      </c>
      <c r="C13" s="282"/>
      <c r="D13" s="282"/>
      <c r="E13" s="282"/>
      <c r="F13" s="282"/>
      <c r="G13" s="282"/>
      <c r="H13" s="282"/>
      <c r="I13" s="282"/>
      <c r="J13" s="282"/>
      <c r="K13" s="282"/>
      <c r="L13" s="282"/>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'LS-Fund 3228 Journal Entries'!K23+'LS-Fund 6043 Journal Entries'!K23</f>
        <v>3157215</v>
      </c>
      <c r="C16" s="168" t="s">
        <v>156</v>
      </c>
      <c r="D16" s="130">
        <f>'LS-Fund 3228 Journal Entries'!K48+'LS-Fund 6043 Journal Entries'!K48</f>
        <v>1319751</v>
      </c>
      <c r="E16" s="170" t="s">
        <v>157</v>
      </c>
      <c r="F16" s="130">
        <f>'LS-Fund 3228 Journal Entries'!J68+'LS-Fund 6043 Journal Entries'!J68</f>
        <v>2051657</v>
      </c>
      <c r="G16" s="169" t="s">
        <v>157</v>
      </c>
      <c r="H16" s="130">
        <f>'LS-Fund 3228 Journal Entries'!J96+'LS-Fund 6043 Journal Entries'!J96</f>
        <v>0</v>
      </c>
      <c r="I16" s="169" t="s">
        <v>156</v>
      </c>
      <c r="J16" s="130">
        <f>'LS-Fund 3228 Journal Entries'!K113+'LS-Fund 6043 Journal Entries'!K113</f>
        <v>0</v>
      </c>
      <c r="K16" s="170" t="s">
        <v>160</v>
      </c>
      <c r="L16" s="133">
        <f>+B16+D16-F16-H16+J16</f>
        <v>2425309</v>
      </c>
      <c r="M16" s="132"/>
      <c r="N16" s="134">
        <f>SUM('LS-Department Note Disclosure'!B13:B36)</f>
        <v>2425309</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2" t="s">
        <v>153</v>
      </c>
      <c r="C21" s="282"/>
      <c r="D21" s="282"/>
      <c r="E21" s="282"/>
      <c r="F21" s="282"/>
      <c r="G21" s="282"/>
      <c r="H21" s="282"/>
      <c r="I21" s="282"/>
      <c r="J21" s="282"/>
      <c r="K21" s="282"/>
      <c r="L21" s="282"/>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6043 Journal Entries'!$F$8="Proprietary - Internal Service Fund",'LS-Fund 6043 Journal Entries'!$K$23,0)</f>
        <v>0</v>
      </c>
      <c r="C24" s="168" t="s">
        <v>156</v>
      </c>
      <c r="D24" s="130">
        <f>IF('LS-Fund 6043 Journal Entries'!$F$8="Proprietary - Internal Service Fund",'LS-Fund 6043 Journal Entries'!$K$48,0)</f>
        <v>0</v>
      </c>
      <c r="E24" s="170" t="s">
        <v>157</v>
      </c>
      <c r="F24" s="130">
        <f>IF('LS-Fund 6043 Journal Entries'!$F$8="Proprietary - Internal Service Fund",'LS-Fund 6043 Journal Entries'!$J$68,0)</f>
        <v>0</v>
      </c>
      <c r="G24" s="169" t="s">
        <v>157</v>
      </c>
      <c r="H24" s="130">
        <f>IF('LS-Fund 6043 Journal Entries'!$F$8="Proprietary - Internal Service Fund",'LS-Fund 6043 Journal Entries'!$J$96,0)</f>
        <v>0</v>
      </c>
      <c r="I24" s="169" t="s">
        <v>156</v>
      </c>
      <c r="J24" s="130">
        <f>IF('LS-Fund 6043 Journal Entries'!$F$8="Proprietary - Internal Service Fund",'LS-Fund 6043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2" t="s">
        <v>153</v>
      </c>
      <c r="C30" s="282"/>
      <c r="D30" s="282"/>
      <c r="E30" s="282"/>
      <c r="F30" s="282"/>
      <c r="G30" s="282"/>
      <c r="H30" s="282"/>
      <c r="I30" s="282"/>
      <c r="J30" s="282"/>
      <c r="K30" s="282"/>
      <c r="L30" s="282"/>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6043 Journal Entries'!$F$8="Proprietary - Enterprise Fund",'LS-Fund 6043 Journal Entries'!$K$23,0)</f>
        <v>0</v>
      </c>
      <c r="C33" s="168" t="s">
        <v>156</v>
      </c>
      <c r="D33" s="130">
        <f>IF('LS-Fund 6043 Journal Entries'!$F$8="Proprietary - Enterprise Fund",'LS-Fund 6043 Journal Entries'!$K$48,0)</f>
        <v>0</v>
      </c>
      <c r="E33" s="170" t="s">
        <v>157</v>
      </c>
      <c r="F33" s="130">
        <f>IF('LS-Fund 6043 Journal Entries'!$F$8="Proprietary - Enterprise Fund",'LS-Fund 6043 Journal Entries'!$J$68,0)</f>
        <v>0</v>
      </c>
      <c r="G33" s="169" t="s">
        <v>157</v>
      </c>
      <c r="H33" s="130">
        <f>IF('LS-Fund 6043 Journal Entries'!$F$8="Proprietary - Enterprise Fund",'LS-Fund 6043 Journal Entries'!$J$96,0)</f>
        <v>0</v>
      </c>
      <c r="I33" s="169" t="s">
        <v>156</v>
      </c>
      <c r="J33" s="130">
        <f>IF('LS-Fund 6043 Journal Entries'!$F$8="Proprietary - Enterprise Fund",'LS-Fund 6043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2" t="s">
        <v>153</v>
      </c>
      <c r="C40" s="282"/>
      <c r="D40" s="282"/>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'LS-Fund 3228 Journal Entries'!J75+'LS-Fund 6043 Journal Entries'!J75</f>
        <v>693686</v>
      </c>
      <c r="C42" s="138"/>
      <c r="E42" s="138"/>
      <c r="G42" s="167"/>
      <c r="H42" s="167"/>
      <c r="I42" s="167"/>
      <c r="J42" s="167"/>
      <c r="K42" s="138"/>
      <c r="L42" s="138"/>
      <c r="M42" s="139"/>
      <c r="N42" s="134">
        <f>'LS-Department Note Disclosure'!B13</f>
        <v>693686</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2" t="s">
        <v>153</v>
      </c>
      <c r="C47" s="282"/>
      <c r="D47" s="282"/>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6043 Journal Entries'!$F$8="Proprietary - Internal Service Fund",'LS-Fund 6043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2" t="s">
        <v>153</v>
      </c>
      <c r="C55" s="282"/>
      <c r="D55" s="282"/>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6043 Journal Entries'!$F$8="Proprietary - Enterprise Fund",'LS-Fund 6043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3" t="s">
        <v>153</v>
      </c>
      <c r="C64" s="283"/>
      <c r="D64" s="283"/>
      <c r="E64" s="283"/>
      <c r="F64" s="283"/>
      <c r="G64" s="283"/>
      <c r="H64" s="283"/>
      <c r="I64" s="141"/>
      <c r="J64" s="123" t="s">
        <v>1659</v>
      </c>
      <c r="K64" s="141"/>
      <c r="L64" s="283" t="s">
        <v>14</v>
      </c>
      <c r="M64" s="283"/>
      <c r="N64" s="283"/>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3157215</v>
      </c>
      <c r="J66" s="143">
        <f>SUM(D66)</f>
        <v>3157215</v>
      </c>
      <c r="L66" s="144" t="str">
        <f>CONCATENATE("Balance July 1, ",LEFT('LS-Department Note Disclosure'!$B$8,4))</f>
        <v>Balance July 1, 2022</v>
      </c>
      <c r="N66" s="143">
        <f>'LS-Lease Liabilities'!F10</f>
        <v>3157215</v>
      </c>
      <c r="P66" s="135">
        <f>J66-N66</f>
        <v>0</v>
      </c>
    </row>
    <row r="67" spans="1:17" x14ac:dyDescent="0.3">
      <c r="B67" s="125" t="s">
        <v>167</v>
      </c>
      <c r="D67" s="143">
        <f>$D$16</f>
        <v>1319751</v>
      </c>
      <c r="E67" s="171" t="s">
        <v>156</v>
      </c>
      <c r="F67" s="125" t="s">
        <v>1871</v>
      </c>
      <c r="H67" s="143">
        <f>$J$16</f>
        <v>0</v>
      </c>
      <c r="J67" s="143">
        <f>SUM(D67,H67)</f>
        <v>1319751</v>
      </c>
      <c r="L67" s="144" t="s">
        <v>15</v>
      </c>
      <c r="N67" s="143">
        <f>'LS-Lease Liabilities'!H10</f>
        <v>1319751</v>
      </c>
      <c r="P67" s="135">
        <f t="shared" ref="P67:P69" si="0">J67-N67</f>
        <v>0</v>
      </c>
    </row>
    <row r="68" spans="1:17" x14ac:dyDescent="0.3">
      <c r="B68" s="125" t="s">
        <v>162</v>
      </c>
      <c r="D68" s="143">
        <f>$F$16</f>
        <v>2051657</v>
      </c>
      <c r="E68" s="171" t="s">
        <v>156</v>
      </c>
      <c r="F68" s="125" t="s">
        <v>1868</v>
      </c>
      <c r="H68" s="143">
        <f>$H$16</f>
        <v>0</v>
      </c>
      <c r="J68" s="143">
        <f>SUM(D68,H68)</f>
        <v>2051657</v>
      </c>
      <c r="L68" s="144" t="s">
        <v>16</v>
      </c>
      <c r="N68" s="143">
        <f>'LS-Lease Liabilities'!J10</f>
        <v>2051657</v>
      </c>
      <c r="P68" s="135">
        <f t="shared" si="0"/>
        <v>0</v>
      </c>
    </row>
    <row r="69" spans="1:17" x14ac:dyDescent="0.3">
      <c r="B69" s="125" t="s">
        <v>166</v>
      </c>
      <c r="D69" s="143">
        <f>$B$42</f>
        <v>693686</v>
      </c>
      <c r="J69" s="143">
        <f>SUM(D69)</f>
        <v>693686</v>
      </c>
      <c r="L69" s="144" t="s">
        <v>17</v>
      </c>
      <c r="N69" s="143">
        <f>'LS-Lease Liabilities'!N10</f>
        <v>693686</v>
      </c>
      <c r="P69" s="135">
        <f t="shared" si="0"/>
        <v>0</v>
      </c>
    </row>
    <row r="70" spans="1:17" x14ac:dyDescent="0.3">
      <c r="D70" s="145"/>
    </row>
    <row r="71" spans="1:17" ht="15.9"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3" t="s">
        <v>153</v>
      </c>
      <c r="C75" s="283"/>
      <c r="D75" s="283"/>
      <c r="E75" s="283"/>
      <c r="F75" s="283"/>
      <c r="G75" s="283"/>
      <c r="H75" s="283"/>
      <c r="I75" s="141"/>
      <c r="J75" s="123" t="s">
        <v>1659</v>
      </c>
      <c r="K75" s="141"/>
      <c r="L75" s="283" t="s">
        <v>14</v>
      </c>
      <c r="M75" s="283"/>
      <c r="N75" s="283"/>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3" t="s">
        <v>153</v>
      </c>
      <c r="C86" s="283"/>
      <c r="D86" s="283"/>
      <c r="E86" s="283"/>
      <c r="F86" s="283"/>
      <c r="G86" s="283"/>
      <c r="H86" s="283"/>
      <c r="I86" s="141"/>
      <c r="J86" s="123" t="s">
        <v>1659</v>
      </c>
      <c r="K86" s="141"/>
      <c r="L86" s="283" t="s">
        <v>14</v>
      </c>
      <c r="M86" s="283"/>
      <c r="N86" s="283"/>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49" t="s">
        <v>1809</v>
      </c>
      <c r="B1" s="250"/>
      <c r="C1" s="250"/>
      <c r="D1" s="250"/>
      <c r="E1" s="250"/>
      <c r="F1" s="251"/>
    </row>
    <row r="2" spans="1:6" x14ac:dyDescent="0.3">
      <c r="A2" s="252"/>
      <c r="B2" s="253"/>
      <c r="C2" s="253"/>
      <c r="D2" s="253"/>
      <c r="E2" s="253"/>
      <c r="F2" s="254"/>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57" t="s">
        <v>1667</v>
      </c>
      <c r="B1" s="257"/>
      <c r="C1" s="257"/>
      <c r="D1" s="257"/>
      <c r="E1" s="257"/>
      <c r="F1" s="257"/>
      <c r="G1" s="257"/>
      <c r="H1" s="257"/>
      <c r="I1" s="257"/>
      <c r="J1" s="257"/>
      <c r="K1" s="257"/>
      <c r="L1" s="5"/>
      <c r="M1" s="5"/>
      <c r="N1" s="5"/>
      <c r="O1" s="5"/>
      <c r="P1" s="5"/>
      <c r="Q1" s="5"/>
      <c r="R1" s="5"/>
      <c r="S1" s="5"/>
    </row>
    <row r="2" spans="1:19" ht="17.399999999999999" customHeight="1" x14ac:dyDescent="0.3">
      <c r="A2" s="285" t="s">
        <v>0</v>
      </c>
      <c r="B2" s="285"/>
      <c r="C2" s="285"/>
      <c r="D2" s="285"/>
      <c r="E2" s="285"/>
      <c r="F2" s="285"/>
      <c r="G2" s="285"/>
      <c r="H2" s="285"/>
      <c r="I2" s="285"/>
      <c r="J2" s="36"/>
      <c r="L2" s="5"/>
      <c r="M2" s="5"/>
      <c r="N2" s="5"/>
      <c r="O2" s="5"/>
      <c r="P2" s="5"/>
      <c r="Q2" s="5"/>
      <c r="R2" s="5"/>
      <c r="S2" s="5"/>
    </row>
    <row r="3" spans="1:19" ht="17.399999999999999" customHeight="1" x14ac:dyDescent="0.3">
      <c r="A3" s="284" t="s">
        <v>1</v>
      </c>
      <c r="B3" s="284"/>
      <c r="C3" s="284"/>
      <c r="D3" s="284"/>
      <c r="E3" s="95"/>
      <c r="H3" s="7"/>
      <c r="I3" s="7"/>
      <c r="J3" s="7"/>
      <c r="K3" s="7"/>
      <c r="L3" s="7"/>
      <c r="M3" s="7"/>
      <c r="N3" s="7"/>
      <c r="O3" s="7"/>
      <c r="P3" s="7"/>
      <c r="Q3" s="7"/>
      <c r="R3" s="7"/>
    </row>
    <row r="4" spans="1:19" ht="17.399999999999999" customHeight="1" x14ac:dyDescent="0.3">
      <c r="A4" s="284" t="s">
        <v>209</v>
      </c>
      <c r="B4" s="284"/>
      <c r="C4" s="284"/>
      <c r="D4" s="284"/>
      <c r="E4" s="97"/>
      <c r="H4" s="7"/>
      <c r="I4" s="7"/>
      <c r="J4" s="7"/>
      <c r="K4" s="7"/>
      <c r="L4" s="7"/>
      <c r="M4" s="7"/>
      <c r="N4" s="7"/>
      <c r="O4" s="7"/>
      <c r="P4" s="7"/>
      <c r="Q4" s="7"/>
      <c r="R4" s="7"/>
    </row>
    <row r="5" spans="1:19" ht="17.399999999999999" customHeight="1" x14ac:dyDescent="0.3">
      <c r="A5" s="284" t="s">
        <v>1684</v>
      </c>
      <c r="B5" s="284"/>
      <c r="C5" s="284"/>
      <c r="D5" s="284"/>
      <c r="E5" s="161"/>
      <c r="H5" s="7"/>
      <c r="I5" s="7"/>
      <c r="J5" s="8"/>
      <c r="K5" s="8"/>
      <c r="L5" s="8"/>
      <c r="M5" s="8"/>
      <c r="N5" s="8"/>
      <c r="O5" s="8"/>
      <c r="P5" s="8"/>
      <c r="Q5" s="7"/>
      <c r="R5" s="7"/>
    </row>
    <row r="6" spans="1:19" ht="17.399999999999999" customHeight="1" x14ac:dyDescent="0.3">
      <c r="A6" s="284" t="s">
        <v>1685</v>
      </c>
      <c r="B6" s="284"/>
      <c r="C6" s="284"/>
      <c r="D6" s="284"/>
      <c r="E6" s="97"/>
      <c r="G6" s="8"/>
      <c r="H6" s="8"/>
      <c r="I6" s="8"/>
      <c r="J6" s="8"/>
      <c r="K6" s="8"/>
      <c r="L6" s="8"/>
      <c r="M6" s="8"/>
      <c r="N6" s="8"/>
      <c r="O6" s="8"/>
      <c r="P6" s="8"/>
      <c r="Q6" s="7"/>
      <c r="R6" s="7"/>
    </row>
    <row r="7" spans="1:19" ht="17.399999999999999" customHeight="1" x14ac:dyDescent="0.3">
      <c r="A7" s="284" t="s">
        <v>3</v>
      </c>
      <c r="B7" s="284"/>
      <c r="C7" s="284"/>
      <c r="D7" s="284"/>
      <c r="E7" s="35"/>
      <c r="G7" s="8"/>
      <c r="H7" s="8"/>
      <c r="I7" s="8"/>
      <c r="J7" s="8"/>
      <c r="K7" s="8"/>
      <c r="L7" s="8"/>
      <c r="M7" s="8"/>
      <c r="N7" s="8"/>
      <c r="O7" s="8"/>
      <c r="P7" s="8"/>
      <c r="Q7" s="7"/>
      <c r="R7" s="7"/>
    </row>
    <row r="8" spans="1:19" ht="17.399999999999999" customHeight="1" x14ac:dyDescent="0.3">
      <c r="A8" s="284" t="s">
        <v>1641</v>
      </c>
      <c r="B8" s="284"/>
      <c r="C8" s="284"/>
      <c r="D8" s="284"/>
      <c r="E8" s="35"/>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1" t="s">
        <v>1672</v>
      </c>
      <c r="N13" s="262"/>
      <c r="O13" s="188"/>
      <c r="P13" s="261" t="s">
        <v>1668</v>
      </c>
      <c r="Q13" s="262"/>
      <c r="R13" s="188"/>
      <c r="S13" s="222" t="s">
        <v>1669</v>
      </c>
    </row>
    <row r="14" spans="1:19" ht="17.399999999999999" customHeight="1" x14ac:dyDescent="0.25">
      <c r="B14" s="20" t="s">
        <v>213</v>
      </c>
      <c r="C14" s="151"/>
      <c r="D14" s="151"/>
      <c r="E14" s="151"/>
      <c r="F14" s="151"/>
      <c r="G14" s="151"/>
      <c r="H14" s="151"/>
      <c r="I14" s="151"/>
      <c r="J14" s="247">
        <f>M14</f>
        <v>0</v>
      </c>
      <c r="K14" s="37"/>
      <c r="L14" s="37"/>
      <c r="M14" s="196"/>
      <c r="N14" s="37"/>
      <c r="O14" s="37"/>
      <c r="P14" s="196"/>
      <c r="Q14" s="224"/>
      <c r="R14" s="37"/>
      <c r="S14" s="223">
        <f>P14-M14</f>
        <v>0</v>
      </c>
    </row>
    <row r="15" spans="1:19" ht="17.399999999999999" customHeight="1" x14ac:dyDescent="0.25">
      <c r="A15" s="15"/>
      <c r="B15" s="20" t="s">
        <v>179</v>
      </c>
      <c r="C15" s="151"/>
      <c r="D15" s="151"/>
      <c r="E15" s="151"/>
      <c r="F15" s="151"/>
      <c r="G15" s="151"/>
      <c r="H15" s="151"/>
      <c r="I15" s="151"/>
      <c r="J15" s="247">
        <f>P15</f>
        <v>0</v>
      </c>
      <c r="K15" s="37"/>
      <c r="L15" s="37"/>
      <c r="M15" s="196"/>
      <c r="N15" s="37"/>
      <c r="O15" s="37"/>
      <c r="P15" s="221">
        <f>IF(SUM($Q$17)&gt;SUM($P$14),SUM($Q$17)-SUM($P$14),0)</f>
        <v>0</v>
      </c>
      <c r="Q15" s="224"/>
      <c r="R15" s="37"/>
      <c r="S15" s="223">
        <f>P15-M15</f>
        <v>0</v>
      </c>
    </row>
    <row r="16" spans="1:19" ht="17.399999999999999" customHeight="1" x14ac:dyDescent="0.25">
      <c r="A16" s="15"/>
      <c r="B16" s="20" t="s">
        <v>180</v>
      </c>
      <c r="C16" s="151"/>
      <c r="D16" s="151"/>
      <c r="E16" s="151"/>
      <c r="F16" s="151"/>
      <c r="G16" s="151"/>
      <c r="H16" s="151"/>
      <c r="I16" s="151"/>
      <c r="J16" s="247">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7">
        <f>N17</f>
        <v>0</v>
      </c>
      <c r="L17" s="37"/>
      <c r="M17" s="37"/>
      <c r="N17" s="196"/>
      <c r="O17" s="37"/>
      <c r="P17" s="224"/>
      <c r="Q17" s="196"/>
      <c r="R17" s="37"/>
      <c r="S17" s="223">
        <f t="shared" ref="S17:S19" si="0">Q17-N17</f>
        <v>0</v>
      </c>
    </row>
    <row r="18" spans="1:22" ht="17.399999999999999" customHeight="1" x14ac:dyDescent="0.25">
      <c r="A18" s="15"/>
      <c r="B18" s="151"/>
      <c r="C18" s="20" t="s">
        <v>179</v>
      </c>
      <c r="D18" s="151"/>
      <c r="E18" s="151"/>
      <c r="F18" s="151"/>
      <c r="G18" s="151"/>
      <c r="H18" s="151"/>
      <c r="I18" s="151"/>
      <c r="J18" s="20"/>
      <c r="K18" s="247">
        <f>Q18</f>
        <v>0</v>
      </c>
      <c r="L18" s="37"/>
      <c r="M18" s="37"/>
      <c r="N18" s="196"/>
      <c r="O18" s="37"/>
      <c r="P18" s="224"/>
      <c r="Q18" s="221">
        <f>IF(SUM($Q$21:$Q$23)&lt;SUM($P$15:$P$17),-SUM($Q$21:$Q$23)+SUM($P$15:$P$17),0)</f>
        <v>0</v>
      </c>
      <c r="R18" s="37"/>
      <c r="S18" s="223">
        <f t="shared" si="0"/>
        <v>0</v>
      </c>
    </row>
    <row r="19" spans="1:22" ht="17.399999999999999" customHeight="1" x14ac:dyDescent="0.25">
      <c r="A19" s="15"/>
      <c r="B19" s="151"/>
      <c r="C19" s="20" t="s">
        <v>180</v>
      </c>
      <c r="D19" s="151"/>
      <c r="E19" s="151"/>
      <c r="F19" s="151"/>
      <c r="G19" s="151"/>
      <c r="H19" s="151"/>
      <c r="I19" s="151"/>
      <c r="J19" s="20"/>
      <c r="K19" s="247">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86"/>
      <c r="P29" s="286"/>
      <c r="Q29" s="286"/>
      <c r="R29" s="286"/>
      <c r="S29" s="286"/>
      <c r="T29" s="286"/>
      <c r="U29" s="286"/>
      <c r="V29" s="286"/>
    </row>
    <row r="30" spans="1:22" ht="17.399999999999999" customHeight="1" x14ac:dyDescent="0.25">
      <c r="B30" s="287" t="str">
        <f>IF($E$7="Governmental","Dr: Acct 0775 - OTHER INCOME","Dr: Acct 0755 - SALES &amp; SERVICES")</f>
        <v>Dr: Acct 0755 - SALES &amp; SERVICES</v>
      </c>
      <c r="C30" s="287"/>
      <c r="D30" s="287"/>
      <c r="E30" s="287"/>
      <c r="F30" s="287"/>
      <c r="G30" s="287"/>
      <c r="H30" s="287"/>
      <c r="I30" s="287"/>
      <c r="J30" s="196"/>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399999999999999" customHeight="1" x14ac:dyDescent="0.35">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64" t="s">
        <v>216</v>
      </c>
      <c r="C36" s="264" t="s">
        <v>214</v>
      </c>
      <c r="D36" s="264" t="s">
        <v>214</v>
      </c>
      <c r="E36" s="264" t="s">
        <v>214</v>
      </c>
      <c r="F36" s="20"/>
      <c r="G36" s="20"/>
      <c r="H36" s="20"/>
      <c r="I36" s="20"/>
      <c r="J36" s="196"/>
      <c r="K36" s="32"/>
      <c r="M36" s="19"/>
      <c r="R36" s="9"/>
      <c r="S36" s="9"/>
      <c r="T36" s="9"/>
      <c r="U36" s="9"/>
      <c r="V36" s="9"/>
    </row>
    <row r="37" spans="1:22" ht="17.399999999999999" customHeight="1" x14ac:dyDescent="0.25">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399999999999999" customHeight="1" x14ac:dyDescent="0.25">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64" t="s">
        <v>217</v>
      </c>
      <c r="C41" s="264"/>
      <c r="D41" s="264"/>
      <c r="E41" s="264"/>
      <c r="F41" s="20"/>
      <c r="G41" s="20"/>
      <c r="H41" s="20"/>
      <c r="I41" s="20"/>
      <c r="J41" s="196"/>
      <c r="K41" s="32"/>
      <c r="L41" s="9"/>
      <c r="R41" s="9"/>
      <c r="S41" s="9"/>
      <c r="T41" s="9"/>
      <c r="U41" s="9"/>
      <c r="V41" s="9"/>
    </row>
    <row r="42" spans="1:22" ht="17.399999999999999" customHeight="1" x14ac:dyDescent="0.25">
      <c r="A42" s="15"/>
      <c r="B42" s="20"/>
      <c r="C42" s="264" t="s">
        <v>215</v>
      </c>
      <c r="D42" s="264" t="s">
        <v>218</v>
      </c>
      <c r="E42" s="264" t="s">
        <v>218</v>
      </c>
      <c r="F42" s="20"/>
      <c r="G42" s="20"/>
      <c r="H42" s="20"/>
      <c r="I42" s="20"/>
      <c r="J42" s="32"/>
      <c r="K42" s="196"/>
      <c r="O42" s="9"/>
      <c r="P42" s="9"/>
      <c r="Q42" s="9"/>
      <c r="R42" s="9"/>
      <c r="S42" s="9"/>
      <c r="T42" s="9"/>
      <c r="U42" s="9"/>
      <c r="V42" s="9"/>
    </row>
    <row r="43" spans="1:22" ht="17.399999999999999" customHeight="1" x14ac:dyDescent="0.3">
      <c r="A43" s="15"/>
      <c r="B43" s="288" t="s">
        <v>1842</v>
      </c>
      <c r="C43" s="288"/>
      <c r="D43" s="288"/>
      <c r="E43" s="288"/>
      <c r="F43" s="288"/>
      <c r="G43" s="288"/>
      <c r="H43" s="288"/>
      <c r="I43" s="288"/>
      <c r="J43" s="157">
        <f>J41</f>
        <v>0</v>
      </c>
      <c r="K43" s="24">
        <f>K42</f>
        <v>0</v>
      </c>
      <c r="L43" s="21" t="str">
        <f>IF(J43=K43,"&lt;- Debits and Credits equal each other.","&lt;- Debits and Credits do not equal each other.")</f>
        <v>&lt;- Debits and Credits equal each other.</v>
      </c>
      <c r="M43" s="19"/>
    </row>
    <row r="44" spans="1:22" ht="17.399999999999999" customHeight="1" x14ac:dyDescent="0.3">
      <c r="A44" s="15"/>
      <c r="B44" s="288"/>
      <c r="C44" s="288"/>
      <c r="D44" s="288"/>
      <c r="E44" s="288"/>
      <c r="F44" s="288"/>
      <c r="G44" s="288"/>
      <c r="H44" s="288"/>
      <c r="I44" s="288"/>
      <c r="K44" s="27"/>
      <c r="L44" s="9"/>
      <c r="M44" s="19"/>
      <c r="O44" s="28"/>
    </row>
    <row r="45" spans="1:22" ht="17.399999999999999" customHeight="1" x14ac:dyDescent="0.3">
      <c r="A45" s="15"/>
      <c r="B45" s="288"/>
      <c r="C45" s="288"/>
      <c r="D45" s="288"/>
      <c r="E45" s="288"/>
      <c r="F45" s="288"/>
      <c r="G45" s="288"/>
      <c r="H45" s="288"/>
      <c r="I45" s="288"/>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64" t="s">
        <v>1656</v>
      </c>
      <c r="C51" s="264" t="s">
        <v>1655</v>
      </c>
      <c r="D51" s="264"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J14+J24-K42-K52+J58</f>
        <v>0</v>
      </c>
    </row>
    <row r="68" spans="2:11" ht="17.399999999999999" customHeight="1" x14ac:dyDescent="0.3">
      <c r="D68" s="193" t="s">
        <v>1715</v>
      </c>
      <c r="E68" s="37"/>
      <c r="F68" s="37"/>
      <c r="G68" s="37"/>
      <c r="H68" s="37"/>
      <c r="I68" s="37"/>
      <c r="J68" s="37"/>
      <c r="K68" s="238">
        <f>J41</f>
        <v>0</v>
      </c>
    </row>
    <row r="69" spans="2:11" ht="17.399999999999999" customHeight="1" x14ac:dyDescent="0.3">
      <c r="D69" s="193" t="s">
        <v>1716</v>
      </c>
      <c r="E69" s="37"/>
      <c r="F69" s="37"/>
      <c r="G69" s="37"/>
      <c r="H69" s="37"/>
      <c r="I69" s="37"/>
      <c r="J69" s="37"/>
      <c r="K69" s="238">
        <f>-K17-K25+J36+J49-K59</f>
        <v>0</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ZIiRXEHSGQz9wrciEpDqW4SJi9rimalxSjUppeZKCPC8AeNHdqiN1XJZdlFUJPFGP8WXGHhdADRHw8Ntspi84A==" saltValue="zh4G7o6cvkYoX4MbsRsp0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3" t="s">
        <v>150</v>
      </c>
      <c r="B1" s="273"/>
      <c r="C1" s="273"/>
      <c r="D1" s="273"/>
      <c r="E1" s="273"/>
      <c r="F1" s="158"/>
      <c r="G1" s="5"/>
      <c r="H1" s="5"/>
      <c r="I1" s="5"/>
      <c r="J1" s="5"/>
      <c r="K1" s="5"/>
      <c r="L1" s="5"/>
      <c r="M1" s="5"/>
      <c r="N1" s="5"/>
      <c r="O1" s="5"/>
      <c r="P1" s="5"/>
      <c r="Q1" s="5"/>
      <c r="R1" s="5"/>
      <c r="S1" s="5"/>
    </row>
    <row r="2" spans="1:19" ht="48" customHeight="1" x14ac:dyDescent="0.3">
      <c r="A2" s="272" t="s">
        <v>148</v>
      </c>
      <c r="B2" s="272"/>
      <c r="C2" s="272"/>
      <c r="D2" s="272"/>
      <c r="E2" s="272"/>
      <c r="F2" s="99"/>
      <c r="G2" s="5"/>
      <c r="H2" s="5"/>
      <c r="I2" s="5"/>
      <c r="J2" s="5"/>
      <c r="K2" s="5"/>
      <c r="L2" s="5"/>
      <c r="M2" s="5"/>
      <c r="N2" s="5"/>
      <c r="O2" s="5"/>
      <c r="P2" s="5"/>
      <c r="Q2" s="5"/>
      <c r="R2" s="5"/>
      <c r="S2" s="5"/>
    </row>
    <row r="3" spans="1:19" ht="33" customHeight="1" x14ac:dyDescent="0.3">
      <c r="A3" s="292" t="s">
        <v>212</v>
      </c>
      <c r="B3" s="292"/>
      <c r="C3" s="292"/>
      <c r="E3" s="57"/>
      <c r="F3" s="57"/>
      <c r="G3" s="57"/>
      <c r="H3" s="57"/>
      <c r="I3" s="57"/>
      <c r="J3" s="57"/>
      <c r="K3" s="57"/>
      <c r="L3" s="57"/>
      <c r="M3" s="57"/>
      <c r="N3" s="57"/>
      <c r="O3" s="57"/>
      <c r="P3" s="6"/>
      <c r="Q3" s="6"/>
      <c r="R3" s="6"/>
      <c r="S3" s="6"/>
    </row>
    <row r="4" spans="1:19" ht="31.2" customHeight="1" x14ac:dyDescent="0.3">
      <c r="A4" s="267" t="s">
        <v>7</v>
      </c>
      <c r="B4" s="267"/>
      <c r="C4" s="267"/>
      <c r="E4" s="57"/>
      <c r="F4" s="57"/>
      <c r="G4" s="57"/>
      <c r="H4" s="57"/>
      <c r="I4" s="57"/>
      <c r="J4" s="57"/>
      <c r="K4" s="57"/>
      <c r="L4" s="57"/>
      <c r="M4" s="57"/>
      <c r="N4" s="57"/>
      <c r="O4" s="57"/>
      <c r="P4" s="6"/>
      <c r="Q4" s="6"/>
      <c r="R4" s="6"/>
      <c r="S4" s="6"/>
    </row>
    <row r="5" spans="1:19" ht="30.6" customHeight="1" x14ac:dyDescent="0.3">
      <c r="A5" s="267" t="s">
        <v>9</v>
      </c>
      <c r="B5" s="267"/>
      <c r="C5" s="267"/>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89" t="s">
        <v>24</v>
      </c>
      <c r="C9" s="289"/>
      <c r="D9" s="52"/>
      <c r="F9" s="81"/>
      <c r="G9" s="81"/>
      <c r="H9" s="81"/>
      <c r="I9" s="81"/>
      <c r="J9" s="81"/>
      <c r="K9" s="81"/>
      <c r="L9" s="81"/>
      <c r="M9" s="81"/>
      <c r="N9" s="81"/>
      <c r="O9" s="81"/>
      <c r="P9" s="6"/>
      <c r="Q9" s="6"/>
      <c r="R9" s="6"/>
      <c r="S9" s="6"/>
    </row>
    <row r="10" spans="1:19" ht="15.6" x14ac:dyDescent="0.3">
      <c r="A10" s="12" t="s">
        <v>210</v>
      </c>
      <c r="B10" s="290"/>
      <c r="C10" s="290"/>
      <c r="D10" s="82"/>
      <c r="F10" s="38"/>
      <c r="G10" s="38"/>
      <c r="H10" s="38"/>
      <c r="I10" s="38"/>
      <c r="J10" s="38"/>
      <c r="K10" s="38"/>
      <c r="L10" s="38"/>
      <c r="M10" s="38"/>
      <c r="N10" s="38"/>
      <c r="O10" s="38"/>
      <c r="P10" s="6"/>
      <c r="Q10" s="6"/>
      <c r="R10" s="6"/>
      <c r="S10" s="6"/>
    </row>
    <row r="11" spans="1:19" ht="15.6" x14ac:dyDescent="0.3">
      <c r="A11" s="12" t="s">
        <v>209</v>
      </c>
      <c r="B11" s="289"/>
      <c r="C11" s="289"/>
      <c r="D11" s="82"/>
      <c r="F11" s="5"/>
      <c r="G11" s="5"/>
      <c r="H11" s="5"/>
      <c r="I11" s="5"/>
      <c r="J11" s="5"/>
      <c r="K11" s="5"/>
      <c r="L11" s="5"/>
      <c r="M11" s="5"/>
      <c r="N11" s="5"/>
      <c r="O11" s="5"/>
      <c r="P11" s="5"/>
      <c r="Q11" s="5"/>
      <c r="R11" s="5"/>
      <c r="S11" s="5"/>
    </row>
    <row r="12" spans="1:19" ht="30" customHeight="1" x14ac:dyDescent="0.3">
      <c r="A12" s="291" t="s">
        <v>10</v>
      </c>
      <c r="B12" s="291"/>
      <c r="C12" s="291"/>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c r="C14" s="2"/>
      <c r="D14" s="87"/>
      <c r="E14" s="268" t="s">
        <v>219</v>
      </c>
      <c r="F14" s="5"/>
      <c r="G14" s="5"/>
      <c r="H14" s="5"/>
      <c r="I14" s="5"/>
      <c r="J14" s="5"/>
      <c r="K14" s="5"/>
      <c r="L14" s="5"/>
      <c r="M14" s="5"/>
      <c r="N14" s="5"/>
      <c r="O14" s="5"/>
      <c r="P14" s="5"/>
      <c r="Q14" s="5"/>
      <c r="R14" s="5"/>
      <c r="S14" s="5"/>
    </row>
    <row r="15" spans="1:19" ht="15.6" x14ac:dyDescent="0.3">
      <c r="A15" s="84" t="str">
        <f>LEFT(A14,4)+1&amp;"–"&amp;RIGHT(A14,4)+1</f>
        <v>2024–2025</v>
      </c>
      <c r="B15" s="2"/>
      <c r="C15" s="2"/>
      <c r="D15" s="62"/>
      <c r="E15" s="268"/>
      <c r="F15" s="5"/>
      <c r="G15" s="5"/>
      <c r="H15" s="5"/>
      <c r="I15" s="5"/>
      <c r="J15" s="5"/>
      <c r="K15" s="5"/>
      <c r="L15" s="5"/>
      <c r="M15" s="5"/>
      <c r="N15" s="5"/>
      <c r="O15" s="5"/>
      <c r="P15" s="5"/>
      <c r="Q15" s="5"/>
      <c r="R15" s="5"/>
      <c r="S15" s="5"/>
    </row>
    <row r="16" spans="1:19" ht="15.6" x14ac:dyDescent="0.3">
      <c r="A16" s="84" t="str">
        <f>LEFT(A15,4)+1&amp;"–"&amp;RIGHT(A15,4)+1</f>
        <v>2025–2026</v>
      </c>
      <c r="B16" s="2"/>
      <c r="C16" s="2"/>
      <c r="D16" s="62"/>
      <c r="E16" s="268"/>
      <c r="F16" s="5"/>
      <c r="G16" s="5"/>
      <c r="H16" s="5"/>
      <c r="I16" s="5"/>
      <c r="J16" s="5"/>
      <c r="K16" s="5"/>
      <c r="L16" s="5"/>
      <c r="M16" s="5"/>
      <c r="N16" s="5"/>
      <c r="O16" s="5"/>
      <c r="P16" s="5"/>
      <c r="Q16" s="5"/>
      <c r="R16" s="5"/>
      <c r="S16" s="5"/>
    </row>
    <row r="17" spans="1:19" ht="15.6" x14ac:dyDescent="0.3">
      <c r="A17" s="84" t="str">
        <f>LEFT(A16,4)+1&amp;"–"&amp;RIGHT(A16,4)+1</f>
        <v>2026–2027</v>
      </c>
      <c r="B17" s="2"/>
      <c r="C17" s="2"/>
      <c r="D17" s="62"/>
      <c r="E17" s="268"/>
      <c r="F17" s="5"/>
      <c r="G17" s="5"/>
      <c r="H17" s="5"/>
      <c r="I17" s="5"/>
      <c r="J17" s="5"/>
      <c r="K17" s="5"/>
      <c r="L17" s="5"/>
      <c r="M17" s="5"/>
      <c r="N17" s="5"/>
      <c r="O17" s="5"/>
      <c r="P17" s="5"/>
      <c r="Q17" s="5"/>
      <c r="R17" s="5"/>
      <c r="S17" s="5"/>
    </row>
    <row r="18" spans="1:19" ht="15.6" x14ac:dyDescent="0.3">
      <c r="A18" s="84" t="str">
        <f>LEFT(A17,4)+1&amp;"–"&amp;RIGHT(A17,4)+1</f>
        <v>2027–2028</v>
      </c>
      <c r="B18" s="2"/>
      <c r="C18" s="2"/>
      <c r="D18" s="62"/>
      <c r="E18" s="98"/>
      <c r="F18" s="5"/>
      <c r="G18" s="88"/>
      <c r="H18" s="88"/>
      <c r="I18" s="5"/>
      <c r="J18" s="88"/>
      <c r="K18" s="88"/>
      <c r="L18" s="5"/>
      <c r="M18" s="5"/>
      <c r="N18" s="5"/>
      <c r="O18" s="5"/>
      <c r="P18" s="5"/>
      <c r="Q18" s="5"/>
      <c r="R18" s="5"/>
      <c r="S18" s="5"/>
    </row>
    <row r="19" spans="1:19" ht="15.6" x14ac:dyDescent="0.3">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5">
      <c r="A21" s="84" t="str">
        <f t="shared" si="0"/>
        <v>2038–2043</v>
      </c>
      <c r="B21" s="2"/>
      <c r="C21" s="2"/>
      <c r="D21" s="62"/>
      <c r="E21" s="268"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68"/>
      <c r="G22" s="22"/>
      <c r="H22" s="22"/>
    </row>
    <row r="23" spans="1:19" x14ac:dyDescent="0.25">
      <c r="A23" s="84" t="str">
        <f t="shared" si="0"/>
        <v>2048–2053</v>
      </c>
      <c r="B23" s="2"/>
      <c r="C23" s="2"/>
      <c r="D23" s="62"/>
      <c r="E23" s="98"/>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64" t="str">
        <f>B9</f>
        <v>2022–2023</v>
      </c>
      <c r="C40" s="264"/>
      <c r="D40" s="20"/>
      <c r="F40" s="89"/>
      <c r="G40" s="89"/>
      <c r="H40" s="89"/>
      <c r="I40" s="89"/>
    </row>
    <row r="41" spans="1:19" ht="15.6" x14ac:dyDescent="0.3">
      <c r="A41" s="12" t="s">
        <v>210</v>
      </c>
      <c r="B41" s="279">
        <f>B10</f>
        <v>0</v>
      </c>
      <c r="C41" s="279"/>
      <c r="D41" s="91"/>
    </row>
    <row r="42" spans="1:19" ht="15.6" x14ac:dyDescent="0.3">
      <c r="A42" s="12" t="s">
        <v>209</v>
      </c>
      <c r="B42" s="264">
        <f>B11</f>
        <v>0</v>
      </c>
      <c r="C42" s="264"/>
      <c r="D42" s="55"/>
    </row>
    <row r="43" spans="1:19" ht="30" customHeight="1" x14ac:dyDescent="0.3">
      <c r="A43" s="291" t="s">
        <v>10</v>
      </c>
      <c r="B43" s="291"/>
      <c r="C43" s="291"/>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8" t="s">
        <v>219</v>
      </c>
    </row>
    <row r="46" spans="1:19" x14ac:dyDescent="0.25">
      <c r="A46" s="84" t="str">
        <f>LEFT(A45,4)+1&amp;"–"&amp;RIGHT(A45,4)+1</f>
        <v>2024–2025</v>
      </c>
      <c r="B46" s="2"/>
      <c r="C46" s="2"/>
      <c r="D46" s="62"/>
      <c r="E46" s="268"/>
    </row>
    <row r="47" spans="1:19" x14ac:dyDescent="0.25">
      <c r="A47" s="84" t="str">
        <f>LEFT(A46,4)+1&amp;"–"&amp;RIGHT(A46,4)+1</f>
        <v>2025–2026</v>
      </c>
      <c r="B47" s="2"/>
      <c r="C47" s="2"/>
      <c r="D47" s="62"/>
      <c r="E47" s="268"/>
    </row>
    <row r="48" spans="1:19" ht="15" customHeight="1" x14ac:dyDescent="0.25">
      <c r="A48" s="84" t="str">
        <f>LEFT(A47,4)+1&amp;"–"&amp;RIGHT(A47,4)+1</f>
        <v>2026–2027</v>
      </c>
      <c r="B48" s="2"/>
      <c r="C48" s="2"/>
      <c r="D48" s="87"/>
      <c r="E48" s="268"/>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8"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8"/>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64" t="str">
        <f>B40</f>
        <v>2022–2023</v>
      </c>
      <c r="C71" s="264"/>
      <c r="D71" s="20"/>
    </row>
    <row r="72" spans="1:19" ht="15.6" x14ac:dyDescent="0.3">
      <c r="A72" s="12" t="s">
        <v>210</v>
      </c>
      <c r="B72" s="279">
        <f>B41</f>
        <v>0</v>
      </c>
      <c r="C72" s="279"/>
      <c r="D72" s="91"/>
    </row>
    <row r="73" spans="1:19" ht="15.6" x14ac:dyDescent="0.3">
      <c r="A73" s="12" t="s">
        <v>209</v>
      </c>
      <c r="B73" s="264">
        <f>B42</f>
        <v>0</v>
      </c>
      <c r="C73" s="264"/>
      <c r="D73" s="55"/>
    </row>
    <row r="74" spans="1:19" ht="30" customHeight="1" x14ac:dyDescent="0.3">
      <c r="A74" s="291" t="s">
        <v>10</v>
      </c>
      <c r="B74" s="291"/>
      <c r="C74" s="291"/>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8" t="s">
        <v>219</v>
      </c>
    </row>
    <row r="77" spans="1:19" x14ac:dyDescent="0.25">
      <c r="A77" s="84" t="str">
        <f>LEFT(A76,4)+1&amp;"–"&amp;RIGHT(A76,4)+1</f>
        <v>2024–2025</v>
      </c>
      <c r="B77" s="2"/>
      <c r="C77" s="2"/>
      <c r="D77" s="62"/>
      <c r="E77" s="268"/>
    </row>
    <row r="78" spans="1:19" x14ac:dyDescent="0.25">
      <c r="A78" s="84" t="str">
        <f>LEFT(A77,4)+1&amp;"–"&amp;RIGHT(A77,4)+1</f>
        <v>2025–2026</v>
      </c>
      <c r="B78" s="2"/>
      <c r="C78" s="2"/>
      <c r="D78" s="62"/>
      <c r="E78" s="268"/>
    </row>
    <row r="79" spans="1:19" x14ac:dyDescent="0.25">
      <c r="A79" s="84" t="str">
        <f>LEFT(A78,4)+1&amp;"–"&amp;RIGHT(A78,4)+1</f>
        <v>2026–2027</v>
      </c>
      <c r="B79" s="2"/>
      <c r="C79" s="2"/>
      <c r="D79" s="87"/>
      <c r="E79" s="268"/>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8"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8"/>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0" t="s">
        <v>1675</v>
      </c>
      <c r="B5" s="280"/>
      <c r="C5" s="280"/>
      <c r="D5" s="280"/>
      <c r="E5" s="280"/>
      <c r="F5" s="280"/>
      <c r="G5" s="280"/>
      <c r="H5" s="280"/>
      <c r="I5" s="280"/>
      <c r="J5" s="280"/>
      <c r="K5" s="280"/>
      <c r="L5" s="280"/>
      <c r="M5" s="280"/>
      <c r="N5" s="280"/>
      <c r="O5" s="280"/>
      <c r="P5" s="280"/>
      <c r="Q5" s="280"/>
    </row>
    <row r="6" spans="1:17" ht="15" customHeight="1" x14ac:dyDescent="0.3">
      <c r="A6" s="280"/>
      <c r="B6" s="280"/>
      <c r="C6" s="280"/>
      <c r="D6" s="280"/>
      <c r="E6" s="280"/>
      <c r="F6" s="280"/>
      <c r="G6" s="280"/>
      <c r="H6" s="280"/>
      <c r="I6" s="280"/>
      <c r="J6" s="280"/>
      <c r="K6" s="280"/>
      <c r="L6" s="280"/>
      <c r="M6" s="280"/>
      <c r="N6" s="280"/>
      <c r="O6" s="280"/>
      <c r="P6" s="280"/>
      <c r="Q6" s="280"/>
    </row>
    <row r="7" spans="1:17" x14ac:dyDescent="0.3">
      <c r="A7" s="280"/>
      <c r="B7" s="280"/>
      <c r="C7" s="280"/>
      <c r="D7" s="280"/>
      <c r="E7" s="280"/>
      <c r="F7" s="280"/>
      <c r="G7" s="280"/>
      <c r="H7" s="280"/>
      <c r="I7" s="280"/>
      <c r="J7" s="280"/>
      <c r="K7" s="280"/>
      <c r="L7" s="280"/>
      <c r="M7" s="280"/>
      <c r="N7" s="280"/>
      <c r="O7" s="280"/>
      <c r="P7" s="280"/>
      <c r="Q7" s="280"/>
    </row>
    <row r="8" spans="1:17" ht="15" customHeight="1" x14ac:dyDescent="0.3">
      <c r="A8" s="281" t="s">
        <v>1660</v>
      </c>
      <c r="B8" s="281"/>
      <c r="C8" s="281"/>
      <c r="D8" s="281"/>
      <c r="E8" s="281"/>
      <c r="F8" s="281"/>
      <c r="G8" s="281"/>
      <c r="H8" s="281"/>
      <c r="I8" s="281"/>
      <c r="J8" s="281"/>
      <c r="K8" s="281"/>
      <c r="L8" s="281"/>
      <c r="M8" s="281"/>
      <c r="N8" s="281"/>
      <c r="O8" s="281"/>
      <c r="P8" s="281"/>
      <c r="Q8" s="281"/>
    </row>
    <row r="9" spans="1:17" x14ac:dyDescent="0.3">
      <c r="A9" s="281"/>
      <c r="B9" s="281"/>
      <c r="C9" s="281"/>
      <c r="D9" s="281"/>
      <c r="E9" s="281"/>
      <c r="F9" s="281"/>
      <c r="G9" s="281"/>
      <c r="H9" s="281"/>
      <c r="I9" s="281"/>
      <c r="J9" s="281"/>
      <c r="K9" s="281"/>
      <c r="L9" s="281"/>
      <c r="M9" s="281"/>
      <c r="N9" s="281"/>
      <c r="O9" s="281"/>
      <c r="P9" s="281"/>
      <c r="Q9" s="281"/>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2" t="s">
        <v>153</v>
      </c>
      <c r="C13" s="282"/>
      <c r="D13" s="282"/>
      <c r="E13" s="282"/>
      <c r="F13" s="282"/>
      <c r="G13" s="282"/>
      <c r="H13" s="282"/>
      <c r="I13" s="282"/>
      <c r="J13" s="282"/>
      <c r="K13" s="282"/>
      <c r="L13" s="282"/>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c r="C16" s="168" t="s">
        <v>156</v>
      </c>
      <c r="D16" s="130"/>
      <c r="E16" s="170" t="s">
        <v>157</v>
      </c>
      <c r="F16" s="130"/>
      <c r="G16" s="169" t="s">
        <v>157</v>
      </c>
      <c r="H16" s="130"/>
      <c r="I16" s="169" t="s">
        <v>156</v>
      </c>
      <c r="J16" s="130"/>
      <c r="K16" s="170" t="s">
        <v>160</v>
      </c>
      <c r="L16" s="133">
        <f>+B16+D16-F16-H16+J16</f>
        <v>0</v>
      </c>
      <c r="M16" s="132"/>
      <c r="N16" s="134">
        <f>SUM('LR-Department Note Disclosure'!B14:B37)</f>
        <v>0</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2" t="s">
        <v>153</v>
      </c>
      <c r="C21" s="282"/>
      <c r="D21" s="282"/>
      <c r="E21" s="282"/>
      <c r="F21" s="282"/>
      <c r="G21" s="282"/>
      <c r="H21" s="282"/>
      <c r="I21" s="282"/>
      <c r="J21" s="282"/>
      <c r="K21" s="282"/>
      <c r="L21" s="282"/>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c r="C24" s="168" t="s">
        <v>156</v>
      </c>
      <c r="D24" s="130"/>
      <c r="E24" s="170" t="s">
        <v>157</v>
      </c>
      <c r="F24" s="130"/>
      <c r="G24" s="169" t="s">
        <v>157</v>
      </c>
      <c r="H24" s="130"/>
      <c r="I24" s="169" t="s">
        <v>156</v>
      </c>
      <c r="J24" s="130"/>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2" t="s">
        <v>153</v>
      </c>
      <c r="C30" s="282"/>
      <c r="D30" s="282"/>
      <c r="E30" s="282"/>
      <c r="F30" s="282"/>
      <c r="G30" s="282"/>
      <c r="H30" s="282"/>
      <c r="I30" s="282"/>
      <c r="J30" s="282"/>
      <c r="K30" s="282"/>
      <c r="L30" s="282"/>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c r="C33" s="168" t="s">
        <v>156</v>
      </c>
      <c r="D33" s="130"/>
      <c r="E33" s="170" t="s">
        <v>157</v>
      </c>
      <c r="F33" s="130"/>
      <c r="G33" s="169" t="s">
        <v>157</v>
      </c>
      <c r="H33" s="130"/>
      <c r="I33" s="169" t="s">
        <v>156</v>
      </c>
      <c r="J33" s="130"/>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2" t="s">
        <v>153</v>
      </c>
      <c r="C40" s="282"/>
      <c r="D40" s="282"/>
      <c r="E40" s="147"/>
      <c r="F40" s="147"/>
      <c r="G40" s="147"/>
      <c r="H40" s="147"/>
      <c r="I40" s="147"/>
      <c r="J40" s="147"/>
      <c r="K40" s="147"/>
      <c r="L40" s="147"/>
      <c r="M40" s="122"/>
      <c r="N40" s="123" t="s">
        <v>154</v>
      </c>
      <c r="O40" s="124"/>
      <c r="P40" s="124"/>
      <c r="Q40" s="121"/>
    </row>
    <row r="41" spans="1:17" ht="15" customHeight="1" x14ac:dyDescent="0.3">
      <c r="A41" s="121"/>
      <c r="B41" s="125" t="s">
        <v>1682</v>
      </c>
      <c r="C41" s="121"/>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c r="C42" s="138"/>
      <c r="E42" s="138"/>
      <c r="G42" s="167"/>
      <c r="H42" s="167"/>
      <c r="I42" s="167"/>
      <c r="J42" s="167"/>
      <c r="K42" s="138"/>
      <c r="L42" s="138"/>
      <c r="M42" s="139"/>
      <c r="N42" s="134">
        <f>'LR-Department Note Disclosure'!B14</f>
        <v>0</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2" t="s">
        <v>153</v>
      </c>
      <c r="C47" s="282"/>
      <c r="D47" s="282"/>
      <c r="E47" s="147"/>
      <c r="F47" s="147"/>
      <c r="G47" s="147"/>
      <c r="H47" s="147"/>
      <c r="I47" s="147"/>
      <c r="J47" s="147"/>
      <c r="K47" s="147"/>
      <c r="L47" s="147"/>
      <c r="M47" s="122"/>
      <c r="N47" s="123" t="s">
        <v>154</v>
      </c>
      <c r="O47" s="124"/>
      <c r="P47" s="124"/>
      <c r="Q47" s="121"/>
    </row>
    <row r="48" spans="1:17" ht="15" customHeight="1" x14ac:dyDescent="0.3">
      <c r="A48" s="121"/>
      <c r="B48" s="125" t="s">
        <v>1682</v>
      </c>
      <c r="C48" s="121"/>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2" t="s">
        <v>153</v>
      </c>
      <c r="C55" s="282"/>
      <c r="D55" s="282"/>
      <c r="E55" s="147"/>
      <c r="F55" s="147"/>
      <c r="G55" s="147"/>
      <c r="H55" s="147"/>
      <c r="I55" s="147"/>
      <c r="J55" s="147"/>
      <c r="K55" s="147"/>
      <c r="L55" s="147"/>
      <c r="M55" s="122"/>
      <c r="N55" s="123" t="s">
        <v>154</v>
      </c>
      <c r="O55" s="124"/>
      <c r="P55" s="124"/>
      <c r="Q55" s="121"/>
    </row>
    <row r="56" spans="1:17" ht="15" customHeight="1" x14ac:dyDescent="0.3">
      <c r="A56" s="121"/>
      <c r="B56" s="125" t="s">
        <v>1682</v>
      </c>
      <c r="C56" s="121"/>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4s3JA7hGa2yxyNEkIz/mKtWQC+FM6+A7TQZBy4BzJQvu7EVNGozdwkgVMsd8+xVYF0Ugr5x1fYVKDBFmDQBpMw==" saltValue="lgWXsu+olH3zBh4e5uhPt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49" t="s">
        <v>1805</v>
      </c>
      <c r="B1" s="250"/>
      <c r="C1" s="250"/>
      <c r="D1" s="250"/>
      <c r="E1" s="250"/>
      <c r="F1" s="251"/>
    </row>
    <row r="2" spans="1:6" x14ac:dyDescent="0.3">
      <c r="A2" s="252"/>
      <c r="B2" s="253"/>
      <c r="C2" s="253"/>
      <c r="D2" s="253"/>
      <c r="E2" s="253"/>
      <c r="F2" s="254"/>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F2"/>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57" t="s">
        <v>1666</v>
      </c>
      <c r="B1" s="257"/>
      <c r="C1" s="257"/>
      <c r="D1" s="257"/>
      <c r="E1" s="257"/>
      <c r="F1" s="257"/>
      <c r="G1" s="257"/>
      <c r="H1" s="257"/>
      <c r="I1" s="257"/>
      <c r="J1" s="257"/>
      <c r="K1" s="257"/>
      <c r="L1" s="151"/>
      <c r="M1" s="151"/>
      <c r="N1" s="151"/>
      <c r="O1" s="151"/>
    </row>
    <row r="2" spans="1:19" ht="15" customHeight="1" x14ac:dyDescent="0.3">
      <c r="A2" s="285" t="s">
        <v>0</v>
      </c>
      <c r="B2" s="285"/>
      <c r="C2" s="285"/>
      <c r="D2" s="285"/>
      <c r="E2" s="285"/>
      <c r="F2" s="285"/>
      <c r="G2" s="285"/>
      <c r="H2" s="285"/>
      <c r="I2" s="285"/>
      <c r="J2" s="285"/>
      <c r="K2" s="285"/>
      <c r="L2" s="165"/>
      <c r="M2" s="165"/>
      <c r="N2" s="165"/>
      <c r="O2" s="165"/>
    </row>
    <row r="3" spans="1:19" ht="15.6" x14ac:dyDescent="0.3">
      <c r="A3" s="255" t="s">
        <v>13</v>
      </c>
      <c r="B3" s="255"/>
      <c r="C3" s="255"/>
      <c r="D3" s="255"/>
      <c r="E3" s="255"/>
      <c r="F3" s="258" t="s">
        <v>24</v>
      </c>
      <c r="G3" s="258"/>
      <c r="H3" s="258"/>
      <c r="I3" s="258"/>
    </row>
    <row r="4" spans="1:19" ht="15.6" x14ac:dyDescent="0.25">
      <c r="A4" s="255" t="s">
        <v>209</v>
      </c>
      <c r="B4" s="255"/>
      <c r="C4" s="255"/>
      <c r="D4" s="255"/>
      <c r="E4" s="255"/>
      <c r="F4" s="256"/>
      <c r="G4" s="256"/>
      <c r="H4" s="256"/>
      <c r="I4" s="256"/>
      <c r="L4" s="39"/>
      <c r="M4" s="39"/>
      <c r="N4" s="39"/>
      <c r="O4" s="39"/>
      <c r="P4" s="39"/>
      <c r="Q4" s="39"/>
    </row>
    <row r="5" spans="1:19" ht="15.6" x14ac:dyDescent="0.25">
      <c r="A5" s="255" t="s">
        <v>1640</v>
      </c>
      <c r="B5" s="255"/>
      <c r="C5" s="255"/>
      <c r="D5" s="255"/>
      <c r="E5" s="255"/>
      <c r="F5" s="256"/>
      <c r="G5" s="256"/>
      <c r="H5" s="256"/>
      <c r="I5" s="256"/>
      <c r="L5" s="40"/>
      <c r="M5" s="40"/>
      <c r="N5" s="40"/>
      <c r="O5" s="40"/>
      <c r="P5" s="39"/>
      <c r="Q5" s="39"/>
    </row>
    <row r="6" spans="1:19" ht="17.399999999999999" x14ac:dyDescent="0.3">
      <c r="A6" s="255" t="s">
        <v>2</v>
      </c>
      <c r="B6" s="255"/>
      <c r="C6" s="255"/>
      <c r="D6" s="255"/>
      <c r="E6" s="255"/>
      <c r="F6" s="259"/>
      <c r="G6" s="259"/>
      <c r="H6" s="259"/>
      <c r="I6" s="259"/>
      <c r="K6" s="96"/>
      <c r="L6" s="40"/>
      <c r="M6" s="40"/>
      <c r="N6" s="40"/>
      <c r="O6" s="40"/>
      <c r="P6" s="39"/>
      <c r="Q6" s="39"/>
    </row>
    <row r="7" spans="1:19" ht="17.399999999999999" x14ac:dyDescent="0.3">
      <c r="A7" s="255" t="s">
        <v>3</v>
      </c>
      <c r="B7" s="255"/>
      <c r="C7" s="255"/>
      <c r="D7" s="255"/>
      <c r="E7" s="255"/>
      <c r="F7" s="259"/>
      <c r="G7" s="259"/>
      <c r="H7" s="259"/>
      <c r="I7" s="259"/>
      <c r="K7" s="96"/>
      <c r="L7" s="40"/>
      <c r="M7" s="40"/>
      <c r="N7" s="40"/>
      <c r="O7" s="40"/>
      <c r="P7" s="39"/>
      <c r="Q7" s="39"/>
    </row>
    <row r="8" spans="1:19" ht="17.399999999999999" x14ac:dyDescent="0.3">
      <c r="A8" s="255" t="s">
        <v>1641</v>
      </c>
      <c r="B8" s="255"/>
      <c r="C8" s="255"/>
      <c r="D8" s="255"/>
      <c r="E8" s="255"/>
      <c r="F8" s="259"/>
      <c r="G8" s="259"/>
      <c r="H8" s="259"/>
      <c r="I8" s="259"/>
      <c r="K8" s="96"/>
      <c r="L8" s="40"/>
      <c r="M8" s="40"/>
      <c r="N8" s="40"/>
      <c r="O8" s="40"/>
      <c r="P8" s="39"/>
      <c r="Q8" s="39"/>
    </row>
    <row r="9" spans="1:19" ht="15.6" x14ac:dyDescent="0.3">
      <c r="A9" s="255" t="s">
        <v>1639</v>
      </c>
      <c r="B9" s="255"/>
      <c r="C9" s="255"/>
      <c r="D9" s="255"/>
      <c r="E9" s="255"/>
      <c r="F9" s="260" t="str">
        <f>IFERROR(IF(F7="Proprietary","Proprietary Fund",VLOOKUP(F5,qryIndex02a!$A$2:$K$654,4,FALSE)),"Unidentified")</f>
        <v>Unidentified</v>
      </c>
      <c r="G9" s="260"/>
      <c r="H9" s="260"/>
      <c r="I9" s="260"/>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1" t="s">
        <v>1671</v>
      </c>
      <c r="N14" s="262"/>
      <c r="P14" s="261" t="s">
        <v>1668</v>
      </c>
      <c r="Q14" s="262"/>
      <c r="S14" s="222" t="s">
        <v>1669</v>
      </c>
    </row>
    <row r="15" spans="1:19" ht="16.5" customHeight="1" x14ac:dyDescent="0.3">
      <c r="B15" s="26" t="s">
        <v>194</v>
      </c>
      <c r="C15" s="193"/>
      <c r="D15" s="193"/>
      <c r="E15" s="193"/>
      <c r="F15" s="194"/>
      <c r="G15" s="194"/>
      <c r="H15" s="195"/>
      <c r="I15" s="195"/>
      <c r="J15" s="247">
        <f>M15</f>
        <v>0</v>
      </c>
      <c r="M15" s="196"/>
      <c r="P15" s="196"/>
      <c r="Q15" s="224"/>
      <c r="S15" s="223">
        <f>P15-M15</f>
        <v>0</v>
      </c>
    </row>
    <row r="16" spans="1:19" ht="16.5" customHeight="1" x14ac:dyDescent="0.3">
      <c r="A16" s="99"/>
      <c r="B16" s="26" t="s">
        <v>195</v>
      </c>
      <c r="C16" s="193"/>
      <c r="D16" s="193"/>
      <c r="E16" s="193"/>
      <c r="F16" s="194"/>
      <c r="G16" s="194"/>
      <c r="H16" s="195"/>
      <c r="I16" s="195"/>
      <c r="J16" s="247">
        <f>M16</f>
        <v>0</v>
      </c>
      <c r="M16" s="196"/>
      <c r="P16" s="196"/>
      <c r="Q16" s="224"/>
      <c r="S16" s="223">
        <f>P16-M16</f>
        <v>0</v>
      </c>
    </row>
    <row r="17" spans="1:19" ht="16.5" customHeight="1" x14ac:dyDescent="0.3">
      <c r="A17" s="99"/>
      <c r="B17" s="26" t="s">
        <v>196</v>
      </c>
      <c r="C17" s="193"/>
      <c r="D17" s="193"/>
      <c r="E17" s="193"/>
      <c r="F17" s="194"/>
      <c r="G17" s="194"/>
      <c r="H17" s="195"/>
      <c r="I17" s="195"/>
      <c r="J17" s="247">
        <f>M17</f>
        <v>0</v>
      </c>
      <c r="M17" s="196"/>
      <c r="P17" s="196"/>
      <c r="Q17" s="224"/>
      <c r="S17" s="223">
        <f>P17-M17</f>
        <v>0</v>
      </c>
    </row>
    <row r="18" spans="1:19" ht="16.5" customHeight="1" x14ac:dyDescent="0.3">
      <c r="A18" s="99"/>
      <c r="B18" s="26" t="s">
        <v>179</v>
      </c>
      <c r="C18" s="193"/>
      <c r="D18" s="193"/>
      <c r="E18" s="193"/>
      <c r="F18" s="194"/>
      <c r="G18" s="194"/>
      <c r="H18" s="195"/>
      <c r="I18" s="195"/>
      <c r="J18" s="247">
        <f>P18</f>
        <v>0</v>
      </c>
      <c r="M18" s="196"/>
      <c r="P18" s="221">
        <f>IF(SUM($Q$21:$Q$23)&gt;SUM($P$15:$P$17),SUM($Q$21:$Q$23)-SUM($P$15:$P$17),0)</f>
        <v>0</v>
      </c>
      <c r="Q18" s="224"/>
      <c r="S18" s="223">
        <f>P18-M18</f>
        <v>0</v>
      </c>
    </row>
    <row r="19" spans="1:19" ht="16.5" customHeight="1" x14ac:dyDescent="0.3">
      <c r="A19" s="99"/>
      <c r="B19" s="26" t="s">
        <v>180</v>
      </c>
      <c r="C19" s="193"/>
      <c r="D19" s="193"/>
      <c r="E19" s="193"/>
      <c r="F19" s="194"/>
      <c r="G19" s="194"/>
      <c r="H19" s="195"/>
      <c r="I19" s="195"/>
      <c r="J19" s="247">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8"/>
      <c r="P20" s="224"/>
      <c r="Q20" s="224"/>
    </row>
    <row r="21" spans="1:19" ht="16.5" customHeight="1" x14ac:dyDescent="0.3">
      <c r="A21" s="99"/>
      <c r="B21" s="217"/>
      <c r="C21" s="26" t="s">
        <v>193</v>
      </c>
      <c r="D21" s="193"/>
      <c r="E21" s="193"/>
      <c r="F21" s="218"/>
      <c r="G21" s="218"/>
      <c r="H21" s="195"/>
      <c r="I21" s="195"/>
      <c r="J21" s="213"/>
      <c r="K21" s="247">
        <f>N21</f>
        <v>0</v>
      </c>
      <c r="N21" s="196"/>
      <c r="P21" s="224"/>
      <c r="Q21" s="196"/>
      <c r="S21" s="223">
        <f>Q21-N21</f>
        <v>0</v>
      </c>
    </row>
    <row r="22" spans="1:19" ht="16.5" customHeight="1" x14ac:dyDescent="0.3">
      <c r="A22" s="99"/>
      <c r="B22" s="217"/>
      <c r="C22" s="26" t="s">
        <v>190</v>
      </c>
      <c r="D22" s="193"/>
      <c r="E22" s="193"/>
      <c r="F22" s="218"/>
      <c r="G22" s="218"/>
      <c r="H22" s="195"/>
      <c r="I22" s="195"/>
      <c r="J22" s="213"/>
      <c r="K22" s="247">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7">
        <f>N23</f>
        <v>0</v>
      </c>
      <c r="N23" s="196"/>
      <c r="P23" s="224"/>
      <c r="Q23" s="196"/>
      <c r="S23" s="223">
        <f t="shared" si="0"/>
        <v>0</v>
      </c>
    </row>
    <row r="24" spans="1:19" ht="16.5" customHeight="1" x14ac:dyDescent="0.3">
      <c r="A24" s="99"/>
      <c r="B24" s="217"/>
      <c r="C24" s="26" t="s">
        <v>186</v>
      </c>
      <c r="D24" s="193"/>
      <c r="E24" s="193"/>
      <c r="F24" s="218"/>
      <c r="G24" s="218"/>
      <c r="H24" s="195"/>
      <c r="I24" s="195"/>
      <c r="J24" s="213"/>
      <c r="K24" s="247">
        <f>Q24</f>
        <v>0</v>
      </c>
      <c r="N24" s="196"/>
      <c r="P24" s="224"/>
      <c r="Q24" s="221">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7">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3" t="s">
        <v>1841</v>
      </c>
      <c r="C69" s="293"/>
      <c r="D69" s="293"/>
      <c r="E69" s="293"/>
      <c r="F69" s="293"/>
      <c r="G69" s="293"/>
      <c r="H69" s="293"/>
      <c r="I69" s="293"/>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3"/>
      <c r="C70" s="293"/>
      <c r="D70" s="293"/>
      <c r="E70" s="293"/>
      <c r="F70" s="293"/>
      <c r="G70" s="293"/>
      <c r="H70" s="293"/>
      <c r="I70" s="293"/>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FyEK255QjLc2+Epj3lGOBN+hRukBiqPRs3dGVtJNo/mHhqaqVog2bJcn4fL6KNl447BmufTswh1TKUrdl9YBSw==" saltValue="V5kE5TJeOFnQoVleOkV1H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F2"/>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8980AB0-7258-417C-87E5-B3ADF25C8168}"/>
</file>

<file path=customXml/itemProps2.xml><?xml version="1.0" encoding="utf-8"?>
<ds:datastoreItem xmlns:ds="http://schemas.openxmlformats.org/officeDocument/2006/customXml" ds:itemID="{D2BD7ED3-8A15-44A4-8314-959CD5FBD832}"/>
</file>

<file path=customXml/itemProps3.xml><?xml version="1.0" encoding="utf-8"?>
<ds:datastoreItem xmlns:ds="http://schemas.openxmlformats.org/officeDocument/2006/customXml" ds:itemID="{3E21599A-3C06-4983-BABD-02A85310F4C6}"/>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Drop Down Menus</vt:lpstr>
      <vt:lpstr>qryIndex02a</vt:lpstr>
      <vt:lpstr>LS-Version Changes</vt:lpstr>
      <vt:lpstr>LS-Fund 3228 Journal Entries</vt:lpstr>
      <vt:lpstr>LS-Fund 6043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3228 Journal Entries'!Print_Area</vt:lpstr>
      <vt:lpstr>'LS-Fund 6043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2024-05-10T15:57:55Z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