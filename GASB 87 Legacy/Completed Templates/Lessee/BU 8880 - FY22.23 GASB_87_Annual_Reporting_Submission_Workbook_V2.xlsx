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8880\"/>
    </mc:Choice>
  </mc:AlternateContent>
  <xr:revisionPtr revIDLastSave="0" documentId="13_ncr:1_{BF470F69-4D35-49EC-A98A-5981F9CF5766}"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Disclosure'!$A$1:$F$85</definedName>
    <definedName name="_xlnm.Print_Area" localSheetId="3">'LS-Fund 0001 Journal Entries'!$A$1:$K$117</definedName>
    <definedName name="_xlnm.Print_Area" localSheetId="5">'LS-Lease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<sst xmlns="http://schemas.openxmlformats.org/spreadsheetml/2006/main" count="7784" uniqueCount="1761">
  <si>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</si>
  <si>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</si>
  <si>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</si>
  <si>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</si>
  <si>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</si>
  <si>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</si>
  <si>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</si>
  <si>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</si>
  <si>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</si>
  <si>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</si>
  <si>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</si>
  <si>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</si>
  <si>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</si>
  <si>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</si>
  <si>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</si>
  <si>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</si>
  <si>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</si>
  <si>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</si>
  <si>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</si>
  <si>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</si>
  <si>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</si>
  <si>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</si>
  <si>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</si>
  <si>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</si>
  <si>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</si>
  <si>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</si>
  <si>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</si>
  <si>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</si>
  <si>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</si>
  <si>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</si>
  <si>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</si>
  <si>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</si>
  <si>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</si>
  <si>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</si>
  <si>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</si>
  <si>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</si>
  <si>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</si>
  <si>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</si>
  <si>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</si>
  <si>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</si>
  <si>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</si>
  <si>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</si>
  <si>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</si>
  <si>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</si>
  <si>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</si>
  <si>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</si>
  <si>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</si>
  <si>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</si>
  <si>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</si>
  <si>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</si>
  <si>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</si>
  <si>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</si>
  <si>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</si>
  <si>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</si>
  <si>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</si>
  <si>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</si>
  <si>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</si>
  <si>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</si>
  <si>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</si>
  <si>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</si>
  <si>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</si>
  <si>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</si>
  <si>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</si>
  <si>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</si>
  <si>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</si>
  <si>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</si>
  <si>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</si>
  <si>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</si>
  <si>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</si>
  <si>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</si>
  <si>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</si>
  <si>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</si>
  <si>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</si>
  <si>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</si>
  <si>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</si>
  <si>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</si>
  <si>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</si>
  <si>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</si>
  <si>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</si>
  <si>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</si>
  <si>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</si>
  <si>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</si>
  <si>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</si>
  <si>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</si>
  <si>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</si>
  <si>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</si>
  <si>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</si>
  <si>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</si>
  <si>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</si>
  <si>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</si>
  <si>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</si>
  <si>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</si>
  <si>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</si>
  <si>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</si>
  <si>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</si>
  <si>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</si>
  <si>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</si>
  <si>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</si>
  <si>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</si>
  <si>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</si>
  <si>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</si>
  <si>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</si>
  <si>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</si>
  <si>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</si>
  <si>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</si>
  <si>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</si>
  <si>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</si>
  <si>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</si>
  <si>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</si>
  <si>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</si>
  <si>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</si>
  <si>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</si>
  <si>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</si>
  <si>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</si>
  <si>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</si>
  <si>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</si>
  <si>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</si>
  <si>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</si>
  <si>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</si>
  <si>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</si>
  <si>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</si>
  <si>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</si>
  <si>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</si>
  <si>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</si>
  <si>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</si>
  <si>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</si>
  <si>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</si>
  <si>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</si>
  <si>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</si>
  <si>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</si>
  <si>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</si>
  <si>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</si>
  <si>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</si>
  <si>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</si>
  <si>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</si>
  <si>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</si>
  <si>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</si>
  <si>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</si>
  <si>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</si>
  <si>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</si>
  <si>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</si>
  <si>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</si>
  <si>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</si>
  <si>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</si>
  <si>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</si>
  <si>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</si>
  <si>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</si>
  <si>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</si>
  <si>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</si>
  <si>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</si>
  <si>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</si>
  <si>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</si>
  <si>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</si>
  <si>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</si>
  <si>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</si>
  <si>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</si>
  <si>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</si>
  <si>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</si>
  <si>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</si>
  <si>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</si>
  <si>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</si>
  <si>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</si>
  <si>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</si>
  <si>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</si>
  <si>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</si>
  <si>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</si>
  <si>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</si>
  <si>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</si>
  <si>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</si>
  <si>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</si>
  <si>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</si>
  <si>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</si>
  <si>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</si>
  <si>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</si>
  <si>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</si>
  <si>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</si>
  <si>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</si>
  <si>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</si>
  <si>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</si>
  <si>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</si>
  <si>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</si>
  <si>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</si>
  <si>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</si>
  <si>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</si>
  <si>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</si>
  <si>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</si>
  <si>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</si>
  <si>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</si>
  <si>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</si>
  <si>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</si>
  <si>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</si>
  <si>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</si>
  <si>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</si>
  <si>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</si>
  <si>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</si>
  <si>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</si>
  <si>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</si>
  <si>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</si>
  <si>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</si>
  <si>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</si>
  <si>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</si>
  <si>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</si>
  <si>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</si>
  <si>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</si>
  <si>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</si>
  <si>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</si>
  <si>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</si>
  <si>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</si>
  <si>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</si>
  <si>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</si>
  <si>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</si>
  <si>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</si>
  <si>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</si>
  <si>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</si>
  <si>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</si>
  <si>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</si>
  <si>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</si>
  <si>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</si>
  <si>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</si>
  <si>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</si>
  <si>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</si>
  <si>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</si>
  <si>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</si>
  <si>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</si>
  <si>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</si>
  <si>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</si>
  <si>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</si>
  <si>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</si>
  <si>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</si>
  <si>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</si>
  <si>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</si>
  <si>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</si>
  <si>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</si>
  <si>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</si>
  <si>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</si>
  <si>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</si>
  <si>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</si>
  <si>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</si>
  <si>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</si>
  <si>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</si>
  <si>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</si>
  <si>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</si>
  <si>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</si>
  <si>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</si>
  <si>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</si>
  <si>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</si>
  <si>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</si>
  <si>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</si>
  <si>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</si>
  <si>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</si>
  <si>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</si>
  <si>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</si>
  <si>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</si>
  <si>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</si>
  <si>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</si>
  <si>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</si>
  <si>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</si>
  <si>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</si>
  <si>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</si>
  <si>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</si>
  <si>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</si>
  <si>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</si>
  <si>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</si>
  <si>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</si>
  <si>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</si>
  <si>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</si>
  <si>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</si>
  <si>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</si>
  <si>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</si>
  <si>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</si>
  <si>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</si>
  <si>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</si>
  <si>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</si>
  <si>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</si>
  <si>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</si>
  <si>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</si>
  <si>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</si>
  <si>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</si>
  <si>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</si>
  <si>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</si>
  <si>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</si>
  <si>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</si>
  <si>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</si>
  <si>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</si>
  <si>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</si>
  <si>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</si>
  <si>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</si>
  <si>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</si>
  <si>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</si>
  <si>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</si>
  <si>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</si>
  <si>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</si>
  <si>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</si>
  <si>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</si>
  <si>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</si>
  <si>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</si>
  <si>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</si>
  <si>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</si>
  <si>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</si>
  <si>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</si>
  <si>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</si>
  <si>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</si>
  <si>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</si>
  <si>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</si>
  <si>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</si>
  <si>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</si>
  <si>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</si>
  <si>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</si>
  <si>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</si>
  <si>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</si>
  <si>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</si>
  <si>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</si>
  <si>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</si>
  <si>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</si>
  <si>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</si>
  <si>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</si>
  <si>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</si>
  <si>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</si>
  <si>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</si>
  <si>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</si>
  <si>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</si>
  <si>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</si>
  <si>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</si>
  <si>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</si>
  <si>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</si>
  <si>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</si>
  <si>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</si>
  <si>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</si>
  <si>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</si>
  <si>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</si>
  <si>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</si>
  <si>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</si>
  <si>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</si>
  <si>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</si>
  <si>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</si>
  <si>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</si>
  <si>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</si>
  <si>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</si>
  <si>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</si>
  <si>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</si>
  <si>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</si>
  <si>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</si>
  <si>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</si>
  <si>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</si>
  <si>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</si>
  <si>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</si>
  <si>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</si>
  <si>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</si>
  <si>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</si>
  <si>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</si>
  <si>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</si>
  <si>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</si>
  <si>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</si>
  <si>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</si>
  <si>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</si>
  <si>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</si>
  <si>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</si>
  <si>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</si>
  <si>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</si>
  <si>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</si>
  <si>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</si>
  <si>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</si>
  <si>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</si>
  <si>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</si>
  <si>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</si>
  <si>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</si>
  <si>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</si>
  <si>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</si>
  <si>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</si>
  <si>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</si>
  <si>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</si>
  <si>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</si>
  <si>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</si>
  <si>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</si>
  <si>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</si>
  <si>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</si>
  <si>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</si>
  <si>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</si>
  <si>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</si>
  <si>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</si>
  <si>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</si>
  <si>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</si>
  <si>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</si>
  <si>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</si>
  <si>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</si>
  <si>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</si>
  <si>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</si>
  <si>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</si>
  <si>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</si>
  <si>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</si>
  <si>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</si>
  <si>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</si>
  <si>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</si>
  <si>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</si>
  <si>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</si>
  <si>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</si>
  <si>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</si>
  <si>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</si>
  <si>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</si>
  <si>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</si>
  <si>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</si>
  <si>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</si>
  <si>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</si>
  <si>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</si>
  <si>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</si>
  <si>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</si>
  <si>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</si>
  <si>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</si>
  <si>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</si>
  <si>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</si>
  <si>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</si>
  <si>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</si>
  <si>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</si>
  <si>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</si>
  <si>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</si>
  <si>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</si>
  <si>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</si>
  <si>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</si>
  <si>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</si>
  <si>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</si>
  <si>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</si>
  <si>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</si>
  <si>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</si>
  <si>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</si>
  <si>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</si>
  <si>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</si>
  <si>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</si>
  <si>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</si>
  <si>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</si>
  <si>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</si>
  <si>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</si>
  <si>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</si>
  <si>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</si>
  <si>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</si>
  <si>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</si>
  <si>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</si>
  <si>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</si>
  <si>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</si>
  <si>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</si>
  <si>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</si>
  <si>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</si>
  <si>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</si>
  <si>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</si>
  <si>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</si>
  <si>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</si>
  <si>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</si>
  <si>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</si>
  <si>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</si>
  <si>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</si>
  <si>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</si>
  <si>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</si>
  <si>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</si>
  <si>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</si>
  <si>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</si>
  <si>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</si>
  <si>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</si>
  <si>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</si>
  <si>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</si>
  <si>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</si>
  <si>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</si>
  <si>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</si>
  <si>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</si>
  <si>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</si>
  <si>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</si>
  <si>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</si>
  <si>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</si>
  <si>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</si>
  <si>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</si>
  <si>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</si>
  <si>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</si>
  <si>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</si>
  <si>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</si>
  <si>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</si>
  <si>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</si>
  <si>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</si>
  <si>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</si>
  <si>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</si>
  <si>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</si>
  <si>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</si>
  <si>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</si>
  <si>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</si>
  <si>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</si>
  <si>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</si>
  <si>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</si>
  <si>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</si>
  <si>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</si>
  <si>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</si>
  <si>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</si>
  <si>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</si>
  <si>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</si>
  <si>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</si>
  <si>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</si>
  <si>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</si>
  <si>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</si>
  <si>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</si>
  <si>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</si>
  <si>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</si>
  <si>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</si>
  <si>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</si>
  <si>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</si>
  <si>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</si>
  <si>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</si>
  <si>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</si>
  <si>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</si>
  <si>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</si>
  <si>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</si>
  <si>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</si>
  <si>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</si>
  <si>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</si>
  <si>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</si>
  <si>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</si>
  <si>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</si>
  <si>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</si>
  <si>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</si>
  <si>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</si>
  <si>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</si>
  <si>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</si>
  <si>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</si>
  <si>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</si>
  <si>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</si>
  <si>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</si>
  <si>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</si>
  <si>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</si>
  <si>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</si>
  <si>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</si>
  <si>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</si>
  <si>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</si>
  <si>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</si>
  <si>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</si>
  <si>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</si>
  <si>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</si>
  <si>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</si>
  <si>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</si>
  <si>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</si>
  <si>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</si>
  <si>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</si>
  <si>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</si>
  <si>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</si>
  <si>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</si>
  <si>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</si>
  <si>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</si>
  <si>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</si>
  <si>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</si>
  <si>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</si>
  <si>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</si>
  <si>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</si>
  <si>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</si>
  <si>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</si>
  <si>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</si>
  <si>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</si>
  <si>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</si>
  <si>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</si>
  <si>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</si>
  <si>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</si>
  <si>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</si>
  <si>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</si>
  <si>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</si>
  <si>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</si>
  <si>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</si>
  <si>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</si>
  <si>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</si>
  <si>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</si>
  <si>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</si>
  <si>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</si>
  <si>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</si>
  <si>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</si>
  <si>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</si>
  <si>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</si>
  <si>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</si>
  <si>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</si>
  <si>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</si>
  <si>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</si>
  <si>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</si>
  <si>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</si>
  <si>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</si>
  <si>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</si>
  <si>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</si>
  <si>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</si>
  <si>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</si>
  <si>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</si>
  <si>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</si>
  <si>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</si>
  <si>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</si>
  <si>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</si>
  <si>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</si>
  <si>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</si>
  <si>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</si>
  <si>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</si>
  <si>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</si>
  <si>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</si>
  <si>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</si>
  <si>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</si>
  <si>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</si>
  <si>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</si>
  <si>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</si>
  <si>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</si>
  <si>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</si>
  <si>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</si>
  <si>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</si>
  <si>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</si>
  <si>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</si>
  <si>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</si>
  <si>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</si>
  <si>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</si>
  <si>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</si>
  <si>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</si>
  <si>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</si>
  <si>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</si>
  <si>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</si>
  <si>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</si>
  <si>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</si>
  <si>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</si>
  <si>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</si>
  <si>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</si>
  <si>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</si>
  <si>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</si>
  <si>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</si>
  <si>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</si>
  <si>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</si>
  <si>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</si>
  <si>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</si>
  <si>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</si>
  <si>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</si>
  <si>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</si>
  <si>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</si>
  <si>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</si>
  <si>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</si>
  <si>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</si>
  <si>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</si>
  <si>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</si>
  <si>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</si>
  <si>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</si>
  <si>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</si>
  <si>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</si>
  <si>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</si>
  <si>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</si>
  <si>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</si>
  <si>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</si>
  <si>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</si>
  <si>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</si>
  <si>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</si>
  <si>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</si>
  <si>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</si>
  <si>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</si>
  <si>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</si>
  <si>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</si>
  <si>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</si>
  <si>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</si>
  <si>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</si>
  <si>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</si>
  <si>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</si>
  <si>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</si>
  <si>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</si>
  <si>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</si>
  <si>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</si>
  <si>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</si>
  <si>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</si>
  <si>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</si>
  <si>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</si>
  <si>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</si>
  <si>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</si>
  <si>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</si>
  <si>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</si>
  <si>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</si>
  <si>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</si>
  <si>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</si>
  <si>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</si>
  <si>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</si>
  <si>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</si>
  <si>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</si>
  <si>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</si>
  <si>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</si>
  <si>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</si>
  <si>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</si>
  <si>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</si>
  <si>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</si>
  <si>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</si>
  <si>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</si>
  <si>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</si>
  <si>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</si>
  <si>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</si>
  <si>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</si>
  <si>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</si>
  <si>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</si>
  <si>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</si>
  <si>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</si>
  <si>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</si>
  <si>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</si>
  <si>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</si>
  <si>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</si>
  <si>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</si>
  <si>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</si>
  <si>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</si>
  <si>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</si>
  <si>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</si>
  <si>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</si>
  <si>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</si>
  <si>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</si>
  <si>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</si>
  <si>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</si>
  <si>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</si>
  <si>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</si>
  <si>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</si>
  <si>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</si>
  <si>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</si>
  <si>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</si>
  <si>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</si>
  <si>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</si>
  <si>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</si>
  <si>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</si>
  <si>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</si>
  <si>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</si>
  <si>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</si>
  <si>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</si>
  <si>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</si>
  <si>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</si>
  <si>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</si>
  <si>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</si>
  <si>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</si>
  <si>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</si>
  <si>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</si>
  <si>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</si>
  <si>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</si>
  <si>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</si>
  <si>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</si>
  <si>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</si>
  <si>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</si>
  <si>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</si>
  <si>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</si>
  <si>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</si>
  <si>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</si>
  <si>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</si>
  <si>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</si>
  <si>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</si>
  <si>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</si>
  <si>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</si>
  <si>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</si>
  <si>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</si>
  <si>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</si>
  <si>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</si>
  <si>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</si>
  <si>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</si>
  <si>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</si>
  <si>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</si>
  <si>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</si>
  <si>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</si>
  <si>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</si>
  <si>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</si>
  <si>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</si>
  <si>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</si>
  <si>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</si>
  <si>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</si>
  <si>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</si>
  <si>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</si>
  <si>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</si>
  <si>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</si>
  <si>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</si>
  <si>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</si>
  <si>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</si>
  <si>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</si>
  <si>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</si>
  <si>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</si>
  <si>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</si>
  <si>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</si>
  <si>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</si>
  <si>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</si>
  <si>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</si>
  <si>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</si>
  <si>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</si>
  <si>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</si>
  <si>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</si>
  <si>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</si>
  <si>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</si>
  <si>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</si>
  <si>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</si>
  <si>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</si>
  <si>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</si>
  <si>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</si>
  <si>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</si>
  <si>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</si>
  <si>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</si>
  <si>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</si>
  <si>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</si>
  <si>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</si>
  <si>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</si>
  <si>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</si>
  <si>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</si>
  <si>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</si>
  <si>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</si>
  <si>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</si>
  <si>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</si>
  <si>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</si>
  <si>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</si>
  <si>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</si>
  <si>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</si>
  <si>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</si>
  <si>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</si>
  <si>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</si>
  <si>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</si>
  <si>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</si>
  <si>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</si>
  <si>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</si>
  <si>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</si>
  <si>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</si>
  <si>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</si>
  <si>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</si>
  <si>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</si>
  <si>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</si>
  <si>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</si>
  <si>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</si>
  <si>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</si>
  <si>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</si>
  <si>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</si>
  <si>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</si>
  <si>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</si>
  <si>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</si>
  <si>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</si>
  <si>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</si>
  <si>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</si>
  <si>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</si>
  <si>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</si>
  <si>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</si>
  <si>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</si>
  <si>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</si>
  <si>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</si>
  <si>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</si>
  <si>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</si>
  <si>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</si>
  <si>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</si>
  <si>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</si>
  <si>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</si>
  <si>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</si>
  <si>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</si>
  <si>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</si>
  <si>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</si>
  <si>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</si>
  <si>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</si>
  <si>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</si>
  <si>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</si>
  <si>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</si>
  <si>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</si>
  <si>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</si>
  <si>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</si>
  <si>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</si>
  <si>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</si>
  <si>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</si>
  <si>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</si>
  <si>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</si>
  <si>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</si>
  <si>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</si>
  <si>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</si>
  <si>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</si>
  <si>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</si>
  <si>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</si>
  <si>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</si>
  <si>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</si>
  <si>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</si>
  <si>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</si>
  <si>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</si>
  <si>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</si>
  <si>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</si>
  <si>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</si>
  <si>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</si>
  <si>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</si>
  <si>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</si>
  <si>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</si>
  <si>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</si>
  <si>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</si>
  <si>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</si>
  <si>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</si>
  <si>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</si>
  <si>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</si>
  <si>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</si>
  <si>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</si>
  <si>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</si>
  <si>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</si>
  <si>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</si>
  <si>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</si>
  <si>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</si>
  <si>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</si>
  <si>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</si>
  <si>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</si>
  <si>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</si>
  <si>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</si>
  <si>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</si>
  <si>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</si>
  <si>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</si>
  <si>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</si>
  <si>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</si>
  <si>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</si>
  <si>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</si>
  <si>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</si>
  <si>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</si>
  <si>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</si>
  <si>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</si>
  <si>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</si>
  <si>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</si>
  <si>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</si>
  <si>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</si>
  <si>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</si>
  <si>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</si>
  <si>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</si>
  <si>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</si>
  <si>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</si>
  <si>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</si>
  <si>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</si>
  <si>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</si>
  <si>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</si>
  <si>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</si>
  <si>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</si>
  <si>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</si>
  <si>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</si>
  <si>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</si>
  <si>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</si>
  <si>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</si>
  <si>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</si>
  <si>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</si>
  <si>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</si>
  <si>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</si>
  <si>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</si>
  <si>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</si>
  <si>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</si>
  <si>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</si>
  <si>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</si>
  <si>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</si>
  <si>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</si>
  <si>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</si>
  <si>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</si>
  <si>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</si>
  <si>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</si>
  <si>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</si>
  <si>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</si>
  <si>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</si>
  <si>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</si>
  <si>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</si>
  <si>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</si>
  <si>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</si>
  <si>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</si>
  <si>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</si>
  <si>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</si>
  <si>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</si>
  <si>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</si>
  <si>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</si>
  <si>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</si>
  <si>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</si>
  <si>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</si>
  <si>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</si>
  <si>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</si>
  <si>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</si>
  <si>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</si>
  <si>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</si>
  <si>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</si>
  <si>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</si>
  <si>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</si>
  <si>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</si>
  <si>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</si>
  <si>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</si>
  <si>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</si>
  <si>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</si>
  <si>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</si>
  <si>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</si>
  <si>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</si>
  <si>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</si>
  <si>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</si>
  <si>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</si>
  <si>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</si>
  <si>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</si>
  <si>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</si>
  <si>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</si>
  <si>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</si>
  <si>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</si>
  <si>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</si>
  <si>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</si>
  <si>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</si>
  <si>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</si>
  <si>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</si>
  <si>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</si>
  <si>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</si>
  <si>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</si>
  <si>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</si>
  <si>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</si>
  <si>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</si>
  <si>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</si>
  <si>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</si>
  <si>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</si>
  <si>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</si>
  <si>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</si>
  <si>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</si>
  <si>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</si>
  <si>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</si>
  <si>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</si>
  <si>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</si>
  <si>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</si>
  <si>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</si>
  <si>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</si>
  <si>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</si>
  <si>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</si>
  <si>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</si>
  <si>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</si>
  <si>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</si>
  <si>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</si>
  <si>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</si>
  <si>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</si>
  <si>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</si>
  <si>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</si>
  <si>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</si>
  <si>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</si>
  <si>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</si>
  <si>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</si>
  <si>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</si>
  <si>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</si>
  <si>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</si>
  <si>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</si>
  <si>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</si>
  <si>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</si>
  <si>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</si>
  <si>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</si>
  <si>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</si>
  <si>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</si>
  <si>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</si>
  <si>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</si>
  <si>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</si>
  <si>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</si>
  <si>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</si>
  <si>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</si>
  <si>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</si>
  <si>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</si>
  <si>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</si>
  <si>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</si>
  <si>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</si>
  <si>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</si>
  <si>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</si>
  <si>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</si>
  <si>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</si>
  <si>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</si>
  <si>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</si>
  <si>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</si>
  <si>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</si>
  <si>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</si>
  <si>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</si>
  <si>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</si>
  <si>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</si>
  <si>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</si>
  <si>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</si>
  <si>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</si>
  <si>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</si>
  <si>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</si>
  <si>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</si>
  <si>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</si>
  <si>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</si>
  <si>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</si>
  <si>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</si>
  <si>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</si>
  <si>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</si>
  <si>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</si>
  <si>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</si>
  <si>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</si>
  <si>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</si>
  <si>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</si>
  <si>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</si>
  <si>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</si>
  <si>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</si>
  <si>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</si>
  <si>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</si>
  <si>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</si>
  <si>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</si>
  <si>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</si>
  <si>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</si>
  <si>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</si>
  <si>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</si>
  <si>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</si>
  <si>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</si>
  <si>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</si>
  <si>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</si>
  <si>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</si>
  <si>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</si>
  <si>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</si>
  <si>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</si>
  <si>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</si>
  <si>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</si>
  <si>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</si>
  <si>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</si>
  <si>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</si>
  <si>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</si>
  <si>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</si>
  <si>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</si>
  <si>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</si>
  <si>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</si>
  <si>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</si>
  <si>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</si>
  <si>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</si>
  <si>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</si>
  <si>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</si>
  <si>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</si>
  <si>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</si>
  <si>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</si>
  <si>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</si>
  <si>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</si>
  <si>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</si>
  <si>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</si>
  <si>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</si>
  <si>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</si>
  <si>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</si>
  <si>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</si>
  <si>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</si>
  <si>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</si>
  <si>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</si>
  <si>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</si>
  <si>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</si>
  <si>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</si>
  <si>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</si>
  <si>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</si>
  <si>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</si>
  <si>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</si>
  <si>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</si>
  <si>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</si>
  <si>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</si>
  <si>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</si>
  <si>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</si>
  <si>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</si>
  <si>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</si>
  <si>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</si>
  <si>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</si>
  <si>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</si>
  <si>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</si>
  <si>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</si>
  <si>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</si>
  <si>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</si>
  <si>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</si>
  <si>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</si>
  <si>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</si>
  <si>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</si>
  <si>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</si>
  <si>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</si>
  <si>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</si>
  <si>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</si>
  <si>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</si>
  <si>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</si>
  <si>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</si>
  <si>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</si>
  <si>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</si>
  <si>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</si>
  <si>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</si>
  <si>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</si>
  <si>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</si>
  <si>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</si>
  <si>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</si>
  <si>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</si>
  <si>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</si>
  <si>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</si>
  <si>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</si>
  <si>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</si>
  <si>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</si>
  <si>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</si>
  <si>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</si>
  <si>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</si>
  <si>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</si>
  <si>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</si>
  <si>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</si>
  <si>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</si>
  <si>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</si>
  <si>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</si>
  <si>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</si>
  <si>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</si>
  <si>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</si>
  <si>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</si>
  <si>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</si>
  <si>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</si>
  <si>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</si>
  <si>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</si>
  <si>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</si>
  <si>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</si>
  <si>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</si>
  <si>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</si>
  <si>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</si>
  <si>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</si>
  <si>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</si>
  <si>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</si>
  <si>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</si>
  <si>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</si>
  <si>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</si>
  <si>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</si>
  <si>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</si>
  <si>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</si>
  <si>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</si>
  <si>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</si>
  <si>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</si>
  <si>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</si>
  <si>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</si>
  <si>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</si>
  <si>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</si>
  <si>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</si>
  <si>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</si>
  <si>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</si>
  <si>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</si>
  <si>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</si>
  <si>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</si>
  <si>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</si>
  <si>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</si>
  <si>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</si>
  <si>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</si>
  <si>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</si>
  <si>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</si>
  <si>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</si>
  <si>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</si>
  <si>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</si>
  <si>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</si>
  <si>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</si>
  <si>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</si>
  <si>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</si>
  <si>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</si>
  <si>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</si>
  <si>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</si>
  <si>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</si>
  <si>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</si>
  <si>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</si>
  <si>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</si>
  <si>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</si>
  <si>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</si>
  <si>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</si>
  <si>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</si>
  <si>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</si>
  <si>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</si>
  <si>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</si>
  <si>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</si>
  <si>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</si>
  <si>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</si>
  <si>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</si>
  <si>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</si>
  <si>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</si>
  <si>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</si>
  <si>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</si>
  <si>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</si>
  <si>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</si>
  <si>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</si>
  <si>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</si>
  <si>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</si>
  <si>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</si>
  <si>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</si>
  <si>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</si>
  <si>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</si>
  <si>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</si>
  <si>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</si>
  <si>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</si>
  <si>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</si>
  <si>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</si>
  <si>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</si>
  <si>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</si>
  <si>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</si>
  <si>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</si>
  <si>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</si>
  <si>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</si>
  <si>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</si>
  <si>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</si>
  <si>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</si>
  <si>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</si>
  <si>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</si>
  <si>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</si>
  <si>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</si>
  <si>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</si>
  <si>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</si>
  <si>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</si>
  <si>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</si>
  <si>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</si>
  <si>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</si>
  <si>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</si>
  <si>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</si>
  <si>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</si>
  <si>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</si>
  <si>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</si>
  <si>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</si>
  <si>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</si>
  <si>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</si>
  <si>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</si>
  <si>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</si>
  <si>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</si>
  <si>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</si>
  <si>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</si>
  <si>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</si>
  <si>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</si>
  <si>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</si>
  <si>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</si>
  <si>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</si>
  <si>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</si>
  <si>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</si>
  <si>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</si>
  <si>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</si>
  <si>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</si>
  <si>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</si>
  <si>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</si>
  <si>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</si>
  <si>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</si>
  <si>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</si>
  <si>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</si>
  <si>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</si>
  <si>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</si>
  <si>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</si>
  <si>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</si>
  <si>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</si>
  <si>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</si>
  <si>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</si>
  <si>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</si>
  <si>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</si>
  <si>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</si>
  <si>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</si>
  <si>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</si>
  <si>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</si>
  <si>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</si>
  <si>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</si>
  <si>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</si>
  <si>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</si>
  <si>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</si>
  <si>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</si>
  <si>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</si>
  <si>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</si>
  <si>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</si>
  <si>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</si>
  <si>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</si>
  <si>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</si>
  <si>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</si>
  <si>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</si>
  <si>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</si>
  <si>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</si>
  <si>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</si>
  <si>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</si>
  <si>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</si>
  <si>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</si>
  <si>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</si>
  <si>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</si>
  <si>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</si>
  <si>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</si>
  <si>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</si>
  <si>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</si>
  <si>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</si>
  <si>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</si>
  <si>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</si>
  <si>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</si>
  <si>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</si>
  <si>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</si>
  <si>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</si>
  <si>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</si>
  <si>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</si>
  <si>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</si>
  <si>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</si>
  <si>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</si>
  <si>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</si>
  <si>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</si>
  <si>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</si>
  <si>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</si>
  <si>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</si>
  <si>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</si>
  <si>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</si>
  <si>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</si>
  <si>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</si>
  <si>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</si>
  <si>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</si>
  <si>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</si>
  <si>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</si>
  <si>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</si>
  <si>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</si>
  <si>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</si>
  <si>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</si>
  <si>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</si>
  <si>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</si>
  <si>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</si>
  <si>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</si>
  <si>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</si>
  <si>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</si>
  <si>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</si>
  <si>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</si>
  <si>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</si>
  <si>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</si>
  <si>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</si>
  <si>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</si>
  <si>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</si>
  <si>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</si>
  <si>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</si>
  <si>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</si>
  <si>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</si>
  <si>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</si>
  <si>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</si>
  <si>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</si>
  <si>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</si>
  <si>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</si>
  <si>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</si>
  <si>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</si>
  <si>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</si>
  <si>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</si>
  <si>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</si>
  <si>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</si>
  <si>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</si>
  <si>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</si>
  <si>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</si>
  <si>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</si>
  <si>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</si>
  <si>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</si>
  <si>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</si>
  <si>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</si>
  <si>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</si>
  <si>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</si>
  <si>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</si>
  <si>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</si>
  <si>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</si>
  <si>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</si>
  <si>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</si>
  <si>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</si>
  <si>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</si>
  <si>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</si>
  <si>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</si>
  <si>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</si>
  <si>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</si>
  <si>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</si>
  <si>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</si>
  <si>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</si>
  <si>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</si>
  <si>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</si>
  <si>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</si>
  <si>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</si>
  <si>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</si>
  <si>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</si>
  <si>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</si>
  <si>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</si>
  <si>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</si>
  <si>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</si>
  <si>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</si>
  <si>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</si>
  <si>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</si>
  <si>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</si>
  <si>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</si>
  <si>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</si>
  <si>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</si>
  <si>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</si>
  <si>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</si>
  <si>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</si>
  <si>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</si>
  <si>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</si>
  <si>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</si>
  <si>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</si>
  <si>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</si>
  <si>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</si>
  <si>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</si>
  <si>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</si>
  <si>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</si>
  <si>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</si>
  <si>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</si>
  <si>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</si>
  <si>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</si>
  <si>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</si>
  <si>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</si>
  <si>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</si>
  <si>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</si>
  <si>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</si>
  <si>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</si>
  <si>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</si>
  <si>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</si>
  <si>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</si>
  <si>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</si>
  <si>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</si>
  <si>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</si>
  <si>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</si>
  <si>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</si>
  <si>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</si>
  <si>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</si>
  <si>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</si>
  <si>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</si>
  <si>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</si>
  <si>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</si>
  <si>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</si>
  <si>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</si>
  <si>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</si>
  <si>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</si>
  <si>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</si>
  <si>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</si>
  <si>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</si>
  <si>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</si>
  <si>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</si>
  <si>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</si>
  <si>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</si>
  <si>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</si>
  <si>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</si>
  <si>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</si>
  <si>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</si>
  <si>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</si>
  <si>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</si>
  <si>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</si>
  <si>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</si>
  <si>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</si>
  <si>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</si>
  <si>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</si>
  <si>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</si>
  <si>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</si>
  <si>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</si>
  <si>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</si>
  <si>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</si>
  <si>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</si>
  <si>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</si>
  <si>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</si>
  <si>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</si>
  <si>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</si>
  <si>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</si>
  <si>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</si>
  <si>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</si>
  <si>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</si>
  <si>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</si>
  <si>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</si>
  <si>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</si>
  <si>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</si>
  <si>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</si>
  <si>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</si>
  <si>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</si>
  <si>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</si>
  <si>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</si>
  <si>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</si>
  <si>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</si>
  <si>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</si>
  <si>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</si>
  <si>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</si>
  <si>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</si>
  <si>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</si>
  <si>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</si>
  <si>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</si>
  <si>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</si>
  <si>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</si>
  <si>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</si>
  <si>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</si>
  <si>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</si>
  <si>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</si>
  <si>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</si>
  <si>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</si>
  <si>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</si>
  <si>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</si>
  <si>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</si>
  <si>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</si>
  <si>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</si>
  <si>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</si>
  <si>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</si>
  <si>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</si>
  <si>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</si>
  <si>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</si>
  <si>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</si>
  <si>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</si>
  <si>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</si>
  <si>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</si>
  <si>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</si>
  <si>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</si>
  <si>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</si>
  <si>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</si>
  <si>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</si>
  <si>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</si>
  <si>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</si>
  <si>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</si>
  <si>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</si>
  <si>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</si>
  <si>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</si>
  <si>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</si>
  <si>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</si>
  <si>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</si>
  <si>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</si>
  <si>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</si>
  <si>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</si>
  <si>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</si>
  <si>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</si>
  <si>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</si>
  <si>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</si>
  <si>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</si>
  <si>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</si>
  <si>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</si>
  <si>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</si>
  <si>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</si>
  <si>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</si>
  <si>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</si>
  <si>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</si>
  <si>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</si>
  <si>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</si>
  <si>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</si>
  <si>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</si>
  <si>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</si>
  <si>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</si>
  <si>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</si>
  <si>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</si>
  <si>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</si>
  <si>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</si>
  <si>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</si>
  <si>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</si>
  <si>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</si>
  <si>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</si>
  <si>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</si>
  <si>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</si>
  <si>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</si>
  <si>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</si>
  <si>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</si>
  <si>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</si>
  <si>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</si>
  <si>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</si>
  <si>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</si>
  <si>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</si>
  <si>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</si>
  <si>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</si>
  <si>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</si>
  <si>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</si>
  <si>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</si>
  <si>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</si>
  <si>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</si>
  <si>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</si>
  <si>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</si>
  <si>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</si>
  <si>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</si>
  <si>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</si>
  <si>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</si>
  <si>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</si>
  <si>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</si>
  <si>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</si>
  <si>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</si>
  <si>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</si>
  <si>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</si>
  <si>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</si>
  <si>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</si>
  <si>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</si>
  <si>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</si>
  <si>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</si>
  <si>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</si>
  <si>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</si>
  <si>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</si>
  <si>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</si>
  <si>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</si>
  <si>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</si>
  <si>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</si>
  <si>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</si>
  <si>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</si>
  <si>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</si>
  <si>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</si>
  <si>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</si>
  <si>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</si>
  <si>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</si>
  <si>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</si>
  <si>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</si>
  <si>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</si>
  <si>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</si>
  <si>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</si>
  <si>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</si>
  <si>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</si>
  <si>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</si>
  <si>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</si>
  <si>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</si>
  <si>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</si>
  <si>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</si>
  <si>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</si>
  <si>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</si>
  <si>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</si>
  <si>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</si>
  <si>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</si>
  <si>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</si>
  <si>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</si>
  <si>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</si>
  <si>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</si>
  <si>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</si>
  <si>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</si>
  <si>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</si>
  <si>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</si>
  <si>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</si>
  <si>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</si>
  <si>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</si>
  <si>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</si>
  <si>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</si>
  <si>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</si>
  <si>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</si>
  <si>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</si>
  <si>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</si>
  <si>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</si>
  <si>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</si>
  <si>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</si>
  <si>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</si>
  <si>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</si>
  <si>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</si>
  <si>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</si>
  <si>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</si>
  <si>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</si>
  <si>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</si>
  <si>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</si>
  <si>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</si>
  <si>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</si>
  <si>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</si>
  <si>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</si>
  <si>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</si>
  <si>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</si>
  <si>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</si>
  <si>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</si>
  <si>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</si>
  <si>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</si>
  <si>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</si>
  <si>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</si>
  <si>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</si>
  <si>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</si>
  <si>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</si>
  <si>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</si>
  <si>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</si>
  <si>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</si>
  <si>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</si>
  <si>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</si>
  <si>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</si>
  <si>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</si>
  <si>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</si>
  <si>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</si>
  <si>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</si>
  <si>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</si>
  <si>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</si>
  <si>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</si>
  <si>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</si>
  <si>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</si>
  <si>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</si>
  <si>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</si>
  <si>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</si>
  <si>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</si>
  <si>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</si>
  <si>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</si>
  <si>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</si>
  <si>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</si>
  <si>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</si>
  <si>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</si>
  <si>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</si>
  <si>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</si>
  <si>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</si>
  <si>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</si>
  <si>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</si>
  <si>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</si>
  <si>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</si>
  <si>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</si>
  <si>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</si>
  <si>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</si>
  <si>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</si>
  <si>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</si>
  <si>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</si>
  <si>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</si>
  <si>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</si>
  <si>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</si>
  <si>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</si>
  <si>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</si>
  <si>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</si>
  <si>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</si>
  <si>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</si>
  <si>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</si>
  <si>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</si>
  <si>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</si>
  <si>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</si>
  <si>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</si>
  <si>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</si>
  <si>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</si>
  <si>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</si>
  <si>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</si>
  <si>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</si>
  <si>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</si>
  <si>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</si>
  <si>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</si>
  <si>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</si>
  <si>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</si>
  <si>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</si>
  <si>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</si>
  <si>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</si>
  <si>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</si>
  <si>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</si>
  <si>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Financial Information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</si>
</sst>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6"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P29" sqref="P29"/>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1351</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GENERAL GOVERNMENT</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2430707</v>
      </c>
      <c r="M17" s="143">
        <v>2430707</v>
      </c>
      <c r="P17" s="143">
        <v>2429088</v>
      </c>
      <c r="Q17" s="155"/>
      <c r="S17" s="154">
        <f t="shared" si="0"/>
        <v>-1619</v>
      </c>
    </row>
    <row r="18" spans="1:19" ht="16.5" customHeight="1" x14ac:dyDescent="0.3">
      <c r="A18" s="54"/>
      <c r="B18" s="9" t="s">
        <v>169</v>
      </c>
      <c r="C18" s="9"/>
      <c r="D18" s="9"/>
      <c r="E18" s="140"/>
      <c r="F18" s="141"/>
      <c r="G18" s="141"/>
      <c r="H18" s="142"/>
      <c r="I18" s="142"/>
      <c r="J18" s="178">
        <f>P18</f>
        <v>1214</v>
      </c>
      <c r="M18" s="143"/>
      <c r="P18" s="152">
        <f>IF(SUM($Q$20:$Q$23)&gt;SUM($P$15:$P$17),SUM($Q$20:$Q$23)-SUM($P$15:$P$17),0)</f>
        <v>1214</v>
      </c>
      <c r="Q18" s="155"/>
      <c r="S18" s="154">
        <f t="shared" si="0"/>
        <v>1214</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v>1214544</v>
      </c>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1215556</v>
      </c>
      <c r="N22" s="143">
        <v>1215556</v>
      </c>
      <c r="P22" s="155"/>
      <c r="Q22" s="143"/>
      <c r="S22" s="154">
        <f t="shared" ref="S22:S25" si="1">Q22-N22</f>
        <v>-1215556</v>
      </c>
    </row>
    <row r="23" spans="1:19" ht="16.5" customHeight="1" x14ac:dyDescent="0.3">
      <c r="A23" s="165" t="s">
        <v>1646</v>
      </c>
      <c r="B23" s="9"/>
      <c r="C23" s="9" t="s">
        <v>174</v>
      </c>
      <c r="D23" s="9"/>
      <c r="E23" s="140"/>
      <c r="F23" s="141"/>
      <c r="G23" s="141"/>
      <c r="H23" s="142"/>
      <c r="I23" s="142"/>
      <c r="J23" s="150"/>
      <c r="K23" s="178">
        <f>N23</f>
        <v>1215961</v>
      </c>
      <c r="N23" s="143">
        <v>1215961</v>
      </c>
      <c r="P23" s="155"/>
      <c r="Q23" s="143">
        <v>1215758</v>
      </c>
      <c r="S23" s="154">
        <f t="shared" si="1"/>
        <v>-203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404</v>
      </c>
      <c r="N25" s="143"/>
      <c r="P25" s="155"/>
      <c r="Q25" s="155"/>
      <c r="S25" s="154">
        <f t="shared" si="1"/>
        <v>0</v>
      </c>
    </row>
    <row r="26" spans="1:19" ht="16.5" customHeight="1" x14ac:dyDescent="0.3">
      <c r="A26" s="54"/>
      <c r="C26" s="20"/>
      <c r="D26" s="20"/>
      <c r="E26" s="20"/>
      <c r="F26" s="127"/>
      <c r="G26" s="127"/>
      <c r="H26" s="22"/>
      <c r="I26" s="22"/>
      <c r="J26" s="107">
        <f>SUM(J15:J25)</f>
        <v>2431921</v>
      </c>
      <c r="K26" s="107">
        <f>SUM(K15:K25)</f>
        <v>2431921</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1113888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1113888</v>
      </c>
    </row>
    <row r="59" spans="1:16" ht="16.5" customHeight="1" x14ac:dyDescent="0.3">
      <c r="A59" s="54"/>
      <c r="C59" s="16"/>
      <c r="D59" s="16"/>
      <c r="E59" s="16"/>
      <c r="F59" s="17"/>
      <c r="G59" s="17"/>
      <c r="H59" s="18"/>
      <c r="I59" s="18"/>
      <c r="J59" s="107">
        <f>SUM(J55:J58)</f>
        <v>1113888</v>
      </c>
      <c r="K59" s="107">
        <f>SUM(K55:K58)</f>
        <v>1113888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1215961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1115</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v>1217076</v>
      </c>
    </row>
    <row r="65" spans="1:12" ht="16.5" customHeight="1" x14ac:dyDescent="0.3">
      <c r="A65" s="54"/>
      <c r="C65" s="16"/>
      <c r="D65" s="16"/>
      <c r="E65" s="16"/>
      <c r="F65" s="17"/>
      <c r="G65" s="17"/>
      <c r="H65" s="18"/>
      <c r="I65" s="18"/>
      <c r="J65" s="107">
        <f>SUM(J62:J64)</f>
        <v>1217076</v>
      </c>
      <c r="K65" s="107">
        <f>SUM(K62:K64)</f>
        <v>1217076</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1215961</v>
      </c>
      <c r="K68" s="144"/>
    </row>
    <row r="69" spans="1:12" ht="16.5" customHeight="1" x14ac:dyDescent="0.3">
      <c r="A69" s="54"/>
      <c r="B69" s="9"/>
      <c r="C69" s="9" t="s">
        <v>186</v>
      </c>
      <c r="D69" s="140"/>
      <c r="E69" s="140"/>
      <c r="F69" s="141"/>
      <c r="G69" s="141"/>
      <c r="H69" s="142"/>
      <c r="I69" s="142"/>
      <c r="J69" s="144"/>
      <c r="K69" s="143">
        <v>1215961</v>
      </c>
    </row>
    <row r="70" spans="1:12" ht="16.5" customHeight="1" x14ac:dyDescent="0.3">
      <c r="A70" s="54"/>
      <c r="C70" s="16"/>
      <c r="D70" s="16"/>
      <c r="E70" s="16"/>
      <c r="F70" s="17"/>
      <c r="G70" s="17"/>
      <c r="H70" s="18"/>
      <c r="I70" s="18"/>
      <c r="J70" s="107">
        <f>SUM(J68:J69)</f>
        <v>1215961</v>
      </c>
      <c r="K70" s="107">
        <f>SUM(K68:K69)</f>
        <v>1215961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c r="K75" s="144"/>
    </row>
    <row r="76" spans="1:12" ht="16.5" customHeight="1" x14ac:dyDescent="0.3">
      <c r="A76" s="54"/>
      <c r="B76" s="9"/>
      <c r="C76" s="9" t="s">
        <v>194</v>
      </c>
      <c r="D76" s="140"/>
      <c r="E76" s="140"/>
      <c r="F76" s="141"/>
      <c r="G76" s="141"/>
      <c r="H76" s="142"/>
      <c r="I76" s="142"/>
      <c r="J76" s="144"/>
      <c r="K76" s="143"/>
    </row>
    <row r="77" spans="1:12" ht="16.5" customHeight="1" x14ac:dyDescent="0.25">
      <c r="A77" s="54"/>
      <c r="B77" s="193" t="s">
        <v>1735</v>
      </c>
      <c r="C77" s="193"/>
      <c r="D77" s="193"/>
      <c r="E77" s="193"/>
      <c r="F77" s="193"/>
      <c r="G77" s="193"/>
      <c r="H77" s="193"/>
      <c r="I77" s="193"/>
      <c r="J77" s="107">
        <f>SUM(J75:J76)</f>
        <v>0</v>
      </c>
      <c r="K77" s="107">
        <f>SUM(K75:K76)</f>
        <v>0</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0</v>
      </c>
      <c r="K96" s="149"/>
    </row>
    <row r="97" spans="1:12" ht="16.5" customHeight="1" x14ac:dyDescent="0.25">
      <c r="B97" s="9" t="s">
        <v>187</v>
      </c>
      <c r="C97" s="25"/>
      <c r="D97" s="25"/>
      <c r="E97" s="25"/>
      <c r="F97" s="25"/>
      <c r="G97" s="25"/>
      <c r="H97" s="25"/>
      <c r="I97" s="25"/>
      <c r="J97" s="143">
        <v>0</v>
      </c>
      <c r="K97" s="25"/>
    </row>
    <row r="98" spans="1:12" ht="16.5" customHeight="1" x14ac:dyDescent="0.25">
      <c r="B98" s="9" t="s">
        <v>163</v>
      </c>
      <c r="C98" s="25"/>
      <c r="D98" s="25"/>
      <c r="E98" s="25"/>
      <c r="F98" s="25"/>
      <c r="G98" s="25"/>
      <c r="H98" s="25"/>
      <c r="I98" s="25"/>
      <c r="J98" s="143">
        <v>0</v>
      </c>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v>0</v>
      </c>
      <c r="K100" s="25"/>
    </row>
    <row r="101" spans="1:12" ht="16.5" customHeight="1" x14ac:dyDescent="0.25">
      <c r="A101" s="159" t="s">
        <v>1638</v>
      </c>
      <c r="B101" s="25"/>
      <c r="C101" s="9" t="s">
        <v>189</v>
      </c>
      <c r="D101" s="25"/>
      <c r="E101" s="25"/>
      <c r="F101" s="25"/>
      <c r="G101" s="25"/>
      <c r="H101" s="25"/>
      <c r="I101" s="25"/>
      <c r="J101" s="25"/>
      <c r="K101" s="143">
        <v>0</v>
      </c>
    </row>
    <row r="102" spans="1:12" ht="16.5" customHeight="1" x14ac:dyDescent="0.25">
      <c r="A102" s="159" t="s">
        <v>1638</v>
      </c>
      <c r="B102" s="25"/>
      <c r="C102" s="9" t="s">
        <v>164</v>
      </c>
      <c r="D102" s="25"/>
      <c r="E102" s="25"/>
      <c r="F102" s="25"/>
      <c r="G102" s="25"/>
      <c r="H102" s="25"/>
      <c r="I102" s="25"/>
      <c r="J102" s="25"/>
      <c r="K102" s="143">
        <v>0</v>
      </c>
    </row>
    <row r="103" spans="1:12" ht="16.5" customHeight="1" x14ac:dyDescent="0.25">
      <c r="A103" s="159" t="s">
        <v>1638</v>
      </c>
      <c r="B103" s="25"/>
      <c r="C103" s="9" t="s">
        <v>190</v>
      </c>
      <c r="D103" s="25"/>
      <c r="E103" s="25"/>
      <c r="F103" s="25"/>
      <c r="G103" s="25"/>
      <c r="H103" s="25"/>
      <c r="I103" s="25"/>
      <c r="J103" s="25"/>
      <c r="K103" s="143">
        <v>0</v>
      </c>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v>0</v>
      </c>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v>0</v>
      </c>
      <c r="K110" s="25"/>
    </row>
    <row r="111" spans="1:12" ht="16.5" customHeight="1" x14ac:dyDescent="0.25">
      <c r="A111" s="159" t="s">
        <v>1638</v>
      </c>
      <c r="B111" s="9" t="s">
        <v>172</v>
      </c>
      <c r="C111" s="9"/>
      <c r="D111" s="7"/>
      <c r="E111" s="25"/>
      <c r="F111" s="25"/>
      <c r="G111" s="25"/>
      <c r="H111" s="25"/>
      <c r="I111" s="25"/>
      <c r="J111" s="143">
        <v>0</v>
      </c>
      <c r="K111" s="25"/>
    </row>
    <row r="112" spans="1:12" ht="16.5" customHeight="1" x14ac:dyDescent="0.25">
      <c r="A112" s="159" t="s">
        <v>1638</v>
      </c>
      <c r="B112" s="9" t="s">
        <v>173</v>
      </c>
      <c r="C112" s="9"/>
      <c r="D112" s="7"/>
      <c r="E112" s="25"/>
      <c r="F112" s="25"/>
      <c r="G112" s="25"/>
      <c r="H112" s="25"/>
      <c r="I112" s="25"/>
      <c r="J112" s="143">
        <v>0</v>
      </c>
      <c r="K112" s="25"/>
    </row>
    <row r="113" spans="1:12" ht="16.5" customHeight="1" x14ac:dyDescent="0.25">
      <c r="A113" s="165" t="s">
        <v>1646</v>
      </c>
      <c r="B113" s="9"/>
      <c r="C113" s="9" t="s">
        <v>174</v>
      </c>
      <c r="D113" s="7"/>
      <c r="E113" s="25"/>
      <c r="F113" s="25"/>
      <c r="G113" s="25"/>
      <c r="H113" s="25"/>
      <c r="I113" s="25"/>
      <c r="J113" s="25"/>
      <c r="K113" s="143">
        <v>0</v>
      </c>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2430707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-2329444</v>
      </c>
    </row>
    <row r="128" spans="1:12" ht="16.5" customHeight="1" x14ac:dyDescent="0.3">
      <c r="D128" s="140" t="s">
        <v>1657</v>
      </c>
      <c r="H128" s="10"/>
      <c r="K128" s="169">
        <f>-K23-K48+J68+J75+J96-K113</f>
        <v>0</v>
      </c>
    </row>
    <row r="129" spans="4:11" ht="16.5" customHeight="1" x14ac:dyDescent="0.3">
      <c r="D129" s="140" t="s">
        <v>1658</v>
      </c>
      <c r="H129" s="10"/>
      <c r="K129" s="169">
        <f>-K76</f>
        <v>0</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0"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 zoomScale="70" zoomScaleNormal="70" workbookViewId="0">
      <selection activeCell="C14" sqref="C14"/>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8880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0</v>
      </c>
      <c r="C13" s="55">
        <v>0</v>
      </c>
      <c r="D13" s="197" t="s">
        <v>4</v>
      </c>
      <c r="E13" s="198"/>
      <c r="F13" s="198"/>
      <c r="G13" s="29"/>
      <c r="H13" s="29"/>
      <c r="I13" s="29"/>
      <c r="J13" s="29"/>
      <c r="K13" s="29"/>
      <c r="L13" s="29"/>
      <c r="M13" s="29"/>
    </row>
    <row r="14" spans="1:13" x14ac:dyDescent="0.25">
      <c r="A14" s="51" t="str">
        <f>LEFT(A13,4)+1&amp;"–"&amp;RIGHT(A13,4)+1</f>
        <v>2024–2025</v>
      </c>
      <c r="B14" s="55"/>
      <c r="C14" s="55"/>
      <c r="D14" s="197"/>
      <c r="E14" s="198"/>
      <c r="F14" s="198"/>
    </row>
    <row r="15" spans="1:13" ht="15.6" x14ac:dyDescent="0.25">
      <c r="A15" s="51" t="str">
        <f>LEFT(A14,4)+1&amp;"–"&amp;RIGHT(A14,4)+1</f>
        <v>2025–2026</v>
      </c>
      <c r="B15" s="55"/>
      <c r="C15" s="55"/>
      <c r="D15" s="194" t="s">
        <v>125</v>
      </c>
      <c r="E15" s="194"/>
      <c r="F15" s="194"/>
      <c r="G15" s="30"/>
      <c r="H15" s="30"/>
      <c r="I15" s="30"/>
      <c r="J15" s="30"/>
      <c r="K15" s="30"/>
      <c r="L15" s="30"/>
      <c r="M15" s="30"/>
    </row>
    <row r="16" spans="1:13" x14ac:dyDescent="0.25">
      <c r="A16" s="51" t="str">
        <f>LEFT(A15,4)+1&amp;"–"&amp;RIGHT(A15,4)+1</f>
        <v>2026–2027</v>
      </c>
      <c r="B16" s="55"/>
      <c r="C16" s="55"/>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c r="C17" s="55"/>
      <c r="D17" s="194"/>
      <c r="E17" s="194"/>
      <c r="F17" s="194"/>
      <c r="G17" s="31"/>
      <c r="H17" s="31"/>
      <c r="I17" s="31"/>
      <c r="J17" s="31"/>
      <c r="K17" s="31"/>
    </row>
    <row r="18" spans="1:13" ht="15" customHeight="1" x14ac:dyDescent="0.3">
      <c r="A18" s="51" t="str">
        <f>LEFT(A17,4)+1&amp;"–"&amp;RIGHT(A17,4)+5</f>
        <v>2028–2033</v>
      </c>
      <c r="B18" s="55"/>
      <c r="C18" s="55"/>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8880</v>
      </c>
      <c r="C40" s="202"/>
      <c r="E40" s="32"/>
    </row>
    <row r="41" spans="1:13" ht="15.6" x14ac:dyDescent="0.3">
      <c r="A41" s="5" t="s">
        <v>192</v>
      </c>
      <c r="B41" s="200" t="str">
        <f>B10</f>
        <v>Financial Information System</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8880</v>
      </c>
      <c r="C71" s="202"/>
    </row>
    <row r="72" spans="1:13" ht="15.6" x14ac:dyDescent="0.3">
      <c r="A72" s="5" t="s">
        <v>192</v>
      </c>
      <c r="B72" s="200" t="str">
        <f>B10</f>
        <v>Financial Information System</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L24" sqref="L24"/>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8880 - Financial Information System</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1215961</v>
      </c>
      <c r="G10" s="58"/>
      <c r="H10" s="61">
        <v>0</v>
      </c>
      <c r="I10" s="58"/>
      <c r="J10" s="61">
        <v>1215961</v>
      </c>
      <c r="K10" s="58"/>
      <c r="L10" s="63">
        <f>SUM(F10+H10-J10)</f>
        <v>0</v>
      </c>
      <c r="M10" s="58"/>
      <c r="N10" s="61">
        <v>0</v>
      </c>
      <c r="O10" s="58"/>
      <c r="P10" s="63">
        <f>L10-N10</f>
        <v>0</v>
      </c>
      <c r="Q10" s="43"/>
    </row>
    <row r="11" spans="2:17" ht="19.2" thickTop="1" thickBot="1" x14ac:dyDescent="0.4">
      <c r="B11" s="41"/>
      <c r="C11" s="45" t="s">
        <v>19</v>
      </c>
      <c r="F11" s="62">
        <f>SUM(F10:F10)</f>
        <v>1215961</v>
      </c>
      <c r="G11" s="58"/>
      <c r="H11" s="62">
        <f>SUM(H10:H10)</f>
        <v>0</v>
      </c>
      <c r="I11" s="58"/>
      <c r="J11" s="62">
        <f>SUM(J10:J10)</f>
        <v>1215961</v>
      </c>
      <c r="K11" s="58"/>
      <c r="L11" s="62">
        <f>SUM(L10:L10)</f>
        <v>0</v>
      </c>
      <c r="M11" s="58"/>
      <c r="N11" s="62">
        <f>SUM(N10:N10)</f>
        <v>0</v>
      </c>
      <c r="O11" s="58"/>
      <c r="P11" s="62">
        <f>SUM(P10:P10)</f>
        <v>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2"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16" sqref="P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1215961</v>
      </c>
      <c r="C16" s="116" t="s">
        <v>146</v>
      </c>
      <c r="D16" s="84">
        <f>IF('LS-Fund 0001 Journal Entries'!$F$8="Governmental Fund",'LS-Fund 0001 Journal Entries'!$K$48,0)</f>
        <v>0</v>
      </c>
      <c r="E16" s="118" t="s">
        <v>147</v>
      </c>
      <c r="F16" s="84">
        <f>IF('LS-Fund 0001 Journal Entries'!$F$8="Governmental Fund",'LS-Fund 0001 Journal Entries'!$J$68,0)</f>
        <v>1215961</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0</v>
      </c>
      <c r="M16" s="86"/>
      <c r="N16" s="88">
        <f>SUM('LS-Department Note Disclosure'!B13:B36)</f>
        <v>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0</v>
      </c>
      <c r="C42" s="92"/>
      <c r="E42" s="92"/>
      <c r="G42" s="115"/>
      <c r="H42" s="115"/>
      <c r="I42" s="115"/>
      <c r="J42" s="115"/>
      <c r="K42" s="92"/>
      <c r="L42" s="92"/>
      <c r="M42" s="93"/>
      <c r="N42" s="88">
        <f>'LS-Department Note Disclosure'!B13</f>
        <v>0</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1215961</v>
      </c>
      <c r="J66" s="97">
        <f>SUM(D66)</f>
        <v>1215961</v>
      </c>
      <c r="L66" s="98" t="str">
        <f>CONCATENATE("Balance July 1, ",LEFT('LS-Department Note Disclosure'!$B$8,4))</f>
        <v>Balance July 1, 2022</v>
      </c>
      <c r="N66" s="97">
        <f>'LS-Lease Liabilities'!F10</f>
        <v>1215961</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1215961</v>
      </c>
      <c r="E68" s="119" t="s">
        <v>146</v>
      </c>
      <c r="F68" s="79" t="s">
        <v>1753</v>
      </c>
      <c r="H68" s="97">
        <f>$H$16</f>
        <v>0</v>
      </c>
      <c r="J68" s="97">
        <f>SUM(D68,H68)</f>
        <v>1215961</v>
      </c>
      <c r="L68" s="98" t="s">
        <v>14</v>
      </c>
      <c r="N68" s="97">
        <f>'LS-Lease Liabilities'!J10</f>
        <v>1215961</v>
      </c>
      <c r="P68" s="89">
        <f t="shared" si="0"/>
        <v>0</v>
      </c>
    </row>
    <row r="69" spans="1:17" x14ac:dyDescent="0.3">
      <c r="B69" s="79" t="s">
        <v>156</v>
      </c>
      <c r="D69" s="97">
        <f>$B$42</f>
        <v>0</v>
      </c>
      <c r="J69" s="97">
        <f>SUM(D69)</f>
        <v>0</v>
      </c>
      <c r="L69" s="98" t="s">
        <v>15</v>
      </c>
      <c r="N69" s="97">
        <f>'LS-Lease Liabilities'!N10</f>
        <v>0</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CCEDCDAF-FB90-4E87-B0F8-F0971E65DF72}"/>
</file>

<file path=customXml/itemProps2.xml><?xml version="1.0" encoding="utf-8"?>
<ds:datastoreItem xmlns:ds="http://schemas.openxmlformats.org/officeDocument/2006/customXml" ds:itemID="{1B49A7C0-5506-44A4-BD53-50F540D94CE1}"/>
</file>

<file path=customXml/itemProps3.xml><?xml version="1.0" encoding="utf-8"?>
<ds:datastoreItem xmlns:ds="http://schemas.openxmlformats.org/officeDocument/2006/customXml" ds:itemID="{22DD521E-3DD8-4096-91FF-29D8866D77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cp:lastPrinted>2024-05-20T22:50:49Z</cp:lastPrinted>
  <dcterms:created xsi:type="dcterms:W3CDTF">2023-03-08T17:19:33Z</dcterms:created>
  <dcterms:modified xsi:type="dcterms:W3CDTF">2024-05-31T00:04:02Z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3414400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