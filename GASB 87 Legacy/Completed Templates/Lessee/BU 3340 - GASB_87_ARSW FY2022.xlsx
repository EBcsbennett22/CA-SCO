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3340\"/>
    </mc:Choice>
  </mc:AlternateContent>
  <xr:revisionPtr revIDLastSave="0" documentId="13_ncr:1_{C51F5B61-29E5-41BE-8410-D030AAAE892B}"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318 Journal Entries" sheetId="16" r:id="rId5"/>
    <sheet name="LS-Fund 3228 Journal Entries" sheetId="17" r:id="rId6"/>
    <sheet name="LS-Department Note Disclosure" sheetId="3" r:id="rId7"/>
    <sheet name="LS-Lease Liabilities" sheetId="4" r:id="rId8"/>
    <sheet name="LS-Check Figures  " sheetId="7"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'LS-Department Note Disclosure'!$A$1:$F$98</definedName>
    <definedName name="_xlnm.Print_Area" localSheetId="3">'LS-Fund 0001 Journal Entries'!$A$1:$S$130</definedName>
    <definedName name="_xlnm.Print_Area" localSheetId="4">'LS-Fund 0318 Journal Entries'!$A$1:$S$131</definedName>
    <definedName name="_xlnm.Print_Area" localSheetId="5">'LS-Fund 3228 Journal Entries'!$A$1:$S$129</definedName>
    <definedName name="_xlnm.Print_Area" localSheetId="7">'LS-Lease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17" l="1"/>
  <c r="K64" i="16"/>
  <c r="J55" i="2" l="1"/>
  <c r="K113" i="2"/>
  <c r="K48" i="2"/>
  <c r="J47" i="2"/>
  <c r="J41" i="2"/>
  <c r="K42" i="2"/>
  <c r="K76" i="2"/>
  <c r="K76" i="16"/>
  <c r="B42" i="7" l="1"/>
  <c r="J16" i="7"/>
  <c r="H16" i="7"/>
  <c r="D16" i="7"/>
  <c r="B16" i="7"/>
  <c r="H10" i="4"/>
  <c r="K69" i="17"/>
  <c r="J68" i="17"/>
  <c r="N10" i="4"/>
  <c r="F10" i="4"/>
  <c r="J68" i="16"/>
  <c r="K69" i="16" s="1"/>
  <c r="J68" i="2"/>
  <c r="K64" i="2"/>
  <c r="F16" i="7" l="1"/>
  <c r="K69" i="2"/>
  <c r="J10" i="4"/>
  <c r="N23" i="17" l="1"/>
  <c r="K23" i="17" s="1"/>
  <c r="K128" i="17" s="1"/>
  <c r="K22" i="17"/>
  <c r="K127" i="17" s="1"/>
  <c r="N23" i="16"/>
  <c r="S23" i="16" s="1"/>
  <c r="N23" i="2"/>
  <c r="K129" i="17"/>
  <c r="K122" i="17"/>
  <c r="K114" i="17"/>
  <c r="J114" i="17"/>
  <c r="K105" i="17"/>
  <c r="J105" i="17"/>
  <c r="L105" i="17" s="1"/>
  <c r="K91" i="17"/>
  <c r="J91" i="17"/>
  <c r="L91" i="17" s="1"/>
  <c r="K77" i="17"/>
  <c r="J77" i="17"/>
  <c r="K70" i="17"/>
  <c r="J70" i="17"/>
  <c r="K65" i="17"/>
  <c r="J65" i="17"/>
  <c r="B63" i="17"/>
  <c r="K59" i="17"/>
  <c r="J59" i="17"/>
  <c r="K49" i="17"/>
  <c r="L49" i="17" s="1"/>
  <c r="J49" i="17"/>
  <c r="K43" i="17"/>
  <c r="J43" i="17"/>
  <c r="L43" i="17" s="1"/>
  <c r="L36" i="17"/>
  <c r="K36" i="17"/>
  <c r="J36" i="17"/>
  <c r="S25" i="17"/>
  <c r="Q24" i="17"/>
  <c r="S24" i="17" s="1"/>
  <c r="S21" i="17"/>
  <c r="K21" i="17"/>
  <c r="K126" i="17" s="1"/>
  <c r="S20" i="17"/>
  <c r="K20" i="17"/>
  <c r="K125" i="17" s="1"/>
  <c r="S19" i="17"/>
  <c r="P18" i="17"/>
  <c r="S18" i="17" s="1"/>
  <c r="S17" i="17"/>
  <c r="J17" i="17"/>
  <c r="K124" i="17" s="1"/>
  <c r="S16" i="17"/>
  <c r="J16" i="17"/>
  <c r="K123" i="17" s="1"/>
  <c r="S15" i="17"/>
  <c r="J15" i="17"/>
  <c r="F9" i="17"/>
  <c r="B100" i="17" s="1"/>
  <c r="K129" i="16"/>
  <c r="K123" i="16"/>
  <c r="K122" i="16"/>
  <c r="K114" i="16"/>
  <c r="J114" i="16"/>
  <c r="K105" i="16"/>
  <c r="J105" i="16"/>
  <c r="L105" i="16" s="1"/>
  <c r="K91" i="16"/>
  <c r="J91" i="16"/>
  <c r="L91" i="16" s="1"/>
  <c r="K77" i="16"/>
  <c r="J77" i="16"/>
  <c r="K70" i="16"/>
  <c r="J70" i="16"/>
  <c r="K65" i="16"/>
  <c r="J65" i="16"/>
  <c r="B63" i="16"/>
  <c r="K59" i="16"/>
  <c r="J59" i="16"/>
  <c r="K49" i="16"/>
  <c r="J49" i="16"/>
  <c r="L49" i="16" s="1"/>
  <c r="K43" i="16"/>
  <c r="J43" i="16"/>
  <c r="L43" i="16" s="1"/>
  <c r="L36" i="16"/>
  <c r="K36" i="16"/>
  <c r="J36" i="16"/>
  <c r="S25" i="16"/>
  <c r="Q24" i="16"/>
  <c r="S24" i="16" s="1"/>
  <c r="S22" i="16"/>
  <c r="K22" i="16"/>
  <c r="K127" i="16" s="1"/>
  <c r="S21" i="16"/>
  <c r="K21" i="16"/>
  <c r="K126" i="16" s="1"/>
  <c r="S20" i="16"/>
  <c r="K20" i="16"/>
  <c r="K125" i="16" s="1"/>
  <c r="S19" i="16"/>
  <c r="P18" i="16"/>
  <c r="S18" i="16" s="1"/>
  <c r="S17" i="16"/>
  <c r="J17" i="16"/>
  <c r="K124" i="16" s="1"/>
  <c r="S16" i="16"/>
  <c r="J16" i="16"/>
  <c r="S15" i="16"/>
  <c r="J15" i="16"/>
  <c r="F9" i="16"/>
  <c r="C35" i="16" s="1"/>
  <c r="Q24" i="2"/>
  <c r="P18" i="2"/>
  <c r="L114" i="16" l="1"/>
  <c r="L59" i="17"/>
  <c r="L59" i="16"/>
  <c r="L77" i="16"/>
  <c r="L77" i="17"/>
  <c r="L70" i="17"/>
  <c r="L65" i="17"/>
  <c r="L114" i="17"/>
  <c r="L70" i="16"/>
  <c r="L65" i="16"/>
  <c r="S23" i="17"/>
  <c r="S22" i="17"/>
  <c r="J18" i="17"/>
  <c r="K24" i="17"/>
  <c r="J19" i="17" s="1"/>
  <c r="J26" i="17" s="1"/>
  <c r="K23" i="16"/>
  <c r="K128" i="16" s="1"/>
  <c r="K24" i="16"/>
  <c r="J19" i="16" s="1"/>
  <c r="J26" i="16" s="1"/>
  <c r="J18" i="16"/>
  <c r="K25" i="16" s="1"/>
  <c r="K26" i="16" s="1"/>
  <c r="C104" i="17"/>
  <c r="C64" i="17"/>
  <c r="C35" i="17"/>
  <c r="C64" i="16"/>
  <c r="B100" i="16"/>
  <c r="C104" i="16"/>
  <c r="K129" i="2"/>
  <c r="S20" i="2"/>
  <c r="K20" i="2"/>
  <c r="K125" i="2" s="1"/>
  <c r="K25" i="17" l="1"/>
  <c r="K26" i="17" s="1"/>
  <c r="L26" i="17" s="1"/>
  <c r="L26" i="16"/>
  <c r="J18" i="2"/>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<sst xmlns="http://schemas.openxmlformats.org/spreadsheetml/2006/main" count="8034" uniqueCount="1761">
  <si>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</si>
  <si>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</si>
  <si>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</si>
  <si>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</si>
  <si>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</si>
  <si>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</si>
  <si>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</si>
  <si>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</si>
  <si>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</si>
  <si>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</si>
  <si>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</si>
  <si>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</si>
  <si>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</si>
  <si>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</si>
  <si>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</si>
  <si>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</si>
  <si>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</si>
  <si>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</si>
  <si>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</si>
  <si>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</si>
  <si>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</si>
  <si>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</si>
  <si>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</si>
  <si>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</si>
  <si>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</si>
  <si>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</si>
  <si>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</si>
  <si>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</si>
  <si>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</si>
  <si>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</si>
  <si>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</si>
  <si>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</si>
  <si>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</si>
  <si>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</si>
  <si>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</si>
  <si>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</si>
  <si>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</si>
  <si>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</si>
  <si>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</si>
  <si>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</si>
  <si>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</si>
  <si>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</si>
  <si>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</si>
  <si>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</si>
  <si>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</si>
  <si>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</si>
  <si>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</si>
  <si>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</si>
  <si>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</si>
  <si>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</si>
  <si>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</si>
  <si>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</si>
  <si>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</si>
  <si>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</si>
  <si>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</si>
  <si>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</si>
  <si>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</si>
  <si>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</si>
  <si>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</si>
  <si>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</si>
  <si>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</si>
  <si>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</si>
  <si>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</si>
  <si>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</si>
  <si>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</si>
  <si>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</si>
  <si>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</si>
  <si>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</si>
  <si>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</si>
  <si>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</si>
  <si>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</si>
  <si>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</si>
  <si>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</si>
  <si>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</si>
  <si>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</si>
  <si>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</si>
  <si>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</si>
  <si>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</si>
  <si>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</si>
  <si>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</si>
  <si>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</si>
  <si>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</si>
  <si>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</si>
  <si>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</si>
  <si>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</si>
  <si>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</si>
  <si>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</si>
  <si>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</si>
  <si>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</si>
  <si>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</si>
  <si>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</si>
  <si>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</si>
  <si>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</si>
  <si>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</si>
  <si>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</si>
  <si>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</si>
  <si>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</si>
  <si>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</si>
  <si>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</si>
  <si>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</si>
  <si>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</si>
  <si>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</si>
  <si>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</si>
  <si>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</si>
  <si>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</si>
  <si>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</si>
  <si>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</si>
  <si>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</si>
  <si>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</si>
  <si>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</si>
  <si>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</si>
  <si>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</si>
  <si>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</si>
  <si>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</si>
  <si>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</si>
  <si>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</si>
  <si>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</si>
  <si>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</si>
  <si>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</si>
  <si>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</si>
  <si>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</si>
  <si>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</si>
  <si>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</si>
  <si>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</si>
  <si>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</si>
  <si>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</si>
  <si>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</si>
  <si>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</si>
  <si>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</si>
  <si>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</si>
  <si>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</si>
  <si>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</si>
  <si>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</si>
  <si>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</si>
  <si>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</si>
  <si>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</si>
  <si>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</si>
  <si>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</si>
  <si>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</si>
  <si>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</si>
  <si>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</si>
  <si>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</si>
  <si>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</si>
  <si>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</si>
  <si>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</si>
  <si>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</si>
  <si>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</si>
  <si>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</si>
  <si>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</si>
  <si>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</si>
  <si>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</si>
  <si>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</si>
  <si>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</si>
  <si>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</si>
  <si>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</si>
  <si>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</si>
  <si>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</si>
  <si>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</si>
  <si>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</si>
  <si>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</si>
  <si>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</si>
  <si>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</si>
  <si>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</si>
  <si>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</si>
  <si>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</si>
  <si>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</si>
  <si>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</si>
  <si>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</si>
  <si>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</si>
  <si>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</si>
  <si>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</si>
  <si>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</si>
  <si>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</si>
  <si>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</si>
  <si>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</si>
  <si>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</si>
  <si>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</si>
  <si>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</si>
  <si>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</si>
  <si>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</si>
  <si>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</si>
  <si>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</si>
  <si>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</si>
  <si>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</si>
  <si>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</si>
  <si>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</si>
  <si>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</si>
  <si>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</si>
  <si>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</si>
  <si>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</si>
  <si>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</si>
  <si>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</si>
  <si>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</si>
  <si>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</si>
  <si>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</si>
  <si>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</si>
  <si>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</si>
  <si>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</si>
  <si>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</si>
  <si>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</si>
  <si>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</si>
  <si>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</si>
  <si>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</si>
  <si>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</si>
  <si>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</si>
  <si>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</si>
  <si>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</si>
  <si>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</si>
  <si>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</si>
  <si>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</si>
  <si>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</si>
  <si>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</si>
  <si>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</si>
  <si>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</si>
  <si>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</si>
  <si>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</si>
  <si>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</si>
  <si>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</si>
  <si>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</si>
  <si>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</si>
  <si>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</si>
  <si>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</si>
  <si>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</si>
  <si>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</si>
  <si>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</si>
  <si>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</si>
  <si>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</si>
  <si>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</si>
  <si>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</si>
  <si>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</si>
  <si>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</si>
  <si>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</si>
  <si>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</si>
  <si>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</si>
  <si>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</si>
  <si>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</si>
  <si>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</si>
  <si>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</si>
  <si>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</si>
  <si>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</si>
  <si>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</si>
  <si>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</si>
  <si>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</si>
  <si>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</si>
  <si>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</si>
  <si>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</si>
  <si>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</si>
  <si>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</si>
  <si>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</si>
  <si>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</si>
  <si>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</si>
  <si>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</si>
  <si>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</si>
  <si>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</si>
  <si>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</si>
  <si>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</si>
  <si>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</si>
  <si>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</si>
  <si>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</si>
  <si>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</si>
  <si>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</si>
  <si>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</si>
  <si>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</si>
  <si>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</si>
  <si>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</si>
  <si>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</si>
  <si>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</si>
  <si>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</si>
  <si>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</si>
  <si>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</si>
  <si>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</si>
  <si>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</si>
  <si>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</si>
  <si>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</si>
  <si>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</si>
  <si>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</si>
  <si>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</si>
  <si>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</si>
  <si>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</si>
  <si>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</si>
  <si>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</si>
  <si>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</si>
  <si>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</si>
  <si>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</si>
  <si>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</si>
  <si>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</si>
  <si>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</si>
  <si>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</si>
  <si>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</si>
  <si>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</si>
  <si>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</si>
  <si>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</si>
  <si>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</si>
  <si>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</si>
  <si>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</si>
  <si>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</si>
  <si>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</si>
  <si>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</si>
  <si>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</si>
  <si>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</si>
  <si>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</si>
  <si>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</si>
  <si>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</si>
  <si>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</si>
  <si>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</si>
  <si>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</si>
  <si>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</si>
  <si>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</si>
  <si>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</si>
  <si>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</si>
  <si>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</si>
  <si>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</si>
  <si>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</si>
  <si>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</si>
  <si>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</si>
  <si>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</si>
  <si>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</si>
  <si>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</si>
  <si>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</si>
  <si>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</si>
  <si>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</si>
  <si>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</si>
  <si>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</si>
  <si>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</si>
  <si>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</si>
  <si>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</si>
  <si>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</si>
  <si>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</si>
  <si>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</si>
  <si>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</si>
  <si>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</si>
  <si>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</si>
  <si>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</si>
  <si>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</si>
  <si>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</si>
  <si>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</si>
  <si>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</si>
  <si>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</si>
  <si>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</si>
  <si>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</si>
  <si>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</si>
  <si>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</si>
  <si>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</si>
  <si>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</si>
  <si>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</si>
  <si>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</si>
  <si>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</si>
  <si>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</si>
  <si>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</si>
  <si>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</si>
  <si>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</si>
  <si>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</si>
  <si>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</si>
  <si>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</si>
  <si>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</si>
  <si>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</si>
  <si>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</si>
  <si>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</si>
  <si>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</si>
  <si>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</si>
  <si>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</si>
  <si>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</si>
  <si>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</si>
  <si>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</si>
  <si>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</si>
  <si>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</si>
  <si>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</si>
  <si>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</si>
  <si>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</si>
  <si>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</si>
  <si>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</si>
  <si>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</si>
  <si>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</si>
  <si>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</si>
  <si>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</si>
  <si>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</si>
  <si>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</si>
  <si>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</si>
  <si>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</si>
  <si>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</si>
  <si>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</si>
  <si>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</si>
  <si>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</si>
  <si>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</si>
  <si>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</si>
  <si>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</si>
  <si>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</si>
  <si>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</si>
  <si>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</si>
  <si>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</si>
  <si>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</si>
  <si>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</si>
  <si>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</si>
  <si>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</si>
  <si>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</si>
  <si>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</si>
  <si>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</si>
  <si>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</si>
  <si>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</si>
  <si>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</si>
  <si>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</si>
  <si>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</si>
  <si>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</si>
  <si>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</si>
  <si>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</si>
  <si>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</si>
  <si>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</si>
  <si>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</si>
  <si>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</si>
  <si>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</si>
  <si>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</si>
  <si>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</si>
  <si>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</si>
  <si>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</si>
  <si>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</si>
  <si>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</si>
  <si>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</si>
  <si>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</si>
  <si>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</si>
  <si>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</si>
  <si>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</si>
  <si>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</si>
  <si>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</si>
  <si>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</si>
  <si>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</si>
  <si>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</si>
  <si>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</si>
  <si>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</si>
  <si>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</si>
  <si>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</si>
  <si>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</si>
  <si>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</si>
  <si>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</si>
  <si>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</si>
  <si>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</si>
  <si>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</si>
  <si>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</si>
  <si>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</si>
  <si>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</si>
  <si>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</si>
  <si>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</si>
  <si>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</si>
  <si>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</si>
  <si>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</si>
  <si>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</si>
  <si>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</si>
  <si>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</si>
  <si>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</si>
  <si>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</si>
  <si>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</si>
  <si>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</si>
  <si>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</si>
  <si>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</si>
  <si>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</si>
  <si>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</si>
  <si>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</si>
  <si>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</si>
  <si>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</si>
  <si>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</si>
  <si>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</si>
  <si>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</si>
  <si>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</si>
  <si>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</si>
  <si>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</si>
  <si>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</si>
  <si>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</si>
  <si>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</si>
  <si>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</si>
  <si>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</si>
  <si>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</si>
  <si>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</si>
  <si>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</si>
  <si>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</si>
  <si>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</si>
  <si>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</si>
  <si>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</si>
  <si>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</si>
  <si>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</si>
  <si>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</si>
  <si>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</si>
  <si>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</si>
  <si>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</si>
  <si>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</si>
  <si>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</si>
  <si>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</si>
  <si>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</si>
  <si>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</si>
  <si>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</si>
  <si>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</si>
  <si>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</si>
  <si>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</si>
  <si>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</si>
  <si>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</si>
  <si>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</si>
  <si>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</si>
  <si>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</si>
  <si>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</si>
  <si>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</si>
  <si>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</si>
  <si>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</si>
  <si>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</si>
  <si>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</si>
  <si>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</si>
  <si>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</si>
  <si>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</si>
  <si>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</si>
  <si>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</si>
  <si>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</si>
  <si>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</si>
  <si>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</si>
  <si>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</si>
  <si>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</si>
  <si>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</si>
  <si>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</si>
  <si>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</si>
  <si>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</si>
  <si>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</si>
  <si>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</si>
  <si>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</si>
  <si>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</si>
  <si>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</si>
  <si>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</si>
  <si>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</si>
  <si>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</si>
  <si>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</si>
  <si>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</si>
  <si>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</si>
  <si>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</si>
  <si>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</si>
  <si>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</si>
  <si>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</si>
  <si>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</si>
  <si>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</si>
  <si>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</si>
  <si>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</si>
  <si>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</si>
  <si>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</si>
  <si>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</si>
  <si>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</si>
  <si>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</si>
  <si>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</si>
  <si>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</si>
  <si>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</si>
  <si>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</si>
  <si>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</si>
  <si>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</si>
  <si>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</si>
  <si>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</si>
  <si>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</si>
  <si>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</si>
  <si>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</si>
  <si>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</si>
  <si>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</si>
  <si>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</si>
  <si>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</si>
  <si>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</si>
  <si>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</si>
  <si>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</si>
  <si>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</si>
  <si>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</si>
  <si>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</si>
  <si>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</si>
  <si>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</si>
  <si>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</si>
  <si>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</si>
  <si>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</si>
  <si>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</si>
  <si>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</si>
  <si>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</si>
  <si>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</si>
  <si>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</si>
  <si>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</si>
  <si>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</si>
  <si>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</si>
  <si>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</si>
  <si>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</si>
  <si>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</si>
  <si>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</si>
  <si>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</si>
  <si>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</si>
  <si>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</si>
  <si>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</si>
  <si>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</si>
  <si>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</si>
  <si>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</si>
  <si>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</si>
  <si>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</si>
  <si>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</si>
  <si>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</si>
  <si>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</si>
  <si>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</si>
  <si>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</si>
  <si>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</si>
  <si>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</si>
  <si>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</si>
  <si>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</si>
  <si>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</si>
  <si>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</si>
  <si>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</si>
  <si>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</si>
  <si>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</si>
  <si>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</si>
  <si>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</si>
  <si>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</si>
  <si>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</si>
  <si>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</si>
  <si>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</si>
  <si>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</si>
  <si>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</si>
  <si>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</si>
  <si>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</si>
  <si>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</si>
  <si>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</si>
  <si>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</si>
  <si>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</si>
  <si>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</si>
  <si>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</si>
  <si>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</si>
  <si>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</si>
  <si>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</si>
  <si>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</si>
  <si>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</si>
  <si>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</si>
  <si>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</si>
  <si>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</si>
  <si>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</si>
  <si>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</si>
  <si>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</si>
  <si>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</si>
  <si>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</si>
  <si>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</si>
  <si>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</si>
  <si>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</si>
  <si>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</si>
  <si>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</si>
  <si>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</si>
  <si>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</si>
  <si>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</si>
  <si>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</si>
  <si>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</si>
  <si>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</si>
  <si>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</si>
  <si>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</si>
  <si>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</si>
  <si>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</si>
  <si>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</si>
  <si>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</si>
  <si>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</si>
  <si>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</si>
  <si>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</si>
  <si>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</si>
  <si>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</si>
  <si>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</si>
  <si>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</si>
  <si>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</si>
  <si>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</si>
  <si>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</si>
  <si>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</si>
  <si>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</si>
  <si>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</si>
  <si>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</si>
  <si>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</si>
  <si>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</si>
  <si>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</si>
  <si>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</si>
  <si>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</si>
  <si>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</si>
  <si>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</si>
  <si>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</si>
  <si>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</si>
  <si>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</si>
  <si>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</si>
  <si>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</si>
  <si>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</si>
  <si>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</si>
  <si>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</si>
  <si>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</si>
  <si>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</si>
  <si>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</si>
  <si>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</si>
  <si>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</si>
  <si>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</si>
  <si>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</si>
  <si>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</si>
  <si>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</si>
  <si>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</si>
  <si>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</si>
  <si>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</si>
  <si>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</si>
  <si>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</si>
  <si>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</si>
  <si>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</si>
  <si>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</si>
  <si>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</si>
  <si>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</si>
  <si>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</si>
  <si>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</si>
  <si>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</si>
  <si>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</si>
  <si>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</si>
  <si>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</si>
  <si>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</si>
  <si>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</si>
  <si>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</si>
  <si>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</si>
  <si>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</si>
  <si>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</si>
  <si>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</si>
  <si>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</si>
  <si>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</si>
  <si>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</si>
  <si>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</si>
  <si>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</si>
  <si>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</si>
  <si>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</si>
  <si>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</si>
  <si>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</si>
  <si>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</si>
  <si>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</si>
  <si>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</si>
  <si>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</si>
  <si>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</si>
  <si>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</si>
  <si>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</si>
  <si>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</si>
  <si>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</si>
  <si>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</si>
  <si>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</si>
  <si>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</si>
  <si>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</si>
  <si>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</si>
  <si>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</si>
  <si>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</si>
  <si>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</si>
  <si>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</si>
  <si>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</si>
  <si>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</si>
  <si>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</si>
  <si>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</si>
  <si>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</si>
  <si>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</si>
  <si>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</si>
  <si>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</si>
  <si>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</si>
  <si>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</si>
  <si>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</si>
  <si>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</si>
  <si>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</si>
  <si>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</si>
  <si>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</si>
  <si>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</si>
  <si>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</si>
  <si>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</si>
  <si>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</si>
  <si>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</si>
  <si>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</si>
  <si>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</si>
  <si>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</si>
  <si>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</si>
  <si>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</si>
  <si>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</si>
  <si>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</si>
  <si>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</si>
  <si>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</si>
  <si>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</si>
  <si>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</si>
  <si>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</si>
  <si>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</si>
  <si>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</si>
  <si>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</si>
  <si>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</si>
  <si>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</si>
  <si>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</si>
  <si>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</si>
  <si>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</si>
  <si>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</si>
  <si>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</si>
  <si>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</si>
  <si>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</si>
  <si>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</si>
  <si>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</si>
  <si>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</si>
  <si>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</si>
  <si>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</si>
  <si>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</si>
  <si>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</si>
  <si>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</si>
  <si>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</si>
  <si>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</si>
  <si>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</si>
  <si>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</si>
  <si>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</si>
  <si>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</si>
  <si>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</si>
  <si>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</si>
  <si>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</si>
  <si>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</si>
  <si>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</si>
  <si>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</si>
  <si>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</si>
  <si>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</si>
  <si>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</si>
  <si>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</si>
  <si>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</si>
  <si>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</si>
  <si>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</si>
  <si>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</si>
  <si>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</si>
  <si>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</si>
  <si>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</si>
  <si>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</si>
  <si>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</si>
  <si>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</si>
  <si>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</si>
  <si>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</si>
  <si>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</si>
  <si>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</si>
  <si>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</si>
  <si>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</si>
  <si>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</si>
  <si>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</si>
  <si>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</si>
  <si>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</si>
  <si>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</si>
  <si>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</si>
  <si>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</si>
  <si>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</si>
  <si>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</si>
  <si>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</si>
  <si>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</si>
  <si>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</si>
  <si>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</si>
  <si>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</si>
  <si>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</si>
  <si>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</si>
  <si>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</si>
  <si>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</si>
  <si>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</si>
  <si>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</si>
  <si>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</si>
  <si>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</si>
  <si>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</si>
  <si>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</si>
  <si>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</si>
  <si>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</si>
  <si>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</si>
  <si>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</si>
  <si>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</si>
  <si>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</si>
  <si>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</si>
  <si>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</si>
  <si>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</si>
  <si>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</si>
  <si>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</si>
  <si>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</si>
  <si>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</si>
  <si>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</si>
  <si>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</si>
  <si>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</si>
  <si>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</si>
  <si>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</si>
  <si>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</si>
  <si>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</si>
  <si>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</si>
  <si>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</si>
  <si>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</si>
  <si>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</si>
  <si>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</si>
  <si>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</si>
  <si>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</si>
  <si>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</si>
  <si>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</si>
  <si>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</si>
  <si>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</si>
  <si>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</si>
  <si>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</si>
  <si>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</si>
  <si>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</si>
  <si>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</si>
  <si>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</si>
  <si>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</si>
  <si>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</si>
  <si>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</si>
  <si>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</si>
  <si>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</si>
  <si>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</si>
  <si>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</si>
  <si>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</si>
  <si>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</si>
  <si>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</si>
  <si>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</si>
  <si>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</si>
  <si>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</si>
  <si>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</si>
  <si>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</si>
  <si>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</si>
  <si>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</si>
  <si>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</si>
  <si>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</si>
  <si>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</si>
  <si>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</si>
  <si>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</si>
  <si>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</si>
  <si>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</si>
  <si>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</si>
  <si>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</si>
  <si>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</si>
  <si>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</si>
  <si>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</si>
  <si>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</si>
  <si>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</si>
  <si>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</si>
  <si>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</si>
  <si>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</si>
  <si>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</si>
  <si>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</si>
  <si>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</si>
  <si>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</si>
  <si>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</si>
  <si>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</si>
  <si>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</si>
  <si>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</si>
  <si>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</si>
  <si>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</si>
  <si>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</si>
  <si>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</si>
  <si>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</si>
  <si>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</si>
  <si>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</si>
  <si>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</si>
  <si>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</si>
  <si>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</si>
  <si>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</si>
  <si>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</si>
  <si>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</si>
  <si>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</si>
  <si>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</si>
  <si>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</si>
  <si>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</si>
  <si>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</si>
  <si>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</si>
  <si>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</si>
  <si>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</si>
  <si>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</si>
  <si>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</si>
  <si>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</si>
  <si>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</si>
  <si>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</si>
  <si>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</si>
  <si>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</si>
  <si>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</si>
  <si>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</si>
  <si>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</si>
  <si>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</si>
  <si>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</si>
  <si>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</si>
  <si>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</si>
  <si>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</si>
  <si>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</si>
  <si>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</si>
  <si>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</si>
  <si>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</si>
  <si>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</si>
  <si>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</si>
  <si>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</si>
  <si>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</si>
  <si>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</si>
  <si>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</si>
  <si>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</si>
  <si>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</si>
  <si>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</si>
  <si>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</si>
  <si>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</si>
  <si>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</si>
  <si>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</si>
  <si>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</si>
  <si>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</si>
  <si>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</si>
  <si>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</si>
  <si>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</si>
  <si>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</si>
  <si>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</si>
  <si>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</si>
  <si>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</si>
  <si>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</si>
  <si>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</si>
  <si>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</si>
  <si>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</si>
  <si>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</si>
  <si>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</si>
  <si>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</si>
  <si>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</si>
  <si>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</si>
  <si>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</si>
  <si>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</si>
  <si>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</si>
  <si>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</si>
  <si>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</si>
  <si>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</si>
  <si>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</si>
  <si>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</si>
  <si>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</si>
  <si>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</si>
  <si>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</si>
  <si>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</si>
  <si>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</si>
  <si>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</si>
  <si>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</si>
  <si>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</si>
  <si>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</si>
  <si>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</si>
  <si>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</si>
  <si>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</si>
  <si>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</si>
  <si>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</si>
  <si>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</si>
  <si>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</si>
  <si>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</si>
  <si>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</si>
  <si>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</si>
  <si>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</si>
  <si>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</si>
  <si>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</si>
  <si>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</si>
  <si>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</si>
  <si>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</si>
  <si>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</si>
  <si>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</si>
  <si>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</si>
  <si>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</si>
  <si>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</si>
  <si>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</si>
  <si>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</si>
  <si>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</si>
  <si>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</si>
  <si>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</si>
  <si>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</si>
  <si>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</si>
  <si>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</si>
  <si>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</si>
  <si>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</si>
  <si>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</si>
  <si>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</si>
  <si>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</si>
  <si>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</si>
  <si>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</si>
  <si>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</si>
  <si>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</si>
  <si>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</si>
  <si>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</si>
  <si>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</si>
  <si>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</si>
  <si>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</si>
  <si>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</si>
  <si>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</si>
  <si>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</si>
  <si>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</si>
  <si>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</si>
  <si>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</si>
  <si>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</si>
  <si>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</si>
  <si>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</si>
  <si>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</si>
  <si>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</si>
  <si>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</si>
  <si>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</si>
  <si>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</si>
  <si>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</si>
  <si>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</si>
  <si>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</si>
  <si>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</si>
  <si>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</si>
  <si>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</si>
  <si>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</si>
  <si>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</si>
  <si>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</si>
  <si>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</si>
  <si>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</si>
  <si>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</si>
  <si>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</si>
  <si>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</si>
  <si>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</si>
  <si>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</si>
  <si>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</si>
  <si>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</si>
  <si>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</si>
  <si>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</si>
  <si>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</si>
  <si>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</si>
  <si>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</si>
  <si>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</si>
  <si>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</si>
  <si>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</si>
  <si>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</si>
  <si>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</si>
  <si>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</si>
  <si>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</si>
  <si>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</si>
  <si>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</si>
  <si>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</si>
  <si>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</si>
  <si>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</si>
  <si>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</si>
  <si>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</si>
  <si>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</si>
  <si>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</si>
  <si>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</si>
  <si>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</si>
  <si>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</si>
  <si>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</si>
  <si>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</si>
  <si>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</si>
  <si>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</si>
  <si>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</si>
  <si>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</si>
  <si>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</si>
  <si>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</si>
  <si>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</si>
  <si>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</si>
  <si>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</si>
  <si>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</si>
  <si>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</si>
  <si>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</si>
  <si>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</si>
  <si>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</si>
  <si>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</si>
  <si>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</si>
  <si>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</si>
  <si>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</si>
  <si>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</si>
  <si>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</si>
  <si>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</si>
  <si>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</si>
  <si>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</si>
  <si>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</si>
  <si>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</si>
  <si>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</si>
  <si>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</si>
  <si>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</si>
  <si>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</si>
  <si>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</si>
  <si>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</si>
  <si>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</si>
  <si>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</si>
  <si>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</si>
  <si>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</si>
  <si>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</si>
  <si>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</si>
  <si>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</si>
  <si>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</si>
  <si>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</si>
  <si>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</si>
  <si>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</si>
  <si>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</si>
  <si>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</si>
  <si>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</si>
  <si>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</si>
  <si>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</si>
  <si>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</si>
  <si>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</si>
  <si>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</si>
  <si>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</si>
  <si>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</si>
  <si>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</si>
  <si>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</si>
  <si>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</si>
  <si>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</si>
  <si>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</si>
  <si>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</si>
  <si>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</si>
  <si>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</si>
  <si>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</si>
  <si>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</si>
  <si>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</si>
  <si>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</si>
  <si>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</si>
  <si>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</si>
  <si>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</si>
  <si>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</si>
  <si>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</si>
  <si>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</si>
  <si>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</si>
  <si>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</si>
  <si>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</si>
  <si>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</si>
  <si>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</si>
  <si>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</si>
  <si>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</si>
  <si>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</si>
  <si>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</si>
  <si>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</si>
  <si>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</si>
  <si>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</si>
  <si>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</si>
  <si>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</si>
  <si>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</si>
  <si>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</si>
  <si>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</si>
  <si>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</si>
  <si>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</si>
  <si>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</si>
  <si>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</si>
  <si>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</si>
  <si>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</si>
  <si>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</si>
  <si>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</si>
  <si>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</si>
  <si>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</si>
  <si>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</si>
  <si>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</si>
  <si>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</si>
  <si>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</si>
  <si>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</si>
  <si>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</si>
  <si>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</si>
  <si>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</si>
  <si>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</si>
  <si>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</si>
  <si>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</si>
  <si>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</si>
  <si>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</si>
  <si>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</si>
  <si>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</si>
  <si>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</si>
  <si>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</si>
  <si>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</si>
  <si>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</si>
  <si>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</si>
  <si>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</si>
  <si>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</si>
  <si>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</si>
  <si>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</si>
  <si>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</si>
  <si>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</si>
  <si>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</si>
  <si>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</si>
  <si>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</si>
  <si>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</si>
  <si>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</si>
  <si>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</si>
  <si>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</si>
  <si>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</si>
  <si>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</si>
  <si>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</si>
  <si>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</si>
  <si>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</si>
  <si>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</si>
  <si>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</si>
  <si>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</si>
  <si>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</si>
  <si>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</si>
  <si>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</si>
  <si>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</si>
  <si>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</si>
  <si>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</si>
  <si>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</si>
  <si>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</si>
  <si>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</si>
  <si>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</si>
  <si>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</si>
  <si>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</si>
  <si>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</si>
  <si>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</si>
  <si>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</si>
  <si>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</si>
  <si>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</si>
  <si>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</si>
  <si>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</si>
  <si>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</si>
  <si>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</si>
  <si>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</si>
  <si>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</si>
  <si>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</si>
  <si>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</si>
  <si>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</si>
  <si>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</si>
  <si>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</si>
  <si>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</si>
  <si>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</si>
  <si>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</si>
  <si>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</si>
  <si>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</si>
  <si>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</si>
  <si>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</si>
  <si>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</si>
  <si>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</si>
  <si>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</si>
  <si>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</si>
  <si>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</si>
  <si>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</si>
  <si>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</si>
  <si>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</si>
  <si>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</si>
  <si>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</si>
  <si>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</si>
  <si>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</si>
  <si>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</si>
  <si>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</si>
  <si>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</si>
  <si>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</si>
  <si>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</si>
  <si>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</si>
  <si>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</si>
  <si>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</si>
  <si>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</si>
  <si>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</si>
  <si>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</si>
  <si>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</si>
  <si>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</si>
  <si>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</si>
  <si>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</si>
  <si>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</si>
  <si>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</si>
  <si>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</si>
  <si>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</si>
  <si>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</si>
  <si>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</si>
  <si>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</si>
  <si>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</si>
  <si>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</si>
  <si>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</si>
  <si>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</si>
  <si>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</si>
  <si>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</si>
  <si>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</si>
  <si>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</si>
  <si>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</si>
  <si>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</si>
  <si>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</si>
  <si>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</si>
  <si>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</si>
  <si>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</si>
  <si>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</si>
  <si>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</si>
  <si>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</si>
  <si>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</si>
  <si>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</si>
  <si>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</si>
  <si>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</si>
  <si>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</si>
  <si>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</si>
  <si>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</si>
  <si>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</si>
  <si>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</si>
  <si>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</si>
  <si>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</si>
  <si>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</si>
  <si>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</si>
  <si>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</si>
  <si>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</si>
  <si>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</si>
  <si>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</si>
  <si>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</si>
  <si>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</si>
  <si>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</si>
  <si>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</si>
  <si>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</si>
  <si>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</si>
  <si>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</si>
  <si>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</si>
  <si>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</si>
  <si>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</si>
  <si>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</si>
  <si>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</si>
  <si>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</si>
  <si>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</si>
  <si>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</si>
  <si>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</si>
  <si>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</si>
  <si>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</si>
  <si>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</si>
  <si>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</si>
  <si>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</si>
  <si>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</si>
  <si>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</si>
  <si>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</si>
  <si>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</si>
  <si>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</si>
  <si>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</si>
  <si>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</si>
  <si>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</si>
  <si>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</si>
  <si>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</si>
  <si>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</si>
  <si>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</si>
  <si>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</si>
  <si>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</si>
  <si>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</si>
  <si>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</si>
  <si>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</si>
  <si>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</si>
  <si>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</si>
  <si>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</si>
  <si>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</si>
  <si>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</si>
  <si>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</si>
  <si>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</si>
  <si>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</si>
  <si>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</si>
  <si>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</si>
  <si>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</si>
  <si>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</si>
  <si>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</si>
  <si>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</si>
  <si>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</si>
  <si>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</si>
  <si>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</si>
  <si>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</si>
  <si>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</si>
  <si>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</si>
  <si>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</si>
  <si>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</si>
  <si>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</si>
  <si>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</si>
  <si>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</si>
  <si>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</si>
  <si>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</si>
  <si>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</si>
  <si>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</si>
  <si>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</si>
  <si>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</si>
  <si>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</si>
  <si>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</si>
  <si>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</si>
  <si>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</si>
  <si>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</si>
  <si>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</si>
  <si>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</si>
  <si>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</si>
  <si>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</si>
  <si>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</si>
  <si>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</si>
  <si>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</si>
  <si>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</si>
  <si>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</si>
  <si>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</si>
  <si>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</si>
  <si>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</si>
  <si>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</si>
  <si>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</si>
  <si>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</si>
  <si>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</si>
  <si>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</si>
  <si>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</si>
  <si>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</si>
  <si>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</si>
  <si>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</si>
  <si>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</si>
  <si>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</si>
  <si>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</si>
  <si>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</si>
  <si>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</si>
  <si>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</si>
  <si>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</si>
  <si>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</si>
  <si>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</si>
  <si>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</si>
  <si>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</si>
  <si>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</si>
  <si>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</si>
  <si>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</si>
  <si>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</si>
  <si>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</si>
  <si>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</si>
  <si>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</si>
  <si>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</si>
  <si>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</si>
  <si>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</si>
  <si>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</si>
  <si>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</si>
  <si>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</si>
  <si>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</si>
  <si>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</si>
  <si>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</si>
  <si>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</si>
  <si>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</si>
  <si>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</si>
  <si>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</si>
  <si>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</si>
  <si>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</si>
  <si>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</si>
  <si>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</si>
  <si>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</si>
  <si>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</si>
  <si>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</si>
  <si>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</si>
  <si>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</si>
  <si>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</si>
  <si>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</si>
  <si>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</si>
  <si>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</si>
  <si>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</si>
  <si>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</si>
  <si>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</si>
  <si>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</si>
  <si>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</si>
  <si>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</si>
  <si>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</si>
  <si>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</si>
  <si>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</si>
  <si>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</si>
  <si>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</si>
  <si>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</si>
  <si>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</si>
  <si>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</si>
  <si>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</si>
  <si>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</si>
  <si>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</si>
  <si>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</si>
  <si>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</si>
  <si>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</si>
  <si>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</si>
  <si>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</si>
  <si>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</si>
  <si>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</si>
  <si>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</si>
  <si>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</si>
  <si>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</si>
  <si>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</si>
  <si>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</si>
  <si>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</si>
  <si>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</si>
  <si>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</si>
  <si>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</si>
  <si>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</si>
  <si>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</si>
  <si>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</si>
  <si>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</si>
  <si>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</si>
  <si>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</si>
  <si>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</si>
  <si>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</si>
  <si>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</si>
  <si>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</si>
  <si>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</si>
  <si>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</si>
  <si>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</si>
  <si>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</si>
  <si>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</si>
  <si>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</si>
  <si>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</si>
  <si>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</si>
  <si>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</si>
  <si>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</si>
  <si>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</si>
  <si>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</si>
  <si>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</si>
  <si>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</si>
  <si>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</si>
  <si>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</si>
  <si>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</si>
  <si>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</si>
  <si>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</si>
  <si>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</si>
  <si>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</si>
  <si>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</si>
  <si>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</si>
  <si>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</si>
  <si>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</si>
  <si>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</si>
  <si>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</si>
  <si>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</si>
  <si>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</si>
  <si>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</si>
  <si>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</si>
  <si>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</si>
  <si>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</si>
  <si>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</si>
  <si>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</si>
  <si>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</si>
  <si>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</si>
  <si>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</si>
  <si>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</si>
  <si>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</si>
  <si>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</si>
  <si>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</si>
  <si>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</si>
  <si>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</si>
  <si>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</si>
  <si>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</si>
  <si>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</si>
  <si>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</si>
  <si>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</si>
  <si>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</si>
  <si>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</si>
  <si>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</si>
  <si>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</si>
  <si>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</si>
  <si>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</si>
  <si>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</si>
  <si>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</si>
  <si>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</si>
  <si>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</si>
  <si>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</si>
  <si>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</si>
  <si>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</si>
  <si>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</si>
  <si>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</si>
  <si>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</si>
  <si>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</si>
  <si>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</si>
  <si>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</si>
  <si>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</si>
  <si>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</si>
  <si>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</si>
  <si>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</si>
  <si>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</si>
  <si>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</si>
  <si>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</si>
  <si>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</si>
  <si>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</si>
  <si>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</si>
  <si>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</si>
  <si>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</si>
  <si>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</si>
  <si>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</si>
  <si>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</si>
  <si>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</si>
  <si>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</si>
  <si>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</si>
  <si>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</si>
  <si>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</si>
  <si>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</si>
  <si>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</si>
  <si>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</si>
  <si>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</si>
  <si>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</si>
  <si>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</si>
  <si>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</si>
  <si>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</si>
  <si>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</si>
  <si>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</si>
  <si>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</si>
  <si>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</si>
  <si>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</si>
  <si>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</si>
  <si>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</si>
  <si>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</si>
  <si>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</si>
  <si>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</si>
  <si>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</si>
  <si>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</si>
  <si>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</si>
  <si>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</si>
  <si>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</si>
  <si>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</si>
  <si>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</si>
  <si>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</si>
  <si>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</si>
  <si>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</si>
  <si>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</si>
  <si>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</si>
  <si>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</si>
  <si>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</si>
  <si>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</si>
  <si>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</si>
  <si>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</si>
  <si>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</si>
  <si>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</si>
  <si>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</si>
  <si>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</si>
  <si>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</si>
  <si>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</si>
  <si>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</si>
  <si>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</si>
  <si>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</si>
  <si>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</si>
  <si>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</si>
  <si>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</si>
  <si>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</si>
  <si>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</si>
  <si>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</si>
  <si>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</si>
  <si>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</si>
  <si>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</si>
  <si>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</si>
  <si>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</si>
  <si>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</si>
  <si>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</si>
  <si>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</si>
  <si>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</si>
  <si>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</si>
  <si>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</si>
  <si>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</si>
  <si>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</si>
  <si>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</si>
  <si>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</si>
  <si>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</si>
  <si>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</si>
  <si>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</si>
  <si>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</si>
  <si>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</si>
  <si>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</si>
  <si>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</si>
  <si>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</si>
  <si>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</si>
  <si>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</si>
  <si>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</si>
  <si>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</si>
  <si>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</si>
  <si>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</si>
  <si>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</si>
  <si>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</si>
  <si>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</si>
  <si>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</si>
  <si>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</si>
  <si>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</si>
  <si>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</si>
  <si>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</si>
  <si>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</si>
  <si>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</si>
  <si>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</si>
  <si>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</si>
  <si>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</si>
  <si>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</si>
  <si>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</si>
  <si>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</si>
  <si>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</si>
  <si>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</si>
  <si>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</si>
  <si>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</si>
  <si>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</si>
  <si>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</si>
  <si>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</si>
  <si>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</si>
  <si>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</si>
  <si>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</si>
  <si>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</si>
  <si>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</si>
  <si>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</si>
  <si>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</si>
  <si>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</si>
  <si>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</si>
  <si>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</si>
  <si>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</si>
  <si>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</si>
  <si>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</si>
  <si>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</si>
  <si>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</si>
  <si>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</si>
  <si>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</si>
  <si>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</si>
  <si>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</si>
  <si>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</si>
  <si>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</si>
  <si>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</si>
  <si>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</si>
  <si>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</si>
  <si>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</si>
  <si>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</si>
  <si>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</si>
  <si>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</si>
  <si>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</si>
  <si>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</si>
  <si>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</si>
  <si>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</si>
  <si>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</si>
  <si>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</si>
  <si>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</si>
  <si>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</si>
  <si>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Conservation Corps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</si>
</sst>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view="pageBreakPreview" zoomScale="60" zoomScaleNormal="90" workbookViewId="0">
      <pane ySplit="10" topLeftCell="A20" activePane="bottomLeft" state="frozen"/>
      <selection activeCell="H56" sqref="H56"/>
      <selection pane="bottomLeft" activeCell="C13" sqref="C13"/>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28.25"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paperSize="5" scale="9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view="pageBreakPreview" zoomScale="80" zoomScaleNormal="70" zoomScaleSheetLayoutView="80" workbookViewId="0">
      <selection activeCell="N32" sqref="N32"/>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727</v>
      </c>
      <c r="G5" s="188"/>
      <c r="H5" s="188"/>
      <c r="I5" s="188"/>
      <c r="L5" s="12"/>
      <c r="M5" s="12"/>
      <c r="N5" s="12"/>
      <c r="O5" s="12"/>
      <c r="P5" s="12"/>
      <c r="Q5" s="12"/>
    </row>
    <row r="6" spans="1:19" ht="16.5" customHeight="1" x14ac:dyDescent="0.25">
      <c r="A6" s="186" t="s">
        <v>1635</v>
      </c>
      <c r="B6" s="186"/>
      <c r="C6" s="186"/>
      <c r="D6" s="186"/>
      <c r="E6" s="186"/>
      <c r="F6" s="189">
        <v>1</v>
      </c>
      <c r="G6" s="189"/>
      <c r="H6" s="189"/>
      <c r="I6" s="189"/>
      <c r="L6" s="13"/>
      <c r="M6" s="13"/>
      <c r="N6" s="13"/>
      <c r="O6" s="13"/>
      <c r="P6" s="12"/>
      <c r="Q6" s="12"/>
    </row>
    <row r="7" spans="1:19" ht="16.5" customHeight="1" x14ac:dyDescent="0.25">
      <c r="A7" s="186" t="s">
        <v>1</v>
      </c>
      <c r="B7" s="186"/>
      <c r="C7" s="186"/>
      <c r="D7" s="186"/>
      <c r="E7" s="186"/>
      <c r="F7" s="189" t="s">
        <v>121</v>
      </c>
      <c r="G7" s="189"/>
      <c r="H7" s="189"/>
      <c r="I7" s="189"/>
      <c r="K7" s="53"/>
      <c r="L7" s="13"/>
      <c r="M7" s="13"/>
      <c r="N7" s="13"/>
      <c r="O7" s="13"/>
      <c r="P7" s="12"/>
      <c r="Q7" s="12"/>
    </row>
    <row r="8" spans="1:19" ht="16.5" customHeight="1" x14ac:dyDescent="0.25">
      <c r="A8" s="186" t="s">
        <v>1617</v>
      </c>
      <c r="B8" s="186"/>
      <c r="C8" s="186"/>
      <c r="D8" s="186"/>
      <c r="E8" s="186"/>
      <c r="F8" s="189" t="s">
        <v>155</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6098635</v>
      </c>
      <c r="M17" s="143">
        <v>6098635</v>
      </c>
      <c r="P17" s="143">
        <v>6098635</v>
      </c>
      <c r="Q17" s="155"/>
      <c r="S17" s="154">
        <f t="shared" si="0"/>
        <v>0</v>
      </c>
    </row>
    <row r="18" spans="1:19" ht="16.5" customHeight="1" x14ac:dyDescent="0.25">
      <c r="A18" s="54"/>
      <c r="B18" s="9" t="s">
        <v>169</v>
      </c>
      <c r="C18" s="9"/>
      <c r="D18" s="9"/>
      <c r="E18" s="140"/>
      <c r="F18" s="141"/>
      <c r="G18" s="141"/>
      <c r="H18" s="142"/>
      <c r="I18" s="142"/>
      <c r="J18" s="178">
        <f>P18</f>
        <v>54878</v>
      </c>
      <c r="M18" s="143">
        <v>54878</v>
      </c>
      <c r="P18" s="152">
        <f>IF(SUM($Q$20:$Q$23)&gt;SUM($P$15:$P$17),SUM($Q$20:$Q$23)-SUM($P$15:$P$17),0)</f>
        <v>54878</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1098216</v>
      </c>
      <c r="N22" s="143">
        <v>1098216</v>
      </c>
      <c r="P22" s="155"/>
      <c r="Q22" s="143">
        <v>1098216</v>
      </c>
      <c r="S22" s="154">
        <f t="shared" ref="S22:S25" si="1">Q22-N22</f>
        <v>0</v>
      </c>
    </row>
    <row r="23" spans="1:19" ht="16.5" customHeight="1" x14ac:dyDescent="0.25">
      <c r="A23" s="165" t="s">
        <v>1646</v>
      </c>
      <c r="B23" s="9"/>
      <c r="C23" s="9" t="s">
        <v>174</v>
      </c>
      <c r="D23" s="9"/>
      <c r="E23" s="140"/>
      <c r="F23" s="141"/>
      <c r="G23" s="141"/>
      <c r="H23" s="142"/>
      <c r="I23" s="142"/>
      <c r="J23" s="150"/>
      <c r="K23" s="178">
        <f>N23</f>
        <v>5055297</v>
      </c>
      <c r="N23" s="143">
        <f>6180921-1125624</f>
        <v>5055297</v>
      </c>
      <c r="P23" s="155"/>
      <c r="Q23" s="143">
        <v>5055297</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6153513</v>
      </c>
      <c r="K26" s="107">
        <f>SUM(K15:K25)</f>
        <v>6153513</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749613</v>
      </c>
      <c r="K33" s="144"/>
    </row>
    <row r="34" spans="1:12" ht="16.5" customHeight="1" x14ac:dyDescent="0.25">
      <c r="A34" s="54"/>
      <c r="B34" s="9"/>
      <c r="C34" s="9" t="s">
        <v>1748</v>
      </c>
      <c r="D34" s="140"/>
      <c r="E34" s="140"/>
      <c r="F34" s="141"/>
      <c r="G34" s="141"/>
      <c r="H34" s="142"/>
      <c r="I34" s="142"/>
      <c r="J34" s="144"/>
      <c r="K34" s="143">
        <v>734113</v>
      </c>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15500</v>
      </c>
    </row>
    <row r="36" spans="1:12" ht="16.5" customHeight="1" x14ac:dyDescent="0.25">
      <c r="A36" s="54"/>
      <c r="C36" s="16"/>
      <c r="D36" s="16"/>
      <c r="E36" s="16"/>
      <c r="F36" s="17"/>
      <c r="G36" s="17"/>
      <c r="H36" s="18"/>
      <c r="I36" s="18"/>
      <c r="J36" s="107">
        <f>SUM(J33:J35)</f>
        <v>749613</v>
      </c>
      <c r="K36" s="107">
        <f>SUM(K33:K35)</f>
        <v>749613</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f>K42</f>
        <v>749613</v>
      </c>
      <c r="K41" s="144"/>
    </row>
    <row r="42" spans="1:12" ht="16.5" customHeight="1" x14ac:dyDescent="0.25">
      <c r="A42" s="54"/>
      <c r="B42" s="9"/>
      <c r="C42" s="9" t="s">
        <v>181</v>
      </c>
      <c r="D42" s="140"/>
      <c r="E42" s="140"/>
      <c r="F42" s="141"/>
      <c r="G42" s="141"/>
      <c r="H42" s="142"/>
      <c r="I42" s="142"/>
      <c r="J42" s="144"/>
      <c r="K42" s="143">
        <f>J33</f>
        <v>749613</v>
      </c>
    </row>
    <row r="43" spans="1:12" ht="16.5" customHeight="1" x14ac:dyDescent="0.25">
      <c r="A43" s="54"/>
      <c r="B43" s="130" t="s">
        <v>1640</v>
      </c>
      <c r="C43" s="16"/>
      <c r="D43" s="16"/>
      <c r="E43" s="16"/>
      <c r="F43" s="17"/>
      <c r="G43" s="17"/>
      <c r="H43" s="18"/>
      <c r="I43" s="18"/>
      <c r="J43" s="107">
        <f>SUM(J39:J42)</f>
        <v>749613</v>
      </c>
      <c r="K43" s="107">
        <f>SUM(K39:K42)</f>
        <v>749613</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f>K34</f>
        <v>734113</v>
      </c>
      <c r="K47" s="144"/>
    </row>
    <row r="48" spans="1:12" ht="16.5" customHeight="1" x14ac:dyDescent="0.25">
      <c r="A48" s="165" t="s">
        <v>1646</v>
      </c>
      <c r="B48" s="9"/>
      <c r="C48" s="9" t="s">
        <v>174</v>
      </c>
      <c r="D48" s="140"/>
      <c r="E48" s="140"/>
      <c r="F48" s="141"/>
      <c r="G48" s="141"/>
      <c r="H48" s="142"/>
      <c r="I48" s="142"/>
      <c r="J48" s="144"/>
      <c r="K48" s="143">
        <f>J47</f>
        <v>734113</v>
      </c>
    </row>
    <row r="49" spans="1:16" ht="16.5" customHeight="1" x14ac:dyDescent="0.25">
      <c r="A49" s="54"/>
      <c r="C49" s="16"/>
      <c r="D49" s="16"/>
      <c r="E49" s="16"/>
      <c r="F49" s="17"/>
      <c r="G49" s="17"/>
      <c r="H49" s="18"/>
      <c r="I49" s="18"/>
      <c r="J49" s="107">
        <f>SUM(J47:J48)</f>
        <v>734113</v>
      </c>
      <c r="K49" s="107">
        <f>SUM(K47:K48)</f>
        <v>734113</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f>K58</f>
        <v>1117308</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1117308</v>
      </c>
    </row>
    <row r="59" spans="1:16" ht="16.5" customHeight="1" x14ac:dyDescent="0.25">
      <c r="A59" s="54"/>
      <c r="C59" s="16"/>
      <c r="D59" s="16"/>
      <c r="E59" s="16"/>
      <c r="F59" s="17"/>
      <c r="G59" s="17"/>
      <c r="H59" s="18"/>
      <c r="I59" s="18"/>
      <c r="J59" s="107">
        <f>SUM(J55:J58)</f>
        <v>1117308</v>
      </c>
      <c r="K59" s="107">
        <f>SUM(K55:K58)</f>
        <v>1117308</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1046717</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58429</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f>+J62+J63</f>
        <v>1105146</v>
      </c>
    </row>
    <row r="65" spans="1:12" ht="16.5" customHeight="1" x14ac:dyDescent="0.25">
      <c r="A65" s="54"/>
      <c r="C65" s="16"/>
      <c r="D65" s="16"/>
      <c r="E65" s="16"/>
      <c r="F65" s="17"/>
      <c r="G65" s="17"/>
      <c r="H65" s="18"/>
      <c r="I65" s="18"/>
      <c r="J65" s="107">
        <f>SUM(J62:J64)</f>
        <v>1105146</v>
      </c>
      <c r="K65" s="107">
        <f>SUM(K62:K64)</f>
        <v>1105146</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f>J62</f>
        <v>1046717</v>
      </c>
      <c r="K68" s="144"/>
    </row>
    <row r="69" spans="1:12" ht="16.5" customHeight="1" x14ac:dyDescent="0.25">
      <c r="A69" s="54"/>
      <c r="B69" s="9"/>
      <c r="C69" s="9" t="s">
        <v>186</v>
      </c>
      <c r="D69" s="140"/>
      <c r="E69" s="140"/>
      <c r="F69" s="141"/>
      <c r="G69" s="141"/>
      <c r="H69" s="142"/>
      <c r="I69" s="142"/>
      <c r="J69" s="144"/>
      <c r="K69" s="143">
        <f>J68</f>
        <v>1046717</v>
      </c>
    </row>
    <row r="70" spans="1:12" ht="16.5" customHeight="1" x14ac:dyDescent="0.25">
      <c r="A70" s="54"/>
      <c r="C70" s="16"/>
      <c r="D70" s="16"/>
      <c r="E70" s="16"/>
      <c r="F70" s="17"/>
      <c r="G70" s="17"/>
      <c r="H70" s="18"/>
      <c r="I70" s="18"/>
      <c r="J70" s="107">
        <f>SUM(J68:J69)</f>
        <v>1046717</v>
      </c>
      <c r="K70" s="107">
        <f>SUM(K68:K69)</f>
        <v>1046717</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1260601</v>
      </c>
      <c r="K75" s="144"/>
    </row>
    <row r="76" spans="1:12" ht="16.5" customHeight="1" x14ac:dyDescent="0.25">
      <c r="A76" s="54"/>
      <c r="B76" s="9"/>
      <c r="C76" s="9" t="s">
        <v>194</v>
      </c>
      <c r="D76" s="140"/>
      <c r="E76" s="140"/>
      <c r="F76" s="141"/>
      <c r="G76" s="141"/>
      <c r="H76" s="142"/>
      <c r="I76" s="142"/>
      <c r="J76" s="144"/>
      <c r="K76" s="143">
        <f>J75</f>
        <v>1260601</v>
      </c>
    </row>
    <row r="77" spans="1:12" ht="16.5" customHeight="1" x14ac:dyDescent="0.2">
      <c r="A77" s="54"/>
      <c r="B77" s="193" t="s">
        <v>1735</v>
      </c>
      <c r="C77" s="193"/>
      <c r="D77" s="193"/>
      <c r="E77" s="193"/>
      <c r="F77" s="193"/>
      <c r="G77" s="193"/>
      <c r="H77" s="193"/>
      <c r="I77" s="193"/>
      <c r="J77" s="107">
        <f>SUM(J75:J76)</f>
        <v>1260601</v>
      </c>
      <c r="K77" s="107">
        <f>SUM(K75:K76)</f>
        <v>1260601</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17692</v>
      </c>
      <c r="K112" s="25"/>
    </row>
    <row r="113" spans="1:12" ht="16.5" customHeight="1" x14ac:dyDescent="0.2">
      <c r="A113" s="165" t="s">
        <v>1646</v>
      </c>
      <c r="B113" s="9"/>
      <c r="C113" s="9" t="s">
        <v>174</v>
      </c>
      <c r="D113" s="7"/>
      <c r="E113" s="25"/>
      <c r="F113" s="25"/>
      <c r="G113" s="25"/>
      <c r="H113" s="25"/>
      <c r="I113" s="25"/>
      <c r="J113" s="25"/>
      <c r="K113" s="143">
        <f>J112</f>
        <v>17692</v>
      </c>
    </row>
    <row r="114" spans="1:12" ht="16.5" customHeight="1" x14ac:dyDescent="0.25">
      <c r="A114" s="6"/>
      <c r="B114" s="130" t="s">
        <v>1640</v>
      </c>
      <c r="C114" s="114"/>
      <c r="D114" s="114"/>
      <c r="H114" s="10"/>
      <c r="J114" s="108">
        <f>SUM(J110:J113)</f>
        <v>17692</v>
      </c>
      <c r="K114" s="108">
        <f>SUM(K110:K113)</f>
        <v>17692</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6865940</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-2215524</v>
      </c>
    </row>
    <row r="128" spans="1:12" ht="16.5" customHeight="1" x14ac:dyDescent="0.25">
      <c r="D128" s="140" t="s">
        <v>1657</v>
      </c>
      <c r="H128" s="10"/>
      <c r="K128" s="169">
        <f>-K23-K48+J68+J75+J96-K113</f>
        <v>-3499784</v>
      </c>
    </row>
    <row r="129" spans="4:11" ht="16.5" customHeight="1" x14ac:dyDescent="0.25">
      <c r="D129" s="140" t="s">
        <v>1658</v>
      </c>
      <c r="H129" s="10"/>
      <c r="K129" s="169">
        <f>-K76</f>
        <v>-1260601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37" fitToHeight="0" orientation="portrait" r:id="rId1"/>
  <headerFooter>
    <oddHeader xml:space="preserve">&amp;C&amp;"arial,Bold"&amp;14GASB 87 
Fund Consolidated Journal Entries </oddHeader>
    <oddFooter>&amp;L&amp;"arial,Regular"&amp;12State Controller's Office&amp;C&amp;"arial,Regular"&amp;12
Fund 0001&amp;R&amp;"arial,Regular"&amp;12Page &amp;P of &amp;N</oddFooter>
  </headerFooter>
  <rowBreaks count="1" manualBreakCount="1">
    <brk id="108" max="18"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0945-DED1-408B-98AF-04A408703534}">
  <sheetPr>
    <tabColor theme="9" tint="0.59999389629810485"/>
    <pageSetUpPr fitToPage="1"/>
  </sheetPr>
  <dimension ref="A1:S193"/>
  <sheetViews>
    <sheetView view="pageBreakPreview" topLeftCell="A101" zoomScale="80" zoomScaleNormal="70" zoomScaleSheetLayoutView="80" workbookViewId="0">
      <selection activeCell="I117" sqref="I11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727</v>
      </c>
      <c r="G5" s="188"/>
      <c r="H5" s="188"/>
      <c r="I5" s="188"/>
      <c r="L5" s="12"/>
      <c r="M5" s="12"/>
      <c r="N5" s="12"/>
      <c r="O5" s="12"/>
      <c r="P5" s="12"/>
      <c r="Q5" s="12"/>
    </row>
    <row r="6" spans="1:19" ht="16.5" customHeight="1" x14ac:dyDescent="0.25">
      <c r="A6" s="186" t="s">
        <v>1635</v>
      </c>
      <c r="B6" s="186"/>
      <c r="C6" s="186"/>
      <c r="D6" s="186"/>
      <c r="E6" s="186"/>
      <c r="F6" s="189">
        <v>318</v>
      </c>
      <c r="G6" s="189"/>
      <c r="H6" s="189"/>
      <c r="I6" s="189"/>
      <c r="L6" s="13"/>
      <c r="M6" s="13"/>
      <c r="N6" s="13"/>
      <c r="O6" s="13"/>
      <c r="P6" s="12"/>
      <c r="Q6" s="12"/>
    </row>
    <row r="7" spans="1:19" ht="16.5" customHeight="1" x14ac:dyDescent="0.25">
      <c r="A7" s="186" t="s">
        <v>1</v>
      </c>
      <c r="B7" s="186"/>
      <c r="C7" s="186"/>
      <c r="D7" s="186"/>
      <c r="E7" s="186"/>
      <c r="F7" s="189" t="s">
        <v>121</v>
      </c>
      <c r="G7" s="189"/>
      <c r="H7" s="189"/>
      <c r="I7" s="189"/>
      <c r="K7" s="53"/>
      <c r="L7" s="13"/>
      <c r="M7" s="13"/>
      <c r="N7" s="13"/>
      <c r="O7" s="13"/>
      <c r="P7" s="12"/>
      <c r="Q7" s="12"/>
    </row>
    <row r="8" spans="1:19" ht="16.5" customHeight="1" x14ac:dyDescent="0.25">
      <c r="A8" s="186" t="s">
        <v>1617</v>
      </c>
      <c r="B8" s="186"/>
      <c r="C8" s="186"/>
      <c r="D8" s="186"/>
      <c r="E8" s="186"/>
      <c r="F8" s="189" t="s">
        <v>155</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1552921</v>
      </c>
      <c r="M17" s="143">
        <v>1552921</v>
      </c>
      <c r="P17" s="143">
        <v>1552921</v>
      </c>
      <c r="Q17" s="155"/>
      <c r="S17" s="154">
        <f t="shared" si="0"/>
        <v>0</v>
      </c>
    </row>
    <row r="18" spans="1:19" ht="16.5" customHeight="1" x14ac:dyDescent="0.25">
      <c r="A18" s="54"/>
      <c r="B18" s="9" t="s">
        <v>169</v>
      </c>
      <c r="C18" s="9"/>
      <c r="D18" s="9"/>
      <c r="E18" s="140"/>
      <c r="F18" s="141"/>
      <c r="G18" s="141"/>
      <c r="H18" s="142"/>
      <c r="I18" s="142"/>
      <c r="J18" s="178">
        <f>P18</f>
        <v>6523</v>
      </c>
      <c r="M18" s="143">
        <v>6523</v>
      </c>
      <c r="P18" s="152">
        <f>IF(SUM($Q$20:$Q$23)&gt;SUM($P$15:$P$17),SUM($Q$20:$Q$23)-SUM($P$15:$P$17),0)</f>
        <v>6523</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283768</v>
      </c>
      <c r="N22" s="143">
        <v>283768</v>
      </c>
      <c r="P22" s="155"/>
      <c r="Q22" s="143">
        <v>283768</v>
      </c>
      <c r="S22" s="154">
        <f t="shared" ref="S22:S25" si="1">Q22-N22</f>
        <v>0</v>
      </c>
    </row>
    <row r="23" spans="1:19" ht="16.5" customHeight="1" x14ac:dyDescent="0.25">
      <c r="A23" s="165" t="s">
        <v>1646</v>
      </c>
      <c r="B23" s="9"/>
      <c r="C23" s="9" t="s">
        <v>174</v>
      </c>
      <c r="D23" s="9"/>
      <c r="E23" s="140"/>
      <c r="F23" s="141"/>
      <c r="G23" s="141"/>
      <c r="H23" s="142"/>
      <c r="I23" s="142"/>
      <c r="J23" s="150"/>
      <c r="K23" s="178">
        <f>N23</f>
        <v>1275676</v>
      </c>
      <c r="N23" s="143">
        <f>1463001-187325</f>
        <v>1275676</v>
      </c>
      <c r="P23" s="155"/>
      <c r="Q23" s="143">
        <v>1275676</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1559444</v>
      </c>
      <c r="K26" s="107">
        <f>SUM(K15:K25)</f>
        <v>1559444</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286247</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286247</v>
      </c>
    </row>
    <row r="59" spans="1:16" ht="16.5" customHeight="1" x14ac:dyDescent="0.25">
      <c r="A59" s="54"/>
      <c r="C59" s="16"/>
      <c r="D59" s="16"/>
      <c r="E59" s="16"/>
      <c r="F59" s="17"/>
      <c r="G59" s="17"/>
      <c r="H59" s="18"/>
      <c r="I59" s="18"/>
      <c r="J59" s="107">
        <f>SUM(J55:J58)</f>
        <v>286247</v>
      </c>
      <c r="K59" s="107">
        <f>SUM(K55:K58)</f>
        <v>286247</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271295</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10455</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f>+J62+J63</f>
        <v>281750</v>
      </c>
    </row>
    <row r="65" spans="1:12" ht="16.5" customHeight="1" x14ac:dyDescent="0.25">
      <c r="A65" s="54"/>
      <c r="C65" s="16"/>
      <c r="D65" s="16"/>
      <c r="E65" s="16"/>
      <c r="F65" s="17"/>
      <c r="G65" s="17"/>
      <c r="H65" s="18"/>
      <c r="I65" s="18"/>
      <c r="J65" s="107">
        <f>SUM(J62:J64)</f>
        <v>281750</v>
      </c>
      <c r="K65" s="107">
        <f>SUM(K62:K64)</f>
        <v>281750</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f>J62</f>
        <v>271295</v>
      </c>
      <c r="K68" s="144"/>
    </row>
    <row r="69" spans="1:12" ht="16.5" customHeight="1" x14ac:dyDescent="0.25">
      <c r="A69" s="54"/>
      <c r="B69" s="9"/>
      <c r="C69" s="9" t="s">
        <v>186</v>
      </c>
      <c r="D69" s="140"/>
      <c r="E69" s="140"/>
      <c r="F69" s="141"/>
      <c r="G69" s="141"/>
      <c r="H69" s="142"/>
      <c r="I69" s="142"/>
      <c r="J69" s="144"/>
      <c r="K69" s="143">
        <f>J68</f>
        <v>271295</v>
      </c>
    </row>
    <row r="70" spans="1:12" ht="16.5" customHeight="1" x14ac:dyDescent="0.25">
      <c r="A70" s="54"/>
      <c r="C70" s="16"/>
      <c r="D70" s="16"/>
      <c r="E70" s="16"/>
      <c r="F70" s="17"/>
      <c r="G70" s="17"/>
      <c r="H70" s="18"/>
      <c r="I70" s="18"/>
      <c r="J70" s="107">
        <f>SUM(J68:J69)</f>
        <v>271295</v>
      </c>
      <c r="K70" s="107">
        <f>SUM(K68:K69)</f>
        <v>271295</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281864</v>
      </c>
      <c r="K75" s="144"/>
    </row>
    <row r="76" spans="1:12" ht="16.5" customHeight="1" x14ac:dyDescent="0.25">
      <c r="A76" s="54"/>
      <c r="B76" s="9"/>
      <c r="C76" s="9" t="s">
        <v>194</v>
      </c>
      <c r="D76" s="140"/>
      <c r="E76" s="140"/>
      <c r="F76" s="141"/>
      <c r="G76" s="141"/>
      <c r="H76" s="142"/>
      <c r="I76" s="142"/>
      <c r="J76" s="144"/>
      <c r="K76" s="143">
        <f>J75</f>
        <v>281864</v>
      </c>
    </row>
    <row r="77" spans="1:12" ht="16.5" customHeight="1" x14ac:dyDescent="0.2">
      <c r="A77" s="54"/>
      <c r="B77" s="193" t="s">
        <v>1735</v>
      </c>
      <c r="C77" s="193"/>
      <c r="D77" s="193"/>
      <c r="E77" s="193"/>
      <c r="F77" s="193"/>
      <c r="G77" s="193"/>
      <c r="H77" s="193"/>
      <c r="I77" s="193"/>
      <c r="J77" s="107">
        <f>SUM(J75:J76)</f>
        <v>281864</v>
      </c>
      <c r="K77" s="107">
        <f>SUM(K75:K76)</f>
        <v>281864</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12396</v>
      </c>
      <c r="K112" s="25"/>
    </row>
    <row r="113" spans="1:12" ht="16.5" customHeight="1" x14ac:dyDescent="0.2">
      <c r="A113" s="165" t="s">
        <v>1646</v>
      </c>
      <c r="B113" s="9"/>
      <c r="C113" s="9" t="s">
        <v>174</v>
      </c>
      <c r="D113" s="7"/>
      <c r="E113" s="25"/>
      <c r="F113" s="25"/>
      <c r="G113" s="25"/>
      <c r="H113" s="25"/>
      <c r="I113" s="25"/>
      <c r="J113" s="25"/>
      <c r="K113" s="143">
        <v>12396</v>
      </c>
    </row>
    <row r="114" spans="1:12" ht="16.5" customHeight="1" x14ac:dyDescent="0.25">
      <c r="A114" s="6"/>
      <c r="B114" s="130" t="s">
        <v>1640</v>
      </c>
      <c r="C114" s="114"/>
      <c r="D114" s="114"/>
      <c r="H114" s="10"/>
      <c r="J114" s="108">
        <f>SUM(J110:J113)</f>
        <v>12396</v>
      </c>
      <c r="K114" s="108">
        <f>SUM(K110:K113)</f>
        <v>12396</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1565317</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-570015</v>
      </c>
    </row>
    <row r="128" spans="1:12" ht="16.5" customHeight="1" x14ac:dyDescent="0.25">
      <c r="D128" s="140" t="s">
        <v>1657</v>
      </c>
      <c r="H128" s="10"/>
      <c r="K128" s="169">
        <f>-K23-K48+J68+J75+J96-K113</f>
        <v>-734913</v>
      </c>
    </row>
    <row r="129" spans="4:11" ht="16.5" customHeight="1" x14ac:dyDescent="0.25">
      <c r="D129" s="140" t="s">
        <v>1658</v>
      </c>
      <c r="H129" s="10"/>
      <c r="K129" s="169">
        <f>-K76</f>
        <v>-281864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D0B019FF-98C5-4F3B-90D5-A423AA58FFD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3623FD1-0F2C-4C97-A0CE-C2A8A776BFC3}">
      <formula1>0</formula1>
    </dataValidation>
    <dataValidation operator="lessThan" allowBlank="1" showInputMessage="1" showErrorMessage="1" sqref="A3:A8" xr:uid="{0EECBA26-7D8A-41B1-8959-CE737033F4A6}"/>
  </dataValidations>
  <pageMargins left="0.5" right="0.5" top="0.75" bottom="0.75" header="0.3" footer="0.3"/>
  <pageSetup scale="37" fitToHeight="0" orientation="portrait" r:id="rId1"/>
  <headerFooter>
    <oddHeader xml:space="preserve">&amp;C&amp;"arial,Bold"&amp;14GASB 87 
Fund Consolidated Journal Entries </oddHeader>
    <oddFooter>&amp;L&amp;"arial,Regular"&amp;12State Controller's Office&amp;C&amp;"arial,Regular"&amp;12
Fund 0318&amp;R&amp;"arial,Regular"&amp;12Page &amp;P of &amp;N</oddFooter>
  </headerFooter>
  <rowBreaks count="1" manualBreakCount="1">
    <brk id="108" max="18" man="1"/>
  </rowBreaks>
  <extLst>
    <ext xmlns:x14="http://schemas.microsoft.com/office/spreadsheetml/2009/9/main" uri="{CCE6A557-97BC-4b89-ADB6-D9C93CAAB3DF}">
      <x14:dataValidations xmlns:xm="http://schemas.microsoft.com/office/excel/2006/main" count="3">
        <x14:dataValidation type="list" allowBlank="1" showInputMessage="1" showErrorMessage="1" xr:uid="{D242454C-3E5F-457F-824B-F1D5514E0541}">
          <x14:formula1>
            <xm:f>'Drop Down Menus'!$E$1:$E$3</xm:f>
          </x14:formula1>
          <xm:sqref>F8</xm:sqref>
        </x14:dataValidation>
        <x14:dataValidation type="list" allowBlank="1" showInputMessage="1" showErrorMessage="1" xr:uid="{9A5BDA0F-A07A-4F34-B73F-0D79372C70AC}">
          <x14:formula1>
            <xm:f>'Drop Down Menus'!$B$1:$B$2</xm:f>
          </x14:formula1>
          <xm:sqref>F7</xm:sqref>
        </x14:dataValidation>
        <x14:dataValidation type="list" allowBlank="1" showInputMessage="1" showErrorMessage="1" xr:uid="{B9812600-6449-418C-B6E2-6E09C68BC1B9}">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D220-20A4-41A8-9A3C-75093DEC6514}">
  <sheetPr>
    <tabColor theme="9" tint="0.59999389629810485"/>
    <pageSetUpPr fitToPage="1"/>
  </sheetPr>
  <dimension ref="A1:S193"/>
  <sheetViews>
    <sheetView view="pageBreakPreview" topLeftCell="A104" zoomScale="80" zoomScaleNormal="70" zoomScaleSheetLayoutView="80" workbookViewId="0">
      <selection activeCell="H72" sqref="H72"/>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727</v>
      </c>
      <c r="G5" s="188"/>
      <c r="H5" s="188"/>
      <c r="I5" s="188"/>
      <c r="L5" s="12"/>
      <c r="M5" s="12"/>
      <c r="N5" s="12"/>
      <c r="O5" s="12"/>
      <c r="P5" s="12"/>
      <c r="Q5" s="12"/>
    </row>
    <row r="6" spans="1:19" ht="16.5" customHeight="1" x14ac:dyDescent="0.25">
      <c r="A6" s="186" t="s">
        <v>1635</v>
      </c>
      <c r="B6" s="186"/>
      <c r="C6" s="186"/>
      <c r="D6" s="186"/>
      <c r="E6" s="186"/>
      <c r="F6" s="189">
        <v>3228</v>
      </c>
      <c r="G6" s="189"/>
      <c r="H6" s="189"/>
      <c r="I6" s="189"/>
      <c r="L6" s="13"/>
      <c r="M6" s="13"/>
      <c r="N6" s="13"/>
      <c r="O6" s="13"/>
      <c r="P6" s="12"/>
      <c r="Q6" s="12"/>
    </row>
    <row r="7" spans="1:19" ht="16.5" customHeight="1" x14ac:dyDescent="0.25">
      <c r="A7" s="186" t="s">
        <v>1</v>
      </c>
      <c r="B7" s="186"/>
      <c r="C7" s="186"/>
      <c r="D7" s="186"/>
      <c r="E7" s="186"/>
      <c r="F7" s="189" t="s">
        <v>121</v>
      </c>
      <c r="G7" s="189"/>
      <c r="H7" s="189"/>
      <c r="I7" s="189"/>
      <c r="K7" s="53"/>
      <c r="L7" s="13"/>
      <c r="M7" s="13"/>
      <c r="N7" s="13"/>
      <c r="O7" s="13"/>
      <c r="P7" s="12"/>
      <c r="Q7" s="12"/>
    </row>
    <row r="8" spans="1:19" ht="16.5" customHeight="1" x14ac:dyDescent="0.25">
      <c r="A8" s="186" t="s">
        <v>1617</v>
      </c>
      <c r="B8" s="186"/>
      <c r="C8" s="186"/>
      <c r="D8" s="186"/>
      <c r="E8" s="186"/>
      <c r="F8" s="189" t="s">
        <v>155</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297960</v>
      </c>
      <c r="M17" s="143">
        <v>297960</v>
      </c>
      <c r="P17" s="143">
        <v>297960</v>
      </c>
      <c r="Q17" s="155"/>
      <c r="S17" s="154">
        <f t="shared" si="0"/>
        <v>0</v>
      </c>
    </row>
    <row r="18" spans="1:19" ht="16.5" customHeight="1" x14ac:dyDescent="0.25">
      <c r="A18" s="54"/>
      <c r="B18" s="9" t="s">
        <v>169</v>
      </c>
      <c r="C18" s="9"/>
      <c r="D18" s="9"/>
      <c r="E18" s="140"/>
      <c r="F18" s="141"/>
      <c r="G18" s="141"/>
      <c r="H18" s="142"/>
      <c r="I18" s="142"/>
      <c r="J18" s="178">
        <f>P18</f>
        <v>2934</v>
      </c>
      <c r="M18" s="143">
        <v>2934</v>
      </c>
      <c r="P18" s="152">
        <f>IF(SUM($Q$20:$Q$23)&gt;SUM($P$15:$P$17),SUM($Q$20:$Q$23)-SUM($P$15:$P$17),0)</f>
        <v>2934</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102071</v>
      </c>
      <c r="N22" s="143">
        <v>102071</v>
      </c>
      <c r="P22" s="155"/>
      <c r="Q22" s="143">
        <v>102071</v>
      </c>
      <c r="S22" s="154">
        <f t="shared" ref="S22:S25" si="1">Q22-N22</f>
        <v>0</v>
      </c>
    </row>
    <row r="23" spans="1:19" ht="16.5" customHeight="1" x14ac:dyDescent="0.25">
      <c r="A23" s="165" t="s">
        <v>1646</v>
      </c>
      <c r="B23" s="9"/>
      <c r="C23" s="9" t="s">
        <v>174</v>
      </c>
      <c r="D23" s="9"/>
      <c r="E23" s="140"/>
      <c r="F23" s="141"/>
      <c r="G23" s="141"/>
      <c r="H23" s="142"/>
      <c r="I23" s="142"/>
      <c r="J23" s="150"/>
      <c r="K23" s="178">
        <f>N23</f>
        <v>198823</v>
      </c>
      <c r="N23" s="143">
        <f>294530-95707</f>
        <v>198823</v>
      </c>
      <c r="P23" s="155"/>
      <c r="Q23" s="143">
        <v>198823</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300894</v>
      </c>
      <c r="K26" s="107">
        <f>SUM(K15:K25)</f>
        <v>300894</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206471</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206471</v>
      </c>
    </row>
    <row r="59" spans="1:16" ht="16.5" customHeight="1" x14ac:dyDescent="0.25">
      <c r="A59" s="54"/>
      <c r="C59" s="16"/>
      <c r="D59" s="16"/>
      <c r="E59" s="16"/>
      <c r="F59" s="17"/>
      <c r="G59" s="17"/>
      <c r="H59" s="18"/>
      <c r="I59" s="18"/>
      <c r="J59" s="107">
        <f>SUM(J55:J58)</f>
        <v>206471</v>
      </c>
      <c r="K59" s="107">
        <f>SUM(K55:K58)</f>
        <v>206471</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100037</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2426</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f>J62+J63</f>
        <v>102463</v>
      </c>
    </row>
    <row r="65" spans="1:12" ht="16.5" customHeight="1" x14ac:dyDescent="0.25">
      <c r="A65" s="54"/>
      <c r="C65" s="16"/>
      <c r="D65" s="16"/>
      <c r="E65" s="16"/>
      <c r="F65" s="17"/>
      <c r="G65" s="17"/>
      <c r="H65" s="18"/>
      <c r="I65" s="18"/>
      <c r="J65" s="107">
        <f>SUM(J62:J64)</f>
        <v>102463</v>
      </c>
      <c r="K65" s="107">
        <f>SUM(K62:K64)</f>
        <v>102463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f>J62</f>
        <v>100037</v>
      </c>
      <c r="K68" s="144"/>
    </row>
    <row r="69" spans="1:12" ht="16.5" customHeight="1" x14ac:dyDescent="0.25">
      <c r="A69" s="54"/>
      <c r="B69" s="9"/>
      <c r="C69" s="9" t="s">
        <v>186</v>
      </c>
      <c r="D69" s="140"/>
      <c r="E69" s="140"/>
      <c r="F69" s="141"/>
      <c r="G69" s="141"/>
      <c r="H69" s="142"/>
      <c r="I69" s="142"/>
      <c r="J69" s="144"/>
      <c r="K69" s="143">
        <f>J68</f>
        <v>100037</v>
      </c>
    </row>
    <row r="70" spans="1:12" ht="16.5" customHeight="1" x14ac:dyDescent="0.25">
      <c r="A70" s="54"/>
      <c r="C70" s="16"/>
      <c r="D70" s="16"/>
      <c r="E70" s="16"/>
      <c r="F70" s="17"/>
      <c r="G70" s="17"/>
      <c r="H70" s="18"/>
      <c r="I70" s="18"/>
      <c r="J70" s="107">
        <f>SUM(J68:J69)</f>
        <v>100037</v>
      </c>
      <c r="K70" s="107">
        <f>SUM(K68:K69)</f>
        <v>100037</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102881</v>
      </c>
      <c r="K75" s="144"/>
    </row>
    <row r="76" spans="1:12" ht="16.5" customHeight="1" x14ac:dyDescent="0.25">
      <c r="A76" s="54"/>
      <c r="B76" s="9"/>
      <c r="C76" s="9" t="s">
        <v>194</v>
      </c>
      <c r="D76" s="140"/>
      <c r="E76" s="140"/>
      <c r="F76" s="141"/>
      <c r="G76" s="141"/>
      <c r="H76" s="142"/>
      <c r="I76" s="142"/>
      <c r="J76" s="144"/>
      <c r="K76" s="143">
        <v>102881</v>
      </c>
    </row>
    <row r="77" spans="1:12" ht="16.5" customHeight="1" x14ac:dyDescent="0.2">
      <c r="A77" s="54"/>
      <c r="B77" s="193" t="s">
        <v>1735</v>
      </c>
      <c r="C77" s="193"/>
      <c r="D77" s="193"/>
      <c r="E77" s="193"/>
      <c r="F77" s="193"/>
      <c r="G77" s="193"/>
      <c r="H77" s="193"/>
      <c r="I77" s="193"/>
      <c r="J77" s="107">
        <f>SUM(J75:J76)</f>
        <v>102881</v>
      </c>
      <c r="K77" s="107">
        <f>SUM(K75:K76)</f>
        <v>102881</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119389</v>
      </c>
      <c r="K112" s="25"/>
    </row>
    <row r="113" spans="1:12" ht="16.5" customHeight="1" x14ac:dyDescent="0.2">
      <c r="A113" s="165" t="s">
        <v>1646</v>
      </c>
      <c r="B113" s="9"/>
      <c r="C113" s="9" t="s">
        <v>174</v>
      </c>
      <c r="D113" s="7"/>
      <c r="E113" s="25"/>
      <c r="F113" s="25"/>
      <c r="G113" s="25"/>
      <c r="H113" s="25"/>
      <c r="I113" s="25"/>
      <c r="J113" s="25"/>
      <c r="K113" s="143">
        <v>119389</v>
      </c>
    </row>
    <row r="114" spans="1:12" ht="16.5" customHeight="1" x14ac:dyDescent="0.25">
      <c r="A114" s="6"/>
      <c r="B114" s="130" t="s">
        <v>1640</v>
      </c>
      <c r="C114" s="114"/>
      <c r="D114" s="114"/>
      <c r="H114" s="10"/>
      <c r="J114" s="108">
        <f>SUM(J110:J113)</f>
        <v>119389</v>
      </c>
      <c r="K114" s="108">
        <f>SUM(K110:K113)</f>
        <v>119389</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417349</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-308542</v>
      </c>
    </row>
    <row r="128" spans="1:12" ht="16.5" customHeight="1" x14ac:dyDescent="0.25">
      <c r="D128" s="140" t="s">
        <v>1657</v>
      </c>
      <c r="H128" s="10"/>
      <c r="K128" s="169">
        <f>-K23-K48+J68+J75+J96-K113</f>
        <v>-115294</v>
      </c>
    </row>
    <row r="129" spans="4:11" ht="16.5" customHeight="1" x14ac:dyDescent="0.25">
      <c r="D129" s="140" t="s">
        <v>1658</v>
      </c>
      <c r="H129" s="10"/>
      <c r="K129" s="169">
        <f>-K76</f>
        <v>-102881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CD6A303D-60F7-4BD9-A80A-A57C02A98529}"/>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BD47257-A98C-49DE-BAE8-B670768D42B7}">
      <formula1>0</formula1>
    </dataValidation>
    <dataValidation type="textLength" operator="equal" allowBlank="1" showInputMessage="1" showErrorMessage="1" errorTitle="4-Digit Org Code" error="Enter the Org Code/BU as 4 digits." sqref="F5" xr:uid="{7EE9FB6F-C39B-435C-BFBE-ED4A496F74DB}">
      <formula1>4</formula1>
    </dataValidation>
  </dataValidations>
  <pageMargins left="0.5" right="0.5" top="0.75" bottom="0.75" header="0.3" footer="0.3"/>
  <pageSetup scale="37" fitToHeight="0" orientation="portrait" r:id="rId1"/>
  <headerFooter>
    <oddHeader xml:space="preserve">&amp;C&amp;"arial,Bold"&amp;14GASB 87 
Fund Consolidated Journal Entries </oddHeader>
    <oddFooter>&amp;L&amp;"arial,Regular"&amp;12State Controller's Office&amp;C&amp;"arial,Regular"&amp;12
Fund 3228&amp;R&amp;"arial,Regular"&amp;12Page &amp;P of &amp;N</oddFooter>
  </headerFooter>
  <rowBreaks count="1" manualBreakCount="1">
    <brk id="108" max="18" man="1"/>
  </rowBreaks>
  <extLst>
    <ext xmlns:x14="http://schemas.microsoft.com/office/spreadsheetml/2009/9/main" uri="{CCE6A557-97BC-4b89-ADB6-D9C93CAAB3DF}">
      <x14:dataValidations xmlns:xm="http://schemas.microsoft.com/office/excel/2006/main" count="3">
        <x14:dataValidation type="list" allowBlank="1" showInputMessage="1" showErrorMessage="1" xr:uid="{D20FE792-86AF-4898-BADC-D3FAECC53214}">
          <x14:formula1>
            <xm:f>'Drop Down Menus'!$A$1:$A$101</xm:f>
          </x14:formula1>
          <xm:sqref>F3</xm:sqref>
        </x14:dataValidation>
        <x14:dataValidation type="list" allowBlank="1" showInputMessage="1" showErrorMessage="1" xr:uid="{B5C3FC05-D0B9-4E3D-8B24-60BB424EFB0C}">
          <x14:formula1>
            <xm:f>'Drop Down Menus'!$B$1:$B$2</xm:f>
          </x14:formula1>
          <xm:sqref>F7</xm:sqref>
        </x14:dataValidation>
        <x14:dataValidation type="list" allowBlank="1" showInputMessage="1" showErrorMessage="1" xr:uid="{ED4DA95E-1042-475C-B3C4-0FCA11C0E079}">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view="pageBreakPreview" topLeftCell="A2" zoomScale="80" zoomScaleNormal="70" zoomScaleSheetLayoutView="80" workbookViewId="0">
      <selection activeCell="B13" sqref="B13:B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150000000000006" customHeight="1" x14ac:dyDescent="0.25">
      <c r="A2" s="203" t="s">
        <v>138</v>
      </c>
      <c r="B2" s="203"/>
      <c r="C2" s="203"/>
      <c r="D2" s="203"/>
      <c r="E2" s="203"/>
      <c r="F2" s="203"/>
      <c r="G2" s="3"/>
      <c r="H2" s="3"/>
      <c r="I2" s="3"/>
      <c r="J2" s="3"/>
      <c r="K2" s="3"/>
      <c r="L2" s="3"/>
      <c r="M2" s="3"/>
    </row>
    <row r="3" spans="1:13" ht="31.9" customHeight="1" x14ac:dyDescent="0.25">
      <c r="A3" s="208" t="s">
        <v>195</v>
      </c>
      <c r="B3" s="208"/>
      <c r="C3" s="208"/>
      <c r="D3" s="24"/>
      <c r="E3" s="3"/>
      <c r="F3" s="3"/>
      <c r="G3" s="3"/>
      <c r="H3" s="3"/>
      <c r="I3" s="3"/>
      <c r="J3" s="3"/>
      <c r="K3" s="3"/>
      <c r="L3" s="3"/>
      <c r="M3" s="3"/>
    </row>
    <row r="4" spans="1:13" ht="31.15" customHeight="1" x14ac:dyDescent="0.25">
      <c r="A4" s="209" t="s">
        <v>5</v>
      </c>
      <c r="B4" s="209"/>
      <c r="C4" s="209"/>
      <c r="D4" s="24"/>
      <c r="E4" s="3"/>
      <c r="F4" s="3"/>
      <c r="G4" s="3"/>
      <c r="H4" s="3"/>
      <c r="I4" s="3"/>
      <c r="J4" s="3"/>
      <c r="K4" s="3"/>
      <c r="L4" s="3"/>
      <c r="M4" s="3"/>
    </row>
    <row r="5" spans="1:13" ht="31.1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3340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v>1645345.51</v>
      </c>
      <c r="C13" s="55">
        <v>58094.739999999983</v>
      </c>
      <c r="D13" s="197" t="s">
        <v>4</v>
      </c>
      <c r="E13" s="198"/>
      <c r="F13" s="198"/>
      <c r="G13" s="29"/>
      <c r="H13" s="29"/>
      <c r="I13" s="29"/>
      <c r="J13" s="29"/>
      <c r="K13" s="29"/>
      <c r="L13" s="29"/>
      <c r="M13" s="29"/>
    </row>
    <row r="14" spans="1:13" x14ac:dyDescent="0.2">
      <c r="A14" s="51" t="str">
        <f>LEFT(A13,4)+1&amp;"–"&amp;RIGHT(A13,4)+1</f>
        <v>2024–2025</v>
      </c>
      <c r="B14" s="55">
        <v>1678393.6400000006</v>
      </c>
      <c r="C14" s="55">
        <v>40043.270000000011</v>
      </c>
      <c r="D14" s="197"/>
      <c r="E14" s="198"/>
      <c r="F14" s="198"/>
    </row>
    <row r="15" spans="1:13" ht="15.75" x14ac:dyDescent="0.2">
      <c r="A15" s="51" t="str">
        <f>LEFT(A14,4)+1&amp;"–"&amp;RIGHT(A14,4)+1</f>
        <v>2025–2026</v>
      </c>
      <c r="B15" s="55">
        <v>1376431.1300000008</v>
      </c>
      <c r="C15" s="55">
        <v>22243.30000000001</v>
      </c>
      <c r="D15" s="194" t="s">
        <v>125</v>
      </c>
      <c r="E15" s="194"/>
      <c r="F15" s="194"/>
      <c r="G15" s="30"/>
      <c r="H15" s="30"/>
      <c r="I15" s="30"/>
      <c r="J15" s="30"/>
      <c r="K15" s="30"/>
      <c r="L15" s="30"/>
      <c r="M15" s="30"/>
    </row>
    <row r="16" spans="1:13" x14ac:dyDescent="0.2">
      <c r="A16" s="51" t="str">
        <f>LEFT(A15,4)+1&amp;"–"&amp;RIGHT(A15,4)+1</f>
        <v>2026–2027</v>
      </c>
      <c r="B16" s="55">
        <v>1032850.14</v>
      </c>
      <c r="C16" s="55">
        <v>8568.5399999999991</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139410.89999999997</v>
      </c>
      <c r="C17" s="55">
        <v>1497.25</v>
      </c>
      <c r="D17" s="194"/>
      <c r="E17" s="194"/>
      <c r="F17" s="194"/>
      <c r="G17" s="31"/>
      <c r="H17" s="31"/>
      <c r="I17" s="31"/>
      <c r="J17" s="31"/>
      <c r="K17" s="31"/>
    </row>
    <row r="18" spans="1:13" ht="15" customHeight="1" x14ac:dyDescent="0.25">
      <c r="A18" s="51" t="str">
        <f>LEFT(A17,4)+1&amp;"–"&amp;RIGHT(A17,4)+5</f>
        <v>2028–2033</v>
      </c>
      <c r="B18" s="55">
        <v>122905.29000000001</v>
      </c>
      <c r="C18" s="55">
        <v>1294.71</v>
      </c>
      <c r="D18" s="197" t="s">
        <v>6</v>
      </c>
      <c r="E18" s="198"/>
      <c r="F18" s="198"/>
      <c r="G18" s="29"/>
      <c r="H18" s="29"/>
      <c r="I18" s="29"/>
      <c r="J18" s="29"/>
      <c r="K18" s="29"/>
      <c r="L18" s="29"/>
      <c r="M18" s="29"/>
    </row>
    <row r="19" spans="1:13" x14ac:dyDescent="0.2">
      <c r="A19" s="51" t="str">
        <f t="shared" ref="A19:A32" si="0">LEFT(A18,4)+5&amp;"–"&amp;RIGHT(A18,4)+5</f>
        <v>2033–2038</v>
      </c>
      <c r="B19" s="55"/>
      <c r="C19" s="55"/>
      <c r="D19" s="197"/>
      <c r="E19" s="198"/>
      <c r="F19" s="198"/>
    </row>
    <row r="20" spans="1:13" ht="15.75" x14ac:dyDescent="0.2">
      <c r="A20" s="51" t="str">
        <f t="shared" si="0"/>
        <v>2038–2043</v>
      </c>
      <c r="B20" s="55"/>
      <c r="C20" s="55"/>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3340</v>
      </c>
      <c r="C40" s="202"/>
      <c r="E40" s="32"/>
    </row>
    <row r="41" spans="1:13" ht="15.75" x14ac:dyDescent="0.25">
      <c r="A41" s="5" t="s">
        <v>192</v>
      </c>
      <c r="B41" s="200" t="str">
        <f>B10</f>
        <v>California Conservation Corps</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t="s">
        <v>125</v>
      </c>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t="s">
        <v>125</v>
      </c>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3340</v>
      </c>
      <c r="C71" s="202"/>
    </row>
    <row r="72" spans="1:13" ht="15.75" x14ac:dyDescent="0.25">
      <c r="A72" s="5" t="s">
        <v>192</v>
      </c>
      <c r="B72" s="200" t="str">
        <f>B10</f>
        <v>California Conservation Corps</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t="s">
        <v>125</v>
      </c>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t="s">
        <v>125</v>
      </c>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t="s">
        <v>125</v>
      </c>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t="s">
        <v>125</v>
      </c>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Org Code 3340&amp;R&amp;"arial,Regular"&amp;12Page &amp;P of &amp;N</oddFooter>
  </headerFooter>
  <rowBreaks count="2" manualBreakCount="2">
    <brk id="37" max="5" man="1"/>
    <brk id="68"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view="pageBreakPreview" zoomScale="90" zoomScaleNormal="90" zoomScaleSheetLayoutView="90" workbookViewId="0">
      <selection activeCell="S21" sqref="S21"/>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0001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3340 - California Conservation Corps</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f>+'LS-Fund 0001 Journal Entries'!K23+'LS-Fund 0318 Journal Entries'!K23+'LS-Fund 3228 Journal Entries'!K23</f>
        <v>6529796</v>
      </c>
      <c r="G10" s="58"/>
      <c r="H10" s="61">
        <f>+'LS-Fund 0001 Journal Entries'!K48+'LS-Fund 0001 Journal Entries'!K113+'LS-Fund 0318 Journal Entries'!K48+'LS-Fund 0318 Journal Entries'!K113+'LS-Fund 3228 Journal Entries'!K48+'LS-Fund 3228 Journal Entries'!K113</f>
        <v>883590</v>
      </c>
      <c r="I10" s="58"/>
      <c r="J10" s="61">
        <f>+'LS-Fund 0001 Journal Entries'!J68+'LS-Fund 0001 Journal Entries'!J96+'LS-Fund 0318 Journal Entries'!J68+'LS-Fund 0318 Journal Entries'!J96+'LS-Fund 3228 Journal Entries'!J68+'LS-Fund 3228 Journal Entries'!J96</f>
        <v>1418049</v>
      </c>
      <c r="K10" s="58"/>
      <c r="L10" s="63">
        <f>SUM(F10+H10-J10)</f>
        <v>5995337</v>
      </c>
      <c r="M10" s="58"/>
      <c r="N10" s="61">
        <f>+'LS-Fund 0001 Journal Entries'!J75+'LS-Fund 0318 Journal Entries'!J75+'LS-Fund 3228 Journal Entries'!J75</f>
        <v>1645346</v>
      </c>
      <c r="O10" s="58"/>
      <c r="P10" s="63">
        <f>L10-N10</f>
        <v>4349991</v>
      </c>
      <c r="Q10" s="43"/>
    </row>
    <row r="11" spans="2:17" ht="19.5" thickTop="1" thickBot="1" x14ac:dyDescent="0.3">
      <c r="B11" s="41"/>
      <c r="C11" s="45" t="s">
        <v>19</v>
      </c>
      <c r="F11" s="62">
        <f>SUM(F10:F10)</f>
        <v>6529796</v>
      </c>
      <c r="G11" s="58"/>
      <c r="H11" s="62">
        <f>SUM(H10:H10)</f>
        <v>883590</v>
      </c>
      <c r="I11" s="58"/>
      <c r="J11" s="62">
        <f>SUM(J10:J10)</f>
        <v>1418049</v>
      </c>
      <c r="K11" s="58"/>
      <c r="L11" s="62">
        <f>SUM(L10:L10)</f>
        <v>5995337</v>
      </c>
      <c r="M11" s="58"/>
      <c r="N11" s="62">
        <f>SUM(N10:N10)</f>
        <v>1645346</v>
      </c>
      <c r="O11" s="58"/>
      <c r="P11" s="62">
        <f>SUM(P10:P10)</f>
        <v>4349991</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H42" sqref="H42"/>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+'LS-Fund 0001 Journal Entries'!K23+'LS-Fund 0318 Journal Entries'!K23+'LS-Fund 3228 Journal Entries'!K23</f>
        <v>6529796</v>
      </c>
      <c r="C16" s="116" t="s">
        <v>146</v>
      </c>
      <c r="D16" s="84">
        <f>+'LS-Fund 0001 Journal Entries'!K48+'LS-Fund 0318 Journal Entries'!K48+'LS-Fund 3228 Journal Entries'!K48</f>
        <v>734113</v>
      </c>
      <c r="E16" s="118" t="s">
        <v>147</v>
      </c>
      <c r="F16" s="84">
        <f>+'LS-Fund 0001 Journal Entries'!J68+'LS-Fund 0318 Journal Entries'!J68+'LS-Fund 3228 Journal Entries'!J68</f>
        <v>1418049</v>
      </c>
      <c r="G16" s="117" t="s">
        <v>147</v>
      </c>
      <c r="H16" s="84">
        <f>+'LS-Fund 0001 Journal Entries'!J96+'LS-Fund 0318 Journal Entries'!J96+'LS-Fund 3228 Journal Entries'!J85</f>
        <v>0</v>
      </c>
      <c r="I16" s="117" t="s">
        <v>146</v>
      </c>
      <c r="J16" s="84">
        <f>+'LS-Fund 0001 Journal Entries'!K113+'LS-Fund 0318 Journal Entries'!K113+'LS-Fund 3228 Journal Entries'!K113</f>
        <v>149477</v>
      </c>
      <c r="K16" s="118" t="s">
        <v>150</v>
      </c>
      <c r="L16" s="87">
        <f>+B16+D16-F16-H16+J16</f>
        <v>5995337</v>
      </c>
      <c r="M16" s="86"/>
      <c r="N16" s="88">
        <f>SUM('LS-Department Note Disclosure'!B13:B36)</f>
        <v>5995336.6100000013</v>
      </c>
      <c r="O16" s="85"/>
      <c r="P16" s="89">
        <f>L16-N16</f>
        <v>0.3899999987334013</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+'LS-Fund 0001 Journal Entries'!J75+'LS-Fund 0318 Journal Entries'!J75+'LS-Fund 3228 Journal Entries'!J75</f>
        <v>1645346</v>
      </c>
      <c r="C42" s="92"/>
      <c r="E42" s="92"/>
      <c r="G42" s="115"/>
      <c r="H42" s="115"/>
      <c r="I42" s="115"/>
      <c r="J42" s="115"/>
      <c r="K42" s="92"/>
      <c r="L42" s="92"/>
      <c r="M42" s="93"/>
      <c r="N42" s="88">
        <f>'LS-Department Note Disclosure'!B13</f>
        <v>1645345.51</v>
      </c>
      <c r="O42" s="94"/>
      <c r="P42" s="89">
        <f>B42-N42</f>
        <v>0.48999999999068677</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6529796</v>
      </c>
      <c r="J66" s="97">
        <f>SUM(D66)</f>
        <v>6529796</v>
      </c>
      <c r="L66" s="98" t="str">
        <f>CONCATENATE("Balance July 1, ",LEFT('LS-Department Note Disclosure'!$B$8,4))</f>
        <v>Balance July 1, 2022</v>
      </c>
      <c r="N66" s="97">
        <f>'LS-Lease Liabilities'!F10</f>
        <v>6529796</v>
      </c>
      <c r="P66" s="89">
        <f>J66-N66</f>
        <v>0</v>
      </c>
    </row>
    <row r="67" spans="1:17" x14ac:dyDescent="0.25">
      <c r="B67" s="79" t="s">
        <v>157</v>
      </c>
      <c r="D67" s="97">
        <f>$D$16</f>
        <v>734113</v>
      </c>
      <c r="E67" s="119" t="s">
        <v>146</v>
      </c>
      <c r="F67" s="79" t="s">
        <v>1756</v>
      </c>
      <c r="H67" s="97">
        <f>$J$16</f>
        <v>149477</v>
      </c>
      <c r="J67" s="97">
        <f>SUM(D67,H67)</f>
        <v>883590</v>
      </c>
      <c r="L67" s="98" t="s">
        <v>13</v>
      </c>
      <c r="N67" s="97">
        <f>'LS-Lease Liabilities'!H10</f>
        <v>883590</v>
      </c>
      <c r="P67" s="89">
        <f t="shared" ref="P67:P69" si="0">J67-N67</f>
        <v>0</v>
      </c>
    </row>
    <row r="68" spans="1:17" x14ac:dyDescent="0.25">
      <c r="B68" s="79" t="s">
        <v>152</v>
      </c>
      <c r="D68" s="97">
        <f>$F$16</f>
        <v>1418049</v>
      </c>
      <c r="E68" s="119" t="s">
        <v>146</v>
      </c>
      <c r="F68" s="79" t="s">
        <v>1753</v>
      </c>
      <c r="H68" s="97">
        <f>$H$16</f>
        <v>0</v>
      </c>
      <c r="J68" s="97">
        <f>SUM(D68,H68)</f>
        <v>1418049</v>
      </c>
      <c r="L68" s="98" t="s">
        <v>14</v>
      </c>
      <c r="N68" s="97">
        <f>'LS-Lease Liabilities'!J10</f>
        <v>1418049</v>
      </c>
      <c r="P68" s="89">
        <f t="shared" si="0"/>
        <v>0</v>
      </c>
    </row>
    <row r="69" spans="1:17" x14ac:dyDescent="0.25">
      <c r="B69" s="79" t="s">
        <v>156</v>
      </c>
      <c r="D69" s="97">
        <f>$B$42</f>
        <v>1645346</v>
      </c>
      <c r="J69" s="97">
        <f>SUM(D69)</f>
        <v>1645346</v>
      </c>
      <c r="L69" s="98" t="s">
        <v>15</v>
      </c>
      <c r="N69" s="97">
        <f>'LS-Lease Liabilities'!N10</f>
        <v>1645346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5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9C0C3EB6-AB7D-4368-9D97-1AE83F276276}"/>
</file>

<file path=customXml/itemProps2.xml><?xml version="1.0" encoding="utf-8"?>
<ds:datastoreItem xmlns:ds="http://schemas.openxmlformats.org/officeDocument/2006/customXml" ds:itemID="{525B3DF4-1620-4805-BA41-A6C1B05E8FA7}"/>
</file>

<file path=customXml/itemProps3.xml><?xml version="1.0" encoding="utf-8"?>
<ds:datastoreItem xmlns:ds="http://schemas.openxmlformats.org/officeDocument/2006/customXml" ds:itemID="{1BA96A6D-BF99-4E47-B9C5-4C09C36A42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Drop Down Menus</vt:lpstr>
      <vt:lpstr>qryIndex02a</vt:lpstr>
      <vt:lpstr>LS-Version Changes</vt:lpstr>
      <vt:lpstr>LS-Fund 0001 Journal Entries</vt:lpstr>
      <vt:lpstr>LS-Fund 0318 Journal Entries</vt:lpstr>
      <vt:lpstr>LS-Fund 3228 Journal Entries</vt:lpstr>
      <vt:lpstr>LS-Department Note Disclosure</vt:lpstr>
      <vt:lpstr>LS-Lease Liabilities</vt:lpstr>
      <vt:lpstr>LS-Check Figures  </vt:lpstr>
      <vt:lpstr>'LS-Department Note Disclosure'!Print_Area</vt:lpstr>
      <vt:lpstr>'LS-Fund 0001 Journal Entries'!Print_Area</vt:lpstr>
      <vt:lpstr>'LS-Fund 0318 Journal Entries'!Print_Area</vt:lpstr>
      <vt:lpstr>'LS-Fund 3228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cp:lastPrinted>2024-04-30T17:05:18Z</cp:lastPrinted>
  <dcterms:created xsi:type="dcterms:W3CDTF">2023-03-08T17:19:33Z</dcterms:created>
  <dcterms:modified xsi:type="dcterms:W3CDTF">2024-06-14T18:04:36Z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