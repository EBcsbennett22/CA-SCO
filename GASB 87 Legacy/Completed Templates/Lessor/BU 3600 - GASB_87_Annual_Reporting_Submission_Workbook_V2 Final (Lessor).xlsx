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3600\"/>
    </mc:Choice>
  </mc:AlternateContent>
  <xr:revisionPtr revIDLastSave="0" documentId="13_ncr:1_{6411D9D3-B2A7-4AB2-B987-726A7F01054E}" xr6:coauthVersionLast="47" xr6:coauthVersionMax="47" xr10:uidLastSave="{00000000-0000-0000-0000-000000000000}"/>
  <bookViews>
    <workbookView xWindow="-120" yWindow="-120" windowWidth="25440" windowHeight="15390" tabRatio="921" firstSheet="7" activeTab="8" xr2:uid="{00000000-000D-0000-FFFF-FFFF00000000}"/>
  </bookViews>
  <sheets>
    <sheet name="Drop Down Menus" sheetId="1" state="hidden" r:id="rId1"/>
    <sheet name="qryIndex02a" sheetId="11" state="hidden" r:id="rId2"/>
    <sheet name="LS-Version Changes" sheetId="13" state="hidden" r:id="rId3"/>
    <sheet name="LS-Fund 0200 Journal Entries" sheetId="2" state="hidden" r:id="rId4"/>
    <sheet name="LS-Department Note Disclosure" sheetId="3" state="hidden" r:id="rId5"/>
    <sheet name="LS-Lease Liabilities" sheetId="4" state="hidden" r:id="rId6"/>
    <sheet name="LS-Check Figures  " sheetId="7" state="hidden" r:id="rId7"/>
    <sheet name="LR-Version Changes" sheetId="15" r:id="rId8"/>
    <sheet name="LR-Fund 0447 Journal Entries" sheetId="5" r:id="rId9"/>
    <sheet name="LR-Department Note Disclosure" sheetId="6" r:id="rId10"/>
    <sheet name="LR-Check Figures" sheetId="12"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9">'LR-Department Note Disclosure'!$A$1:$C$93</definedName>
    <definedName name="_xlnm.Print_Area" localSheetId="8">'LR-Fund 0447 Journal Entries'!$B$1:$K$67</definedName>
    <definedName name="_xlnm.Print_Area" localSheetId="4">'LS-Department Note Disclosure'!$A$1:$C$85</definedName>
    <definedName name="_xlnm.Print_Area" localSheetId="3">'LS-Fund 0200 Journal Entries'!$A$1:$J$9</definedName>
    <definedName name="_xlnm.Print_Area" localSheetId="5">'LS-Lease Liabilities'!$B$2:$Q$17</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4" l="1"/>
  <c r="H10" i="4" l="1"/>
  <c r="K48" i="2" l="1"/>
  <c r="K42" i="2"/>
  <c r="K34" i="2"/>
  <c r="J47" i="2"/>
  <c r="J41" i="2"/>
  <c r="J33" i="2"/>
  <c r="Q24" i="2" l="1"/>
  <c r="P18" i="2"/>
  <c r="H16" i="12"/>
  <c r="B57" i="12"/>
  <c r="B49" i="12"/>
  <c r="B42" i="12"/>
  <c r="J33" i="12"/>
  <c r="H33" i="12"/>
  <c r="F33" i="12"/>
  <c r="D33" i="12"/>
  <c r="J24" i="12"/>
  <c r="H24" i="12"/>
  <c r="F24" i="12"/>
  <c r="D24" i="12"/>
  <c r="B24" i="12"/>
  <c r="J16" i="12"/>
  <c r="F16" i="12"/>
  <c r="D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P42" i="12"/>
  <c r="D44" i="12" s="1"/>
  <c r="P15" i="5"/>
  <c r="S19" i="5"/>
  <c r="S17" i="5"/>
  <c r="S16" i="5"/>
  <c r="S14" i="5"/>
  <c r="J18" i="2"/>
  <c r="S25" i="2"/>
  <c r="S24" i="2"/>
  <c r="S23" i="2"/>
  <c r="K23" i="2"/>
  <c r="K128" i="2" s="1"/>
  <c r="S22" i="2"/>
  <c r="K22" i="2"/>
  <c r="K127" i="2" s="1"/>
  <c r="S21" i="2"/>
  <c r="K21" i="2"/>
  <c r="K126" i="2" s="1"/>
  <c r="S19" i="2"/>
  <c r="S17" i="2"/>
  <c r="J17" i="2"/>
  <c r="S16" i="2"/>
  <c r="J16" i="2"/>
  <c r="K123" i="2" s="1"/>
  <c r="S15" i="2"/>
  <c r="J15" i="2"/>
  <c r="K122" i="2" s="1"/>
  <c r="S22" i="8"/>
  <c r="S25" i="8"/>
  <c r="S19" i="8"/>
  <c r="Q24" i="8"/>
  <c r="K24" i="8" s="1"/>
  <c r="P18" i="8"/>
  <c r="J18" i="8" s="1"/>
  <c r="K124" i="2" l="1"/>
  <c r="K24" i="2"/>
  <c r="K17" i="5"/>
  <c r="K69" i="5" s="1"/>
  <c r="J14" i="5"/>
  <c r="B16" i="12" s="1"/>
  <c r="L16" i="12" s="1"/>
  <c r="P16" i="12" s="1"/>
  <c r="D18" i="12" s="1"/>
  <c r="S18" i="8"/>
  <c r="S24" i="8"/>
  <c r="S18" i="2"/>
  <c r="K23" i="8"/>
  <c r="K82" i="8" s="1"/>
  <c r="K22" i="8"/>
  <c r="K81" i="8" s="1"/>
  <c r="K21" i="8"/>
  <c r="K80" i="8" s="1"/>
  <c r="J17" i="8"/>
  <c r="K79" i="8" s="1"/>
  <c r="K78" i="8"/>
  <c r="K77" i="8"/>
  <c r="S21" i="8"/>
  <c r="S17" i="8"/>
  <c r="S16" i="8"/>
  <c r="S15" i="8"/>
  <c r="S23" i="8"/>
  <c r="K25" i="2" l="1"/>
  <c r="J19" i="2"/>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<sst xmlns="http://schemas.openxmlformats.org/spreadsheetml/2006/main" count="8232" uniqueCount="1884">
  <si>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</si>
  <si>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</si>
  <si>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</si>
  <si>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</si>
  <si>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</si>
  <si>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</si>
  <si>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</si>
  <si>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</si>
  <si>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</si>
  <si>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</si>
  <si>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</si>
  <si>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</si>
  <si>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</si>
  <si>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</si>
  <si>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</si>
  <si>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</si>
  <si>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</si>
  <si>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</si>
  <si>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</si>
  <si>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</si>
  <si>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</si>
  <si>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</si>
  <si>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</si>
  <si>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</si>
  <si>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</si>
  <si>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</si>
  <si>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</si>
  <si>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</si>
  <si>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</si>
  <si>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</si>
  <si>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</si>
  <si>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</si>
  <si>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</si>
  <si>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</si>
  <si>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</si>
  <si>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</si>
  <si>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</si>
  <si>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</si>
  <si>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</si>
  <si>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</si>
  <si>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</si>
  <si>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</si>
  <si>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</si>
  <si>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</si>
  <si>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</si>
  <si>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</si>
  <si>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</si>
  <si>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</si>
  <si>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</si>
  <si>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</si>
  <si>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</si>
  <si>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</si>
  <si>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</si>
  <si>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</si>
  <si>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</si>
  <si>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</si>
  <si>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</si>
  <si>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</si>
  <si>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</si>
  <si>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</si>
  <si>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</si>
  <si>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</si>
  <si>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</si>
  <si>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</si>
  <si>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</si>
  <si>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</si>
  <si>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</si>
  <si>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</si>
  <si>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</si>
  <si>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</si>
  <si>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</si>
  <si>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</si>
  <si>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</si>
  <si>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</si>
  <si>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</si>
  <si>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</si>
  <si>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</si>
  <si>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</si>
  <si>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</si>
  <si>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</si>
  <si>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</si>
  <si>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</si>
  <si>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</si>
  <si>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</si>
  <si>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</si>
  <si>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</si>
  <si>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</si>
  <si>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</si>
  <si>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</si>
  <si>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</si>
  <si>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</si>
  <si>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</si>
  <si>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</si>
  <si>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</si>
  <si>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</si>
  <si>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</si>
  <si>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</si>
  <si>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</si>
  <si>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</si>
  <si>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</si>
  <si>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</si>
  <si>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</si>
  <si>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</si>
  <si>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</si>
  <si>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</si>
  <si>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</si>
  <si>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</si>
  <si>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</si>
  <si>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</si>
  <si>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</si>
  <si>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</si>
  <si>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</si>
  <si>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</si>
  <si>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</si>
  <si>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</si>
  <si>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</si>
  <si>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</si>
  <si>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</si>
  <si>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</si>
  <si>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</si>
  <si>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</si>
  <si>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</si>
  <si>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</si>
  <si>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</si>
  <si>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</si>
  <si>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</si>
  <si>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</si>
  <si>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</si>
  <si>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</si>
  <si>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</si>
  <si>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</si>
  <si>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</si>
  <si>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</si>
  <si>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</si>
  <si>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</si>
  <si>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</si>
  <si>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</si>
  <si>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</si>
  <si>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</si>
  <si>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</si>
  <si>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</si>
  <si>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</si>
  <si>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</si>
  <si>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</si>
  <si>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</si>
  <si>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</si>
  <si>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</si>
  <si>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</si>
  <si>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</si>
  <si>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</si>
  <si>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</si>
  <si>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</si>
  <si>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</si>
  <si>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</si>
  <si>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</si>
  <si>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</si>
  <si>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</si>
  <si>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</si>
  <si>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</si>
  <si>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</si>
  <si>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</si>
  <si>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</si>
  <si>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</si>
  <si>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</si>
  <si>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</si>
  <si>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</si>
  <si>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</si>
  <si>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</si>
  <si>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</si>
  <si>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</si>
  <si>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</si>
  <si>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</si>
  <si>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</si>
  <si>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</si>
  <si>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</si>
  <si>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</si>
  <si>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</si>
  <si>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</si>
  <si>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</si>
  <si>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</si>
  <si>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</si>
  <si>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</si>
  <si>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</si>
  <si>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</si>
  <si>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</si>
  <si>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</si>
  <si>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</si>
  <si>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</si>
  <si>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</si>
  <si>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</si>
  <si>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</si>
  <si>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</si>
  <si>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</si>
  <si>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</si>
  <si>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</si>
  <si>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</si>
  <si>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</si>
  <si>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</si>
  <si>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</si>
  <si>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</si>
  <si>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</si>
  <si>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</si>
  <si>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</si>
  <si>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</si>
  <si>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</si>
  <si>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</si>
  <si>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</si>
  <si>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</si>
  <si>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</si>
  <si>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</si>
  <si>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</si>
  <si>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</si>
  <si>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</si>
  <si>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</si>
  <si>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</si>
  <si>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</si>
  <si>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</si>
  <si>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</si>
  <si>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</si>
  <si>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</si>
  <si>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</si>
  <si>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</si>
  <si>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</si>
  <si>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</si>
  <si>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</si>
  <si>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</si>
  <si>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</si>
  <si>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</si>
  <si>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</si>
  <si>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</si>
  <si>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</si>
  <si>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</si>
  <si>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</si>
  <si>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</si>
  <si>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</si>
  <si>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</si>
  <si>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</si>
  <si>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</si>
  <si>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</si>
  <si>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</si>
  <si>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</si>
  <si>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</si>
  <si>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</si>
  <si>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</si>
  <si>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</si>
  <si>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</si>
  <si>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</si>
  <si>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</si>
  <si>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</si>
  <si>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</si>
  <si>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</si>
  <si>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</si>
  <si>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</si>
  <si>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</si>
  <si>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</si>
  <si>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</si>
  <si>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</si>
  <si>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</si>
  <si>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</si>
  <si>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</si>
  <si>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</si>
  <si>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</si>
  <si>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</si>
  <si>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</si>
  <si>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</si>
  <si>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</si>
  <si>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</si>
  <si>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</si>
  <si>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</si>
  <si>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</si>
  <si>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</si>
  <si>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</si>
  <si>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</si>
  <si>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</si>
  <si>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</si>
  <si>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</si>
  <si>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</si>
  <si>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</si>
  <si>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</si>
  <si>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</si>
  <si>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</si>
  <si>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</si>
  <si>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</si>
  <si>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</si>
  <si>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</si>
  <si>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</si>
  <si>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</si>
  <si>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</si>
  <si>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</si>
  <si>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</si>
  <si>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</si>
  <si>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</si>
  <si>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</si>
  <si>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</si>
  <si>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</si>
  <si>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</si>
  <si>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</si>
  <si>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</si>
  <si>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</si>
  <si>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</si>
  <si>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</si>
  <si>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</si>
  <si>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</si>
  <si>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</si>
  <si>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</si>
  <si>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</si>
  <si>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</si>
  <si>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</si>
  <si>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</si>
  <si>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</si>
  <si>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</si>
  <si>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</si>
  <si>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</si>
  <si>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</si>
  <si>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</si>
  <si>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</si>
  <si>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</si>
  <si>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</si>
  <si>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</si>
  <si>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</si>
  <si>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</si>
  <si>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</si>
  <si>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</si>
  <si>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</si>
  <si>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</si>
  <si>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</si>
  <si>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</si>
  <si>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</si>
  <si>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</si>
  <si>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</si>
  <si>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</si>
  <si>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</si>
  <si>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</si>
  <si>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</si>
  <si>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</si>
  <si>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</si>
  <si>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</si>
  <si>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</si>
  <si>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</si>
  <si>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</si>
  <si>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</si>
  <si>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</si>
  <si>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</si>
  <si>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</si>
  <si>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</si>
  <si>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</si>
  <si>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</si>
  <si>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</si>
  <si>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</si>
  <si>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</si>
  <si>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</si>
  <si>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</si>
  <si>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</si>
  <si>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</si>
  <si>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</si>
  <si>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</si>
  <si>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</si>
  <si>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</si>
  <si>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</si>
  <si>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</si>
  <si>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</si>
  <si>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</si>
  <si>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</si>
  <si>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</si>
  <si>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</si>
  <si>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</si>
  <si>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</si>
  <si>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</si>
  <si>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</si>
  <si>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</si>
  <si>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</si>
  <si>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</si>
  <si>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</si>
  <si>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</si>
  <si>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</si>
  <si>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</si>
  <si>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</si>
  <si>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</si>
  <si>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</si>
  <si>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</si>
  <si>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</si>
  <si>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</si>
  <si>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</si>
  <si>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</si>
  <si>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</si>
  <si>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</si>
  <si>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</si>
  <si>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</si>
  <si>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</si>
  <si>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</si>
  <si>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</si>
  <si>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</si>
  <si>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</si>
  <si>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</si>
  <si>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</si>
  <si>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</si>
  <si>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</si>
  <si>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</si>
  <si>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</si>
  <si>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</si>
  <si>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</si>
  <si>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</si>
  <si>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</si>
  <si>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</si>
  <si>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</si>
  <si>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</si>
  <si>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</si>
  <si>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</si>
  <si>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</si>
  <si>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</si>
  <si>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</si>
  <si>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</si>
  <si>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</si>
  <si>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</si>
  <si>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</si>
  <si>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</si>
  <si>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</si>
  <si>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</si>
  <si>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</si>
  <si>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</si>
  <si>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</si>
  <si>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</si>
  <si>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</si>
  <si>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</si>
  <si>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</si>
  <si>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</si>
  <si>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</si>
  <si>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</si>
  <si>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</si>
  <si>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</si>
  <si>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</si>
  <si>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</si>
  <si>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</si>
  <si>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</si>
  <si>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</si>
  <si>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</si>
  <si>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</si>
  <si>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</si>
  <si>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</si>
  <si>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</si>
  <si>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</si>
  <si>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</si>
  <si>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</si>
  <si>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</si>
  <si>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</si>
  <si>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</si>
  <si>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</si>
  <si>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</si>
  <si>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</si>
  <si>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</si>
  <si>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</si>
  <si>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</si>
  <si>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</si>
  <si>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</si>
  <si>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</si>
  <si>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</si>
  <si>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</si>
  <si>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</si>
  <si>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</si>
  <si>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</si>
  <si>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</si>
  <si>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</si>
  <si>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</si>
  <si>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</si>
  <si>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</si>
  <si>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</si>
  <si>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</si>
  <si>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</si>
  <si>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</si>
  <si>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</si>
  <si>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</si>
  <si>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</si>
  <si>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</si>
  <si>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</si>
  <si>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</si>
  <si>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</si>
  <si>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</si>
  <si>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</si>
  <si>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</si>
  <si>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</si>
  <si>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</si>
  <si>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</si>
  <si>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</si>
  <si>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</si>
  <si>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</si>
  <si>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</si>
  <si>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</si>
  <si>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</si>
  <si>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</si>
  <si>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</si>
  <si>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</si>
  <si>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</si>
  <si>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</si>
  <si>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</si>
  <si>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</si>
  <si>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</si>
  <si>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</si>
  <si>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</si>
  <si>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</si>
  <si>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</si>
  <si>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</si>
  <si>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</si>
  <si>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</si>
  <si>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</si>
  <si>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</si>
  <si>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</si>
  <si>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</si>
  <si>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</si>
  <si>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</si>
  <si>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</si>
  <si>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</si>
  <si>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</si>
  <si>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</si>
  <si>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</si>
  <si>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</si>
  <si>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</si>
  <si>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</si>
  <si>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</si>
  <si>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</si>
  <si>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</si>
  <si>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</si>
  <si>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</si>
  <si>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</si>
  <si>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</si>
  <si>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</si>
  <si>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</si>
  <si>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</si>
  <si>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</si>
  <si>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</si>
  <si>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</si>
  <si>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</si>
  <si>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</si>
  <si>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</si>
  <si>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</si>
  <si>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</si>
  <si>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</si>
  <si>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</si>
  <si>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</si>
  <si>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</si>
  <si>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</si>
  <si>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</si>
  <si>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</si>
  <si>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</si>
  <si>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</si>
  <si>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</si>
  <si>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</si>
  <si>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</si>
  <si>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</si>
  <si>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</si>
  <si>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</si>
  <si>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</si>
  <si>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</si>
  <si>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</si>
  <si>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</si>
  <si>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</si>
  <si>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</si>
  <si>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</si>
  <si>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</si>
  <si>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</si>
  <si>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</si>
  <si>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</si>
  <si>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</si>
  <si>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</si>
  <si>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</si>
  <si>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</si>
  <si>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</si>
  <si>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</si>
  <si>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</si>
  <si>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</si>
  <si>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</si>
  <si>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</si>
  <si>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</si>
  <si>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</si>
  <si>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</si>
  <si>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</si>
  <si>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</si>
  <si>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</si>
  <si>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</si>
  <si>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</si>
  <si>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</si>
  <si>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</si>
  <si>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</si>
  <si>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</si>
  <si>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</si>
  <si>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</si>
  <si>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</si>
  <si>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</si>
  <si>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</si>
  <si>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</si>
  <si>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</si>
  <si>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</si>
  <si>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</si>
  <si>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</si>
  <si>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</si>
  <si>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</si>
  <si>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</si>
  <si>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</si>
  <si>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</si>
  <si>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</si>
  <si>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</si>
  <si>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</si>
  <si>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</si>
  <si>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</si>
  <si>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</si>
  <si>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</si>
  <si>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</si>
  <si>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</si>
  <si>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</si>
  <si>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</si>
  <si>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</si>
  <si>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</si>
  <si>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</si>
  <si>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</si>
  <si>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</si>
  <si>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</si>
  <si>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</si>
  <si>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</si>
  <si>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</si>
  <si>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</si>
  <si>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</si>
  <si>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</si>
  <si>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</si>
  <si>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</si>
  <si>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</si>
  <si>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</si>
  <si>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</si>
  <si>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</si>
  <si>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</si>
  <si>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</si>
  <si>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</si>
  <si>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</si>
  <si>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</si>
  <si>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</si>
  <si>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</si>
  <si>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</si>
  <si>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</si>
  <si>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</si>
  <si>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</si>
  <si>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</si>
  <si>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</si>
  <si>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</si>
  <si>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</si>
  <si>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</si>
  <si>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</si>
  <si>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</si>
  <si>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</si>
  <si>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</si>
  <si>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</si>
  <si>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</si>
  <si>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</si>
  <si>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</si>
  <si>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</si>
  <si>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</si>
  <si>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</si>
  <si>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</si>
  <si>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</si>
  <si>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</si>
  <si>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</si>
  <si>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</si>
  <si>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</si>
  <si>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</si>
  <si>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</si>
  <si>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</si>
  <si>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</si>
  <si>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</si>
  <si>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</si>
  <si>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</si>
  <si>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</si>
  <si>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</si>
  <si>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</si>
  <si>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</si>
  <si>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</si>
  <si>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</si>
  <si>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</si>
  <si>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</si>
  <si>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</si>
  <si>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</si>
  <si>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</si>
  <si>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</si>
  <si>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</si>
  <si>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</si>
  <si>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</si>
  <si>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</si>
  <si>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</si>
  <si>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</si>
  <si>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</si>
  <si>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</si>
  <si>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</si>
  <si>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</si>
  <si>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</si>
  <si>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</si>
  <si>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</si>
  <si>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</si>
  <si>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</si>
  <si>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</si>
  <si>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</si>
  <si>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</si>
  <si>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</si>
  <si>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</si>
  <si>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</si>
  <si>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</si>
  <si>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</si>
  <si>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</si>
  <si>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</si>
  <si>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</si>
  <si>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</si>
  <si>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</si>
  <si>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</si>
  <si>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</si>
  <si>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</si>
  <si>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</si>
  <si>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</si>
  <si>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</si>
  <si>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</si>
  <si>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</si>
  <si>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</si>
  <si>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</si>
  <si>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</si>
  <si>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</si>
  <si>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</si>
  <si>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</si>
  <si>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</si>
  <si>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</si>
  <si>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</si>
  <si>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</si>
  <si>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</si>
  <si>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</si>
  <si>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</si>
  <si>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</si>
  <si>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</si>
  <si>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</si>
  <si>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</si>
  <si>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</si>
  <si>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</si>
  <si>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</si>
  <si>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</si>
  <si>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</si>
  <si>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</si>
  <si>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</si>
  <si>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</si>
  <si>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</si>
  <si>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</si>
  <si>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</si>
  <si>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</si>
  <si>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</si>
  <si>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</si>
  <si>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</si>
  <si>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</si>
  <si>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</si>
  <si>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</si>
  <si>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</si>
  <si>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</si>
  <si>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</si>
  <si>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</si>
  <si>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</si>
  <si>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</si>
  <si>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</si>
  <si>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</si>
  <si>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</si>
  <si>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</si>
  <si>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</si>
  <si>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</si>
  <si>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</si>
  <si>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</si>
  <si>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</si>
  <si>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</si>
  <si>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</si>
  <si>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</si>
  <si>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</si>
  <si>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</si>
  <si>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</si>
  <si>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</si>
  <si>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</si>
  <si>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</si>
  <si>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</si>
  <si>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</si>
  <si>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</si>
  <si>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</si>
  <si>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</si>
  <si>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</si>
  <si>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</si>
  <si>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</si>
  <si>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</si>
  <si>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</si>
  <si>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</si>
  <si>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</si>
  <si>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</si>
  <si>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</si>
  <si>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</si>
  <si>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</si>
  <si>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</si>
  <si>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</si>
  <si>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</si>
  <si>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</si>
  <si>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</si>
  <si>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</si>
  <si>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</si>
  <si>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</si>
  <si>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</si>
  <si>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</si>
  <si>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</si>
  <si>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</si>
  <si>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</si>
  <si>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</si>
  <si>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</si>
  <si>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</si>
  <si>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</si>
  <si>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</si>
  <si>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</si>
  <si>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</si>
  <si>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</si>
  <si>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</si>
  <si>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</si>
  <si>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</si>
  <si>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</si>
  <si>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</si>
  <si>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</si>
  <si>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</si>
  <si>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</si>
  <si>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</si>
  <si>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</si>
  <si>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</si>
  <si>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</si>
  <si>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</si>
  <si>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</si>
  <si>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</si>
  <si>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</si>
  <si>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</si>
  <si>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</si>
  <si>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</si>
  <si>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</si>
  <si>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</si>
  <si>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</si>
  <si>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</si>
  <si>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</si>
  <si>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</si>
  <si>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</si>
  <si>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</si>
  <si>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</si>
  <si>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</si>
  <si>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</si>
  <si>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</si>
  <si>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</si>
  <si>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</si>
  <si>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</si>
  <si>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</si>
  <si>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</si>
  <si>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</si>
  <si>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</si>
  <si>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</si>
  <si>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</si>
  <si>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</si>
  <si>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</si>
  <si>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</si>
  <si>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</si>
  <si>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</si>
  <si>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</si>
  <si>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</si>
  <si>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</si>
  <si>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</si>
  <si>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</si>
  <si>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</si>
  <si>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</si>
  <si>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</si>
  <si>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</si>
  <si>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</si>
  <si>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</si>
  <si>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</si>
  <si>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</si>
  <si>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</si>
  <si>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</si>
  <si>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</si>
  <si>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</si>
  <si>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</si>
  <si>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</si>
  <si>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</si>
  <si>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</si>
  <si>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</si>
  <si>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</si>
  <si>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</si>
  <si>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</si>
  <si>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</si>
  <si>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</si>
  <si>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</si>
  <si>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</si>
  <si>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</si>
  <si>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</si>
  <si>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</si>
  <si>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</si>
  <si>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</si>
  <si>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</si>
  <si>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</si>
  <si>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</si>
  <si>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</si>
  <si>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</si>
  <si>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</si>
  <si>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</si>
  <si>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</si>
  <si>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</si>
  <si>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</si>
  <si>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</si>
  <si>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</si>
  <si>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</si>
  <si>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</si>
  <si>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</si>
  <si>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</si>
  <si>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</si>
  <si>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</si>
  <si>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</si>
  <si>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</si>
  <si>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</si>
  <si>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</si>
  <si>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</si>
  <si>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</si>
  <si>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</si>
  <si>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</si>
  <si>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</si>
  <si>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</si>
  <si>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</si>
  <si>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</si>
  <si>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</si>
  <si>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</si>
  <si>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</si>
  <si>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</si>
  <si>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</si>
  <si>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</si>
  <si>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</si>
  <si>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</si>
  <si>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</si>
  <si>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</si>
  <si>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</si>
  <si>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</si>
  <si>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</si>
  <si>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</si>
  <si>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</si>
  <si>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</si>
  <si>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</si>
  <si>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</si>
  <si>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</si>
  <si>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</si>
  <si>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</si>
  <si>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</si>
  <si>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</si>
  <si>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</si>
  <si>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</si>
  <si>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</si>
  <si>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</si>
  <si>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</si>
  <si>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</si>
  <si>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</si>
  <si>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</si>
  <si>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</si>
  <si>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</si>
  <si>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</si>
  <si>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</si>
  <si>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</si>
  <si>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</si>
  <si>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</si>
  <si>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</si>
  <si>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</si>
  <si>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</si>
  <si>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</si>
  <si>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</si>
  <si>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</si>
  <si>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</si>
  <si>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</si>
  <si>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</si>
  <si>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</si>
  <si>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</si>
  <si>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</si>
  <si>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</si>
  <si>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</si>
  <si>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</si>
  <si>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</si>
  <si>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</si>
  <si>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</si>
  <si>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</si>
  <si>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</si>
  <si>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</si>
  <si>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</si>
  <si>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</si>
  <si>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</si>
  <si>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</si>
  <si>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</si>
  <si>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</si>
  <si>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</si>
  <si>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</si>
  <si>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</si>
  <si>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</si>
  <si>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</si>
  <si>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</si>
  <si>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</si>
  <si>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</si>
  <si>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</si>
  <si>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</si>
  <si>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</si>
  <si>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</si>
  <si>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</si>
  <si>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</si>
  <si>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</si>
  <si>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</si>
  <si>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</si>
  <si>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</si>
  <si>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</si>
  <si>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</si>
  <si>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</si>
  <si>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</si>
  <si>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</si>
  <si>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</si>
  <si>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</si>
  <si>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</si>
  <si>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</si>
  <si>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</si>
  <si>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</si>
  <si>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</si>
  <si>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</si>
  <si>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</si>
  <si>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</si>
  <si>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</si>
  <si>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</si>
  <si>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</si>
  <si>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</si>
  <si>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</si>
  <si>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</si>
  <si>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</si>
  <si>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</si>
  <si>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</si>
  <si>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</si>
  <si>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</si>
  <si>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</si>
  <si>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</si>
  <si>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</si>
  <si>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</si>
  <si>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</si>
  <si>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</si>
  <si>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</si>
  <si>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</si>
  <si>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</si>
  <si>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</si>
  <si>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</si>
  <si>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</si>
  <si>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</si>
  <si>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</si>
  <si>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</si>
  <si>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</si>
  <si>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</si>
  <si>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</si>
  <si>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</si>
  <si>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</si>
  <si>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</si>
  <si>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</si>
  <si>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</si>
  <si>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</si>
  <si>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</si>
  <si>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</si>
  <si>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</si>
  <si>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</si>
  <si>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</si>
  <si>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</si>
  <si>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</si>
  <si>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</si>
  <si>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</si>
  <si>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</si>
  <si>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</si>
  <si>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</si>
  <si>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</si>
  <si>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</si>
  <si>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</si>
  <si>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</si>
  <si>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</si>
  <si>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</si>
  <si>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</si>
  <si>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</si>
  <si>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</si>
  <si>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</si>
  <si>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</si>
  <si>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</si>
  <si>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</si>
  <si>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</si>
  <si>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</si>
  <si>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</si>
  <si>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</si>
  <si>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</si>
  <si>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</si>
  <si>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</si>
  <si>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</si>
  <si>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</si>
  <si>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</si>
  <si>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</si>
  <si>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</si>
  <si>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</si>
  <si>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</si>
  <si>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</si>
  <si>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</si>
  <si>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</si>
  <si>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</si>
  <si>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</si>
  <si>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</si>
  <si>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</si>
  <si>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</si>
  <si>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</si>
  <si>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</si>
  <si>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</si>
  <si>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</si>
  <si>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</si>
  <si>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</si>
  <si>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</si>
  <si>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</si>
  <si>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</si>
  <si>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</si>
  <si>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</si>
  <si>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</si>
  <si>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</si>
  <si>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</si>
  <si>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</si>
  <si>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</si>
  <si>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</si>
  <si>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</si>
  <si>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</si>
  <si>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</si>
  <si>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</si>
  <si>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</si>
  <si>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</si>
  <si>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</si>
  <si>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</si>
  <si>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</si>
  <si>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</si>
  <si>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</si>
  <si>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</si>
  <si>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</si>
  <si>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</si>
  <si>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</si>
  <si>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</si>
  <si>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</si>
  <si>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</si>
  <si>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</si>
  <si>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</si>
  <si>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</si>
  <si>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</si>
  <si>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</si>
  <si>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</si>
  <si>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</si>
  <si>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</si>
  <si>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</si>
  <si>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</si>
  <si>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</si>
  <si>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</si>
  <si>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</si>
  <si>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</si>
  <si>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</si>
  <si>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</si>
  <si>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</si>
  <si>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</si>
  <si>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</si>
  <si>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</si>
  <si>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</si>
  <si>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</si>
  <si>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</si>
  <si>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</si>
  <si>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</si>
  <si>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</si>
  <si>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</si>
  <si>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</si>
  <si>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</si>
  <si>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</si>
  <si>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</si>
  <si>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</si>
  <si>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</si>
  <si>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</si>
  <si>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</si>
  <si>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</si>
  <si>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</si>
  <si>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</si>
  <si>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</si>
  <si>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</si>
  <si>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</si>
  <si>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</si>
  <si>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</si>
  <si>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</si>
  <si>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</si>
  <si>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</si>
  <si>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</si>
  <si>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</si>
  <si>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</si>
  <si>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</si>
  <si>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</si>
  <si>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</si>
  <si>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</si>
  <si>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</si>
  <si>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</si>
  <si>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</si>
  <si>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</si>
  <si>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</si>
  <si>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</si>
  <si>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</si>
  <si>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</si>
  <si>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</si>
  <si>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</si>
  <si>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</si>
  <si>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</si>
  <si>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</si>
  <si>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</si>
  <si>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</si>
  <si>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</si>
  <si>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</si>
  <si>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</si>
  <si>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</si>
  <si>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</si>
  <si>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</si>
  <si>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</si>
  <si>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</si>
  <si>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</si>
  <si>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</si>
  <si>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</si>
  <si>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</si>
  <si>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</si>
  <si>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</si>
  <si>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</si>
  <si>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</si>
  <si>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</si>
  <si>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</si>
  <si>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</si>
  <si>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</si>
  <si>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</si>
  <si>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</si>
  <si>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</si>
  <si>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</si>
  <si>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</si>
  <si>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</si>
  <si>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</si>
  <si>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</si>
  <si>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</si>
  <si>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</si>
  <si>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</si>
  <si>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</si>
  <si>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</si>
  <si>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</si>
  <si>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</si>
  <si>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</si>
  <si>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</si>
  <si>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</si>
  <si>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</si>
  <si>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</si>
  <si>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</si>
  <si>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</si>
  <si>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</si>
  <si>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</si>
  <si>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</si>
  <si>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</si>
  <si>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</si>
  <si>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</si>
  <si>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</si>
  <si>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</si>
  <si>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</si>
  <si>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</si>
  <si>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</si>
  <si>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</si>
  <si>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</si>
  <si>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</si>
  <si>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</si>
  <si>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</si>
  <si>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</si>
  <si>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</si>
  <si>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</si>
  <si>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</si>
  <si>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</si>
  <si>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</si>
  <si>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</si>
  <si>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</si>
  <si>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</si>
  <si>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</si>
  <si>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</si>
  <si>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</si>
  <si>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</si>
  <si>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</si>
  <si>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</si>
  <si>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</si>
  <si>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</si>
  <si>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</si>
  <si>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</si>
  <si>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</si>
  <si>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</si>
  <si>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</si>
  <si>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</si>
  <si>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</si>
  <si>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</si>
  <si>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</si>
  <si>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</si>
  <si>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</si>
  <si>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</si>
  <si>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</si>
  <si>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</si>
  <si>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</si>
  <si>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</si>
  <si>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</si>
  <si>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</si>
  <si>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</si>
  <si>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</si>
  <si>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</si>
  <si>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</si>
  <si>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</si>
  <si>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</si>
  <si>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</si>
  <si>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</si>
  <si>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</si>
  <si>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</si>
  <si>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</si>
  <si>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</si>
  <si>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</si>
  <si>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</si>
  <si>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</si>
  <si>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</si>
  <si>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</si>
  <si>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</si>
  <si>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</si>
  <si>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</si>
  <si>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</si>
  <si>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</si>
  <si>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</si>
  <si>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</si>
  <si>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</si>
  <si>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</si>
  <si>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</si>
  <si>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</si>
  <si>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</si>
  <si>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</si>
  <si>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</si>
  <si>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</si>
  <si>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</si>
  <si>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</si>
  <si>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</si>
  <si>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</si>
  <si>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</si>
  <si>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</si>
  <si>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</si>
  <si>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</si>
  <si>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</si>
  <si>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</si>
  <si>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</si>
  <si>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</si>
  <si>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</si>
  <si>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</si>
  <si>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</si>
  <si>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</si>
  <si>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</si>
  <si>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</si>
  <si>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</si>
  <si>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</si>
  <si>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</si>
  <si>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</si>
  <si>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</si>
  <si>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</si>
  <si>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</si>
  <si>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</si>
  <si>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</si>
  <si>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</si>
  <si>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</si>
  <si>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</si>
  <si>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</si>
  <si>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</si>
  <si>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</si>
  <si>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</si>
  <si>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</si>
  <si>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</si>
  <si>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</si>
  <si>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</si>
  <si>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</si>
  <si>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</si>
  <si>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</si>
  <si>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</si>
  <si>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</si>
  <si>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</si>
  <si>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</si>
  <si>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</si>
  <si>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</si>
  <si>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</si>
  <si>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</si>
  <si>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</si>
  <si>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</si>
  <si>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</si>
  <si>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</si>
  <si>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</si>
  <si>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</si>
  <si>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</si>
  <si>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</si>
  <si>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</si>
  <si>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</si>
  <si>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</si>
  <si>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</si>
  <si>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</si>
  <si>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</si>
  <si>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</si>
  <si>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</si>
  <si>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</si>
  <si>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</si>
  <si>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</si>
  <si>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</si>
  <si>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</si>
  <si>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</si>
  <si>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</si>
  <si>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</si>
  <si>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</si>
  <si>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</si>
  <si>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</si>
  <si>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</si>
  <si>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</si>
  <si>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</si>
  <si>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</si>
  <si>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</si>
  <si>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</si>
  <si>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</si>
  <si>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</si>
  <si>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</si>
  <si>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</si>
  <si>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</si>
  <si>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</si>
  <si>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</si>
  <si>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</si>
  <si>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</si>
  <si>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</si>
  <si>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</si>
  <si>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</si>
  <si>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</si>
  <si>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</si>
  <si>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</si>
  <si>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</si>
  <si>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</si>
  <si>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</si>
  <si>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</si>
  <si>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</si>
  <si>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</si>
  <si>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</si>
  <si>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</si>
  <si>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</si>
  <si>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</si>
  <si>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</si>
  <si>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</si>
  <si>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</si>
  <si>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</si>
  <si>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</si>
  <si>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</si>
  <si>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</si>
  <si>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</si>
  <si>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</si>
  <si>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</si>
  <si>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</si>
  <si>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</si>
  <si>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</si>
  <si>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</si>
  <si>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</si>
  <si>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</si>
  <si>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</si>
  <si>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</si>
  <si>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</si>
  <si>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</si>
  <si>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</si>
  <si>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</si>
  <si>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</si>
  <si>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</si>
  <si>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</si>
  <si>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</si>
  <si>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</si>
  <si>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</si>
  <si>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</si>
  <si>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</si>
  <si>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</si>
  <si>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</si>
  <si>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</si>
  <si>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</si>
  <si>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</si>
  <si>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</si>
  <si>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</si>
  <si>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</si>
  <si>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</si>
  <si>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</si>
  <si>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</si>
  <si>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</si>
  <si>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</si>
  <si>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</si>
  <si>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</si>
  <si>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</si>
  <si>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</si>
  <si>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</si>
  <si>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</si>
  <si>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</si>
  <si>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</si>
  <si>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</si>
  <si>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</si>
  <si>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</si>
  <si>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</si>
  <si>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</si>
  <si>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</si>
  <si>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</si>
  <si>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</si>
  <si>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</si>
  <si>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</si>
  <si>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</si>
  <si>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</si>
  <si>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</si>
  <si>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</si>
  <si>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</si>
  <si>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</si>
  <si>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</si>
  <si>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</si>
  <si>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</si>
  <si>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</si>
  <si>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</si>
  <si>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</si>
  <si>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</si>
  <si>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</si>
  <si>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</si>
  <si>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</si>
  <si>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</si>
  <si>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</si>
  <si>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</si>
  <si>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</si>
  <si>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</si>
  <si>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</si>
  <si>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</si>
  <si>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</si>
  <si>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</si>
  <si>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</si>
  <si>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</si>
  <si>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</si>
  <si>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</si>
  <si>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</si>
  <si>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</si>
  <si>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</si>
  <si>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</si>
  <si>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</si>
  <si>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</si>
  <si>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</si>
  <si>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</si>
  <si>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</si>
  <si>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</si>
  <si>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</si>
  <si>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</si>
  <si>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</si>
  <si>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</si>
  <si>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</si>
  <si>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</si>
  <si>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</si>
  <si>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</si>
  <si>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</si>
  <si>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</si>
  <si>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</si>
  <si>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</si>
  <si>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</si>
  <si>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</si>
  <si>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</si>
  <si>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</si>
  <si>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</si>
  <si>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</si>
  <si>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</si>
  <si>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</si>
  <si>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</si>
  <si>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</si>
  <si>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</si>
  <si>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</si>
  <si>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</si>
  <si>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</si>
  <si>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</si>
  <si>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</si>
  <si>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</si>
  <si>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</si>
  <si>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</si>
  <si>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</si>
  <si>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</si>
  <si>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</si>
  <si>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</si>
  <si>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</si>
  <si>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</si>
  <si>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</si>
  <si>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</si>
  <si>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</si>
  <si>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</si>
  <si>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</si>
  <si>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</si>
  <si>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</si>
  <si>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</si>
  <si>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</si>
  <si>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</si>
  <si>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</si>
  <si>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</si>
  <si>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</si>
  <si>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</si>
  <si>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</si>
  <si>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</si>
  <si>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</si>
  <si>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</si>
  <si>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</si>
  <si>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</si>
  <si>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</si>
  <si>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</si>
  <si>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</si>
  <si>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</si>
  <si>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</si>
  <si>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</si>
  <si>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</si>
  <si>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</si>
  <si>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</si>
  <si>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</si>
  <si>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</si>
  <si>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</si>
  <si>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</si>
  <si>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</si>
  <si>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</si>
  <si>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</si>
  <si>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</si>
  <si>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</si>
  <si>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</si>
  <si>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</si>
  <si>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</si>
  <si>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</si>
  <si>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</si>
  <si>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</si>
  <si>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</si>
  <si>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</si>
  <si>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</si>
  <si>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</si>
  <si>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</si>
  <si>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</si>
  <si>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</si>
  <si>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</si>
  <si>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</si>
  <si>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</si>
  <si>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</si>
  <si>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</si>
  <si>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</si>
  <si>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</si>
  <si>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</si>
  <si>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</si>
  <si>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</si>
  <si>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</si>
  <si>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</si>
  <si>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</si>
  <si>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</si>
  <si>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</si>
  <si>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</si>
  <si>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</si>
  <si>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</si>
  <si>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</si>
  <si>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</si>
  <si>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</si>
  <si>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</si>
  <si>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</si>
  <si>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</si>
  <si>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</si>
  <si>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</si>
  <si>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</si>
  <si>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</si>
  <si>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</si>
  <si>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</si>
  <si>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</si>
  <si>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</si>
  <si>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</si>
  <si>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</si>
  <si>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</si>
  <si>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</si>
  <si>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</si>
  <si>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</si>
  <si>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</si>
  <si>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</si>
  <si>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</si>
  <si>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</si>
  <si>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</si>
  <si>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</si>
  <si>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</si>
  <si>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</si>
  <si>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</si>
  <si>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</si>
  <si>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</si>
  <si>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</si>
  <si>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</si>
  <si>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</si>
  <si>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</si>
  <si>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</si>
  <si>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</si>
  <si>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</si>
  <si>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</si>
  <si>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</si>
  <si>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</si>
  <si>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</si>
  <si>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</si>
  <si>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</si>
  <si>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</si>
  <si>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</si>
  <si>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</si>
  <si>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</si>
  <si>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</si>
  <si>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</si>
  <si>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</si>
  <si>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</si>
  <si>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</si>
  <si>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</si>
  <si>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</si>
  <si>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</si>
  <si>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</si>
  <si>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</si>
  <si>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</si>
  <si>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</si>
  <si>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</si>
  <si>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</si>
  <si>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</si>
  <si>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</si>
  <si>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</si>
  <si>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</si>
  <si>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</si>
  <si>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</si>
  <si>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</si>
  <si>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</si>
  <si>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</si>
  <si>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</si>
  <si>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</si>
  <si>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</si>
  <si>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</si>
  <si>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</si>
  <si>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</si>
  <si>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</si>
  <si>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</si>
  <si>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</si>
  <si>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</si>
  <si>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</si>
  <si>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</si>
  <si>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</si>
  <si>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</si>
  <si>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</si>
  <si>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</si>
  <si>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</si>
  <si>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</si>
  <si>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</si>
  <si>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</si>
  <si>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</si>
  <si>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</si>
  <si>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</si>
  <si>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</si>
  <si>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</si>
  <si>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</si>
  <si>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</si>
  <si>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</si>
  <si>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</si>
  <si>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</si>
  <si>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</si>
  <si>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</si>
  <si>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</si>
  <si>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</si>
  <si>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</si>
  <si>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</si>
  <si>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</si>
  <si>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</si>
  <si>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</si>
  <si>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</si>
  <si>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</si>
  <si>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</si>
  <si>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</si>
  <si>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</si>
  <si>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</si>
  <si>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</si>
  <si>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</si>
  <si>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</si>
  <si>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</si>
  <si>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</si>
  <si>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</si>
  <si>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</si>
  <si>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</si>
  <si>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</si>
  <si>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</si>
  <si>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</si>
  <si>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</si>
  <si>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</si>
  <si>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</si>
  <si>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</si>
  <si>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</si>
  <si>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</si>
  <si>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</si>
  <si>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</si>
  <si>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</si>
  <si>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</si>
  <si>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</si>
  <si>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</si>
  <si>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</si>
  <si>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</si>
  <si>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</si>
  <si>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</si>
  <si>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</si>
  <si>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</si>
  <si>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</si>
  <si>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</si>
  <si>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</si>
  <si>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</si>
  <si>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</si>
  <si>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</si>
  <si>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</si>
  <si>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</si>
  <si>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</si>
  <si>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</si>
  <si>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</si>
  <si>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</si>
  <si>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</si>
  <si>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</si>
  <si>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</si>
  <si>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</si>
  <si>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</si>
  <si>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</si>
  <si>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</si>
  <si>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</si>
  <si>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</si>
  <si>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</si>
  <si>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</si>
  <si>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</si>
  <si>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</si>
  <si>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</si>
  <si>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</si>
  <si>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</si>
  <si>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</si>
  <si>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</si>
  <si>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</si>
  <si>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</si>
  <si>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</si>
  <si>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</si>
  <si>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</si>
  <si>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</si>
  <si>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</si>
  <si>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</si>
  <si>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</si>
  <si>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</si>
  <si>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</si>
  <si>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</si>
  <si>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</si>
  <si>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</si>
  <si>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</si>
  <si>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</si>
  <si>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</si>
  <si>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</si>
  <si>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</si>
  <si>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</si>
  <si>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</si>
  <si>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</si>
  <si>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</si>
  <si>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</si>
  <si>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</si>
  <si>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</si>
  <si>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</si>
  <si>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</si>
  <si>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</si>
  <si>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</si>
  <si>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</si>
  <si>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</si>
  <si>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</si>
  <si>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</si>
  <si>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</si>
  <si>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</si>
  <si>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</si>
  <si>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</si>
  <si>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</si>
  <si>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</si>
  <si>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</si>
  <si>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</si>
  <si>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</si>
  <si>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</si>
  <si>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</si>
  <si>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</si>
  <si>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</si>
  <si>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</si>
  <si>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</si>
  <si>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</si>
  <si>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</si>
  <si>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</si>
  <si>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</si>
  <si>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</si>
  <si>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</si>
  <si>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</si>
  <si>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</si>
  <si>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</si>
  <si>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</si>
  <si>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</si>
  <si>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</si>
  <si>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</si>
  <si>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</si>
  <si>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</si>
  <si>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</si>
  <si>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</si>
  <si>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</si>
  <si>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Department of Fish and Wildlife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</si>
</sst>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6">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quotePrefix="1" applyNumberFormat="1"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23</v>
      </c>
      <c r="B1" s="1" t="s">
        <v>124</v>
      </c>
      <c r="C1" s="1" t="s">
        <v>126</v>
      </c>
      <c r="D1" s="1" t="s">
        <v>132</v>
      </c>
      <c r="E1" s="1" t="s">
        <v>165</v>
      </c>
      <c r="F1" s="162" t="s">
        <v>234</v>
      </c>
      <c r="G1" s="163" t="s">
        <v>1622</v>
      </c>
    </row>
    <row r="2" spans="1:8" ht="15.75" x14ac:dyDescent="0.25">
      <c r="A2" s="1" t="s">
        <v>24</v>
      </c>
      <c r="B2" s="1" t="s">
        <v>125</v>
      </c>
      <c r="C2" s="1" t="s">
        <v>127</v>
      </c>
      <c r="D2" s="1" t="s">
        <v>131</v>
      </c>
      <c r="E2" s="1" t="s">
        <v>142</v>
      </c>
      <c r="F2" s="162" t="s">
        <v>1623</v>
      </c>
      <c r="G2" t="s">
        <v>1624</v>
      </c>
      <c r="H2" t="s">
        <v>1644</v>
      </c>
    </row>
    <row r="3" spans="1:8" ht="15.75" x14ac:dyDescent="0.25">
      <c r="A3" s="1" t="s">
        <v>25</v>
      </c>
      <c r="E3" s="1" t="s">
        <v>141</v>
      </c>
      <c r="F3" s="162" t="s">
        <v>1625</v>
      </c>
      <c r="G3" t="s">
        <v>1626</v>
      </c>
      <c r="H3" t="s">
        <v>1645</v>
      </c>
    </row>
    <row r="4" spans="1:8" ht="15.75" x14ac:dyDescent="0.25">
      <c r="A4" s="1" t="s">
        <v>26</v>
      </c>
      <c r="F4" s="162" t="s">
        <v>1627</v>
      </c>
      <c r="G4" t="s">
        <v>1628</v>
      </c>
      <c r="H4" t="s">
        <v>1646</v>
      </c>
    </row>
    <row r="5" spans="1:8" ht="15.75" x14ac:dyDescent="0.25">
      <c r="A5" s="1" t="s">
        <v>27</v>
      </c>
      <c r="F5" s="162" t="s">
        <v>1629</v>
      </c>
      <c r="G5" t="s">
        <v>1630</v>
      </c>
      <c r="H5" t="s">
        <v>1647</v>
      </c>
    </row>
    <row r="6" spans="1:8" ht="15.75" x14ac:dyDescent="0.25">
      <c r="A6" s="1" t="s">
        <v>28</v>
      </c>
      <c r="F6" s="164" t="s">
        <v>327</v>
      </c>
      <c r="G6" t="s">
        <v>1631</v>
      </c>
      <c r="H6" t="s">
        <v>1648</v>
      </c>
    </row>
    <row r="7" spans="1:8" ht="15.75" x14ac:dyDescent="0.25">
      <c r="A7" s="1" t="s">
        <v>29</v>
      </c>
      <c r="F7" s="162" t="s">
        <v>1632</v>
      </c>
      <c r="G7" t="s">
        <v>1633</v>
      </c>
      <c r="H7" t="s">
        <v>1649</v>
      </c>
    </row>
    <row r="8" spans="1:8" ht="15.75" x14ac:dyDescent="0.25">
      <c r="A8" s="1" t="s">
        <v>30</v>
      </c>
      <c r="F8" s="162" t="s">
        <v>928</v>
      </c>
      <c r="G8" t="s">
        <v>1634</v>
      </c>
      <c r="H8" t="s">
        <v>1650</v>
      </c>
    </row>
    <row r="9" spans="1:8" ht="15.75" x14ac:dyDescent="0.25">
      <c r="A9" s="1" t="s">
        <v>31</v>
      </c>
      <c r="F9" s="162" t="s">
        <v>1635</v>
      </c>
      <c r="G9" t="s">
        <v>1636</v>
      </c>
      <c r="H9" t="s">
        <v>1651</v>
      </c>
    </row>
    <row r="10" spans="1:8" ht="15.75" x14ac:dyDescent="0.25">
      <c r="A10" s="1" t="s">
        <v>32</v>
      </c>
      <c r="F10" t="s">
        <v>1637</v>
      </c>
      <c r="G10" t="s">
        <v>1638</v>
      </c>
      <c r="H10" t="s">
        <v>1652</v>
      </c>
    </row>
    <row r="11" spans="1:8" x14ac:dyDescent="0.2">
      <c r="A11" s="1" t="s">
        <v>33</v>
      </c>
    </row>
    <row r="12" spans="1:8" x14ac:dyDescent="0.2">
      <c r="A12" s="1" t="s">
        <v>34</v>
      </c>
    </row>
    <row r="13" spans="1:8" x14ac:dyDescent="0.2">
      <c r="A13" s="1" t="s">
        <v>35</v>
      </c>
    </row>
    <row r="14" spans="1:8" x14ac:dyDescent="0.2">
      <c r="A14" s="1" t="s">
        <v>36</v>
      </c>
    </row>
    <row r="15" spans="1:8" x14ac:dyDescent="0.2">
      <c r="A15" s="1" t="s">
        <v>37</v>
      </c>
    </row>
    <row r="16" spans="1:8" x14ac:dyDescent="0.2">
      <c r="A16" s="1" t="s">
        <v>38</v>
      </c>
    </row>
    <row r="17" spans="1:1" x14ac:dyDescent="0.2">
      <c r="A17" s="1" t="s">
        <v>39</v>
      </c>
    </row>
    <row r="18" spans="1:1" x14ac:dyDescent="0.2">
      <c r="A18" s="1" t="s">
        <v>40</v>
      </c>
    </row>
    <row r="19" spans="1:1" x14ac:dyDescent="0.2">
      <c r="A19" s="1" t="s">
        <v>41</v>
      </c>
    </row>
    <row r="20" spans="1:1" x14ac:dyDescent="0.2">
      <c r="A20" s="1" t="s">
        <v>42</v>
      </c>
    </row>
    <row r="21" spans="1:1" x14ac:dyDescent="0.2">
      <c r="A21" s="1" t="s">
        <v>43</v>
      </c>
    </row>
    <row r="22" spans="1:1" x14ac:dyDescent="0.2">
      <c r="A22" s="1" t="s">
        <v>44</v>
      </c>
    </row>
    <row r="23" spans="1:1" x14ac:dyDescent="0.2">
      <c r="A23" s="1" t="s">
        <v>45</v>
      </c>
    </row>
    <row r="24" spans="1:1" x14ac:dyDescent="0.2">
      <c r="A24" s="1" t="s">
        <v>46</v>
      </c>
    </row>
    <row r="25" spans="1:1" x14ac:dyDescent="0.2">
      <c r="A25" s="1" t="s">
        <v>47</v>
      </c>
    </row>
    <row r="26" spans="1:1" x14ac:dyDescent="0.2">
      <c r="A26" s="1" t="s">
        <v>48</v>
      </c>
    </row>
    <row r="27" spans="1:1" x14ac:dyDescent="0.2">
      <c r="A27" s="1" t="s">
        <v>49</v>
      </c>
    </row>
    <row r="28" spans="1:1" x14ac:dyDescent="0.2">
      <c r="A28" s="1" t="s">
        <v>50</v>
      </c>
    </row>
    <row r="29" spans="1:1" x14ac:dyDescent="0.2">
      <c r="A29" s="1" t="s">
        <v>51</v>
      </c>
    </row>
    <row r="30" spans="1:1" x14ac:dyDescent="0.2">
      <c r="A30" s="1" t="s">
        <v>52</v>
      </c>
    </row>
    <row r="31" spans="1:1" x14ac:dyDescent="0.2">
      <c r="A31" s="1" t="s">
        <v>53</v>
      </c>
    </row>
    <row r="32" spans="1:1" x14ac:dyDescent="0.2">
      <c r="A32" s="1" t="s">
        <v>54</v>
      </c>
    </row>
    <row r="33" spans="1:1" x14ac:dyDescent="0.2">
      <c r="A33" s="1" t="s">
        <v>55</v>
      </c>
    </row>
    <row r="34" spans="1:1" x14ac:dyDescent="0.2">
      <c r="A34" s="1" t="s">
        <v>56</v>
      </c>
    </row>
    <row r="35" spans="1:1" x14ac:dyDescent="0.2">
      <c r="A35" s="1" t="s">
        <v>57</v>
      </c>
    </row>
    <row r="36" spans="1:1" x14ac:dyDescent="0.2">
      <c r="A36" s="1" t="s">
        <v>58</v>
      </c>
    </row>
    <row r="37" spans="1:1" x14ac:dyDescent="0.2">
      <c r="A37" s="1" t="s">
        <v>59</v>
      </c>
    </row>
    <row r="38" spans="1:1" x14ac:dyDescent="0.2">
      <c r="A38" s="1" t="s">
        <v>60</v>
      </c>
    </row>
    <row r="39" spans="1:1" x14ac:dyDescent="0.2">
      <c r="A39" s="1" t="s">
        <v>61</v>
      </c>
    </row>
    <row r="40" spans="1:1" x14ac:dyDescent="0.2">
      <c r="A40" s="1" t="s">
        <v>62</v>
      </c>
    </row>
    <row r="41" spans="1:1" x14ac:dyDescent="0.2">
      <c r="A41" s="1" t="s">
        <v>63</v>
      </c>
    </row>
    <row r="42" spans="1:1" x14ac:dyDescent="0.2">
      <c r="A42" s="1" t="s">
        <v>64</v>
      </c>
    </row>
    <row r="43" spans="1:1" x14ac:dyDescent="0.2">
      <c r="A43" s="1" t="s">
        <v>65</v>
      </c>
    </row>
    <row r="44" spans="1:1" x14ac:dyDescent="0.2">
      <c r="A44" s="1" t="s">
        <v>66</v>
      </c>
    </row>
    <row r="45" spans="1:1" x14ac:dyDescent="0.2">
      <c r="A45" s="1" t="s">
        <v>67</v>
      </c>
    </row>
    <row r="46" spans="1:1" x14ac:dyDescent="0.2">
      <c r="A46" s="1" t="s">
        <v>68</v>
      </c>
    </row>
    <row r="47" spans="1:1" x14ac:dyDescent="0.2">
      <c r="A47" s="1" t="s">
        <v>69</v>
      </c>
    </row>
    <row r="48" spans="1:1" x14ac:dyDescent="0.2">
      <c r="A48" s="1" t="s">
        <v>70</v>
      </c>
    </row>
    <row r="49" spans="1:1" x14ac:dyDescent="0.2">
      <c r="A49" s="1" t="s">
        <v>71</v>
      </c>
    </row>
    <row r="50" spans="1:1" x14ac:dyDescent="0.2">
      <c r="A50" s="1" t="s">
        <v>72</v>
      </c>
    </row>
    <row r="51" spans="1:1" x14ac:dyDescent="0.2">
      <c r="A51" s="1" t="s">
        <v>73</v>
      </c>
    </row>
    <row r="52" spans="1:1" x14ac:dyDescent="0.2">
      <c r="A52" s="1" t="s">
        <v>74</v>
      </c>
    </row>
    <row r="53" spans="1:1" x14ac:dyDescent="0.2">
      <c r="A53" s="1" t="s">
        <v>75</v>
      </c>
    </row>
    <row r="54" spans="1:1" x14ac:dyDescent="0.2">
      <c r="A54" s="1" t="s">
        <v>76</v>
      </c>
    </row>
    <row r="55" spans="1:1" x14ac:dyDescent="0.2">
      <c r="A55" s="1" t="s">
        <v>77</v>
      </c>
    </row>
    <row r="56" spans="1:1" x14ac:dyDescent="0.2">
      <c r="A56" s="1" t="s">
        <v>78</v>
      </c>
    </row>
    <row r="57" spans="1:1" x14ac:dyDescent="0.2">
      <c r="A57" s="1" t="s">
        <v>79</v>
      </c>
    </row>
    <row r="58" spans="1:1" x14ac:dyDescent="0.2">
      <c r="A58" s="1" t="s">
        <v>80</v>
      </c>
    </row>
    <row r="59" spans="1:1" x14ac:dyDescent="0.2">
      <c r="A59" s="1" t="s">
        <v>81</v>
      </c>
    </row>
    <row r="60" spans="1:1" x14ac:dyDescent="0.2">
      <c r="A60" s="1" t="s">
        <v>82</v>
      </c>
    </row>
    <row r="61" spans="1:1" x14ac:dyDescent="0.2">
      <c r="A61" s="1" t="s">
        <v>83</v>
      </c>
    </row>
    <row r="62" spans="1:1" x14ac:dyDescent="0.2">
      <c r="A62" s="1" t="s">
        <v>84</v>
      </c>
    </row>
    <row r="63" spans="1:1" x14ac:dyDescent="0.2">
      <c r="A63" s="1" t="s">
        <v>85</v>
      </c>
    </row>
    <row r="64" spans="1:1" x14ac:dyDescent="0.2">
      <c r="A64" s="1" t="s">
        <v>86</v>
      </c>
    </row>
    <row r="65" spans="1:1" x14ac:dyDescent="0.2">
      <c r="A65" s="1" t="s">
        <v>87</v>
      </c>
    </row>
    <row r="66" spans="1:1" x14ac:dyDescent="0.2">
      <c r="A66" s="1" t="s">
        <v>88</v>
      </c>
    </row>
    <row r="67" spans="1:1" x14ac:dyDescent="0.2">
      <c r="A67" s="1" t="s">
        <v>89</v>
      </c>
    </row>
    <row r="68" spans="1:1" x14ac:dyDescent="0.2">
      <c r="A68" s="1" t="s">
        <v>90</v>
      </c>
    </row>
    <row r="69" spans="1:1" x14ac:dyDescent="0.2">
      <c r="A69" s="1" t="s">
        <v>91</v>
      </c>
    </row>
    <row r="70" spans="1:1" x14ac:dyDescent="0.2">
      <c r="A70" s="1" t="s">
        <v>92</v>
      </c>
    </row>
    <row r="71" spans="1:1" x14ac:dyDescent="0.2">
      <c r="A71" s="1" t="s">
        <v>93</v>
      </c>
    </row>
    <row r="72" spans="1:1" x14ac:dyDescent="0.2">
      <c r="A72" s="1" t="s">
        <v>94</v>
      </c>
    </row>
    <row r="73" spans="1:1" x14ac:dyDescent="0.2">
      <c r="A73" s="1" t="s">
        <v>95</v>
      </c>
    </row>
    <row r="74" spans="1:1" x14ac:dyDescent="0.2">
      <c r="A74" s="1" t="s">
        <v>96</v>
      </c>
    </row>
    <row r="75" spans="1:1" x14ac:dyDescent="0.2">
      <c r="A75" s="1" t="s">
        <v>97</v>
      </c>
    </row>
    <row r="76" spans="1:1" x14ac:dyDescent="0.2">
      <c r="A76" s="1" t="s">
        <v>98</v>
      </c>
    </row>
    <row r="77" spans="1:1" x14ac:dyDescent="0.2">
      <c r="A77" s="1" t="s">
        <v>99</v>
      </c>
    </row>
    <row r="78" spans="1:1" x14ac:dyDescent="0.2">
      <c r="A78" s="1" t="s">
        <v>100</v>
      </c>
    </row>
    <row r="79" spans="1:1" x14ac:dyDescent="0.2">
      <c r="A79" s="1" t="s">
        <v>101</v>
      </c>
    </row>
    <row r="80" spans="1:1" x14ac:dyDescent="0.2">
      <c r="A80" s="1" t="s">
        <v>102</v>
      </c>
    </row>
    <row r="81" spans="1:1" x14ac:dyDescent="0.2">
      <c r="A81" s="1" t="s">
        <v>103</v>
      </c>
    </row>
    <row r="82" spans="1:1" x14ac:dyDescent="0.2">
      <c r="A82" s="1" t="s">
        <v>104</v>
      </c>
    </row>
    <row r="83" spans="1:1" x14ac:dyDescent="0.2">
      <c r="A83" s="1" t="s">
        <v>105</v>
      </c>
    </row>
    <row r="84" spans="1:1" x14ac:dyDescent="0.2">
      <c r="A84" s="1" t="s">
        <v>106</v>
      </c>
    </row>
    <row r="85" spans="1:1" x14ac:dyDescent="0.2">
      <c r="A85" s="1" t="s">
        <v>107</v>
      </c>
    </row>
    <row r="86" spans="1:1" x14ac:dyDescent="0.2">
      <c r="A86" s="1" t="s">
        <v>108</v>
      </c>
    </row>
    <row r="87" spans="1:1" x14ac:dyDescent="0.2">
      <c r="A87" s="1" t="s">
        <v>109</v>
      </c>
    </row>
    <row r="88" spans="1:1" x14ac:dyDescent="0.2">
      <c r="A88" s="1" t="s">
        <v>110</v>
      </c>
    </row>
    <row r="89" spans="1:1" x14ac:dyDescent="0.2">
      <c r="A89" s="1" t="s">
        <v>111</v>
      </c>
    </row>
    <row r="90" spans="1:1" x14ac:dyDescent="0.2">
      <c r="A90" s="1" t="s">
        <v>112</v>
      </c>
    </row>
    <row r="91" spans="1:1" x14ac:dyDescent="0.2">
      <c r="A91" s="1" t="s">
        <v>113</v>
      </c>
    </row>
    <row r="92" spans="1:1" x14ac:dyDescent="0.2">
      <c r="A92" s="1" t="s">
        <v>114</v>
      </c>
    </row>
    <row r="93" spans="1:1" x14ac:dyDescent="0.2">
      <c r="A93" s="1" t="s">
        <v>115</v>
      </c>
    </row>
    <row r="94" spans="1:1" x14ac:dyDescent="0.2">
      <c r="A94" s="1" t="s">
        <v>116</v>
      </c>
    </row>
    <row r="95" spans="1:1" x14ac:dyDescent="0.2">
      <c r="A95" s="1" t="s">
        <v>117</v>
      </c>
    </row>
    <row r="96" spans="1:1" x14ac:dyDescent="0.2">
      <c r="A96" s="1" t="s">
        <v>118</v>
      </c>
    </row>
    <row r="97" spans="1:1" x14ac:dyDescent="0.2">
      <c r="A97" s="1" t="s">
        <v>119</v>
      </c>
    </row>
    <row r="98" spans="1:1" x14ac:dyDescent="0.2">
      <c r="A98" s="1" t="s">
        <v>120</v>
      </c>
    </row>
    <row r="99" spans="1:1" x14ac:dyDescent="0.2">
      <c r="A99" s="1" t="s">
        <v>121</v>
      </c>
    </row>
    <row r="100" spans="1:1" x14ac:dyDescent="0.2">
      <c r="A100" s="1" t="s">
        <v>122</v>
      </c>
    </row>
    <row r="101" spans="1:1" x14ac:dyDescent="0.2">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220</v>
      </c>
      <c r="B1" s="159" t="s">
        <v>221</v>
      </c>
      <c r="C1" s="159" t="s">
        <v>222</v>
      </c>
      <c r="D1" s="159" t="s">
        <v>223</v>
      </c>
      <c r="E1" s="159" t="s">
        <v>224</v>
      </c>
      <c r="F1" s="159" t="s">
        <v>225</v>
      </c>
      <c r="G1" s="159" t="s">
        <v>226</v>
      </c>
      <c r="H1" s="159" t="s">
        <v>227</v>
      </c>
      <c r="I1" s="159" t="s">
        <v>228</v>
      </c>
      <c r="J1" s="159" t="s">
        <v>229</v>
      </c>
      <c r="K1" s="159" t="s">
        <v>230</v>
      </c>
    </row>
    <row r="2" spans="1:11" x14ac:dyDescent="0.25">
      <c r="A2" s="160" t="s">
        <v>231</v>
      </c>
      <c r="B2" s="160" t="s">
        <v>232</v>
      </c>
      <c r="C2" s="160" t="s">
        <v>233</v>
      </c>
      <c r="D2" s="160" t="s">
        <v>232</v>
      </c>
      <c r="E2" s="160" t="s">
        <v>234</v>
      </c>
      <c r="F2" s="160" t="s">
        <v>235</v>
      </c>
      <c r="G2" s="160" t="s">
        <v>236</v>
      </c>
      <c r="H2" s="160" t="s">
        <v>231</v>
      </c>
      <c r="I2" s="160" t="s">
        <v>231</v>
      </c>
      <c r="J2" s="160" t="s">
        <v>237</v>
      </c>
      <c r="K2" s="160" t="s">
        <v>238</v>
      </c>
    </row>
    <row r="3" spans="1:11" x14ac:dyDescent="0.25">
      <c r="A3" s="160" t="s">
        <v>239</v>
      </c>
      <c r="B3" s="160" t="s">
        <v>240</v>
      </c>
      <c r="C3" s="160" t="s">
        <v>241</v>
      </c>
      <c r="D3" s="160" t="s">
        <v>242</v>
      </c>
      <c r="E3" s="160" t="s">
        <v>234</v>
      </c>
      <c r="F3" s="160" t="s">
        <v>231</v>
      </c>
      <c r="G3" s="160" t="s">
        <v>231</v>
      </c>
      <c r="H3" s="160" t="s">
        <v>231</v>
      </c>
      <c r="I3" s="160" t="s">
        <v>231</v>
      </c>
      <c r="J3" s="160" t="s">
        <v>243</v>
      </c>
      <c r="K3" s="160" t="s">
        <v>238</v>
      </c>
    </row>
    <row r="4" spans="1:11" x14ac:dyDescent="0.25">
      <c r="A4" s="160" t="s">
        <v>244</v>
      </c>
      <c r="B4" s="160" t="s">
        <v>245</v>
      </c>
      <c r="C4" s="160" t="s">
        <v>241</v>
      </c>
      <c r="D4" s="160" t="s">
        <v>242</v>
      </c>
      <c r="E4" s="160" t="s">
        <v>234</v>
      </c>
      <c r="F4" s="160" t="s">
        <v>231</v>
      </c>
      <c r="G4" s="160" t="s">
        <v>231</v>
      </c>
      <c r="H4" s="160" t="s">
        <v>231</v>
      </c>
      <c r="I4" s="160" t="s">
        <v>231</v>
      </c>
      <c r="J4" s="160" t="s">
        <v>246</v>
      </c>
      <c r="K4" s="160" t="s">
        <v>238</v>
      </c>
    </row>
    <row r="5" spans="1:11" x14ac:dyDescent="0.25">
      <c r="A5" s="160" t="s">
        <v>247</v>
      </c>
      <c r="B5" s="160" t="s">
        <v>248</v>
      </c>
      <c r="C5" s="160" t="s">
        <v>241</v>
      </c>
      <c r="D5" s="160" t="s">
        <v>242</v>
      </c>
      <c r="E5" s="160" t="s">
        <v>234</v>
      </c>
      <c r="F5" s="160" t="s">
        <v>231</v>
      </c>
      <c r="G5" s="160" t="s">
        <v>231</v>
      </c>
      <c r="H5" s="160" t="s">
        <v>231</v>
      </c>
      <c r="I5" s="160" t="s">
        <v>231</v>
      </c>
      <c r="J5" s="160" t="s">
        <v>246</v>
      </c>
      <c r="K5" s="160" t="s">
        <v>238</v>
      </c>
    </row>
    <row r="6" spans="1:11" x14ac:dyDescent="0.25">
      <c r="A6" s="160" t="s">
        <v>249</v>
      </c>
      <c r="B6" s="160" t="s">
        <v>250</v>
      </c>
      <c r="C6" s="160" t="s">
        <v>241</v>
      </c>
      <c r="D6" s="160" t="s">
        <v>242</v>
      </c>
      <c r="E6" s="160" t="s">
        <v>234</v>
      </c>
      <c r="F6" s="160" t="s">
        <v>231</v>
      </c>
      <c r="G6" s="160" t="s">
        <v>231</v>
      </c>
      <c r="H6" s="160" t="s">
        <v>231</v>
      </c>
      <c r="I6" s="160" t="s">
        <v>231</v>
      </c>
      <c r="J6" s="160" t="s">
        <v>246</v>
      </c>
      <c r="K6" s="160" t="s">
        <v>238</v>
      </c>
    </row>
    <row r="7" spans="1:11" x14ac:dyDescent="0.25">
      <c r="A7" s="160" t="s">
        <v>251</v>
      </c>
      <c r="B7" s="160" t="s">
        <v>252</v>
      </c>
      <c r="C7" s="160" t="s">
        <v>241</v>
      </c>
      <c r="D7" s="160" t="s">
        <v>242</v>
      </c>
      <c r="E7" s="160" t="s">
        <v>234</v>
      </c>
      <c r="F7" s="160" t="s">
        <v>231</v>
      </c>
      <c r="G7" s="160" t="s">
        <v>231</v>
      </c>
      <c r="H7" s="160" t="s">
        <v>231</v>
      </c>
      <c r="I7" s="160" t="s">
        <v>231</v>
      </c>
      <c r="J7" s="160" t="s">
        <v>253</v>
      </c>
      <c r="K7" s="160" t="s">
        <v>238</v>
      </c>
    </row>
    <row r="8" spans="1:11" x14ac:dyDescent="0.25">
      <c r="A8" s="160" t="s">
        <v>254</v>
      </c>
      <c r="B8" s="160" t="s">
        <v>255</v>
      </c>
      <c r="C8" s="160" t="s">
        <v>241</v>
      </c>
      <c r="D8" s="160" t="s">
        <v>242</v>
      </c>
      <c r="E8" s="160" t="s">
        <v>234</v>
      </c>
      <c r="F8" s="160" t="s">
        <v>231</v>
      </c>
      <c r="G8" s="160" t="s">
        <v>231</v>
      </c>
      <c r="H8" s="160" t="s">
        <v>231</v>
      </c>
      <c r="I8" s="160" t="s">
        <v>231</v>
      </c>
      <c r="J8" s="160" t="s">
        <v>253</v>
      </c>
      <c r="K8" s="160" t="s">
        <v>238</v>
      </c>
    </row>
    <row r="9" spans="1:11" x14ac:dyDescent="0.25">
      <c r="A9" s="160" t="s">
        <v>256</v>
      </c>
      <c r="B9" s="160" t="s">
        <v>257</v>
      </c>
      <c r="C9" s="160" t="s">
        <v>241</v>
      </c>
      <c r="D9" s="160" t="s">
        <v>242</v>
      </c>
      <c r="E9" s="160" t="s">
        <v>234</v>
      </c>
      <c r="F9" s="160" t="s">
        <v>231</v>
      </c>
      <c r="G9" s="160" t="s">
        <v>231</v>
      </c>
      <c r="H9" s="160" t="s">
        <v>231</v>
      </c>
      <c r="I9" s="160" t="s">
        <v>231</v>
      </c>
      <c r="J9" s="160" t="s">
        <v>253</v>
      </c>
      <c r="K9" s="160" t="s">
        <v>238</v>
      </c>
    </row>
    <row r="10" spans="1:11" x14ac:dyDescent="0.25">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25">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25">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25">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25">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25">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25">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25">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25">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25">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25">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25">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25">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25">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25">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25">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25">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25">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25">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25">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25">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25">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25">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25">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25">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25">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25">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25">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25">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25">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25">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25">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25">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25">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25">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25">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25">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25">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25">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25">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25">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25">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25">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25">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25">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25">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25">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25">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25">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25">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25">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25">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25">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25">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25">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25">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25">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25">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25">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25">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25">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25">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25">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25">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25">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25">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25">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25">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25">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25">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25">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25">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25">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25">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25">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25">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25">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25">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25">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25">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25">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25">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25">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25">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25">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25">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25">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25">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25">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25">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25">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25">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25">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25">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25">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25">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25">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25">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25">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25">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25">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25">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25">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25">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25">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25">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25">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25">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25">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25">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25">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25">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25">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25">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25">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25">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25">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25">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25">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25">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25">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25">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25">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25">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25">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25">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25">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25">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25">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25">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25">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25">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25">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25">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25">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25">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25">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25">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25">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25">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25">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25">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25">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25">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25">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25">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25">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25">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25">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25">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25">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25">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25">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25">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25">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25">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25">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25">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25">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25">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25">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25">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25">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25">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25">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25">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25">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25">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25">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25">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25">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25">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25">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25">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25">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25">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25">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25">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25">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25">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25">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25">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25">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25">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25">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25">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25">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25">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25">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25">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25">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25">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25">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25">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25">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25">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25">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25">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25">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25">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25">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25">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25">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25">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25">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25">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25">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25">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25">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25">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25">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25">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25">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25">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25">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25">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25">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25">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25">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25">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25">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25">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25">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25">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25">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25">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25">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25">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25">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25">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25">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25">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25">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25">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25">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25">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25">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25">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25">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25">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25">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25">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25">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25">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25">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25">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25">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25">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25">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25">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25">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25">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25">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25">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25">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25">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25">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25">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25">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25">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25">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25">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25">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25">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25">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25">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25">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25">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25">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25">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25">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25">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25">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25">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25">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25">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25">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25">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25">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25">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25">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25">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25">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25">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25">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25">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25">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25">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25">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25">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25">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25">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25">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25">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25">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25">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25">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25">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25">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25">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25">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25">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25">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25">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25">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25">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25">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25">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25">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25">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25">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25">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25">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25">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25">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25">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25">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25">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25">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25">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25">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25">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25">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25">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25">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25">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25">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25">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25">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25">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25">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25">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25">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25">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25">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25">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25">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25">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25">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25">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25">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25">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25">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25">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25">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25">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25">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25">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25">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25">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25">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25">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25">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25">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25">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25">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25">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25">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25">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25">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25">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25">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25">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25">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25">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25">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25">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25">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25">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25">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25">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25">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25">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25">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25">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25">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25">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25">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25">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25">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25">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25">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25">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25">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25">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25">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25">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25">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25">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25">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25">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25">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25">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25">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25">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25">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25">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25">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25">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25">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25">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25">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25">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25">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25">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25">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25">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25">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25">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25">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25">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25">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25">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25">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25">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25">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25">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25">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25">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25">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25">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25">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25">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25">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25">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25">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25">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25">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25">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25">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25">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25">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25">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25">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25">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25">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25">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25">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25">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25">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25">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25">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25">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25">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25">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25">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25">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25">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25">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25">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25">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25">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25">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25">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25">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25">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25">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25">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25">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25">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25">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25">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25">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25">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25">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25">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25">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25">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25">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25">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25">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25">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25">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25">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25">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25">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25">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25">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25">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25">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25">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25">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25">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25">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25">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25">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25">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25">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25">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25">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25">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25">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25">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25">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25">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25">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25">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25">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25">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25">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25">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25">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25">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25">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25">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25">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25">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25">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25">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25">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25">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25">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25">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25">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25">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25">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25">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25">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25">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25">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25">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25">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25">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25">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25">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25">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25">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25">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25">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25">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25">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25">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25">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25">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25">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25">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25">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25">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25">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25">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25">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25">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25">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25">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25">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25">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25">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25">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25">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25">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25">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25">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25">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25">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25">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25">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25">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25">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25">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25">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25">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25">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25">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25">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25">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25">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25">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25">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25">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25">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25">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25">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25">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25">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25">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25">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25">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25">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25">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25">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25">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25">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25">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25">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25">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25">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25">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25">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25">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25">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25">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25">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25">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25">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25">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25">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25">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25">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25">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25">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25">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25">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25">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25">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25">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25">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25">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25">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25">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25">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25">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25">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25">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25">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25">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25">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25">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25">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25">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25">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25">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25">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25">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25">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25">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25">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25">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25">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25">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25">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25">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25">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25">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25">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25">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25">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25">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25">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25">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25">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25">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25">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25">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25">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25">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8" activePane="bottomLeft" state="frozen"/>
      <selection activeCell="J17" sqref="J17"/>
      <selection pane="bottomLeft" activeCell="J17" sqref="J17"/>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1767</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1745</v>
      </c>
      <c r="B11" s="240" t="s">
        <v>1732</v>
      </c>
      <c r="C11" s="240" t="s">
        <v>1733</v>
      </c>
      <c r="D11" s="240" t="s">
        <v>1733</v>
      </c>
      <c r="E11" s="240" t="s">
        <v>1775</v>
      </c>
      <c r="F11" s="240" t="s">
        <v>1746</v>
      </c>
    </row>
    <row r="12" spans="1:6" ht="28.5" x14ac:dyDescent="0.25">
      <c r="A12" s="240" t="s">
        <v>1745</v>
      </c>
      <c r="B12" s="240" t="s">
        <v>1750</v>
      </c>
      <c r="C12" s="240" t="s">
        <v>1735</v>
      </c>
      <c r="D12" s="240" t="s">
        <v>1742</v>
      </c>
      <c r="E12" s="240" t="s">
        <v>1748</v>
      </c>
      <c r="F12" s="240" t="s">
        <v>1749</v>
      </c>
    </row>
    <row r="13" spans="1:6" ht="71.25" x14ac:dyDescent="0.25">
      <c r="A13" s="240" t="s">
        <v>1745</v>
      </c>
      <c r="B13" s="240" t="s">
        <v>1751</v>
      </c>
      <c r="C13" s="240" t="s">
        <v>1734</v>
      </c>
      <c r="D13" s="240" t="s">
        <v>1735</v>
      </c>
      <c r="E13" s="240" t="s">
        <v>1736</v>
      </c>
      <c r="F13" s="240" t="s">
        <v>1737</v>
      </c>
    </row>
    <row r="14" spans="1:6" ht="42.75" x14ac:dyDescent="0.25">
      <c r="A14" s="240" t="s">
        <v>1745</v>
      </c>
      <c r="B14" s="240" t="s">
        <v>1738</v>
      </c>
      <c r="C14" s="240" t="s">
        <v>1735</v>
      </c>
      <c r="D14" s="240" t="s">
        <v>1743</v>
      </c>
      <c r="E14" s="240" t="s">
        <v>1739</v>
      </c>
      <c r="F14" s="240" t="s">
        <v>1740</v>
      </c>
    </row>
    <row r="15" spans="1:6" ht="42.75" x14ac:dyDescent="0.25">
      <c r="A15" s="240" t="s">
        <v>1745</v>
      </c>
      <c r="B15" s="240" t="s">
        <v>1741</v>
      </c>
      <c r="C15" s="240" t="s">
        <v>1735</v>
      </c>
      <c r="D15" s="240" t="s">
        <v>1747</v>
      </c>
      <c r="E15" s="240" t="s">
        <v>1845</v>
      </c>
      <c r="F15" s="240" t="s">
        <v>1737</v>
      </c>
    </row>
    <row r="16" spans="1:6" ht="42.75" x14ac:dyDescent="0.25">
      <c r="A16" s="240" t="s">
        <v>1745</v>
      </c>
      <c r="B16" s="240" t="s">
        <v>1752</v>
      </c>
      <c r="C16" s="240" t="s">
        <v>1735</v>
      </c>
      <c r="D16" s="240" t="s">
        <v>1843</v>
      </c>
      <c r="E16" s="240" t="s">
        <v>1753</v>
      </c>
      <c r="F16" s="240" t="s">
        <v>1737</v>
      </c>
    </row>
    <row r="17" spans="1:6" ht="85.5" x14ac:dyDescent="0.25">
      <c r="A17" s="240" t="s">
        <v>1745</v>
      </c>
      <c r="B17" s="240" t="s">
        <v>1758</v>
      </c>
      <c r="C17" s="240" t="s">
        <v>1735</v>
      </c>
      <c r="D17" s="240" t="s">
        <v>1844</v>
      </c>
      <c r="E17" s="240" t="s">
        <v>1794</v>
      </c>
      <c r="F17" s="240" t="s">
        <v>1737</v>
      </c>
    </row>
    <row r="18" spans="1:6" ht="85.5" x14ac:dyDescent="0.25">
      <c r="A18" s="240" t="s">
        <v>1745</v>
      </c>
      <c r="B18" s="240" t="s">
        <v>1754</v>
      </c>
      <c r="C18" s="240" t="s">
        <v>1755</v>
      </c>
      <c r="D18" s="240" t="s">
        <v>1756</v>
      </c>
      <c r="E18" s="240" t="s">
        <v>1795</v>
      </c>
      <c r="F18" s="240" t="s">
        <v>1757</v>
      </c>
    </row>
    <row r="19" spans="1:6" ht="99.75" x14ac:dyDescent="0.25">
      <c r="A19" s="240" t="s">
        <v>1745</v>
      </c>
      <c r="B19" s="240" t="s">
        <v>1796</v>
      </c>
      <c r="C19" s="240" t="s">
        <v>1759</v>
      </c>
      <c r="D19" s="240" t="s">
        <v>1760</v>
      </c>
      <c r="E19" s="240" t="s">
        <v>1797</v>
      </c>
      <c r="F19" s="240" t="s">
        <v>1737</v>
      </c>
    </row>
    <row r="20" spans="1:6" ht="85.5" x14ac:dyDescent="0.25">
      <c r="A20" s="240" t="s">
        <v>1745</v>
      </c>
      <c r="B20" s="240" t="s">
        <v>1744</v>
      </c>
      <c r="C20" s="240" t="s">
        <v>1735</v>
      </c>
      <c r="D20" s="240" t="s">
        <v>1761</v>
      </c>
      <c r="E20" s="240" t="s">
        <v>1798</v>
      </c>
      <c r="F20" s="240" t="s">
        <v>1762</v>
      </c>
    </row>
    <row r="21" spans="1:6" ht="114" x14ac:dyDescent="0.25">
      <c r="A21" s="240" t="s">
        <v>1745</v>
      </c>
      <c r="B21" s="240" t="s">
        <v>1846</v>
      </c>
      <c r="C21" s="240" t="s">
        <v>1735</v>
      </c>
      <c r="D21" s="240" t="s">
        <v>1852</v>
      </c>
      <c r="E21" s="240" t="s">
        <v>1847</v>
      </c>
      <c r="F21" s="240" t="s">
        <v>1848</v>
      </c>
    </row>
    <row r="22" spans="1:6" ht="99.75" x14ac:dyDescent="0.25">
      <c r="A22" s="240" t="s">
        <v>1745</v>
      </c>
      <c r="B22" s="240" t="s">
        <v>1849</v>
      </c>
      <c r="C22" s="240" t="s">
        <v>1735</v>
      </c>
      <c r="D22" s="240" t="s">
        <v>1853</v>
      </c>
      <c r="E22" s="240" t="s">
        <v>1850</v>
      </c>
      <c r="F22" s="240" t="s">
        <v>1851</v>
      </c>
    </row>
    <row r="23" spans="1:6" ht="28.5" x14ac:dyDescent="0.25">
      <c r="A23" s="240" t="s">
        <v>1745</v>
      </c>
      <c r="B23" s="240" t="s">
        <v>1765</v>
      </c>
      <c r="C23" s="240" t="s">
        <v>1735</v>
      </c>
      <c r="D23" s="240" t="s">
        <v>1854</v>
      </c>
      <c r="E23" s="240" t="s">
        <v>1766</v>
      </c>
      <c r="F23" s="240" t="s">
        <v>1737</v>
      </c>
    </row>
    <row r="24" spans="1:6" ht="85.5" x14ac:dyDescent="0.25">
      <c r="A24" s="240" t="s">
        <v>1768</v>
      </c>
      <c r="B24" s="240" t="s">
        <v>1732</v>
      </c>
      <c r="C24" s="240" t="s">
        <v>1769</v>
      </c>
      <c r="D24" s="240" t="s">
        <v>1770</v>
      </c>
      <c r="E24" s="240" t="s">
        <v>1776</v>
      </c>
      <c r="F24" s="240" t="s">
        <v>1771</v>
      </c>
    </row>
    <row r="25" spans="1:6" ht="85.5" x14ac:dyDescent="0.25">
      <c r="A25" s="240" t="s">
        <v>1768</v>
      </c>
      <c r="B25" s="240" t="s">
        <v>1772</v>
      </c>
      <c r="C25" s="240" t="s">
        <v>1735</v>
      </c>
      <c r="D25" s="240" t="s">
        <v>1773</v>
      </c>
      <c r="E25" s="240" t="s">
        <v>1774</v>
      </c>
      <c r="F25" s="240" t="s">
        <v>1771</v>
      </c>
    </row>
    <row r="26" spans="1:6" ht="42.75" x14ac:dyDescent="0.25">
      <c r="A26" s="240" t="s">
        <v>1768</v>
      </c>
      <c r="B26" s="240" t="s">
        <v>1780</v>
      </c>
      <c r="C26" s="240" t="s">
        <v>1777</v>
      </c>
      <c r="D26" s="240" t="s">
        <v>1778</v>
      </c>
      <c r="E26" s="240" t="s">
        <v>1781</v>
      </c>
      <c r="F26" s="240" t="s">
        <v>1779</v>
      </c>
    </row>
    <row r="27" spans="1:6" ht="114" x14ac:dyDescent="0.25">
      <c r="A27" s="240" t="s">
        <v>1782</v>
      </c>
      <c r="B27" s="240" t="s">
        <v>1783</v>
      </c>
      <c r="C27" s="240" t="s">
        <v>1784</v>
      </c>
      <c r="D27" s="240" t="s">
        <v>1784</v>
      </c>
      <c r="E27" s="240" t="s">
        <v>1807</v>
      </c>
      <c r="F27" s="240" t="s">
        <v>1771</v>
      </c>
    </row>
    <row r="28" spans="1:6" ht="42.75" x14ac:dyDescent="0.25">
      <c r="A28" s="240" t="s">
        <v>1782</v>
      </c>
      <c r="B28" s="240" t="s">
        <v>1791</v>
      </c>
      <c r="C28" s="240" t="s">
        <v>1735</v>
      </c>
      <c r="D28" s="240" t="s">
        <v>1743</v>
      </c>
      <c r="E28" s="240" t="s">
        <v>1785</v>
      </c>
      <c r="F28" s="240" t="s">
        <v>1737</v>
      </c>
    </row>
    <row r="29" spans="1:6" ht="99.75" x14ac:dyDescent="0.25">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paperSize="3"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opLeftCell="A12" zoomScaleNormal="100" workbookViewId="0">
      <selection activeCell="J17" sqref="J17"/>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6" t="s">
        <v>1661</v>
      </c>
      <c r="B1" s="256"/>
      <c r="C1" s="256"/>
      <c r="D1" s="256"/>
      <c r="E1" s="256"/>
      <c r="F1" s="256"/>
      <c r="G1" s="256"/>
      <c r="H1" s="256"/>
      <c r="I1" s="256"/>
      <c r="J1" s="256"/>
      <c r="K1" s="256"/>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7" t="s">
        <v>13</v>
      </c>
      <c r="B3" s="257"/>
      <c r="C3" s="257"/>
      <c r="D3" s="257"/>
      <c r="E3" s="257"/>
      <c r="F3" s="258" t="s">
        <v>24</v>
      </c>
      <c r="G3" s="258"/>
      <c r="H3" s="258"/>
      <c r="I3" s="258"/>
    </row>
    <row r="4" spans="1:19" ht="16.5" customHeight="1" x14ac:dyDescent="0.2">
      <c r="A4" s="257" t="s">
        <v>209</v>
      </c>
      <c r="B4" s="257"/>
      <c r="C4" s="257"/>
      <c r="D4" s="257"/>
      <c r="E4" s="257"/>
      <c r="F4" s="259" t="s">
        <v>1883</v>
      </c>
      <c r="G4" s="259"/>
      <c r="H4" s="259"/>
      <c r="I4" s="259"/>
    </row>
    <row r="5" spans="1:19" ht="16.5" customHeight="1" x14ac:dyDescent="0.2">
      <c r="A5" s="257" t="s">
        <v>1640</v>
      </c>
      <c r="B5" s="257"/>
      <c r="C5" s="257"/>
      <c r="D5" s="257"/>
      <c r="E5" s="257"/>
      <c r="F5" s="259" t="s">
        <v>770</v>
      </c>
      <c r="G5" s="259"/>
      <c r="H5" s="259"/>
      <c r="I5" s="259"/>
      <c r="L5" s="39"/>
      <c r="M5" s="39"/>
      <c r="N5" s="39"/>
      <c r="O5" s="39"/>
      <c r="P5" s="39"/>
      <c r="Q5" s="39"/>
    </row>
    <row r="6" spans="1:19" ht="16.5" customHeight="1" x14ac:dyDescent="0.25">
      <c r="A6" s="257" t="s">
        <v>1683</v>
      </c>
      <c r="B6" s="257"/>
      <c r="C6" s="257"/>
      <c r="D6" s="257"/>
      <c r="E6" s="257"/>
      <c r="F6" s="260">
        <v>200</v>
      </c>
      <c r="G6" s="260"/>
      <c r="H6" s="260"/>
      <c r="I6" s="260"/>
      <c r="L6" s="40"/>
      <c r="M6" s="40"/>
      <c r="N6" s="40"/>
      <c r="O6" s="40"/>
      <c r="P6" s="39"/>
      <c r="Q6" s="39"/>
    </row>
    <row r="7" spans="1:19" ht="16.5" customHeight="1" x14ac:dyDescent="0.25">
      <c r="A7" s="257" t="s">
        <v>3</v>
      </c>
      <c r="B7" s="257"/>
      <c r="C7" s="257"/>
      <c r="D7" s="257"/>
      <c r="E7" s="257"/>
      <c r="F7" s="260" t="s">
        <v>124</v>
      </c>
      <c r="G7" s="260"/>
      <c r="H7" s="260"/>
      <c r="I7" s="260"/>
      <c r="K7" s="96"/>
      <c r="L7" s="40"/>
      <c r="M7" s="40"/>
      <c r="N7" s="40"/>
      <c r="O7" s="40"/>
      <c r="P7" s="39"/>
      <c r="Q7" s="39"/>
    </row>
    <row r="8" spans="1:19" ht="16.5" customHeight="1" x14ac:dyDescent="0.25">
      <c r="A8" s="257" t="s">
        <v>1641</v>
      </c>
      <c r="B8" s="257"/>
      <c r="C8" s="257"/>
      <c r="D8" s="257"/>
      <c r="E8" s="257"/>
      <c r="F8" s="260" t="s">
        <v>165</v>
      </c>
      <c r="G8" s="260"/>
      <c r="H8" s="260"/>
      <c r="I8" s="260"/>
      <c r="K8" s="96"/>
      <c r="L8" s="40"/>
      <c r="M8" s="40"/>
      <c r="N8" s="40"/>
      <c r="O8" s="40"/>
      <c r="P8" s="39"/>
      <c r="Q8" s="39"/>
    </row>
    <row r="9" spans="1:19" ht="16.5" customHeight="1" x14ac:dyDescent="0.25">
      <c r="A9" s="257" t="s">
        <v>1639</v>
      </c>
      <c r="B9" s="257"/>
      <c r="C9" s="257"/>
      <c r="D9" s="257"/>
      <c r="E9" s="257"/>
      <c r="F9" s="261" t="str">
        <f>IFERROR(IF(F7="Proprietary","Proprietary Fund",VLOOKUP(F5,qryIndex02a!$A$2:$K$654,4,FALSE)),"Unidentified")</f>
        <v>RESOURCES</v>
      </c>
      <c r="G9" s="261"/>
      <c r="H9" s="261"/>
      <c r="I9" s="261"/>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2" t="s">
        <v>1673</v>
      </c>
      <c r="N14" s="263"/>
      <c r="O14" s="188"/>
      <c r="P14" s="262" t="s">
        <v>1668</v>
      </c>
      <c r="Q14" s="263"/>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49520341</v>
      </c>
      <c r="M17" s="196">
        <v>49520341</v>
      </c>
      <c r="P17" s="196">
        <v>48770975</v>
      </c>
      <c r="Q17" s="224"/>
      <c r="S17" s="223">
        <f t="shared" si="0"/>
        <v>-749366</v>
      </c>
    </row>
    <row r="18" spans="1:19" ht="16.5" customHeight="1" x14ac:dyDescent="0.25">
      <c r="A18" s="99"/>
      <c r="B18" s="26" t="s">
        <v>179</v>
      </c>
      <c r="C18" s="26"/>
      <c r="D18" s="26"/>
      <c r="E18" s="193"/>
      <c r="F18" s="194"/>
      <c r="G18" s="194"/>
      <c r="H18" s="195"/>
      <c r="I18" s="195"/>
      <c r="J18" s="248">
        <f>P18</f>
        <v>0</v>
      </c>
      <c r="M18" s="196">
        <v>210626</v>
      </c>
      <c r="P18" s="221">
        <f>IF(SUM($Q$20:$Q$23)&gt;SUM($P$15:$P$17),SUM($Q$20:$Q$23)-SUM($P$15:$P$17),0)</f>
        <v>0</v>
      </c>
      <c r="Q18" s="224"/>
      <c r="S18" s="223">
        <f t="shared" si="0"/>
        <v>-210626</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8965707</v>
      </c>
      <c r="N22" s="196">
        <v>8965707</v>
      </c>
      <c r="P22" s="224"/>
      <c r="Q22" s="196">
        <v>9409058</v>
      </c>
      <c r="S22" s="223">
        <f t="shared" ref="S22:S25" si="1">Q22-N22</f>
        <v>443351</v>
      </c>
    </row>
    <row r="23" spans="1:19" ht="16.5" customHeight="1" x14ac:dyDescent="0.25">
      <c r="A23" s="234" t="s">
        <v>1698</v>
      </c>
      <c r="B23" s="26"/>
      <c r="C23" s="26" t="s">
        <v>184</v>
      </c>
      <c r="D23" s="26"/>
      <c r="E23" s="193"/>
      <c r="F23" s="194"/>
      <c r="G23" s="194"/>
      <c r="H23" s="195"/>
      <c r="I23" s="195"/>
      <c r="J23" s="213"/>
      <c r="K23" s="248">
        <f>N23</f>
        <v>40378864</v>
      </c>
      <c r="N23" s="196">
        <v>40378864</v>
      </c>
      <c r="P23" s="224"/>
      <c r="Q23" s="196">
        <v>39266934</v>
      </c>
      <c r="S23" s="223">
        <f t="shared" si="1"/>
        <v>-1111930</v>
      </c>
    </row>
    <row r="24" spans="1:19" ht="16.5" customHeight="1" x14ac:dyDescent="0.25">
      <c r="A24" s="99"/>
      <c r="B24" s="26"/>
      <c r="C24" s="26" t="s">
        <v>186</v>
      </c>
      <c r="D24" s="26"/>
      <c r="E24" s="193"/>
      <c r="F24" s="194"/>
      <c r="G24" s="194"/>
      <c r="H24" s="195"/>
      <c r="I24" s="195"/>
      <c r="J24" s="213"/>
      <c r="K24" s="248">
        <f>Q24</f>
        <v>94983</v>
      </c>
      <c r="N24" s="196">
        <v>386396</v>
      </c>
      <c r="P24" s="224"/>
      <c r="Q24" s="221">
        <f>IF(SUM($Q$20:$Q$23)&lt;SUM($P$15:$P$17),-SUM($Q$20:$Q$23)+SUM($P$15:$P$17),0)</f>
        <v>94983</v>
      </c>
      <c r="S24" s="223">
        <f t="shared" si="1"/>
        <v>-291413</v>
      </c>
    </row>
    <row r="25" spans="1:19" ht="16.5" customHeight="1" x14ac:dyDescent="0.25">
      <c r="A25" s="99"/>
      <c r="B25" s="26"/>
      <c r="C25" s="26" t="s">
        <v>187</v>
      </c>
      <c r="D25" s="26"/>
      <c r="E25" s="193"/>
      <c r="F25" s="194"/>
      <c r="G25" s="194"/>
      <c r="H25" s="195"/>
      <c r="I25" s="195"/>
      <c r="J25" s="213"/>
      <c r="K25" s="248">
        <f>IF(SUM($K$20:$K$24)&lt;SUM($J$15:$J$18),-SUM($K$20:$K$24)+SUM($J$15:$J$18),0)</f>
        <v>80787</v>
      </c>
      <c r="N25" s="196"/>
      <c r="P25" s="224"/>
      <c r="Q25" s="224"/>
      <c r="S25" s="223">
        <f t="shared" si="1"/>
        <v>0</v>
      </c>
    </row>
    <row r="26" spans="1:19" ht="16.5" customHeight="1" x14ac:dyDescent="0.25">
      <c r="A26" s="99"/>
      <c r="C26" s="47"/>
      <c r="D26" s="47"/>
      <c r="E26" s="47"/>
      <c r="F26" s="179"/>
      <c r="G26" s="179"/>
      <c r="H26" s="49"/>
      <c r="I26" s="49"/>
      <c r="J26" s="155">
        <f>SUM(J15:J25)</f>
        <v>49520341</v>
      </c>
      <c r="K26" s="155">
        <f>SUM(K15:K25)</f>
        <v>49520341</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f>6041370+502318+1566754</f>
        <v>8110442</v>
      </c>
      <c r="K33" s="197"/>
    </row>
    <row r="34" spans="1:12" ht="16.5" customHeight="1" x14ac:dyDescent="0.25">
      <c r="A34" s="99"/>
      <c r="B34" s="26"/>
      <c r="C34" s="26" t="s">
        <v>1861</v>
      </c>
      <c r="D34" s="193"/>
      <c r="E34" s="193"/>
      <c r="F34" s="194"/>
      <c r="G34" s="194"/>
      <c r="H34" s="195"/>
      <c r="I34" s="195"/>
      <c r="J34" s="197"/>
      <c r="K34" s="196">
        <f>6041370+502318+1566754</f>
        <v>8110442</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8110442</v>
      </c>
      <c r="K36" s="155">
        <f>SUM(K33:K35)</f>
        <v>8110442</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f>6041370+502318+1566754</f>
        <v>8110442</v>
      </c>
      <c r="K41" s="197"/>
    </row>
    <row r="42" spans="1:12" ht="16.5" customHeight="1" x14ac:dyDescent="0.25">
      <c r="A42" s="99"/>
      <c r="B42" s="26"/>
      <c r="C42" s="26" t="s">
        <v>198</v>
      </c>
      <c r="D42" s="193"/>
      <c r="E42" s="193"/>
      <c r="F42" s="194"/>
      <c r="G42" s="194"/>
      <c r="H42" s="195"/>
      <c r="I42" s="195"/>
      <c r="J42" s="197"/>
      <c r="K42" s="196">
        <f>6041370+502318+1566754</f>
        <v>8110442</v>
      </c>
    </row>
    <row r="43" spans="1:12" ht="16.5" customHeight="1" x14ac:dyDescent="0.25">
      <c r="A43" s="99"/>
      <c r="B43" s="182" t="s">
        <v>1692</v>
      </c>
      <c r="C43" s="43"/>
      <c r="D43" s="43"/>
      <c r="E43" s="43"/>
      <c r="F43" s="44"/>
      <c r="G43" s="44"/>
      <c r="H43" s="45"/>
      <c r="I43" s="45"/>
      <c r="J43" s="155">
        <f>SUM(J39:J42)</f>
        <v>8110442</v>
      </c>
      <c r="K43" s="155">
        <f>SUM(K39:K42)</f>
        <v>8110442</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f>6041370+502318+1566754</f>
        <v>8110442</v>
      </c>
      <c r="K47" s="197"/>
    </row>
    <row r="48" spans="1:12" ht="16.5" customHeight="1" x14ac:dyDescent="0.25">
      <c r="A48" s="234" t="s">
        <v>1698</v>
      </c>
      <c r="B48" s="26"/>
      <c r="C48" s="26" t="s">
        <v>184</v>
      </c>
      <c r="D48" s="193"/>
      <c r="E48" s="193"/>
      <c r="F48" s="194"/>
      <c r="G48" s="194"/>
      <c r="H48" s="195"/>
      <c r="I48" s="195"/>
      <c r="J48" s="197"/>
      <c r="K48" s="196">
        <f>6041370+502318+1566754</f>
        <v>8110442</v>
      </c>
    </row>
    <row r="49" spans="1:16" ht="16.5" customHeight="1" x14ac:dyDescent="0.25">
      <c r="A49" s="99"/>
      <c r="C49" s="43"/>
      <c r="D49" s="43"/>
      <c r="E49" s="43"/>
      <c r="F49" s="44"/>
      <c r="G49" s="44"/>
      <c r="H49" s="45"/>
      <c r="I49" s="45"/>
      <c r="J49" s="155">
        <f>SUM(J47:J48)</f>
        <v>8110442</v>
      </c>
      <c r="K49" s="155">
        <f>SUM(K47:K48)</f>
        <v>8110442</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9774092</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9774092</v>
      </c>
    </row>
    <row r="59" spans="1:16" ht="16.5" customHeight="1" x14ac:dyDescent="0.25">
      <c r="A59" s="99"/>
      <c r="C59" s="43"/>
      <c r="D59" s="43"/>
      <c r="E59" s="43"/>
      <c r="F59" s="44"/>
      <c r="G59" s="44"/>
      <c r="H59" s="45"/>
      <c r="I59" s="45"/>
      <c r="J59" s="155">
        <f>SUM(J55:J58)</f>
        <v>9774092</v>
      </c>
      <c r="K59" s="155">
        <f>SUM(K55:K58)</f>
        <v>9774092</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9861136</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300227</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10161362</v>
      </c>
    </row>
    <row r="65" spans="1:12" ht="16.5" customHeight="1" x14ac:dyDescent="0.25">
      <c r="A65" s="99"/>
      <c r="C65" s="43"/>
      <c r="D65" s="43"/>
      <c r="E65" s="43"/>
      <c r="F65" s="44"/>
      <c r="G65" s="44"/>
      <c r="H65" s="45"/>
      <c r="I65" s="45"/>
      <c r="J65" s="155">
        <f>SUM(J62:J64)</f>
        <v>10161363</v>
      </c>
      <c r="K65" s="155">
        <f>SUM(K62:K64)</f>
        <v>10161362</v>
      </c>
      <c r="L65" s="21" t="str">
        <f>IF(J65=K65,"&lt;- Debits and Credits equal each other.","&lt;- Debits and Credits do not equal each other.")</f>
        <v>&lt;- Debits and Credits do not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9861136</v>
      </c>
      <c r="K68" s="197"/>
    </row>
    <row r="69" spans="1:12" ht="16.5" customHeight="1" x14ac:dyDescent="0.25">
      <c r="A69" s="99"/>
      <c r="B69" s="26"/>
      <c r="C69" s="26" t="s">
        <v>203</v>
      </c>
      <c r="D69" s="193"/>
      <c r="E69" s="193"/>
      <c r="F69" s="194"/>
      <c r="G69" s="194"/>
      <c r="H69" s="195"/>
      <c r="I69" s="195"/>
      <c r="J69" s="197"/>
      <c r="K69" s="196">
        <v>9861136</v>
      </c>
    </row>
    <row r="70" spans="1:12" ht="16.5" customHeight="1" x14ac:dyDescent="0.25">
      <c r="A70" s="99"/>
      <c r="C70" s="43"/>
      <c r="D70" s="43"/>
      <c r="E70" s="43"/>
      <c r="F70" s="44"/>
      <c r="G70" s="44"/>
      <c r="H70" s="45"/>
      <c r="I70" s="45"/>
      <c r="J70" s="155">
        <f>SUM(J68:J69)</f>
        <v>9861136</v>
      </c>
      <c r="K70" s="155">
        <f>SUM(K68:K69)</f>
        <v>9861136</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9783698</v>
      </c>
      <c r="K75" s="197"/>
    </row>
    <row r="76" spans="1:12" ht="16.5" customHeight="1" x14ac:dyDescent="0.25">
      <c r="A76" s="99"/>
      <c r="B76" s="26"/>
      <c r="C76" s="26" t="s">
        <v>211</v>
      </c>
      <c r="D76" s="193"/>
      <c r="E76" s="193"/>
      <c r="F76" s="194"/>
      <c r="G76" s="194"/>
      <c r="H76" s="195"/>
      <c r="I76" s="195"/>
      <c r="J76" s="197"/>
      <c r="K76" s="196">
        <v>9783698</v>
      </c>
    </row>
    <row r="77" spans="1:12" ht="16.5" customHeight="1" x14ac:dyDescent="0.2">
      <c r="A77" s="99"/>
      <c r="B77" s="264" t="s">
        <v>1841</v>
      </c>
      <c r="C77" s="264"/>
      <c r="D77" s="264"/>
      <c r="E77" s="264"/>
      <c r="F77" s="264"/>
      <c r="G77" s="264"/>
      <c r="H77" s="264"/>
      <c r="I77" s="264"/>
      <c r="J77" s="155">
        <f>SUM(J75:J76)</f>
        <v>9783698</v>
      </c>
      <c r="K77" s="155">
        <f>SUM(K75:K76)</f>
        <v>9783698</v>
      </c>
      <c r="L77" s="21" t="str">
        <f>IF(J77=K77,"&lt;- Debits and Credits equal each other.","&lt;- Debits and Credits do not equal each other.")</f>
        <v>&lt;- Debits and Credits equal each other.</v>
      </c>
    </row>
    <row r="78" spans="1:12" ht="16.5" customHeight="1" x14ac:dyDescent="0.2">
      <c r="A78" s="99"/>
      <c r="B78" s="264"/>
      <c r="C78" s="264"/>
      <c r="D78" s="264"/>
      <c r="E78" s="264"/>
      <c r="F78" s="264"/>
      <c r="G78" s="264"/>
      <c r="H78" s="264"/>
      <c r="I78" s="264"/>
      <c r="J78" s="155"/>
      <c r="K78" s="155"/>
      <c r="L78" s="21"/>
    </row>
    <row r="79" spans="1:12" ht="24.6" customHeight="1" x14ac:dyDescent="0.2">
      <c r="A79" s="99"/>
      <c r="B79" s="264"/>
      <c r="C79" s="264"/>
      <c r="D79" s="264"/>
      <c r="E79" s="264"/>
      <c r="F79" s="264"/>
      <c r="G79" s="264"/>
      <c r="H79" s="264"/>
      <c r="I79" s="264"/>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57630783</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-18739799</v>
      </c>
    </row>
    <row r="128" spans="1:12" ht="16.5" customHeight="1" x14ac:dyDescent="0.25">
      <c r="D128" s="193" t="s">
        <v>1709</v>
      </c>
      <c r="H128" s="37"/>
      <c r="K128" s="238">
        <f>-K23-K48+J68+J75+J96-K113</f>
        <v>-28844472</v>
      </c>
    </row>
    <row r="129" spans="4:11" ht="16.5" customHeight="1" x14ac:dyDescent="0.25">
      <c r="D129" s="193" t="s">
        <v>1710</v>
      </c>
      <c r="H129" s="37"/>
      <c r="K129" s="238">
        <f>-K76</f>
        <v>-9783698</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5" zoomScaleNormal="100" workbookViewId="0">
      <selection activeCell="J17" sqref="J17"/>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4" t="s">
        <v>150</v>
      </c>
      <c r="B1" s="274"/>
      <c r="C1" s="274"/>
      <c r="D1" s="274"/>
      <c r="E1" s="274"/>
      <c r="F1" s="274"/>
      <c r="G1" s="5"/>
      <c r="H1" s="5"/>
      <c r="I1" s="5"/>
      <c r="J1" s="5"/>
      <c r="K1" s="5"/>
      <c r="L1" s="5"/>
      <c r="M1" s="5"/>
    </row>
    <row r="2" spans="1:13" ht="64.150000000000006" customHeight="1" x14ac:dyDescent="0.25">
      <c r="A2" s="273" t="s">
        <v>148</v>
      </c>
      <c r="B2" s="273"/>
      <c r="C2" s="273"/>
      <c r="D2" s="273"/>
      <c r="E2" s="273"/>
      <c r="F2" s="273"/>
      <c r="G2" s="5"/>
      <c r="H2" s="5"/>
      <c r="I2" s="5"/>
      <c r="J2" s="5"/>
      <c r="K2" s="5"/>
      <c r="L2" s="5"/>
      <c r="M2" s="5"/>
    </row>
    <row r="3" spans="1:13" ht="31.9" customHeight="1" x14ac:dyDescent="0.25">
      <c r="A3" s="267" t="s">
        <v>212</v>
      </c>
      <c r="B3" s="267"/>
      <c r="C3" s="267"/>
      <c r="D3" s="52"/>
      <c r="E3" s="5"/>
      <c r="F3" s="5"/>
      <c r="G3" s="5"/>
      <c r="H3" s="5"/>
      <c r="I3" s="5"/>
      <c r="J3" s="5"/>
      <c r="K3" s="5"/>
      <c r="L3" s="5"/>
      <c r="M3" s="5"/>
    </row>
    <row r="4" spans="1:13" ht="31.15" customHeight="1" x14ac:dyDescent="0.25">
      <c r="A4" s="268" t="s">
        <v>7</v>
      </c>
      <c r="B4" s="268"/>
      <c r="C4" s="268"/>
      <c r="D4" s="52"/>
      <c r="E4" s="5"/>
      <c r="F4" s="5"/>
      <c r="G4" s="5"/>
      <c r="H4" s="5"/>
      <c r="I4" s="5"/>
      <c r="J4" s="5"/>
      <c r="K4" s="5"/>
      <c r="L4" s="5"/>
      <c r="M4" s="5"/>
    </row>
    <row r="5" spans="1:13" ht="31.15" customHeight="1" x14ac:dyDescent="0.25">
      <c r="A5" s="268" t="s">
        <v>9</v>
      </c>
      <c r="B5" s="268"/>
      <c r="C5" s="268"/>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13</v>
      </c>
      <c r="B8" s="275" t="s">
        <v>24</v>
      </c>
      <c r="C8" s="275"/>
      <c r="D8" s="5"/>
      <c r="E8" s="5"/>
      <c r="F8" s="5"/>
    </row>
    <row r="9" spans="1:13" ht="15.75" x14ac:dyDescent="0.25">
      <c r="A9" s="12" t="s">
        <v>210</v>
      </c>
      <c r="B9" s="277">
        <v>3600</v>
      </c>
      <c r="C9" s="277"/>
      <c r="D9" s="5"/>
      <c r="E9" s="5"/>
      <c r="F9" s="5"/>
    </row>
    <row r="10" spans="1:13" ht="15.75" x14ac:dyDescent="0.25">
      <c r="A10" s="12" t="s">
        <v>209</v>
      </c>
      <c r="B10" s="278" t="s">
        <v>1883</v>
      </c>
      <c r="C10" s="278"/>
      <c r="D10" s="5"/>
      <c r="E10" s="5"/>
      <c r="F10" s="5"/>
      <c r="G10" s="55"/>
      <c r="H10" s="55"/>
      <c r="I10" s="55"/>
      <c r="J10" s="55"/>
      <c r="K10" s="55"/>
      <c r="L10" s="55"/>
      <c r="M10" s="55"/>
    </row>
    <row r="11" spans="1:13" ht="32.25" customHeight="1" x14ac:dyDescent="0.25">
      <c r="A11" s="279" t="s">
        <v>10</v>
      </c>
      <c r="B11" s="279"/>
      <c r="C11" s="279"/>
      <c r="D11" s="5"/>
      <c r="E11" s="5"/>
      <c r="F11" s="5"/>
      <c r="G11" s="57"/>
      <c r="H11" s="57"/>
      <c r="I11" s="57"/>
      <c r="J11" s="57"/>
      <c r="K11" s="57"/>
      <c r="L11" s="57"/>
      <c r="M11" s="57"/>
    </row>
    <row r="12" spans="1:13" ht="15" customHeight="1" x14ac:dyDescent="0.25">
      <c r="A12" s="84"/>
      <c r="B12" s="85" t="s">
        <v>11</v>
      </c>
      <c r="C12" s="85" t="s">
        <v>12</v>
      </c>
      <c r="D12" s="276" t="str">
        <f>"All of the below questions are for Fiscal Year "&amp;$B$8&amp;":"</f>
        <v>All of the below questions are for Fiscal Year 2022–2023:</v>
      </c>
      <c r="E12" s="276"/>
      <c r="F12" s="276"/>
      <c r="G12" s="57"/>
      <c r="H12" s="57"/>
      <c r="I12" s="57"/>
      <c r="J12" s="57"/>
      <c r="K12" s="57"/>
      <c r="L12" s="57"/>
      <c r="M12" s="57"/>
    </row>
    <row r="13" spans="1:13" ht="15.6" customHeight="1" x14ac:dyDescent="0.25">
      <c r="A13" s="84" t="str">
        <f>RIGHT(B8,4)&amp;"–"&amp;RIGHT(B8,4)+1</f>
        <v>2023–2024</v>
      </c>
      <c r="B13" s="100">
        <v>9783698.1681029703</v>
      </c>
      <c r="C13" s="100">
        <v>278011.94189702929</v>
      </c>
      <c r="D13" s="270" t="s">
        <v>6</v>
      </c>
      <c r="E13" s="271"/>
      <c r="F13" s="271"/>
      <c r="G13" s="57"/>
      <c r="H13" s="57"/>
      <c r="I13" s="57"/>
      <c r="J13" s="57"/>
      <c r="K13" s="57"/>
      <c r="L13" s="57"/>
      <c r="M13" s="57"/>
    </row>
    <row r="14" spans="1:13" x14ac:dyDescent="0.2">
      <c r="A14" s="84" t="str">
        <f>LEFT(A13,4)+1&amp;"–"&amp;RIGHT(A13,4)+1</f>
        <v>2024–2025</v>
      </c>
      <c r="B14" s="100">
        <v>9137641.0140924882</v>
      </c>
      <c r="C14" s="100">
        <v>211990.65590751151</v>
      </c>
      <c r="D14" s="270"/>
      <c r="E14" s="271"/>
      <c r="F14" s="271"/>
    </row>
    <row r="15" spans="1:13" ht="15.75" x14ac:dyDescent="0.2">
      <c r="A15" s="84" t="str">
        <f>LEFT(A14,4)+1&amp;"–"&amp;RIGHT(A14,4)+1</f>
        <v>2025–2026</v>
      </c>
      <c r="B15" s="100">
        <v>7454274.0401567984</v>
      </c>
      <c r="C15" s="100">
        <v>146815.75984320205</v>
      </c>
      <c r="D15" s="266" t="s">
        <v>131</v>
      </c>
      <c r="E15" s="266"/>
      <c r="F15" s="266"/>
      <c r="G15" s="58"/>
      <c r="H15" s="58"/>
      <c r="I15" s="58"/>
      <c r="J15" s="58"/>
      <c r="K15" s="58"/>
      <c r="L15" s="58"/>
      <c r="M15" s="58"/>
    </row>
    <row r="16" spans="1:13" x14ac:dyDescent="0.2">
      <c r="A16" s="84" t="str">
        <f>LEFT(A15,4)+1&amp;"–"&amp;RIGHT(A15,4)+1</f>
        <v>2026–2027</v>
      </c>
      <c r="B16" s="100">
        <v>4765358.9571855916</v>
      </c>
      <c r="C16" s="100">
        <v>89147.302814408802</v>
      </c>
      <c r="D16" s="269" t="str">
        <f>"If yes, record the dollar amount of variable payments below for fiscal year "&amp;$B$8&amp;":"</f>
        <v>If yes, record the dollar amount of variable payments below for fiscal year 2022–2023:</v>
      </c>
      <c r="E16" s="269"/>
      <c r="F16" s="269"/>
      <c r="G16" s="59"/>
      <c r="H16" s="59"/>
      <c r="I16" s="59"/>
      <c r="J16" s="59"/>
      <c r="K16" s="59"/>
    </row>
    <row r="17" spans="1:13" ht="15" customHeight="1" x14ac:dyDescent="0.2">
      <c r="A17" s="84" t="str">
        <f>LEFT(A16,4)+1&amp;"–"&amp;RIGHT(A16,4)+1</f>
        <v>2027–2028</v>
      </c>
      <c r="B17" s="100">
        <v>3702649.8654641067</v>
      </c>
      <c r="C17" s="100">
        <v>52104.224535893547</v>
      </c>
      <c r="D17" s="266"/>
      <c r="E17" s="266"/>
      <c r="F17" s="266"/>
      <c r="G17" s="59"/>
      <c r="H17" s="59"/>
      <c r="I17" s="59"/>
      <c r="J17" s="59"/>
      <c r="K17" s="59"/>
    </row>
    <row r="18" spans="1:13" ht="15" customHeight="1" x14ac:dyDescent="0.25">
      <c r="A18" s="84" t="str">
        <f>LEFT(A17,4)+1&amp;"–"&amp;RIGHT(A17,4)+5</f>
        <v>2028–2033</v>
      </c>
      <c r="B18" s="100">
        <v>3784548.1702361191</v>
      </c>
      <c r="C18" s="100">
        <v>32658.179763880747</v>
      </c>
      <c r="D18" s="270" t="s">
        <v>8</v>
      </c>
      <c r="E18" s="271"/>
      <c r="F18" s="271"/>
      <c r="G18" s="57"/>
      <c r="H18" s="57"/>
      <c r="I18" s="57"/>
      <c r="J18" s="57"/>
      <c r="K18" s="57"/>
      <c r="L18" s="57"/>
      <c r="M18" s="57"/>
    </row>
    <row r="19" spans="1:13" x14ac:dyDescent="0.2">
      <c r="A19" s="84" t="str">
        <f t="shared" ref="A19:A32" si="0">LEFT(A18,4)+5&amp;"–"&amp;RIGHT(A18,4)+5</f>
        <v>2033–2038</v>
      </c>
      <c r="B19" s="100"/>
      <c r="C19" s="100"/>
      <c r="D19" s="270"/>
      <c r="E19" s="271"/>
      <c r="F19" s="271"/>
    </row>
    <row r="20" spans="1:13" ht="15.75" x14ac:dyDescent="0.2">
      <c r="A20" s="84" t="str">
        <f t="shared" si="0"/>
        <v>2038–2043</v>
      </c>
      <c r="B20" s="100"/>
      <c r="C20" s="100"/>
      <c r="D20" s="266" t="s">
        <v>131</v>
      </c>
      <c r="E20" s="266"/>
      <c r="F20" s="266"/>
      <c r="G20" s="58"/>
      <c r="H20" s="58"/>
      <c r="I20" s="58"/>
      <c r="J20" s="58"/>
      <c r="K20" s="58"/>
      <c r="L20" s="58"/>
      <c r="M20" s="58"/>
    </row>
    <row r="21" spans="1:13" ht="15" customHeight="1" x14ac:dyDescent="0.2">
      <c r="A21" s="84" t="str">
        <f t="shared" si="0"/>
        <v>2043–2048</v>
      </c>
      <c r="B21" s="100"/>
      <c r="C21" s="100"/>
      <c r="D21" s="272" t="str">
        <f>"If yes, record the dollar amount of any payments made for residual value guarantees below for fiscal year "&amp;$B$8&amp;":"</f>
        <v>If yes, record the dollar amount of any payments made for residual value guarantees below for fiscal year 2022–2023:</v>
      </c>
      <c r="E21" s="269"/>
      <c r="F21" s="269"/>
    </row>
    <row r="22" spans="1:13" x14ac:dyDescent="0.2">
      <c r="A22" s="84" t="str">
        <f t="shared" si="0"/>
        <v>2048–2053</v>
      </c>
      <c r="B22" s="100"/>
      <c r="C22" s="100"/>
      <c r="D22" s="272"/>
      <c r="E22" s="269"/>
      <c r="F22" s="269"/>
    </row>
    <row r="23" spans="1:13" x14ac:dyDescent="0.2">
      <c r="A23" s="84" t="str">
        <f t="shared" si="0"/>
        <v>2053–2058</v>
      </c>
      <c r="B23" s="100"/>
      <c r="C23" s="100"/>
      <c r="D23" s="266">
        <v>0</v>
      </c>
      <c r="E23" s="266"/>
      <c r="F23" s="266"/>
    </row>
    <row r="24" spans="1:13" x14ac:dyDescent="0.2">
      <c r="A24" s="84" t="str">
        <f t="shared" si="0"/>
        <v>2058–2063</v>
      </c>
      <c r="B24" s="100"/>
      <c r="C24" s="100"/>
      <c r="D24"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9"/>
      <c r="F24" s="269"/>
    </row>
    <row r="25" spans="1:13" ht="15" customHeight="1" x14ac:dyDescent="0.2">
      <c r="A25" s="84" t="str">
        <f t="shared" si="0"/>
        <v>2063–2068</v>
      </c>
      <c r="B25" s="100"/>
      <c r="C25" s="100"/>
      <c r="D25" s="272"/>
      <c r="E25" s="269"/>
      <c r="F25" s="269"/>
    </row>
    <row r="26" spans="1:13" x14ac:dyDescent="0.2">
      <c r="A26" s="84" t="str">
        <f t="shared" si="0"/>
        <v>2068–2073</v>
      </c>
      <c r="B26" s="100"/>
      <c r="C26" s="100"/>
      <c r="D26" s="266" t="s">
        <v>131</v>
      </c>
      <c r="E26" s="266"/>
      <c r="F26" s="266"/>
    </row>
    <row r="27" spans="1:13" ht="15" customHeight="1" x14ac:dyDescent="0.2">
      <c r="A27" s="84" t="str">
        <f t="shared" si="0"/>
        <v>2073–2078</v>
      </c>
      <c r="B27" s="100"/>
      <c r="C27" s="100"/>
      <c r="D27"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71"/>
      <c r="F27" s="271"/>
    </row>
    <row r="28" spans="1:13" ht="15.75" x14ac:dyDescent="0.2">
      <c r="A28" s="84" t="str">
        <f t="shared" si="0"/>
        <v>2078–2083</v>
      </c>
      <c r="B28" s="100"/>
      <c r="C28" s="100"/>
      <c r="D28" s="270"/>
      <c r="E28" s="271"/>
      <c r="F28" s="271"/>
      <c r="G28" s="61"/>
      <c r="H28" s="61"/>
      <c r="I28" s="61"/>
      <c r="J28" s="61"/>
      <c r="K28" s="61"/>
      <c r="L28" s="61"/>
      <c r="M28" s="61"/>
    </row>
    <row r="29" spans="1:13" ht="15.75" x14ac:dyDescent="0.2">
      <c r="A29" s="84" t="str">
        <f t="shared" si="0"/>
        <v>2083–2088</v>
      </c>
      <c r="B29" s="100"/>
      <c r="C29" s="100"/>
      <c r="D29" s="266" t="s">
        <v>131</v>
      </c>
      <c r="E29" s="266"/>
      <c r="F29" s="266"/>
      <c r="G29" s="61"/>
      <c r="H29" s="61"/>
      <c r="I29" s="61"/>
      <c r="J29" s="61"/>
      <c r="K29" s="61"/>
      <c r="L29" s="61"/>
      <c r="M29" s="61"/>
    </row>
    <row r="30" spans="1:13" ht="15.75" x14ac:dyDescent="0.2">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
      <c r="A31" s="84" t="str">
        <f t="shared" si="0"/>
        <v>2093–2098</v>
      </c>
      <c r="B31" s="100"/>
      <c r="C31" s="100"/>
      <c r="D31" s="266" t="s">
        <v>131</v>
      </c>
      <c r="E31" s="266"/>
      <c r="F31" s="266"/>
    </row>
    <row r="32" spans="1:13" x14ac:dyDescent="0.2">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
      <c r="A33" s="84" t="str">
        <f>LEFT(A32,4)+5&amp;"–"&amp;RIGHT(A32,4)+5</f>
        <v>2103–2108</v>
      </c>
      <c r="B33" s="100"/>
      <c r="C33" s="100"/>
      <c r="D33" s="266">
        <v>0</v>
      </c>
      <c r="E33" s="266"/>
      <c r="F33" s="266"/>
    </row>
    <row r="34" spans="1:13" ht="15" customHeight="1" x14ac:dyDescent="0.2">
      <c r="A34" s="84" t="str">
        <f>LEFT(A33,4)+5&amp;"–"&amp;RIGHT(A33,4)+5</f>
        <v>2108–2113</v>
      </c>
      <c r="B34" s="100"/>
      <c r="C34" s="100"/>
      <c r="G34" s="55"/>
      <c r="H34" s="55"/>
      <c r="I34" s="55"/>
      <c r="J34" s="55"/>
      <c r="K34" s="55"/>
      <c r="L34" s="55"/>
      <c r="M34" s="55"/>
    </row>
    <row r="35" spans="1:13" ht="16.5" customHeight="1" x14ac:dyDescent="0.2">
      <c r="A35" s="84" t="str">
        <f>LEFT(A34,4)+5&amp;"–"&amp;RIGHT(A34,4)+5</f>
        <v>2113–2118</v>
      </c>
      <c r="B35" s="100"/>
      <c r="C35" s="100"/>
      <c r="G35" s="7"/>
      <c r="H35" s="7"/>
      <c r="I35" s="7"/>
      <c r="J35" s="7"/>
      <c r="K35" s="7"/>
      <c r="L35" s="7"/>
      <c r="M35" s="7"/>
    </row>
    <row r="36" spans="1:13" ht="15" customHeight="1" x14ac:dyDescent="0.2">
      <c r="A36" s="84" t="str">
        <f>LEFT(A35,4)+5&amp;"–"&amp;RIGHT(A35,4)+5</f>
        <v>2118–2123</v>
      </c>
      <c r="B36" s="100"/>
      <c r="C36" s="100"/>
      <c r="G36" s="7"/>
      <c r="H36" s="7"/>
      <c r="I36" s="7"/>
      <c r="J36" s="7"/>
      <c r="K36" s="7"/>
      <c r="L36" s="7"/>
      <c r="M36" s="7"/>
    </row>
    <row r="37" spans="1:13" ht="15.75" x14ac:dyDescent="0.2">
      <c r="B37" s="62"/>
      <c r="C37" s="62"/>
      <c r="F37" s="61"/>
    </row>
    <row r="38" spans="1:13" ht="20.25" x14ac:dyDescent="0.3">
      <c r="A38" s="152" t="s">
        <v>143</v>
      </c>
      <c r="F38" s="61"/>
    </row>
    <row r="39" spans="1:13" ht="15.75" x14ac:dyDescent="0.25">
      <c r="A39" s="12" t="s">
        <v>13</v>
      </c>
      <c r="B39" s="265" t="str">
        <f>B8</f>
        <v>2022–2023</v>
      </c>
      <c r="C39" s="265"/>
      <c r="E39" s="60"/>
    </row>
    <row r="40" spans="1:13" ht="15.6" customHeight="1" x14ac:dyDescent="0.25">
      <c r="A40" s="12" t="s">
        <v>210</v>
      </c>
      <c r="B40" s="280">
        <f>B9</f>
        <v>3600</v>
      </c>
      <c r="C40" s="280"/>
      <c r="E40" s="60"/>
    </row>
    <row r="41" spans="1:13" ht="15.75" x14ac:dyDescent="0.25">
      <c r="A41" s="12" t="s">
        <v>209</v>
      </c>
      <c r="B41" s="265" t="str">
        <f>B10</f>
        <v>Department of Fish and Wildlife</v>
      </c>
      <c r="C41" s="265"/>
      <c r="E41" s="60"/>
    </row>
    <row r="42" spans="1:13" ht="32.25" customHeight="1" x14ac:dyDescent="0.25">
      <c r="A42" s="279" t="s">
        <v>10</v>
      </c>
      <c r="B42" s="279"/>
      <c r="C42" s="279"/>
      <c r="D42" s="5"/>
      <c r="E42" s="5"/>
      <c r="F42" s="5"/>
      <c r="G42" s="57"/>
      <c r="H42" s="57"/>
      <c r="I42" s="57"/>
      <c r="J42" s="57"/>
      <c r="K42" s="57"/>
      <c r="L42" s="57"/>
      <c r="M42" s="57"/>
    </row>
    <row r="43" spans="1:13" ht="15" customHeight="1" x14ac:dyDescent="0.25">
      <c r="A43" s="84"/>
      <c r="B43" s="85" t="s">
        <v>11</v>
      </c>
      <c r="C43" s="85" t="s">
        <v>12</v>
      </c>
      <c r="D43" s="276" t="str">
        <f>"All of the below questions are for Fiscal Year "&amp;$B$8&amp;":"</f>
        <v>All of the below questions are for Fiscal Year 2022–2023:</v>
      </c>
      <c r="E43" s="276"/>
      <c r="F43" s="276"/>
    </row>
    <row r="44" spans="1:13" ht="15" customHeight="1" x14ac:dyDescent="0.2">
      <c r="A44" s="84" t="str">
        <f>RIGHT(B39,4)&amp;"–"&amp;RIGHT(B39,4)+1</f>
        <v>2023–2024</v>
      </c>
      <c r="B44" s="100"/>
      <c r="C44" s="100"/>
      <c r="D44" s="270" t="s">
        <v>6</v>
      </c>
      <c r="E44" s="271"/>
      <c r="F44" s="271"/>
    </row>
    <row r="45" spans="1:13" ht="15" customHeight="1" x14ac:dyDescent="0.2">
      <c r="A45" s="84" t="str">
        <f>LEFT(A44,4)+1&amp;"–"&amp;RIGHT(A44,4)+1</f>
        <v>2024–2025</v>
      </c>
      <c r="B45" s="100"/>
      <c r="C45" s="100"/>
      <c r="D45" s="270"/>
      <c r="E45" s="271"/>
      <c r="F45" s="271"/>
    </row>
    <row r="46" spans="1:13" x14ac:dyDescent="0.2">
      <c r="A46" s="84" t="str">
        <f>LEFT(A45,4)+1&amp;"–"&amp;RIGHT(A45,4)+1</f>
        <v>2025–2026</v>
      </c>
      <c r="B46" s="100"/>
      <c r="C46" s="100"/>
      <c r="D46" s="266"/>
      <c r="E46" s="266"/>
      <c r="F46" s="266"/>
    </row>
    <row r="47" spans="1:13" ht="15" customHeight="1" x14ac:dyDescent="0.2">
      <c r="A47" s="84" t="str">
        <f>LEFT(A46,4)+1&amp;"–"&amp;RIGHT(A46,4)+1</f>
        <v>2026–2027</v>
      </c>
      <c r="B47" s="100"/>
      <c r="C47" s="100"/>
      <c r="D47" s="269" t="str">
        <f>"If yes, record the dollar amount of variable payments below for fiscal year "&amp;$B$8&amp;":"</f>
        <v>If yes, record the dollar amount of variable payments below for fiscal year 2022–2023:</v>
      </c>
      <c r="E47" s="269"/>
      <c r="F47" s="269"/>
    </row>
    <row r="48" spans="1:13" ht="15" customHeight="1" x14ac:dyDescent="0.2">
      <c r="A48" s="84" t="str">
        <f>LEFT(A47,4)+1&amp;"–"&amp;RIGHT(A47,4)+1</f>
        <v>2027–2028</v>
      </c>
      <c r="B48" s="100"/>
      <c r="C48" s="100"/>
      <c r="D48" s="266"/>
      <c r="E48" s="266"/>
      <c r="F48" s="266"/>
    </row>
    <row r="49" spans="1:6" ht="15" customHeight="1" x14ac:dyDescent="0.2">
      <c r="A49" s="84" t="str">
        <f>LEFT(A48,4)+1&amp;"–"&amp;RIGHT(A48,4)+5</f>
        <v>2028–2033</v>
      </c>
      <c r="B49" s="100"/>
      <c r="C49" s="100"/>
      <c r="D49" s="270" t="s">
        <v>8</v>
      </c>
      <c r="E49" s="271"/>
      <c r="F49" s="271"/>
    </row>
    <row r="50" spans="1:6" x14ac:dyDescent="0.2">
      <c r="A50" s="84" t="str">
        <f t="shared" ref="A50:A63" si="1">LEFT(A49,4)+5&amp;"–"&amp;RIGHT(A49,4)+5</f>
        <v>2033–2038</v>
      </c>
      <c r="B50" s="100"/>
      <c r="C50" s="100"/>
      <c r="D50" s="270"/>
      <c r="E50" s="271"/>
      <c r="F50" s="271"/>
    </row>
    <row r="51" spans="1:6" ht="15" customHeight="1" x14ac:dyDescent="0.2">
      <c r="A51" s="84" t="str">
        <f t="shared" si="1"/>
        <v>2038–2043</v>
      </c>
      <c r="B51" s="100"/>
      <c r="C51" s="100"/>
      <c r="D51" s="266"/>
      <c r="E51" s="266"/>
      <c r="F51" s="266"/>
    </row>
    <row r="52" spans="1:6" ht="15" customHeight="1" x14ac:dyDescent="0.2">
      <c r="A52" s="84" t="str">
        <f t="shared" si="1"/>
        <v>2043–2048</v>
      </c>
      <c r="B52" s="100"/>
      <c r="C52" s="100"/>
      <c r="D52" s="272" t="str">
        <f>"If yes, record the dollar amount of any payments made for residual value guarantees below for fiscal year "&amp;$B$8&amp;":"</f>
        <v>If yes, record the dollar amount of any payments made for residual value guarantees below for fiscal year 2022–2023:</v>
      </c>
      <c r="E52" s="269"/>
      <c r="F52" s="269"/>
    </row>
    <row r="53" spans="1:6" x14ac:dyDescent="0.2">
      <c r="A53" s="84" t="str">
        <f t="shared" si="1"/>
        <v>2048–2053</v>
      </c>
      <c r="B53" s="100"/>
      <c r="C53" s="100"/>
      <c r="D53" s="272"/>
      <c r="E53" s="269"/>
      <c r="F53" s="269"/>
    </row>
    <row r="54" spans="1:6" x14ac:dyDescent="0.2">
      <c r="A54" s="84" t="str">
        <f t="shared" si="1"/>
        <v>2053–2058</v>
      </c>
      <c r="B54" s="100"/>
      <c r="C54" s="100"/>
      <c r="D54" s="266"/>
      <c r="E54" s="266"/>
      <c r="F54" s="266"/>
    </row>
    <row r="55" spans="1:6" ht="15" customHeight="1" x14ac:dyDescent="0.2">
      <c r="A55" s="84" t="str">
        <f t="shared" si="1"/>
        <v>2058–2063</v>
      </c>
      <c r="B55" s="100"/>
      <c r="C55" s="100"/>
      <c r="D55"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9"/>
      <c r="F55" s="269"/>
    </row>
    <row r="56" spans="1:6" ht="15" customHeight="1" x14ac:dyDescent="0.2">
      <c r="A56" s="84" t="str">
        <f t="shared" si="1"/>
        <v>2063–2068</v>
      </c>
      <c r="B56" s="100"/>
      <c r="C56" s="100"/>
      <c r="D56" s="272"/>
      <c r="E56" s="269"/>
      <c r="F56" s="269"/>
    </row>
    <row r="57" spans="1:6" x14ac:dyDescent="0.2">
      <c r="A57" s="84" t="str">
        <f t="shared" si="1"/>
        <v>2068–2073</v>
      </c>
      <c r="B57" s="100"/>
      <c r="C57" s="100"/>
      <c r="D57" s="266"/>
      <c r="E57" s="266"/>
      <c r="F57" s="266"/>
    </row>
    <row r="58" spans="1:6" x14ac:dyDescent="0.2">
      <c r="A58" s="84" t="str">
        <f t="shared" si="1"/>
        <v>2073–2078</v>
      </c>
      <c r="B58" s="100"/>
      <c r="C58" s="100"/>
      <c r="D58"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71"/>
      <c r="F58" s="271"/>
    </row>
    <row r="59" spans="1:6" x14ac:dyDescent="0.2">
      <c r="A59" s="84" t="str">
        <f t="shared" si="1"/>
        <v>2078–2083</v>
      </c>
      <c r="B59" s="100"/>
      <c r="C59" s="100"/>
      <c r="D59" s="270"/>
      <c r="E59" s="271"/>
      <c r="F59" s="271"/>
    </row>
    <row r="60" spans="1:6" ht="15" customHeight="1" x14ac:dyDescent="0.2">
      <c r="A60" s="84" t="str">
        <f t="shared" si="1"/>
        <v>2083–2088</v>
      </c>
      <c r="B60" s="100"/>
      <c r="C60" s="100"/>
      <c r="D60" s="266"/>
      <c r="E60" s="266"/>
      <c r="F60" s="266"/>
    </row>
    <row r="61" spans="1:6" x14ac:dyDescent="0.2">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
      <c r="A62" s="84" t="str">
        <f t="shared" si="1"/>
        <v>2093–2098</v>
      </c>
      <c r="B62" s="100"/>
      <c r="C62" s="100"/>
      <c r="D62" s="266"/>
      <c r="E62" s="266"/>
      <c r="F62" s="266"/>
    </row>
    <row r="63" spans="1:6" x14ac:dyDescent="0.2">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
      <c r="A64" s="84" t="str">
        <f>LEFT(A63,4)+5&amp;"–"&amp;RIGHT(A63,4)+5</f>
        <v>2103–2108</v>
      </c>
      <c r="B64" s="100"/>
      <c r="C64" s="100"/>
      <c r="D64" s="266"/>
      <c r="E64" s="266"/>
      <c r="F64" s="266"/>
    </row>
    <row r="65" spans="1:13" x14ac:dyDescent="0.2">
      <c r="A65" s="84" t="str">
        <f>LEFT(A64,4)+5&amp;"–"&amp;RIGHT(A64,4)+5</f>
        <v>2108–2113</v>
      </c>
      <c r="B65" s="100"/>
      <c r="C65" s="100"/>
    </row>
    <row r="66" spans="1:13" x14ac:dyDescent="0.2">
      <c r="A66" s="84" t="str">
        <f>LEFT(A65,4)+5&amp;"–"&amp;RIGHT(A65,4)+5</f>
        <v>2113–2118</v>
      </c>
      <c r="B66" s="100"/>
      <c r="C66" s="100"/>
    </row>
    <row r="67" spans="1:13" x14ac:dyDescent="0.2">
      <c r="A67" s="84" t="str">
        <f>LEFT(A66,4)+5&amp;"–"&amp;RIGHT(A66,4)+5</f>
        <v>2118–2123</v>
      </c>
      <c r="B67" s="100"/>
      <c r="C67" s="100"/>
    </row>
    <row r="69" spans="1:13" ht="20.25" x14ac:dyDescent="0.3">
      <c r="A69" s="152" t="s">
        <v>149</v>
      </c>
    </row>
    <row r="70" spans="1:13" ht="15.75" x14ac:dyDescent="0.25">
      <c r="A70" s="12" t="s">
        <v>13</v>
      </c>
      <c r="B70" s="265" t="str">
        <f>B8</f>
        <v>2022–2023</v>
      </c>
      <c r="C70" s="265"/>
    </row>
    <row r="71" spans="1:13" ht="15.75" x14ac:dyDescent="0.25">
      <c r="A71" s="12" t="s">
        <v>210</v>
      </c>
      <c r="B71" s="280">
        <f>B9</f>
        <v>3600</v>
      </c>
      <c r="C71" s="280"/>
    </row>
    <row r="72" spans="1:13" ht="15.75" x14ac:dyDescent="0.25">
      <c r="A72" s="12" t="s">
        <v>209</v>
      </c>
      <c r="B72" s="265" t="str">
        <f>B10</f>
        <v>Department of Fish and Wildlife</v>
      </c>
      <c r="C72" s="265"/>
    </row>
    <row r="73" spans="1:13" ht="32.25" customHeight="1" x14ac:dyDescent="0.25">
      <c r="A73" s="279" t="s">
        <v>10</v>
      </c>
      <c r="B73" s="279"/>
      <c r="C73" s="279"/>
      <c r="D73" s="5"/>
      <c r="E73" s="5"/>
      <c r="F73" s="5"/>
      <c r="G73" s="57"/>
      <c r="H73" s="57"/>
      <c r="I73" s="57"/>
      <c r="J73" s="57"/>
      <c r="K73" s="57"/>
      <c r="L73" s="57"/>
      <c r="M73" s="57"/>
    </row>
    <row r="74" spans="1:13" ht="15.75" x14ac:dyDescent="0.25">
      <c r="A74" s="84"/>
      <c r="B74" s="85" t="s">
        <v>11</v>
      </c>
      <c r="C74" s="85" t="s">
        <v>12</v>
      </c>
      <c r="D74" s="276" t="str">
        <f>"All of the below questions are for Fiscal Year "&amp;$B$8&amp;":"</f>
        <v>All of the below questions are for Fiscal Year 2022–2023:</v>
      </c>
      <c r="E74" s="276"/>
      <c r="F74" s="276"/>
    </row>
    <row r="75" spans="1:13" ht="15" customHeight="1" x14ac:dyDescent="0.2">
      <c r="A75" s="84" t="str">
        <f>RIGHT(B70,4)&amp;"–"&amp;RIGHT(B70,4)+1</f>
        <v>2023–2024</v>
      </c>
      <c r="B75" s="100"/>
      <c r="C75" s="100"/>
      <c r="D75" s="270" t="s">
        <v>6</v>
      </c>
      <c r="E75" s="271"/>
      <c r="F75" s="271"/>
    </row>
    <row r="76" spans="1:13" x14ac:dyDescent="0.2">
      <c r="A76" s="84" t="str">
        <f>LEFT(A75,4)+1&amp;"–"&amp;RIGHT(A75,4)+1</f>
        <v>2024–2025</v>
      </c>
      <c r="B76" s="100"/>
      <c r="C76" s="100"/>
      <c r="D76" s="270"/>
      <c r="E76" s="271"/>
      <c r="F76" s="271"/>
    </row>
    <row r="77" spans="1:13" x14ac:dyDescent="0.2">
      <c r="A77" s="84" t="str">
        <f>LEFT(A76,4)+1&amp;"–"&amp;RIGHT(A76,4)+1</f>
        <v>2025–2026</v>
      </c>
      <c r="B77" s="100"/>
      <c r="C77" s="100"/>
      <c r="D77" s="266"/>
      <c r="E77" s="266"/>
      <c r="F77" s="266"/>
    </row>
    <row r="78" spans="1:13" ht="15" customHeight="1" x14ac:dyDescent="0.2">
      <c r="A78" s="84" t="str">
        <f>LEFT(A77,4)+1&amp;"–"&amp;RIGHT(A77,4)+1</f>
        <v>2026–2027</v>
      </c>
      <c r="B78" s="100"/>
      <c r="C78" s="100"/>
      <c r="D78" s="269" t="str">
        <f>"If yes, record the dollar amount of variable payments below for fiscal year "&amp;$B$8&amp;":"</f>
        <v>If yes, record the dollar amount of variable payments below for fiscal year 2022–2023:</v>
      </c>
      <c r="E78" s="269"/>
      <c r="F78" s="269"/>
    </row>
    <row r="79" spans="1:13" x14ac:dyDescent="0.2">
      <c r="A79" s="84" t="str">
        <f>LEFT(A78,4)+1&amp;"–"&amp;RIGHT(A78,4)+1</f>
        <v>2027–2028</v>
      </c>
      <c r="B79" s="100"/>
      <c r="C79" s="100"/>
      <c r="D79" s="266"/>
      <c r="E79" s="266"/>
      <c r="F79" s="266"/>
    </row>
    <row r="80" spans="1:13" ht="15" customHeight="1" x14ac:dyDescent="0.2">
      <c r="A80" s="84" t="str">
        <f>LEFT(A79,4)+1&amp;"–"&amp;RIGHT(A79,4)+5</f>
        <v>2028–2033</v>
      </c>
      <c r="B80" s="100"/>
      <c r="C80" s="100"/>
      <c r="D80" s="270" t="s">
        <v>8</v>
      </c>
      <c r="E80" s="271"/>
      <c r="F80" s="271"/>
    </row>
    <row r="81" spans="1:6" x14ac:dyDescent="0.2">
      <c r="A81" s="84" t="str">
        <f t="shared" ref="A81:A94" si="2">LEFT(A80,4)+5&amp;"–"&amp;RIGHT(A80,4)+5</f>
        <v>2033–2038</v>
      </c>
      <c r="B81" s="100"/>
      <c r="C81" s="100"/>
      <c r="D81" s="270"/>
      <c r="E81" s="271"/>
      <c r="F81" s="271"/>
    </row>
    <row r="82" spans="1:6" x14ac:dyDescent="0.2">
      <c r="A82" s="84" t="str">
        <f t="shared" si="2"/>
        <v>2038–2043</v>
      </c>
      <c r="B82" s="100"/>
      <c r="C82" s="100"/>
      <c r="D82" s="266"/>
      <c r="E82" s="266"/>
      <c r="F82" s="266"/>
    </row>
    <row r="83" spans="1:6" ht="15" customHeight="1" x14ac:dyDescent="0.2">
      <c r="A83" s="84" t="str">
        <f t="shared" si="2"/>
        <v>2043–2048</v>
      </c>
      <c r="B83" s="100"/>
      <c r="C83" s="100"/>
      <c r="D83" s="272" t="str">
        <f>"If yes, record the dollar amount of any payments made for residual value guarantees below for fiscal year "&amp;$B$8&amp;":"</f>
        <v>If yes, record the dollar amount of any payments made for residual value guarantees below for fiscal year 2022–2023:</v>
      </c>
      <c r="E83" s="269"/>
      <c r="F83" s="269"/>
    </row>
    <row r="84" spans="1:6" x14ac:dyDescent="0.2">
      <c r="A84" s="84" t="str">
        <f t="shared" si="2"/>
        <v>2048–2053</v>
      </c>
      <c r="B84" s="100"/>
      <c r="C84" s="100"/>
      <c r="D84" s="272"/>
      <c r="E84" s="269"/>
      <c r="F84" s="269"/>
    </row>
    <row r="85" spans="1:6" x14ac:dyDescent="0.2">
      <c r="A85" s="84" t="str">
        <f t="shared" si="2"/>
        <v>2053–2058</v>
      </c>
      <c r="B85" s="100"/>
      <c r="C85" s="100"/>
      <c r="D85" s="266"/>
      <c r="E85" s="266"/>
      <c r="F85" s="266"/>
    </row>
    <row r="86" spans="1:6" ht="15" customHeight="1" x14ac:dyDescent="0.2">
      <c r="A86" s="84" t="str">
        <f t="shared" si="2"/>
        <v>2058–2063</v>
      </c>
      <c r="B86" s="100"/>
      <c r="C86" s="100"/>
      <c r="D86"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9"/>
      <c r="F86" s="269"/>
    </row>
    <row r="87" spans="1:6" x14ac:dyDescent="0.2">
      <c r="A87" s="84" t="str">
        <f t="shared" si="2"/>
        <v>2063–2068</v>
      </c>
      <c r="B87" s="100"/>
      <c r="C87" s="100"/>
      <c r="D87" s="272"/>
      <c r="E87" s="269"/>
      <c r="F87" s="269"/>
    </row>
    <row r="88" spans="1:6" x14ac:dyDescent="0.2">
      <c r="A88" s="84" t="str">
        <f t="shared" si="2"/>
        <v>2068–2073</v>
      </c>
      <c r="B88" s="100"/>
      <c r="C88" s="100"/>
      <c r="D88" s="266"/>
      <c r="E88" s="266"/>
      <c r="F88" s="266"/>
    </row>
    <row r="89" spans="1:6" x14ac:dyDescent="0.2">
      <c r="A89" s="84" t="str">
        <f t="shared" si="2"/>
        <v>2073–2078</v>
      </c>
      <c r="B89" s="100"/>
      <c r="C89" s="100"/>
      <c r="D89"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71"/>
      <c r="F89" s="271"/>
    </row>
    <row r="90" spans="1:6" x14ac:dyDescent="0.2">
      <c r="A90" s="84" t="str">
        <f t="shared" si="2"/>
        <v>2078–2083</v>
      </c>
      <c r="B90" s="100"/>
      <c r="C90" s="100"/>
      <c r="D90" s="270"/>
      <c r="E90" s="271"/>
      <c r="F90" s="271"/>
    </row>
    <row r="91" spans="1:6" ht="15" customHeight="1" x14ac:dyDescent="0.2">
      <c r="A91" s="84" t="str">
        <f t="shared" si="2"/>
        <v>2083–2088</v>
      </c>
      <c r="B91" s="100"/>
      <c r="C91" s="100"/>
      <c r="D91" s="266"/>
      <c r="E91" s="266"/>
      <c r="F91" s="266"/>
    </row>
    <row r="92" spans="1:6" x14ac:dyDescent="0.2">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
      <c r="A93" s="84" t="str">
        <f t="shared" si="2"/>
        <v>2093–2098</v>
      </c>
      <c r="B93" s="100"/>
      <c r="C93" s="100"/>
      <c r="D93" s="266"/>
      <c r="E93" s="266"/>
      <c r="F93" s="266"/>
    </row>
    <row r="94" spans="1:6" x14ac:dyDescent="0.2">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
      <c r="A95" s="84" t="str">
        <f>LEFT(A94,4)+5&amp;"–"&amp;RIGHT(A94,4)+5</f>
        <v>2103–2108</v>
      </c>
      <c r="B95" s="100"/>
      <c r="C95" s="100"/>
      <c r="D95" s="266"/>
      <c r="E95" s="266"/>
      <c r="F95" s="266"/>
    </row>
    <row r="96" spans="1:6" x14ac:dyDescent="0.2">
      <c r="A96" s="84" t="str">
        <f>LEFT(A95,4)+5&amp;"–"&amp;RIGHT(A95,4)+5</f>
        <v>2108–2113</v>
      </c>
      <c r="B96" s="100"/>
      <c r="C96" s="100"/>
    </row>
    <row r="97" spans="1:3" x14ac:dyDescent="0.2">
      <c r="A97" s="84" t="str">
        <f>LEFT(A96,4)+5&amp;"–"&amp;RIGHT(A96,4)+5</f>
        <v>2113–2118</v>
      </c>
      <c r="B97" s="100"/>
      <c r="C97" s="100"/>
    </row>
    <row r="98" spans="1:3" x14ac:dyDescent="0.2">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J17" sqref="J17"/>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",'LS-Fund 0200 Journal Entries'!F3)</f>
        <v>FY 2022–2023</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3600 - Department of Fish and Wildlife</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7" t="s">
        <v>1869</v>
      </c>
      <c r="I8" s="73"/>
      <c r="J8" s="227" t="s">
        <v>1870</v>
      </c>
      <c r="K8" s="73"/>
      <c r="L8" s="227"/>
      <c r="M8" s="73"/>
      <c r="N8" s="227" t="s">
        <v>1687</v>
      </c>
      <c r="O8" s="73"/>
      <c r="P8" s="225"/>
      <c r="Q8" s="71"/>
    </row>
    <row r="9" spans="2:17" x14ac:dyDescent="0.25">
      <c r="B9" s="69"/>
      <c r="C9" s="73" t="s">
        <v>19</v>
      </c>
      <c r="Q9" s="71"/>
    </row>
    <row r="10" spans="2:17" ht="18.75" thickBot="1" x14ac:dyDescent="0.3">
      <c r="B10" s="69"/>
      <c r="D10" s="63" t="s">
        <v>20</v>
      </c>
      <c r="F10" s="107">
        <v>40378864</v>
      </c>
      <c r="G10" s="103"/>
      <c r="H10" s="107">
        <f>8110442</f>
        <v>8110442</v>
      </c>
      <c r="I10" s="103"/>
      <c r="J10" s="107">
        <f>9861136</f>
        <v>9861136</v>
      </c>
      <c r="K10" s="103"/>
      <c r="L10" s="109">
        <f>SUM(F10+H10-J10)</f>
        <v>38628170</v>
      </c>
      <c r="M10" s="103"/>
      <c r="N10" s="107">
        <v>9783698</v>
      </c>
      <c r="O10" s="103"/>
      <c r="P10" s="109">
        <f>L10-N10</f>
        <v>28844472</v>
      </c>
      <c r="Q10" s="71"/>
    </row>
    <row r="11" spans="2:17" ht="19.5" thickTop="1" thickBot="1" x14ac:dyDescent="0.3">
      <c r="B11" s="69"/>
      <c r="C11" s="73" t="s">
        <v>22</v>
      </c>
      <c r="F11" s="108">
        <f>SUM(F10:F10)</f>
        <v>40378864</v>
      </c>
      <c r="G11" s="103"/>
      <c r="H11" s="108">
        <f>SUM(H10:H10)</f>
        <v>8110442</v>
      </c>
      <c r="I11" s="103"/>
      <c r="J11" s="108">
        <f>SUM(J10:J10)</f>
        <v>9861136</v>
      </c>
      <c r="K11" s="103"/>
      <c r="L11" s="108">
        <f>SUM(L10:L10)</f>
        <v>38628170</v>
      </c>
      <c r="M11" s="103"/>
      <c r="N11" s="108">
        <f>SUM(N10:N10)</f>
        <v>9783698</v>
      </c>
      <c r="O11" s="103"/>
      <c r="P11" s="108">
        <f>SUM(P10:P10)</f>
        <v>28844472</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18.75" thickBot="1" x14ac:dyDescent="0.3">
      <c r="B14" s="69"/>
      <c r="D14" s="63" t="s">
        <v>20</v>
      </c>
      <c r="F14" s="107"/>
      <c r="G14" s="103"/>
      <c r="H14" s="107"/>
      <c r="I14" s="103"/>
      <c r="J14" s="107"/>
      <c r="K14" s="103"/>
      <c r="L14" s="109">
        <f>SUM(F14+H14-J14)</f>
        <v>0</v>
      </c>
      <c r="M14" s="103"/>
      <c r="N14" s="107"/>
      <c r="O14" s="103"/>
      <c r="P14" s="109">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18.75" thickBot="1" x14ac:dyDescent="0.3">
      <c r="B18" s="69"/>
      <c r="D18" s="63" t="s">
        <v>20</v>
      </c>
      <c r="F18" s="107"/>
      <c r="G18" s="103"/>
      <c r="H18" s="107"/>
      <c r="I18" s="103"/>
      <c r="J18" s="107"/>
      <c r="K18" s="103"/>
      <c r="L18" s="109">
        <f>SUM(F18+H18-J18)</f>
        <v>0</v>
      </c>
      <c r="M18" s="103"/>
      <c r="N18" s="107"/>
      <c r="O18" s="103"/>
      <c r="P18" s="109">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115" zoomScaleNormal="115" workbookViewId="0">
      <selection activeCell="J17" sqref="J17"/>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163</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164</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168</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25">
      <c r="A16" s="129"/>
      <c r="B16" s="130">
        <f>IF('LS-Fund 0200 Journal Entries'!$F$8="Governmental Fund",'LS-Fund 0200 Journal Entries'!$K$23,0)</f>
        <v>40378864</v>
      </c>
      <c r="C16" s="168" t="s">
        <v>156</v>
      </c>
      <c r="D16" s="130">
        <f>IF('LS-Fund 0200 Journal Entries'!$F$8="Governmental Fund",'LS-Fund 0200 Journal Entries'!$K$48,0)</f>
        <v>8110442</v>
      </c>
      <c r="E16" s="170" t="s">
        <v>157</v>
      </c>
      <c r="F16" s="130">
        <f>IF('LS-Fund 0200 Journal Entries'!$F$8="Governmental Fund",'LS-Fund 0200 Journal Entries'!$J$68,0)</f>
        <v>9861136</v>
      </c>
      <c r="G16" s="169" t="s">
        <v>157</v>
      </c>
      <c r="H16" s="130">
        <f>IF('LS-Fund 0200 Journal Entries'!$F$8="Governmental Fund",'LS-Fund 0200 Journal Entries'!$J$96,0)</f>
        <v>0</v>
      </c>
      <c r="I16" s="169" t="s">
        <v>156</v>
      </c>
      <c r="J16" s="130">
        <f>IF('LS-Fund 0200 Journal Entries'!$F$8="Governmental Fund",'LS-Fund 0200 Journal Entries'!$K$113,0)</f>
        <v>0</v>
      </c>
      <c r="K16" s="170" t="s">
        <v>160</v>
      </c>
      <c r="L16" s="133">
        <f>+B16+D16-F16-H16+J16</f>
        <v>38628170</v>
      </c>
      <c r="M16" s="132"/>
      <c r="N16" s="134">
        <f>SUM('LS-Department Note Disclosure'!B13:B36)</f>
        <v>38628170.215238079</v>
      </c>
      <c r="O16" s="131"/>
      <c r="P16" s="135">
        <f>L16-N16</f>
        <v>-0.21523807942867279</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Please review and correct the variance.</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25">
      <c r="A24" s="129"/>
      <c r="B24" s="130">
        <f>IF('LS-Fund 0200 Journal Entries'!$F$8="Proprietary - Internal Service Fund",'LS-Fund 0200 Journal Entries'!$K$23,0)</f>
        <v>0</v>
      </c>
      <c r="C24" s="168" t="s">
        <v>156</v>
      </c>
      <c r="D24" s="130">
        <f>IF('LS-Fund 0200 Journal Entries'!$F$8="Proprietary - Internal Service Fund",'LS-Fund 0200 Journal Entries'!$K$48,0)</f>
        <v>0</v>
      </c>
      <c r="E24" s="170" t="s">
        <v>157</v>
      </c>
      <c r="F24" s="130">
        <f>IF('LS-Fund 0200 Journal Entries'!$F$8="Proprietary - Internal Service Fund",'LS-Fund 0200 Journal Entries'!$J$68,0)</f>
        <v>0</v>
      </c>
      <c r="G24" s="169" t="s">
        <v>157</v>
      </c>
      <c r="H24" s="130">
        <f>IF('LS-Fund 0200 Journal Entries'!$F$8="Proprietary - Internal Service Fund",'LS-Fund 0200 Journal Entries'!$J$96,0)</f>
        <v>0</v>
      </c>
      <c r="I24" s="169" t="s">
        <v>156</v>
      </c>
      <c r="J24" s="130">
        <f>IF('LS-Fund 0200 Journal Entries'!$F$8="Proprietary - Internal Service Fund",'LS-Fund 0200 Journal Entries'!$K$113,0)</f>
        <v>0</v>
      </c>
      <c r="K24" s="170" t="s">
        <v>160</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25">
      <c r="A33" s="129"/>
      <c r="B33" s="130">
        <f>IF('LS-Fund 0200 Journal Entries'!$F$8="Proprietary - Enterprise Fund",'LS-Fund 0200 Journal Entries'!$K$23,0)</f>
        <v>0</v>
      </c>
      <c r="C33" s="168" t="s">
        <v>156</v>
      </c>
      <c r="D33" s="130">
        <f>IF('LS-Fund 0200 Journal Entries'!$F$8="Proprietary - Enterprise Fund",'LS-Fund 0200 Journal Entries'!$K$48,0)</f>
        <v>0</v>
      </c>
      <c r="E33" s="170" t="s">
        <v>157</v>
      </c>
      <c r="F33" s="130">
        <f>IF('LS-Fund 0200 Journal Entries'!$F$8="Proprietary - Enterprise Fund",'LS-Fund 0200 Journal Entries'!$J$68,0)</f>
        <v>0</v>
      </c>
      <c r="G33" s="169" t="s">
        <v>157</v>
      </c>
      <c r="H33" s="130">
        <f>IF('LS-Fund 0200 Journal Entries'!$F$8="Proprietary - Enterprise Fund",'LS-Fund 0200 Journal Entries'!$J$96,0)</f>
        <v>0</v>
      </c>
      <c r="I33" s="169" t="s">
        <v>156</v>
      </c>
      <c r="J33" s="130">
        <f>IF('LS-Fund 0200 Journal Entries'!$F$8="Proprietary - Enterprise Fund",'LS-Fund 0200 Journal Entries'!$K$113,0)</f>
        <v>0</v>
      </c>
      <c r="K33" s="170" t="s">
        <v>160</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161</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IF('LS-Fund 0200 Journal Entries'!$F$8="Governmental Fund",'LS-Fund 0200 Journal Entries'!$K$76,0)</f>
        <v>9783698</v>
      </c>
      <c r="C42" s="138"/>
      <c r="E42" s="138"/>
      <c r="G42" s="167"/>
      <c r="H42" s="167"/>
      <c r="I42" s="167"/>
      <c r="J42" s="167"/>
      <c r="K42" s="138"/>
      <c r="L42" s="138"/>
      <c r="M42" s="139"/>
      <c r="N42" s="134">
        <f>'LS-Department Note Disclosure'!B13</f>
        <v>9783698.1681029703</v>
      </c>
      <c r="O42" s="140"/>
      <c r="P42" s="135">
        <f>B42-N42</f>
        <v>-0.16810297034680843</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Please review and correct the variance.</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IF('LS-Fund 0200 Journal Entries'!$F$8="Proprietary - Internal Service Fund",'LS-Fund 0200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IF('LS-Fund 0200 Journal Entries'!$F$8="Proprietary - Enterprise Fund",'LS-Fund 0200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169</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170</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4" t="s">
        <v>153</v>
      </c>
      <c r="C64" s="284"/>
      <c r="D64" s="284"/>
      <c r="E64" s="284"/>
      <c r="F64" s="284"/>
      <c r="G64" s="284"/>
      <c r="H64" s="284"/>
      <c r="I64" s="141"/>
      <c r="J64" s="123" t="s">
        <v>1659</v>
      </c>
      <c r="K64" s="141"/>
      <c r="L64" s="284" t="s">
        <v>14</v>
      </c>
      <c r="M64" s="284"/>
      <c r="N64" s="284"/>
      <c r="O64" s="141"/>
      <c r="P64" s="141"/>
      <c r="Q64" s="121"/>
    </row>
    <row r="65" spans="1:17" x14ac:dyDescent="0.25">
      <c r="A65" s="121"/>
      <c r="B65" s="121"/>
      <c r="C65" s="121"/>
      <c r="D65" s="121"/>
      <c r="E65" s="121"/>
      <c r="F65" s="121"/>
      <c r="G65" s="121"/>
      <c r="H65" s="121"/>
      <c r="I65" s="121"/>
      <c r="J65" s="121"/>
      <c r="K65" s="121"/>
      <c r="L65" s="121"/>
      <c r="M65" s="121"/>
      <c r="N65" s="121"/>
      <c r="O65" s="121"/>
      <c r="P65" s="128" t="s">
        <v>159</v>
      </c>
      <c r="Q65" s="121"/>
    </row>
    <row r="66" spans="1:17" x14ac:dyDescent="0.25">
      <c r="B66" s="125" t="s">
        <v>155</v>
      </c>
      <c r="D66" s="143">
        <f>$B$16</f>
        <v>40378864</v>
      </c>
      <c r="J66" s="143">
        <f>SUM(D66)</f>
        <v>40378864</v>
      </c>
      <c r="L66" s="144" t="str">
        <f>CONCATENATE("Balance July 1, ",LEFT('LS-Department Note Disclosure'!$B$8,4))</f>
        <v>Balance July 1, 2022</v>
      </c>
      <c r="N66" s="143">
        <f>'LS-Lease Liabilities'!F10</f>
        <v>40378864</v>
      </c>
      <c r="P66" s="135">
        <f>J66-N66</f>
        <v>0</v>
      </c>
    </row>
    <row r="67" spans="1:17" x14ac:dyDescent="0.25">
      <c r="B67" s="125" t="s">
        <v>167</v>
      </c>
      <c r="D67" s="143">
        <f>$D$16</f>
        <v>8110442</v>
      </c>
      <c r="E67" s="171" t="s">
        <v>156</v>
      </c>
      <c r="F67" s="125" t="s">
        <v>1871</v>
      </c>
      <c r="H67" s="143">
        <f>$J$16</f>
        <v>0</v>
      </c>
      <c r="J67" s="143">
        <f>SUM(D67,H67)</f>
        <v>8110442</v>
      </c>
      <c r="L67" s="144" t="s">
        <v>15</v>
      </c>
      <c r="N67" s="143">
        <f>'LS-Lease Liabilities'!H10</f>
        <v>8110442</v>
      </c>
      <c r="P67" s="135">
        <f t="shared" ref="P67:P69" si="0">J67-N67</f>
        <v>0</v>
      </c>
    </row>
    <row r="68" spans="1:17" x14ac:dyDescent="0.25">
      <c r="B68" s="125" t="s">
        <v>162</v>
      </c>
      <c r="D68" s="143">
        <f>$F$16</f>
        <v>9861136</v>
      </c>
      <c r="E68" s="171" t="s">
        <v>156</v>
      </c>
      <c r="F68" s="125" t="s">
        <v>1868</v>
      </c>
      <c r="H68" s="143">
        <f>$H$16</f>
        <v>0</v>
      </c>
      <c r="J68" s="143">
        <f>SUM(D68,H68)</f>
        <v>9861136</v>
      </c>
      <c r="L68" s="144" t="s">
        <v>16</v>
      </c>
      <c r="N68" s="143">
        <f>'LS-Lease Liabilities'!J10</f>
        <v>9861136</v>
      </c>
      <c r="P68" s="135">
        <f t="shared" si="0"/>
        <v>0</v>
      </c>
    </row>
    <row r="69" spans="1:17" x14ac:dyDescent="0.25">
      <c r="B69" s="125" t="s">
        <v>166</v>
      </c>
      <c r="D69" s="143">
        <f>$B$42</f>
        <v>9783698</v>
      </c>
      <c r="J69" s="143">
        <f>SUM(D69)</f>
        <v>9783698</v>
      </c>
      <c r="L69" s="144" t="s">
        <v>17</v>
      </c>
      <c r="N69" s="143">
        <f>'LS-Lease Liabilities'!N10</f>
        <v>9783698</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171</v>
      </c>
      <c r="C73" s="146"/>
    </row>
    <row r="74" spans="1:17" x14ac:dyDescent="0.25">
      <c r="B74" s="146"/>
    </row>
    <row r="75" spans="1:17" ht="15" customHeight="1" x14ac:dyDescent="0.25">
      <c r="B75" s="284" t="s">
        <v>153</v>
      </c>
      <c r="C75" s="284"/>
      <c r="D75" s="284"/>
      <c r="E75" s="284"/>
      <c r="F75" s="284"/>
      <c r="G75" s="284"/>
      <c r="H75" s="284"/>
      <c r="I75" s="141"/>
      <c r="J75" s="123" t="s">
        <v>1659</v>
      </c>
      <c r="K75" s="141"/>
      <c r="L75" s="284" t="s">
        <v>14</v>
      </c>
      <c r="M75" s="284"/>
      <c r="N75" s="284"/>
    </row>
    <row r="76" spans="1:17" x14ac:dyDescent="0.25">
      <c r="L76" s="121"/>
      <c r="M76" s="121"/>
      <c r="N76" s="121"/>
      <c r="O76" s="121"/>
      <c r="P76" s="128" t="s">
        <v>159</v>
      </c>
    </row>
    <row r="77" spans="1:17" x14ac:dyDescent="0.25">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25">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25">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25">
      <c r="B80" s="125" t="s">
        <v>166</v>
      </c>
      <c r="D80" s="143">
        <f>B49</f>
        <v>0</v>
      </c>
      <c r="J80" s="143">
        <f>SUM(D80)</f>
        <v>0</v>
      </c>
      <c r="L80" s="144" t="s">
        <v>17</v>
      </c>
      <c r="N80" s="143">
        <f>'LS-Lease Liabilities'!N14</f>
        <v>0</v>
      </c>
      <c r="P80" s="135">
        <f t="shared" si="1"/>
        <v>0</v>
      </c>
    </row>
    <row r="81" spans="2:16" x14ac:dyDescent="0.25"/>
    <row r="82" spans="2:16" x14ac:dyDescent="0.25"/>
    <row r="83" spans="2:16" ht="4.9000000000000004" customHeight="1" x14ac:dyDescent="0.25"/>
    <row r="84" spans="2:16" x14ac:dyDescent="0.25">
      <c r="B84" s="146" t="s">
        <v>172</v>
      </c>
      <c r="C84" s="146"/>
    </row>
    <row r="85" spans="2:16" x14ac:dyDescent="0.25">
      <c r="B85" s="146"/>
    </row>
    <row r="86" spans="2:16" ht="15" customHeight="1" x14ac:dyDescent="0.25">
      <c r="B86" s="284" t="s">
        <v>153</v>
      </c>
      <c r="C86" s="284"/>
      <c r="D86" s="284"/>
      <c r="E86" s="284"/>
      <c r="F86" s="284"/>
      <c r="G86" s="284"/>
      <c r="H86" s="284"/>
      <c r="I86" s="141"/>
      <c r="J86" s="123" t="s">
        <v>1659</v>
      </c>
      <c r="K86" s="141"/>
      <c r="L86" s="284" t="s">
        <v>14</v>
      </c>
      <c r="M86" s="284"/>
      <c r="N86" s="284"/>
    </row>
    <row r="87" spans="2:16" x14ac:dyDescent="0.25">
      <c r="L87" s="121"/>
      <c r="M87" s="121"/>
      <c r="N87" s="121"/>
      <c r="O87" s="121"/>
      <c r="P87" s="128" t="s">
        <v>159</v>
      </c>
    </row>
    <row r="88" spans="2:16" x14ac:dyDescent="0.25">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25">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25">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25">
      <c r="B91" s="125" t="s">
        <v>166</v>
      </c>
      <c r="D91" s="143">
        <f>B57</f>
        <v>0</v>
      </c>
      <c r="J91" s="143">
        <f>SUM(D91)</f>
        <v>0</v>
      </c>
      <c r="L91" s="144" t="s">
        <v>17</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H56" sqref="H56"/>
      <selection pane="bottomLeft" activeCell="E17" sqref="E17"/>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1809</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28.5" x14ac:dyDescent="0.25">
      <c r="A11" s="240" t="s">
        <v>1810</v>
      </c>
      <c r="B11" s="240" t="s">
        <v>1750</v>
      </c>
      <c r="C11" s="240" t="s">
        <v>1735</v>
      </c>
      <c r="D11" s="240" t="s">
        <v>1742</v>
      </c>
      <c r="E11" s="240" t="s">
        <v>1748</v>
      </c>
      <c r="F11" s="240" t="s">
        <v>1749</v>
      </c>
    </row>
    <row r="12" spans="1:6" ht="42.75" x14ac:dyDescent="0.25">
      <c r="A12" s="240" t="s">
        <v>1810</v>
      </c>
      <c r="B12" s="240" t="s">
        <v>1738</v>
      </c>
      <c r="C12" s="240" t="s">
        <v>1735</v>
      </c>
      <c r="D12" s="240" t="s">
        <v>1743</v>
      </c>
      <c r="E12" s="240" t="s">
        <v>1739</v>
      </c>
      <c r="F12" s="240" t="s">
        <v>1740</v>
      </c>
    </row>
    <row r="13" spans="1:6" ht="71.25" x14ac:dyDescent="0.25">
      <c r="A13" s="240" t="s">
        <v>1810</v>
      </c>
      <c r="B13" s="240" t="s">
        <v>1751</v>
      </c>
      <c r="C13" s="240" t="s">
        <v>1747</v>
      </c>
      <c r="D13" s="240" t="s">
        <v>1735</v>
      </c>
      <c r="E13" s="240" t="s">
        <v>1736</v>
      </c>
      <c r="F13" s="240" t="s">
        <v>1737</v>
      </c>
    </row>
    <row r="14" spans="1:6" ht="28.5" x14ac:dyDescent="0.25">
      <c r="A14" s="240" t="s">
        <v>1810</v>
      </c>
      <c r="B14" s="240" t="s">
        <v>1752</v>
      </c>
      <c r="C14" s="240" t="s">
        <v>1735</v>
      </c>
      <c r="D14" s="240" t="s">
        <v>1815</v>
      </c>
      <c r="E14" s="240" t="s">
        <v>1753</v>
      </c>
      <c r="F14" s="240" t="s">
        <v>1737</v>
      </c>
    </row>
    <row r="15" spans="1:6" ht="71.25" x14ac:dyDescent="0.25">
      <c r="A15" s="240" t="s">
        <v>1810</v>
      </c>
      <c r="B15" s="240" t="s">
        <v>1816</v>
      </c>
      <c r="C15" s="240" t="s">
        <v>1735</v>
      </c>
      <c r="D15" s="240" t="s">
        <v>1819</v>
      </c>
      <c r="E15" s="240" t="s">
        <v>1817</v>
      </c>
      <c r="F15" s="240" t="s">
        <v>1818</v>
      </c>
    </row>
    <row r="16" spans="1:6" ht="57" x14ac:dyDescent="0.25">
      <c r="A16" s="240" t="s">
        <v>1810</v>
      </c>
      <c r="B16" s="240" t="s">
        <v>1820</v>
      </c>
      <c r="C16" s="240" t="s">
        <v>1821</v>
      </c>
      <c r="D16" s="240" t="s">
        <v>1822</v>
      </c>
      <c r="E16" s="240" t="s">
        <v>1823</v>
      </c>
      <c r="F16" s="240" t="s">
        <v>1737</v>
      </c>
    </row>
    <row r="17" spans="1:6" ht="114" x14ac:dyDescent="0.25">
      <c r="A17" s="240" t="s">
        <v>1810</v>
      </c>
      <c r="B17" s="240" t="s">
        <v>1824</v>
      </c>
      <c r="C17" s="240" t="s">
        <v>1735</v>
      </c>
      <c r="D17" s="240" t="s">
        <v>1763</v>
      </c>
      <c r="E17" s="240" t="s">
        <v>1826</v>
      </c>
      <c r="F17" s="240" t="s">
        <v>1827</v>
      </c>
    </row>
    <row r="18" spans="1:6" ht="99.75" x14ac:dyDescent="0.25">
      <c r="A18" s="240" t="s">
        <v>1810</v>
      </c>
      <c r="B18" s="240" t="s">
        <v>1825</v>
      </c>
      <c r="C18" s="240" t="s">
        <v>1735</v>
      </c>
      <c r="D18" s="240" t="s">
        <v>1764</v>
      </c>
      <c r="E18" s="240" t="s">
        <v>1829</v>
      </c>
      <c r="F18" s="240" t="s">
        <v>1828</v>
      </c>
    </row>
    <row r="19" spans="1:6" ht="28.5" x14ac:dyDescent="0.25">
      <c r="A19" s="240" t="s">
        <v>1810</v>
      </c>
      <c r="B19" s="240" t="s">
        <v>1765</v>
      </c>
      <c r="C19" s="240" t="s">
        <v>1735</v>
      </c>
      <c r="D19" s="240" t="s">
        <v>1830</v>
      </c>
      <c r="E19" s="240" t="s">
        <v>1831</v>
      </c>
      <c r="F19" s="240" t="s">
        <v>1737</v>
      </c>
    </row>
    <row r="20" spans="1:6" ht="85.5" x14ac:dyDescent="0.25">
      <c r="A20" s="240" t="s">
        <v>1811</v>
      </c>
      <c r="B20" s="240" t="s">
        <v>1732</v>
      </c>
      <c r="C20" s="240" t="s">
        <v>1769</v>
      </c>
      <c r="D20" s="240" t="s">
        <v>1770</v>
      </c>
      <c r="E20" s="240" t="s">
        <v>1776</v>
      </c>
      <c r="F20" s="240" t="s">
        <v>1832</v>
      </c>
    </row>
    <row r="21" spans="1:6" ht="85.5" x14ac:dyDescent="0.25">
      <c r="A21" s="240" t="s">
        <v>1811</v>
      </c>
      <c r="B21" s="240" t="s">
        <v>1772</v>
      </c>
      <c r="C21" s="240" t="s">
        <v>1735</v>
      </c>
      <c r="D21" s="240" t="s">
        <v>1833</v>
      </c>
      <c r="E21" s="240" t="s">
        <v>1774</v>
      </c>
      <c r="F21" s="240" t="s">
        <v>1832</v>
      </c>
    </row>
    <row r="22" spans="1:6" ht="42.75" x14ac:dyDescent="0.25">
      <c r="A22" s="240" t="s">
        <v>1811</v>
      </c>
      <c r="B22" s="240" t="s">
        <v>1834</v>
      </c>
      <c r="C22" s="240" t="s">
        <v>1835</v>
      </c>
      <c r="D22" s="240" t="s">
        <v>1836</v>
      </c>
      <c r="E22" s="240" t="s">
        <v>1837</v>
      </c>
      <c r="F22" s="240" t="s">
        <v>1838</v>
      </c>
    </row>
    <row r="23" spans="1:6" ht="99.75" x14ac:dyDescent="0.25">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paperSize="3"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tabSelected="1" zoomScale="115" zoomScaleNormal="115" workbookViewId="0">
      <selection activeCell="H12" sqref="H12"/>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56" t="s">
        <v>1667</v>
      </c>
      <c r="B1" s="256"/>
      <c r="C1" s="256"/>
      <c r="D1" s="256"/>
      <c r="E1" s="256"/>
      <c r="F1" s="256"/>
      <c r="G1" s="256"/>
      <c r="H1" s="256"/>
      <c r="I1" s="256"/>
      <c r="J1" s="256"/>
      <c r="K1" s="256"/>
      <c r="L1" s="5"/>
      <c r="M1" s="5"/>
      <c r="N1" s="5"/>
      <c r="O1" s="5"/>
      <c r="P1" s="5"/>
      <c r="Q1" s="5"/>
      <c r="R1" s="5"/>
      <c r="S1" s="5"/>
    </row>
    <row r="2" spans="1:19" ht="17.45" customHeight="1" x14ac:dyDescent="0.25">
      <c r="A2" s="286" t="s">
        <v>0</v>
      </c>
      <c r="B2" s="286"/>
      <c r="C2" s="286"/>
      <c r="D2" s="286"/>
      <c r="E2" s="286"/>
      <c r="F2" s="286"/>
      <c r="G2" s="286"/>
      <c r="H2" s="286"/>
      <c r="I2" s="286"/>
      <c r="J2" s="36"/>
      <c r="L2" s="5"/>
      <c r="M2" s="5"/>
      <c r="N2" s="5"/>
      <c r="O2" s="5"/>
      <c r="P2" s="5"/>
      <c r="Q2" s="5"/>
      <c r="R2" s="5"/>
      <c r="S2" s="5"/>
    </row>
    <row r="3" spans="1:19" ht="17.45" customHeight="1" x14ac:dyDescent="0.25">
      <c r="A3" s="285" t="s">
        <v>1</v>
      </c>
      <c r="B3" s="285"/>
      <c r="C3" s="285"/>
      <c r="D3" s="285"/>
      <c r="E3" s="95" t="s">
        <v>24</v>
      </c>
      <c r="H3" s="7"/>
      <c r="I3" s="7"/>
      <c r="J3" s="7"/>
      <c r="K3" s="7"/>
      <c r="L3" s="7"/>
      <c r="M3" s="7"/>
      <c r="N3" s="7"/>
      <c r="O3" s="7"/>
      <c r="P3" s="7"/>
      <c r="Q3" s="7"/>
      <c r="R3" s="7"/>
    </row>
    <row r="4" spans="1:19" ht="17.45" customHeight="1" x14ac:dyDescent="0.25">
      <c r="A4" s="285" t="s">
        <v>209</v>
      </c>
      <c r="B4" s="285"/>
      <c r="C4" s="285"/>
      <c r="D4" s="285"/>
      <c r="E4" s="97" t="s">
        <v>1883</v>
      </c>
      <c r="H4" s="7"/>
      <c r="I4" s="7"/>
      <c r="J4" s="7"/>
      <c r="K4" s="7"/>
      <c r="L4" s="7"/>
      <c r="M4" s="7"/>
      <c r="N4" s="7"/>
      <c r="O4" s="7"/>
      <c r="P4" s="7"/>
      <c r="Q4" s="7"/>
      <c r="R4" s="7"/>
    </row>
    <row r="5" spans="1:19" ht="17.45" customHeight="1" x14ac:dyDescent="0.25">
      <c r="A5" s="285" t="s">
        <v>1684</v>
      </c>
      <c r="B5" s="285"/>
      <c r="C5" s="285"/>
      <c r="D5" s="285"/>
      <c r="E5" s="161" t="s">
        <v>770</v>
      </c>
      <c r="H5" s="7"/>
      <c r="I5" s="7"/>
      <c r="J5" s="8"/>
      <c r="K5" s="8"/>
      <c r="L5" s="8"/>
      <c r="M5" s="8"/>
      <c r="N5" s="8"/>
      <c r="O5" s="8"/>
      <c r="P5" s="8"/>
      <c r="Q5" s="7"/>
      <c r="R5" s="7"/>
    </row>
    <row r="6" spans="1:19" ht="17.45" customHeight="1" x14ac:dyDescent="0.25">
      <c r="A6" s="285" t="s">
        <v>1685</v>
      </c>
      <c r="B6" s="285"/>
      <c r="C6" s="285"/>
      <c r="D6" s="285"/>
      <c r="E6" s="97">
        <v>447</v>
      </c>
      <c r="G6" s="8"/>
      <c r="H6" s="8"/>
      <c r="I6" s="8"/>
      <c r="J6" s="8"/>
      <c r="K6" s="8"/>
      <c r="L6" s="8"/>
      <c r="M6" s="8"/>
      <c r="N6" s="8"/>
      <c r="O6" s="8"/>
      <c r="P6" s="8"/>
      <c r="Q6" s="7"/>
      <c r="R6" s="7"/>
    </row>
    <row r="7" spans="1:19" ht="17.45" customHeight="1" x14ac:dyDescent="0.25">
      <c r="A7" s="285" t="s">
        <v>3</v>
      </c>
      <c r="B7" s="285"/>
      <c r="C7" s="285"/>
      <c r="D7" s="285"/>
      <c r="E7" s="35" t="s">
        <v>124</v>
      </c>
      <c r="G7" s="8"/>
      <c r="H7" s="8"/>
      <c r="I7" s="8"/>
      <c r="J7" s="8"/>
      <c r="K7" s="8"/>
      <c r="L7" s="8"/>
      <c r="M7" s="8"/>
      <c r="N7" s="8"/>
      <c r="O7" s="8"/>
      <c r="P7" s="8"/>
      <c r="Q7" s="7"/>
      <c r="R7" s="7"/>
    </row>
    <row r="8" spans="1:19" ht="17.45" customHeight="1" x14ac:dyDescent="0.25">
      <c r="A8" s="285" t="s">
        <v>1641</v>
      </c>
      <c r="B8" s="285"/>
      <c r="C8" s="285"/>
      <c r="D8" s="285"/>
      <c r="E8" s="35" t="s">
        <v>165</v>
      </c>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8" customFormat="1" ht="21" customHeight="1" x14ac:dyDescent="0.3">
      <c r="A11" s="172" t="s">
        <v>175</v>
      </c>
      <c r="B11" s="173"/>
      <c r="C11" s="174"/>
      <c r="D11" s="174"/>
      <c r="E11" s="174"/>
      <c r="F11" s="175"/>
      <c r="G11" s="175"/>
      <c r="H11" s="176"/>
      <c r="I11" s="176"/>
      <c r="J11" s="175"/>
      <c r="K11" s="175"/>
      <c r="L11" s="39"/>
      <c r="M11" s="39"/>
      <c r="N11" s="177"/>
      <c r="O11" s="177"/>
      <c r="P11" s="177"/>
    </row>
    <row r="12" spans="1:19" ht="17.45" customHeight="1" x14ac:dyDescent="0.25">
      <c r="A12" s="15" t="s">
        <v>4</v>
      </c>
      <c r="B12" s="6"/>
      <c r="C12" s="153"/>
      <c r="D12" s="153"/>
      <c r="E12" s="153"/>
      <c r="F12" s="153"/>
      <c r="G12" s="153"/>
      <c r="H12" s="153"/>
      <c r="I12" s="153"/>
      <c r="J12" s="6"/>
      <c r="K12" s="9"/>
      <c r="L12" s="9"/>
      <c r="M12" s="9"/>
      <c r="N12" s="10"/>
      <c r="O12" s="10"/>
      <c r="P12" s="7"/>
      <c r="Q12" s="7"/>
    </row>
    <row r="13" spans="1:19" s="189" customFormat="1" ht="17.45" customHeight="1" x14ac:dyDescent="0.3">
      <c r="A13" s="184">
        <v>0</v>
      </c>
      <c r="B13" s="215" t="s">
        <v>1662</v>
      </c>
      <c r="C13" s="204"/>
      <c r="D13" s="204"/>
      <c r="E13" s="204"/>
      <c r="F13" s="204"/>
      <c r="G13" s="204"/>
      <c r="H13" s="204"/>
      <c r="I13" s="204"/>
      <c r="J13" s="205"/>
      <c r="M13" s="262" t="s">
        <v>1672</v>
      </c>
      <c r="N13" s="263"/>
      <c r="O13" s="188"/>
      <c r="P13" s="262" t="s">
        <v>1668</v>
      </c>
      <c r="Q13" s="263"/>
      <c r="R13" s="188"/>
      <c r="S13" s="222" t="s">
        <v>1669</v>
      </c>
    </row>
    <row r="14" spans="1:19" ht="17.45" customHeight="1" x14ac:dyDescent="0.2">
      <c r="B14" s="20" t="s">
        <v>213</v>
      </c>
      <c r="C14" s="151"/>
      <c r="D14" s="151"/>
      <c r="E14" s="151"/>
      <c r="F14" s="151"/>
      <c r="G14" s="151"/>
      <c r="H14" s="151"/>
      <c r="I14" s="151"/>
      <c r="J14" s="248">
        <f>M14</f>
        <v>3931418</v>
      </c>
      <c r="K14" s="37"/>
      <c r="L14" s="37"/>
      <c r="M14" s="196">
        <v>3931418</v>
      </c>
      <c r="N14" s="37"/>
      <c r="O14" s="37"/>
      <c r="P14" s="196">
        <v>0</v>
      </c>
      <c r="Q14" s="224"/>
      <c r="R14" s="37"/>
      <c r="S14" s="223">
        <f>P14-M14</f>
        <v>-3931418</v>
      </c>
    </row>
    <row r="15" spans="1:19" ht="17.45" customHeight="1" x14ac:dyDescent="0.2">
      <c r="A15" s="15"/>
      <c r="B15" s="20"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45" customHeight="1" x14ac:dyDescent="0.2">
      <c r="A16" s="15"/>
      <c r="B16" s="20" t="s">
        <v>180</v>
      </c>
      <c r="C16" s="151"/>
      <c r="D16" s="151"/>
      <c r="E16" s="151"/>
      <c r="F16" s="151"/>
      <c r="G16" s="151"/>
      <c r="H16" s="151"/>
      <c r="I16" s="151"/>
      <c r="J16" s="248">
        <f>IF(SUM($K$17:$K$18)&gt;SUM($J$14:$J$15),SUM($K$17:$K$18)-SUM($J$14:$J$15),0)</f>
        <v>0</v>
      </c>
      <c r="K16" s="37"/>
      <c r="L16" s="37"/>
      <c r="M16" s="196">
        <v>10350</v>
      </c>
      <c r="N16" s="37"/>
      <c r="O16" s="37"/>
      <c r="P16" s="224"/>
      <c r="Q16" s="224"/>
      <c r="R16" s="37"/>
      <c r="S16" s="223">
        <f>P16-M16</f>
        <v>-10350</v>
      </c>
    </row>
    <row r="17" spans="1:22" ht="17.45" customHeight="1" x14ac:dyDescent="0.2">
      <c r="A17" s="15"/>
      <c r="B17" s="151"/>
      <c r="C17" s="20" t="s">
        <v>214</v>
      </c>
      <c r="D17" s="151"/>
      <c r="E17" s="151"/>
      <c r="F17" s="151"/>
      <c r="G17" s="151"/>
      <c r="H17" s="151"/>
      <c r="I17" s="151"/>
      <c r="J17" s="20"/>
      <c r="K17" s="248">
        <f>N17</f>
        <v>3844189</v>
      </c>
      <c r="L17" s="37"/>
      <c r="M17" s="37"/>
      <c r="N17" s="196">
        <v>3844189</v>
      </c>
      <c r="O17" s="37"/>
      <c r="P17" s="224"/>
      <c r="Q17" s="196">
        <v>0</v>
      </c>
      <c r="R17" s="37"/>
      <c r="S17" s="223">
        <f t="shared" ref="S17:S19" si="0">Q17-N17</f>
        <v>-3844189</v>
      </c>
    </row>
    <row r="18" spans="1:22" ht="17.45" customHeight="1" x14ac:dyDescent="0.2">
      <c r="A18" s="15"/>
      <c r="B18" s="151"/>
      <c r="C18" s="20" t="s">
        <v>179</v>
      </c>
      <c r="D18" s="151"/>
      <c r="E18" s="151"/>
      <c r="F18" s="151"/>
      <c r="G18" s="151"/>
      <c r="H18" s="151"/>
      <c r="I18" s="151"/>
      <c r="J18" s="20"/>
      <c r="K18" s="248">
        <f>Q18</f>
        <v>0</v>
      </c>
      <c r="L18" s="37"/>
      <c r="M18" s="37"/>
      <c r="N18" s="196"/>
      <c r="O18" s="37"/>
      <c r="P18" s="224"/>
      <c r="Q18" s="221">
        <f>IF(SUM($Q$17)&lt;SUM($P$14),-SUM($Q$17)+SUM($P$14),0)</f>
        <v>0</v>
      </c>
      <c r="R18" s="37"/>
      <c r="S18" s="223">
        <f t="shared" si="0"/>
        <v>0</v>
      </c>
    </row>
    <row r="19" spans="1:22" ht="17.45" customHeight="1" x14ac:dyDescent="0.2">
      <c r="A19" s="15"/>
      <c r="B19" s="151"/>
      <c r="C19" s="20" t="s">
        <v>180</v>
      </c>
      <c r="D19" s="151"/>
      <c r="E19" s="151"/>
      <c r="F19" s="151"/>
      <c r="G19" s="151"/>
      <c r="H19" s="151"/>
      <c r="I19" s="151"/>
      <c r="J19" s="20"/>
      <c r="K19" s="248">
        <f>IF(SUM($K$17:$K$18)&lt;SUM($J$14:$J$15),-SUM($K$17:$K$18)+SUM($J$14:$J$15),0)</f>
        <v>87229</v>
      </c>
      <c r="L19" s="37"/>
      <c r="M19" s="37"/>
      <c r="N19" s="196">
        <v>97579</v>
      </c>
      <c r="O19" s="37"/>
      <c r="P19" s="224"/>
      <c r="Q19" s="224"/>
      <c r="R19" s="37"/>
      <c r="S19" s="223">
        <f t="shared" si="0"/>
        <v>-97579</v>
      </c>
    </row>
    <row r="20" spans="1:22" ht="17.45" customHeight="1" x14ac:dyDescent="0.2">
      <c r="A20" s="15"/>
      <c r="C20" s="14"/>
      <c r="D20" s="153"/>
      <c r="E20" s="153"/>
      <c r="F20" s="153"/>
      <c r="G20" s="153"/>
      <c r="H20" s="153"/>
      <c r="I20" s="153"/>
      <c r="J20" s="17">
        <f>SUM(J14:J19)</f>
        <v>3931418</v>
      </c>
      <c r="K20" s="17">
        <f>SUM(K14:K19)</f>
        <v>3931418</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176</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1663</v>
      </c>
      <c r="C23" s="208"/>
      <c r="D23" s="208"/>
      <c r="E23" s="208"/>
      <c r="F23" s="209"/>
      <c r="G23" s="207"/>
      <c r="H23" s="207"/>
      <c r="I23" s="210"/>
      <c r="J23" s="207"/>
      <c r="K23" s="207"/>
      <c r="L23" s="207"/>
      <c r="M23" s="207"/>
      <c r="R23" s="206"/>
      <c r="S23" s="206"/>
      <c r="T23" s="207"/>
      <c r="U23" s="207"/>
    </row>
    <row r="24" spans="1:22" ht="17.45" customHeight="1" x14ac:dyDescent="0.2">
      <c r="B24" s="20" t="s">
        <v>213</v>
      </c>
      <c r="C24" s="20"/>
      <c r="D24" s="20"/>
      <c r="E24" s="20"/>
      <c r="F24" s="213"/>
      <c r="G24" s="213"/>
      <c r="H24" s="214"/>
      <c r="I24" s="202"/>
      <c r="J24" s="196"/>
      <c r="K24" s="213"/>
      <c r="L24" s="9"/>
      <c r="N24" s="18"/>
      <c r="O24" s="14"/>
      <c r="P24" s="9"/>
      <c r="Q24" s="9"/>
      <c r="R24" s="10"/>
      <c r="S24" s="10"/>
    </row>
    <row r="25" spans="1:22" ht="17.45" customHeight="1" x14ac:dyDescent="0.2">
      <c r="B25" s="20"/>
      <c r="C25" s="20" t="s">
        <v>214</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177</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1664</v>
      </c>
      <c r="O29" s="287"/>
      <c r="P29" s="287"/>
      <c r="Q29" s="287"/>
      <c r="R29" s="287"/>
      <c r="S29" s="287"/>
      <c r="T29" s="287"/>
      <c r="U29" s="287"/>
      <c r="V29" s="287"/>
    </row>
    <row r="30" spans="1:22" ht="17.45" customHeight="1" x14ac:dyDescent="0.2">
      <c r="B30" s="288" t="str">
        <f>IF($E$7="Governmental","Dr: Acct 0775 - OTHER INCOME","Dr: Acct 0755 - SALES &amp; SERVICES")</f>
        <v>Dr: Acct 0775 - OTHER INCOME</v>
      </c>
      <c r="C30" s="288"/>
      <c r="D30" s="288"/>
      <c r="E30" s="288"/>
      <c r="F30" s="288"/>
      <c r="G30" s="288"/>
      <c r="H30" s="288"/>
      <c r="I30" s="288"/>
      <c r="J30" s="196">
        <v>2051342</v>
      </c>
      <c r="K30" s="32"/>
      <c r="L30" s="9"/>
      <c r="N30" s="22"/>
      <c r="O30" s="9"/>
      <c r="P30" s="14"/>
      <c r="Q30" s="9"/>
      <c r="R30" s="9"/>
      <c r="S30" s="9"/>
      <c r="T30" s="9"/>
      <c r="U30" s="9"/>
      <c r="V30" s="9"/>
    </row>
    <row r="31" spans="1:22" ht="17.45" customHeight="1" x14ac:dyDescent="0.2">
      <c r="A31" s="15"/>
      <c r="B31" s="212"/>
      <c r="C31" s="20" t="s">
        <v>215</v>
      </c>
      <c r="D31" s="20"/>
      <c r="E31" s="20"/>
      <c r="F31" s="20"/>
      <c r="G31" s="212"/>
      <c r="H31" s="212"/>
      <c r="I31" s="212"/>
      <c r="J31" s="32"/>
      <c r="K31" s="196">
        <v>2044752</v>
      </c>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0740 - INTEREST INCOME</v>
      </c>
      <c r="D32" s="20"/>
      <c r="E32" s="20"/>
      <c r="F32" s="20"/>
      <c r="G32" s="20"/>
      <c r="H32" s="20"/>
      <c r="I32" s="20"/>
      <c r="J32" s="32"/>
      <c r="K32" s="196">
        <v>6590</v>
      </c>
      <c r="N32" s="22"/>
      <c r="O32" s="23"/>
    </row>
    <row r="33" spans="1:22" ht="17.45" customHeight="1" x14ac:dyDescent="0.3">
      <c r="A33" s="15"/>
      <c r="C33" s="183"/>
      <c r="D33" s="183"/>
      <c r="E33" s="183"/>
      <c r="F33" s="183"/>
      <c r="G33" s="183"/>
      <c r="H33" s="183"/>
      <c r="I33" s="183"/>
      <c r="J33" s="24">
        <f>J30</f>
        <v>2051342</v>
      </c>
      <c r="K33" s="157">
        <f>SUM(K31:K32)</f>
        <v>2051342</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1665</v>
      </c>
      <c r="C35" s="20"/>
      <c r="D35" s="9"/>
      <c r="E35" s="9"/>
      <c r="F35" s="9"/>
      <c r="G35" s="9"/>
      <c r="H35" s="9"/>
      <c r="I35" s="1"/>
      <c r="J35" s="9"/>
      <c r="K35" s="24"/>
      <c r="L35" s="9"/>
      <c r="O35" s="22"/>
      <c r="R35" s="9"/>
      <c r="S35" s="9"/>
      <c r="T35" s="9"/>
      <c r="U35" s="9"/>
      <c r="V35" s="9"/>
    </row>
    <row r="36" spans="1:22" ht="17.45" customHeight="1" x14ac:dyDescent="0.2">
      <c r="B36" s="265" t="s">
        <v>216</v>
      </c>
      <c r="C36" s="265" t="s">
        <v>214</v>
      </c>
      <c r="D36" s="265" t="s">
        <v>214</v>
      </c>
      <c r="E36" s="265" t="s">
        <v>214</v>
      </c>
      <c r="F36" s="20"/>
      <c r="G36" s="20"/>
      <c r="H36" s="20"/>
      <c r="I36" s="20"/>
      <c r="J36" s="196">
        <v>395452</v>
      </c>
      <c r="K36" s="32"/>
      <c r="M36" s="19"/>
      <c r="R36" s="9"/>
      <c r="S36" s="9"/>
      <c r="T36" s="9"/>
      <c r="U36" s="9"/>
      <c r="V36" s="9"/>
    </row>
    <row r="37" spans="1:22" ht="17.45" customHeight="1" x14ac:dyDescent="0.2">
      <c r="A37" s="15"/>
      <c r="B37" s="20"/>
      <c r="C37" s="20" t="str">
        <f>IF($E$7="Governmental","Cr: Acct 0775 - OTHER INCOME","Cr: Acct 0778 - RENT")</f>
        <v>Cr: Acct 0775 - OTHER INCOME</v>
      </c>
      <c r="D37" s="20"/>
      <c r="E37" s="20"/>
      <c r="F37" s="20"/>
      <c r="G37" s="20"/>
      <c r="H37" s="20"/>
      <c r="I37" s="20"/>
      <c r="J37" s="32"/>
      <c r="K37" s="196">
        <v>395452</v>
      </c>
      <c r="R37" s="9"/>
      <c r="S37" s="9"/>
      <c r="T37" s="9"/>
      <c r="U37" s="9"/>
      <c r="V37" s="9"/>
    </row>
    <row r="38" spans="1:22" ht="17.45" customHeight="1" x14ac:dyDescent="0.2">
      <c r="A38" s="15"/>
      <c r="C38" s="14"/>
      <c r="D38" s="9"/>
      <c r="E38" s="9"/>
      <c r="F38" s="9"/>
      <c r="G38" s="9"/>
      <c r="H38" s="9"/>
      <c r="I38" s="1"/>
      <c r="J38" s="157">
        <f>J36</f>
        <v>395452</v>
      </c>
      <c r="K38" s="24">
        <f>K37</f>
        <v>395452</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130</v>
      </c>
      <c r="K40" s="211"/>
    </row>
    <row r="41" spans="1:22" ht="17.45" customHeight="1" x14ac:dyDescent="0.2">
      <c r="B41" s="265" t="s">
        <v>217</v>
      </c>
      <c r="C41" s="265"/>
      <c r="D41" s="265"/>
      <c r="E41" s="265"/>
      <c r="F41" s="20"/>
      <c r="G41" s="20"/>
      <c r="H41" s="20"/>
      <c r="I41" s="20"/>
      <c r="J41" s="196">
        <v>1353162</v>
      </c>
      <c r="K41" s="32"/>
      <c r="L41" s="9"/>
      <c r="R41" s="9"/>
      <c r="S41" s="9"/>
      <c r="T41" s="9"/>
      <c r="U41" s="9"/>
      <c r="V41" s="9"/>
    </row>
    <row r="42" spans="1:22" ht="17.45" customHeight="1" x14ac:dyDescent="0.2">
      <c r="A42" s="15"/>
      <c r="B42" s="20"/>
      <c r="C42" s="265" t="s">
        <v>215</v>
      </c>
      <c r="D42" s="265" t="s">
        <v>218</v>
      </c>
      <c r="E42" s="265" t="s">
        <v>218</v>
      </c>
      <c r="F42" s="20"/>
      <c r="G42" s="20"/>
      <c r="H42" s="20"/>
      <c r="I42" s="20"/>
      <c r="J42" s="32"/>
      <c r="K42" s="196">
        <v>1353162</v>
      </c>
      <c r="O42" s="9"/>
      <c r="P42" s="9"/>
      <c r="Q42" s="9"/>
      <c r="R42" s="9"/>
      <c r="S42" s="9"/>
      <c r="T42" s="9"/>
      <c r="U42" s="9"/>
      <c r="V42" s="9"/>
    </row>
    <row r="43" spans="1:22" ht="17.45" customHeight="1" x14ac:dyDescent="0.2">
      <c r="A43" s="15"/>
      <c r="B43" s="289" t="s">
        <v>1842</v>
      </c>
      <c r="C43" s="289"/>
      <c r="D43" s="289"/>
      <c r="E43" s="289"/>
      <c r="F43" s="289"/>
      <c r="G43" s="289"/>
      <c r="H43" s="289"/>
      <c r="I43" s="289"/>
      <c r="J43" s="157">
        <f>J41</f>
        <v>1353162</v>
      </c>
      <c r="K43" s="24">
        <f>K42</f>
        <v>1353162</v>
      </c>
      <c r="L43" s="21" t="str">
        <f>IF(J43=K43,"&lt;- Debits and Credits equal each other.","&lt;- Debits and Credits do not equal each other.")</f>
        <v>&lt;- Debits and Credits equal each other.</v>
      </c>
      <c r="M43" s="19"/>
    </row>
    <row r="44" spans="1:22" ht="17.45" customHeight="1" x14ac:dyDescent="0.25">
      <c r="A44" s="15"/>
      <c r="B44" s="289"/>
      <c r="C44" s="289"/>
      <c r="D44" s="289"/>
      <c r="E44" s="289"/>
      <c r="F44" s="289"/>
      <c r="G44" s="289"/>
      <c r="H44" s="289"/>
      <c r="I44" s="289"/>
      <c r="K44" s="27"/>
      <c r="L44" s="9"/>
      <c r="M44" s="19"/>
      <c r="O44" s="28"/>
    </row>
    <row r="45" spans="1:22" ht="17.45" customHeight="1" x14ac:dyDescent="0.25">
      <c r="A45" s="15"/>
      <c r="B45" s="289"/>
      <c r="C45" s="289"/>
      <c r="D45" s="289"/>
      <c r="E45" s="289"/>
      <c r="F45" s="289"/>
      <c r="G45" s="289"/>
      <c r="H45" s="289"/>
      <c r="I45" s="289"/>
      <c r="K45" s="27"/>
      <c r="M45" s="19"/>
      <c r="O45" s="28"/>
    </row>
    <row r="46" spans="1:22" ht="17.45" customHeight="1" x14ac:dyDescent="0.25">
      <c r="A46" s="15"/>
      <c r="B46" s="11"/>
      <c r="C46" s="9"/>
      <c r="K46" s="27"/>
      <c r="M46" s="19"/>
      <c r="O46" s="28"/>
    </row>
    <row r="47" spans="1:22" s="178" customFormat="1" ht="21" customHeight="1" x14ac:dyDescent="0.3">
      <c r="A47" s="172" t="s">
        <v>1653</v>
      </c>
      <c r="B47" s="173"/>
      <c r="C47" s="174"/>
      <c r="D47" s="174"/>
      <c r="E47" s="174"/>
      <c r="F47" s="175"/>
      <c r="G47" s="175"/>
      <c r="H47" s="176"/>
      <c r="I47" s="176"/>
      <c r="J47" s="175"/>
      <c r="K47" s="175"/>
      <c r="L47" s="39"/>
      <c r="M47" s="39"/>
      <c r="N47" s="177"/>
      <c r="O47" s="177"/>
      <c r="P47" s="177"/>
    </row>
    <row r="48" spans="1:22" ht="17.45" customHeight="1" x14ac:dyDescent="0.3">
      <c r="A48" s="184">
        <v>5</v>
      </c>
      <c r="B48" s="215" t="s">
        <v>1873</v>
      </c>
      <c r="F48" s="9"/>
      <c r="G48" s="9"/>
      <c r="H48" s="9"/>
      <c r="I48" s="1"/>
      <c r="J48" s="29"/>
      <c r="K48" s="30"/>
      <c r="M48" s="19"/>
    </row>
    <row r="49" spans="1:15" ht="17.45" customHeight="1" x14ac:dyDescent="0.25">
      <c r="B49" s="20" t="s">
        <v>216</v>
      </c>
      <c r="C49" s="26"/>
      <c r="D49" s="20"/>
      <c r="E49" s="20"/>
      <c r="F49" s="20"/>
      <c r="G49" s="20"/>
      <c r="H49" s="20"/>
      <c r="I49" s="20"/>
      <c r="J49" s="196"/>
      <c r="K49" s="6"/>
    </row>
    <row r="50" spans="1:15" ht="17.45" customHeight="1" x14ac:dyDescent="0.2">
      <c r="A50" s="15"/>
      <c r="B50" s="20" t="s">
        <v>1657</v>
      </c>
      <c r="C50" s="20"/>
      <c r="D50" s="20"/>
      <c r="E50" s="20"/>
      <c r="F50" s="20"/>
      <c r="G50" s="20"/>
      <c r="H50" s="20"/>
      <c r="I50" s="202"/>
      <c r="J50" s="196"/>
      <c r="K50" s="20"/>
      <c r="O50" s="28"/>
    </row>
    <row r="51" spans="1:15" ht="17.45" customHeight="1" x14ac:dyDescent="0.2">
      <c r="A51" s="15"/>
      <c r="B51" s="265" t="s">
        <v>1656</v>
      </c>
      <c r="C51" s="265" t="s">
        <v>1655</v>
      </c>
      <c r="D51" s="265" t="s">
        <v>1655</v>
      </c>
      <c r="E51" s="20"/>
      <c r="F51" s="20"/>
      <c r="G51" s="20"/>
      <c r="H51" s="20"/>
      <c r="I51" s="202"/>
      <c r="J51" s="196"/>
      <c r="K51" s="20"/>
      <c r="O51" s="28"/>
    </row>
    <row r="52" spans="1:15" ht="17.45" customHeight="1" x14ac:dyDescent="0.2">
      <c r="A52" s="15"/>
      <c r="B52" s="55"/>
      <c r="C52" s="55" t="s">
        <v>215</v>
      </c>
      <c r="D52" s="55"/>
      <c r="E52" s="20"/>
      <c r="F52" s="20"/>
      <c r="G52" s="20"/>
      <c r="H52" s="20"/>
      <c r="I52" s="202"/>
      <c r="J52" s="20"/>
      <c r="K52" s="196"/>
      <c r="O52" s="28"/>
    </row>
    <row r="53" spans="1:15" ht="17.45" customHeight="1" x14ac:dyDescent="0.2">
      <c r="A53" s="15"/>
      <c r="B53" s="55"/>
      <c r="C53" s="55" t="s">
        <v>1658</v>
      </c>
      <c r="D53" s="55"/>
      <c r="E53" s="20"/>
      <c r="F53" s="20"/>
      <c r="G53" s="20"/>
      <c r="H53" s="20"/>
      <c r="I53" s="202"/>
      <c r="J53" s="20"/>
      <c r="K53" s="196"/>
      <c r="O53" s="28"/>
    </row>
    <row r="54" spans="1:15" ht="17.45" customHeight="1" x14ac:dyDescent="0.25">
      <c r="A54" s="15"/>
      <c r="B54" s="193"/>
      <c r="C54" s="55" t="s">
        <v>1654</v>
      </c>
      <c r="D54" s="55"/>
      <c r="E54" s="55"/>
      <c r="F54" s="20"/>
      <c r="G54" s="20"/>
      <c r="H54" s="20"/>
      <c r="I54" s="26"/>
      <c r="J54" s="32"/>
      <c r="K54" s="196"/>
    </row>
    <row r="55" spans="1:15" ht="17.45" customHeight="1" x14ac:dyDescent="0.3">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1872</v>
      </c>
      <c r="D57" s="20"/>
      <c r="E57" s="20"/>
      <c r="F57" s="20"/>
      <c r="G57" s="20"/>
      <c r="H57" s="20"/>
      <c r="I57" s="26"/>
      <c r="J57" s="32"/>
      <c r="K57" s="24"/>
    </row>
    <row r="58" spans="1:15" ht="17.45" customHeight="1" x14ac:dyDescent="0.2">
      <c r="B58" s="20" t="s">
        <v>213</v>
      </c>
      <c r="C58" s="26"/>
      <c r="D58" s="20"/>
      <c r="E58" s="20"/>
      <c r="F58" s="20"/>
      <c r="G58" s="20"/>
      <c r="H58" s="20"/>
      <c r="I58" s="26"/>
      <c r="J58" s="196"/>
      <c r="K58" s="32"/>
    </row>
    <row r="59" spans="1:15" ht="17.45" customHeight="1" x14ac:dyDescent="0.25">
      <c r="A59" s="15"/>
      <c r="B59" s="193"/>
      <c r="C59" s="20" t="s">
        <v>214</v>
      </c>
      <c r="D59" s="20"/>
      <c r="E59" s="20"/>
      <c r="F59" s="20"/>
      <c r="G59" s="20"/>
      <c r="H59" s="20"/>
      <c r="I59" s="26"/>
      <c r="J59" s="32"/>
      <c r="K59" s="196"/>
    </row>
    <row r="60" spans="1:15" ht="17.45" customHeight="1" x14ac:dyDescent="0.3">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1713</v>
      </c>
      <c r="E65" s="230"/>
      <c r="F65" s="231"/>
      <c r="G65" s="231"/>
      <c r="H65" s="231"/>
      <c r="I65" s="232"/>
      <c r="J65" s="232"/>
      <c r="K65" s="233"/>
    </row>
    <row r="66" spans="2:11" ht="17.45" customHeight="1" x14ac:dyDescent="0.2">
      <c r="B66" s="20"/>
      <c r="C66" s="20"/>
      <c r="D66" s="37"/>
      <c r="E66" s="37"/>
      <c r="F66" s="37"/>
      <c r="G66" s="37"/>
      <c r="H66" s="37"/>
      <c r="I66" s="37"/>
      <c r="J66" s="37"/>
      <c r="K66" s="239" t="s">
        <v>1711</v>
      </c>
    </row>
    <row r="67" spans="2:11" ht="17.45" customHeight="1" x14ac:dyDescent="0.25">
      <c r="B67" s="29"/>
      <c r="D67" s="193" t="s">
        <v>1714</v>
      </c>
      <c r="E67" s="37"/>
      <c r="F67" s="37"/>
      <c r="G67" s="37"/>
      <c r="H67" s="37"/>
      <c r="I67" s="37"/>
      <c r="J67" s="37"/>
      <c r="K67" s="238">
        <f>J14+J24-K31-K42-K52+J58</f>
        <v>533504</v>
      </c>
    </row>
    <row r="68" spans="2:11" ht="17.45" customHeight="1" x14ac:dyDescent="0.25">
      <c r="D68" s="193" t="s">
        <v>1715</v>
      </c>
      <c r="E68" s="37"/>
      <c r="F68" s="37"/>
      <c r="G68" s="37"/>
      <c r="H68" s="37"/>
      <c r="I68" s="37"/>
      <c r="J68" s="37"/>
      <c r="K68" s="238">
        <f>J41</f>
        <v>1353162</v>
      </c>
    </row>
    <row r="69" spans="2:11" ht="17.45" customHeight="1" x14ac:dyDescent="0.25">
      <c r="D69" s="193" t="s">
        <v>1716</v>
      </c>
      <c r="E69" s="37"/>
      <c r="F69" s="37"/>
      <c r="G69" s="37"/>
      <c r="H69" s="37"/>
      <c r="I69" s="37"/>
      <c r="J69" s="37"/>
      <c r="K69" s="238">
        <f>-K17-K25+J36+J49-K59</f>
        <v>-3448737</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topLeftCell="B1" zoomScale="145" zoomScaleNormal="145" workbookViewId="0">
      <selection activeCell="E10" sqref="E10"/>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4" t="s">
        <v>150</v>
      </c>
      <c r="B1" s="274"/>
      <c r="C1" s="274"/>
      <c r="D1" s="274"/>
      <c r="E1" s="274"/>
      <c r="F1" s="158"/>
      <c r="G1" s="5"/>
      <c r="H1" s="5"/>
      <c r="I1" s="5"/>
      <c r="J1" s="5"/>
      <c r="K1" s="5"/>
      <c r="L1" s="5"/>
      <c r="M1" s="5"/>
      <c r="N1" s="5"/>
      <c r="O1" s="5"/>
      <c r="P1" s="5"/>
      <c r="Q1" s="5"/>
      <c r="R1" s="5"/>
      <c r="S1" s="5"/>
    </row>
    <row r="2" spans="1:19" ht="48" customHeight="1" x14ac:dyDescent="0.25">
      <c r="A2" s="273" t="s">
        <v>148</v>
      </c>
      <c r="B2" s="273"/>
      <c r="C2" s="273"/>
      <c r="D2" s="273"/>
      <c r="E2" s="273"/>
      <c r="F2" s="99"/>
      <c r="G2" s="5"/>
      <c r="H2" s="5"/>
      <c r="I2" s="5"/>
      <c r="J2" s="5"/>
      <c r="K2" s="5"/>
      <c r="L2" s="5"/>
      <c r="M2" s="5"/>
      <c r="N2" s="5"/>
      <c r="O2" s="5"/>
      <c r="P2" s="5"/>
      <c r="Q2" s="5"/>
      <c r="R2" s="5"/>
      <c r="S2" s="5"/>
    </row>
    <row r="3" spans="1:19" ht="33" customHeight="1" x14ac:dyDescent="0.25">
      <c r="A3" s="294" t="s">
        <v>212</v>
      </c>
      <c r="B3" s="294"/>
      <c r="C3" s="294"/>
      <c r="E3" s="57"/>
      <c r="F3" s="57"/>
      <c r="G3" s="57"/>
      <c r="H3" s="57"/>
      <c r="I3" s="57"/>
      <c r="J3" s="57"/>
      <c r="K3" s="57"/>
      <c r="L3" s="57"/>
      <c r="M3" s="57"/>
      <c r="N3" s="57"/>
      <c r="O3" s="57"/>
      <c r="P3" s="6"/>
      <c r="Q3" s="6"/>
      <c r="R3" s="6"/>
      <c r="S3" s="6"/>
    </row>
    <row r="4" spans="1:19" ht="31.15" customHeight="1" x14ac:dyDescent="0.25">
      <c r="A4" s="268" t="s">
        <v>7</v>
      </c>
      <c r="B4" s="268"/>
      <c r="C4" s="268"/>
      <c r="E4" s="57"/>
      <c r="F4" s="57"/>
      <c r="G4" s="57"/>
      <c r="H4" s="57"/>
      <c r="I4" s="57"/>
      <c r="J4" s="57"/>
      <c r="K4" s="57"/>
      <c r="L4" s="57"/>
      <c r="M4" s="57"/>
      <c r="N4" s="57"/>
      <c r="O4" s="57"/>
      <c r="P4" s="6"/>
      <c r="Q4" s="6"/>
      <c r="R4" s="6"/>
      <c r="S4" s="6"/>
    </row>
    <row r="5" spans="1:19" ht="30.6" customHeight="1" x14ac:dyDescent="0.25">
      <c r="A5" s="268" t="s">
        <v>9</v>
      </c>
      <c r="B5" s="268"/>
      <c r="C5" s="268"/>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13</v>
      </c>
      <c r="B9" s="290" t="s">
        <v>24</v>
      </c>
      <c r="C9" s="290"/>
      <c r="D9" s="52"/>
      <c r="F9" s="81"/>
      <c r="G9" s="81"/>
      <c r="H9" s="81"/>
      <c r="I9" s="81"/>
      <c r="J9" s="81"/>
      <c r="K9" s="81"/>
      <c r="L9" s="81"/>
      <c r="M9" s="81"/>
      <c r="N9" s="81"/>
      <c r="O9" s="81"/>
      <c r="P9" s="6"/>
      <c r="Q9" s="6"/>
      <c r="R9" s="6"/>
      <c r="S9" s="6"/>
    </row>
    <row r="10" spans="1:19" ht="15.75" x14ac:dyDescent="0.25">
      <c r="A10" s="12" t="s">
        <v>210</v>
      </c>
      <c r="B10" s="291" t="s">
        <v>770</v>
      </c>
      <c r="C10" s="292"/>
      <c r="D10" s="82"/>
      <c r="F10" s="38"/>
      <c r="G10" s="38"/>
      <c r="H10" s="38"/>
      <c r="I10" s="38"/>
      <c r="J10" s="38"/>
      <c r="K10" s="38"/>
      <c r="L10" s="38"/>
      <c r="M10" s="38"/>
      <c r="N10" s="38"/>
      <c r="O10" s="38"/>
      <c r="P10" s="6"/>
      <c r="Q10" s="6"/>
      <c r="R10" s="6"/>
      <c r="S10" s="6"/>
    </row>
    <row r="11" spans="1:19" ht="15.75" x14ac:dyDescent="0.25">
      <c r="A11" s="12" t="s">
        <v>209</v>
      </c>
      <c r="B11" s="290" t="s">
        <v>1883</v>
      </c>
      <c r="C11" s="290"/>
      <c r="D11" s="82"/>
      <c r="F11" s="5"/>
      <c r="G11" s="5"/>
      <c r="H11" s="5"/>
      <c r="I11" s="5"/>
      <c r="J11" s="5"/>
      <c r="K11" s="5"/>
      <c r="L11" s="5"/>
      <c r="M11" s="5"/>
      <c r="N11" s="5"/>
      <c r="O11" s="5"/>
      <c r="P11" s="5"/>
      <c r="Q11" s="5"/>
      <c r="R11" s="5"/>
      <c r="S11" s="5"/>
    </row>
    <row r="12" spans="1:19" ht="30" customHeight="1" x14ac:dyDescent="0.25">
      <c r="A12" s="293" t="s">
        <v>10</v>
      </c>
      <c r="B12" s="293"/>
      <c r="C12" s="293"/>
      <c r="D12" s="83"/>
      <c r="F12" s="5"/>
      <c r="G12" s="5"/>
      <c r="H12" s="5"/>
      <c r="I12" s="5"/>
      <c r="J12" s="5"/>
      <c r="K12" s="5"/>
      <c r="L12" s="5"/>
      <c r="M12" s="5"/>
      <c r="N12" s="5"/>
      <c r="O12" s="5"/>
      <c r="P12" s="5"/>
      <c r="Q12" s="5"/>
      <c r="R12" s="5"/>
      <c r="S12" s="5"/>
    </row>
    <row r="13" spans="1:19" ht="15.6" customHeight="1" x14ac:dyDescent="0.25">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4" t="str">
        <f>RIGHT(B9,4)&amp;"–"&amp;RIGHT(B9,4)+1</f>
        <v>2023–2024</v>
      </c>
      <c r="B14" s="2">
        <v>1353162</v>
      </c>
      <c r="C14" s="2">
        <v>2797</v>
      </c>
      <c r="D14" s="87"/>
      <c r="E14" s="269" t="s">
        <v>219</v>
      </c>
      <c r="F14" s="5"/>
      <c r="G14" s="5"/>
      <c r="H14" s="5"/>
      <c r="I14" s="5"/>
      <c r="J14" s="5"/>
      <c r="K14" s="5"/>
      <c r="L14" s="5"/>
      <c r="M14" s="5"/>
      <c r="N14" s="5"/>
      <c r="O14" s="5"/>
      <c r="P14" s="5"/>
      <c r="Q14" s="5"/>
      <c r="R14" s="5"/>
      <c r="S14" s="5"/>
    </row>
    <row r="15" spans="1:19" ht="15.75" x14ac:dyDescent="0.25">
      <c r="A15" s="84" t="str">
        <f>LEFT(A14,4)+1&amp;"–"&amp;RIGHT(A14,4)+1</f>
        <v>2024–2025</v>
      </c>
      <c r="B15" s="2">
        <v>496997</v>
      </c>
      <c r="C15" s="2">
        <v>752</v>
      </c>
      <c r="D15" s="62"/>
      <c r="E15" s="269"/>
      <c r="F15" s="5"/>
      <c r="G15" s="5"/>
      <c r="H15" s="5"/>
      <c r="I15" s="5"/>
      <c r="J15" s="5"/>
      <c r="K15" s="5"/>
      <c r="L15" s="5"/>
      <c r="M15" s="5"/>
      <c r="N15" s="5"/>
      <c r="O15" s="5"/>
      <c r="P15" s="5"/>
      <c r="Q15" s="5"/>
      <c r="R15" s="5"/>
      <c r="S15" s="5"/>
    </row>
    <row r="16" spans="1:19" ht="15.75" x14ac:dyDescent="0.25">
      <c r="A16" s="84" t="str">
        <f>LEFT(A15,4)+1&amp;"–"&amp;RIGHT(A15,4)+1</f>
        <v>2025–2026</v>
      </c>
      <c r="B16" s="2">
        <v>36507</v>
      </c>
      <c r="C16" s="2">
        <v>123</v>
      </c>
      <c r="D16" s="62"/>
      <c r="E16" s="269"/>
      <c r="F16" s="5"/>
      <c r="G16" s="5"/>
      <c r="H16" s="5"/>
      <c r="I16" s="5"/>
      <c r="J16" s="5"/>
      <c r="K16" s="5"/>
      <c r="L16" s="5"/>
      <c r="M16" s="5"/>
      <c r="N16" s="5"/>
      <c r="O16" s="5"/>
      <c r="P16" s="5"/>
      <c r="Q16" s="5"/>
      <c r="R16" s="5"/>
      <c r="S16" s="5"/>
    </row>
    <row r="17" spans="1:19" ht="15.75" x14ac:dyDescent="0.25">
      <c r="A17" s="84" t="str">
        <f>LEFT(A16,4)+1&amp;"–"&amp;RIGHT(A16,4)+1</f>
        <v>2026–2027</v>
      </c>
      <c r="B17" s="2">
        <v>0</v>
      </c>
      <c r="C17" s="2">
        <v>0</v>
      </c>
      <c r="D17" s="62"/>
      <c r="E17" s="269"/>
      <c r="F17" s="5"/>
      <c r="G17" s="5"/>
      <c r="H17" s="5"/>
      <c r="I17" s="5"/>
      <c r="J17" s="5"/>
      <c r="K17" s="5"/>
      <c r="L17" s="5"/>
      <c r="M17" s="5"/>
      <c r="N17" s="5"/>
      <c r="O17" s="5"/>
      <c r="P17" s="5"/>
      <c r="Q17" s="5"/>
      <c r="R17" s="5"/>
      <c r="S17" s="5"/>
    </row>
    <row r="18" spans="1:19" ht="15.75" x14ac:dyDescent="0.25">
      <c r="A18" s="84" t="str">
        <f>LEFT(A17,4)+1&amp;"–"&amp;RIGHT(A17,4)+1</f>
        <v>2027–2028</v>
      </c>
      <c r="B18" s="2"/>
      <c r="C18" s="2"/>
      <c r="D18" s="62"/>
      <c r="E18" s="98" t="s">
        <v>131</v>
      </c>
      <c r="F18" s="5"/>
      <c r="G18" s="88"/>
      <c r="H18" s="88"/>
      <c r="I18" s="5"/>
      <c r="J18" s="88"/>
      <c r="K18" s="88"/>
      <c r="L18" s="5"/>
      <c r="M18" s="5"/>
      <c r="N18" s="5"/>
      <c r="O18" s="5"/>
      <c r="P18" s="5"/>
      <c r="Q18" s="5"/>
      <c r="R18" s="5"/>
      <c r="S18" s="5"/>
    </row>
    <row r="19" spans="1:19" ht="15.75" x14ac:dyDescent="0.25">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25">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
      <c r="A21" s="84" t="str">
        <f t="shared" si="0"/>
        <v>2038–2043</v>
      </c>
      <c r="B21" s="2"/>
      <c r="C21" s="2"/>
      <c r="D21" s="62"/>
      <c r="E21" s="269"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4" t="str">
        <f t="shared" si="0"/>
        <v>2043–2048</v>
      </c>
      <c r="B22" s="2"/>
      <c r="C22" s="2"/>
      <c r="D22" s="62"/>
      <c r="E22" s="269"/>
      <c r="G22" s="22"/>
      <c r="H22" s="22"/>
    </row>
    <row r="23" spans="1:19" x14ac:dyDescent="0.2">
      <c r="A23" s="84" t="str">
        <f t="shared" si="0"/>
        <v>2048–2053</v>
      </c>
      <c r="B23" s="2"/>
      <c r="C23" s="2"/>
      <c r="D23" s="62"/>
      <c r="E23" s="98">
        <v>0</v>
      </c>
      <c r="G23" s="22"/>
      <c r="H23" s="22"/>
    </row>
    <row r="24" spans="1:19" x14ac:dyDescent="0.2">
      <c r="A24" s="84" t="str">
        <f t="shared" si="0"/>
        <v>2053–2058</v>
      </c>
      <c r="B24" s="2"/>
      <c r="C24" s="2"/>
      <c r="D24" s="62"/>
      <c r="E24" s="59"/>
      <c r="G24" s="22"/>
    </row>
    <row r="25" spans="1:19" x14ac:dyDescent="0.2">
      <c r="A25" s="84" t="str">
        <f t="shared" si="0"/>
        <v>2058–2063</v>
      </c>
      <c r="B25" s="2"/>
      <c r="C25" s="2"/>
      <c r="D25" s="62"/>
      <c r="E25" s="59"/>
    </row>
    <row r="26" spans="1:19" ht="15.75" x14ac:dyDescent="0.25">
      <c r="A26" s="84" t="str">
        <f t="shared" si="0"/>
        <v>2063–2068</v>
      </c>
      <c r="B26" s="2"/>
      <c r="C26" s="2"/>
      <c r="D26" s="62"/>
      <c r="E26" s="5"/>
      <c r="F26" s="5"/>
      <c r="G26" s="5"/>
      <c r="H26" s="5"/>
      <c r="I26" s="5"/>
      <c r="J26" s="5"/>
      <c r="K26" s="5"/>
      <c r="L26" s="5"/>
      <c r="M26" s="5"/>
      <c r="N26" s="5"/>
      <c r="O26" s="5"/>
      <c r="P26" s="5"/>
      <c r="Q26" s="5"/>
      <c r="R26" s="5"/>
      <c r="S26" s="5"/>
    </row>
    <row r="27" spans="1:19" ht="15.75" x14ac:dyDescent="0.25">
      <c r="A27" s="84" t="str">
        <f t="shared" si="0"/>
        <v>2068–2073</v>
      </c>
      <c r="B27" s="2"/>
      <c r="C27" s="2"/>
      <c r="D27" s="62"/>
      <c r="E27" s="5"/>
      <c r="F27" s="5"/>
      <c r="G27" s="5"/>
      <c r="H27" s="5"/>
      <c r="I27" s="5"/>
      <c r="J27" s="5"/>
      <c r="K27" s="5"/>
      <c r="L27" s="5"/>
      <c r="M27" s="5"/>
      <c r="N27" s="5"/>
      <c r="O27" s="5"/>
      <c r="P27" s="5"/>
      <c r="Q27" s="5"/>
      <c r="R27" s="5"/>
      <c r="S27" s="5"/>
    </row>
    <row r="28" spans="1:19" x14ac:dyDescent="0.2">
      <c r="A28" s="84" t="str">
        <f t="shared" si="0"/>
        <v>2073–2078</v>
      </c>
      <c r="B28" s="2"/>
      <c r="C28" s="2"/>
      <c r="D28" s="62"/>
      <c r="E28" s="11"/>
    </row>
    <row r="29" spans="1:19" x14ac:dyDescent="0.2">
      <c r="A29" s="84" t="str">
        <f t="shared" si="0"/>
        <v>2078–2083</v>
      </c>
      <c r="B29" s="2"/>
      <c r="C29" s="2"/>
      <c r="D29" s="62"/>
      <c r="E29" s="80"/>
    </row>
    <row r="30" spans="1:19" x14ac:dyDescent="0.2">
      <c r="A30" s="84" t="str">
        <f t="shared" si="0"/>
        <v>2083–2088</v>
      </c>
      <c r="B30" s="2"/>
      <c r="C30" s="2"/>
      <c r="D30" s="62"/>
      <c r="E30" s="7"/>
      <c r="F30" s="55"/>
      <c r="G30" s="55"/>
      <c r="H30" s="55"/>
      <c r="I30" s="55"/>
      <c r="J30" s="55"/>
      <c r="K30" s="55"/>
      <c r="L30" s="55"/>
      <c r="M30" s="55"/>
      <c r="N30" s="55"/>
      <c r="O30" s="55"/>
      <c r="P30" s="55"/>
    </row>
    <row r="31" spans="1:19" x14ac:dyDescent="0.2">
      <c r="A31" s="84" t="str">
        <f t="shared" si="0"/>
        <v>2088–2093</v>
      </c>
      <c r="B31" s="2"/>
      <c r="C31" s="2"/>
      <c r="D31" s="62"/>
      <c r="E31" s="7"/>
      <c r="F31" s="55"/>
      <c r="G31" s="55"/>
      <c r="H31" s="55"/>
      <c r="I31" s="55"/>
      <c r="J31" s="55"/>
      <c r="K31" s="55"/>
      <c r="L31" s="55"/>
      <c r="M31" s="55"/>
      <c r="N31" s="55"/>
      <c r="O31" s="55"/>
      <c r="P31" s="55"/>
    </row>
    <row r="32" spans="1:19" x14ac:dyDescent="0.2">
      <c r="A32" s="84" t="str">
        <f t="shared" si="0"/>
        <v>2093–2098</v>
      </c>
      <c r="B32" s="2"/>
      <c r="C32" s="2"/>
      <c r="D32" s="62"/>
      <c r="E32" s="7"/>
      <c r="F32" s="7"/>
      <c r="G32" s="7"/>
      <c r="H32" s="7"/>
      <c r="I32" s="7"/>
      <c r="J32" s="7"/>
      <c r="K32" s="7"/>
      <c r="L32" s="7"/>
      <c r="M32" s="7"/>
      <c r="N32" s="7"/>
      <c r="O32" s="7"/>
      <c r="P32" s="7"/>
      <c r="Q32" s="7"/>
      <c r="R32" s="7"/>
      <c r="S32" s="7"/>
    </row>
    <row r="33" spans="1:19" x14ac:dyDescent="0.2">
      <c r="A33" s="84" t="str">
        <f t="shared" si="0"/>
        <v>2098–2103</v>
      </c>
      <c r="B33" s="2"/>
      <c r="C33" s="2"/>
      <c r="D33" s="62"/>
      <c r="E33" s="7"/>
      <c r="F33" s="7"/>
      <c r="G33" s="7"/>
      <c r="H33" s="7"/>
      <c r="I33" s="7"/>
      <c r="J33" s="7"/>
      <c r="K33" s="7"/>
      <c r="L33" s="7"/>
      <c r="M33" s="7"/>
      <c r="N33" s="7"/>
      <c r="O33" s="7"/>
      <c r="P33" s="7"/>
      <c r="Q33" s="7"/>
      <c r="R33" s="7"/>
      <c r="S33" s="7"/>
    </row>
    <row r="34" spans="1:19" x14ac:dyDescent="0.2">
      <c r="A34" s="84" t="str">
        <f t="shared" si="0"/>
        <v>2103–2108</v>
      </c>
      <c r="B34" s="2"/>
      <c r="C34" s="2"/>
      <c r="D34" s="62"/>
    </row>
    <row r="35" spans="1:19" x14ac:dyDescent="0.2">
      <c r="A35" s="84" t="str">
        <f t="shared" si="0"/>
        <v>2108–2113</v>
      </c>
      <c r="B35" s="2"/>
      <c r="C35" s="2"/>
      <c r="D35" s="62"/>
    </row>
    <row r="36" spans="1:19" x14ac:dyDescent="0.2">
      <c r="A36" s="84" t="str">
        <f t="shared" si="0"/>
        <v>2113–2118</v>
      </c>
      <c r="B36" s="2"/>
      <c r="C36" s="2"/>
      <c r="D36" s="62"/>
    </row>
    <row r="37" spans="1:19" x14ac:dyDescent="0.2">
      <c r="A37" s="84" t="str">
        <f t="shared" si="0"/>
        <v>2118–2123</v>
      </c>
      <c r="B37" s="2"/>
      <c r="C37" s="2"/>
      <c r="D37" s="62"/>
      <c r="F37" s="89"/>
      <c r="G37" s="89"/>
      <c r="H37" s="89"/>
      <c r="I37" s="89"/>
    </row>
    <row r="38" spans="1:19" x14ac:dyDescent="0.2">
      <c r="E38" s="90"/>
      <c r="F38" s="89"/>
      <c r="G38" s="89"/>
      <c r="H38" s="89"/>
      <c r="I38" s="89"/>
    </row>
    <row r="39" spans="1:19" ht="20.25" x14ac:dyDescent="0.3">
      <c r="A39" s="152" t="s">
        <v>143</v>
      </c>
      <c r="F39" s="89"/>
      <c r="G39" s="89"/>
      <c r="H39" s="89"/>
      <c r="I39" s="89"/>
    </row>
    <row r="40" spans="1:19" ht="15.75" x14ac:dyDescent="0.25">
      <c r="A40" s="12" t="s">
        <v>13</v>
      </c>
      <c r="B40" s="265" t="str">
        <f>B9</f>
        <v>2022–2023</v>
      </c>
      <c r="C40" s="265"/>
      <c r="D40" s="20"/>
      <c r="F40" s="89"/>
      <c r="G40" s="89"/>
      <c r="H40" s="89"/>
      <c r="I40" s="89"/>
    </row>
    <row r="41" spans="1:19" ht="15.75" x14ac:dyDescent="0.25">
      <c r="A41" s="12" t="s">
        <v>210</v>
      </c>
      <c r="B41" s="280" t="str">
        <f>B10</f>
        <v>3600</v>
      </c>
      <c r="C41" s="280"/>
      <c r="D41" s="91"/>
    </row>
    <row r="42" spans="1:19" ht="15.75" x14ac:dyDescent="0.25">
      <c r="A42" s="12" t="s">
        <v>209</v>
      </c>
      <c r="B42" s="265" t="str">
        <f>B11</f>
        <v>Department of Fish and Wildlife</v>
      </c>
      <c r="C42" s="265"/>
      <c r="D42" s="55"/>
    </row>
    <row r="43" spans="1:19" ht="30" customHeight="1" x14ac:dyDescent="0.25">
      <c r="A43" s="293" t="s">
        <v>10</v>
      </c>
      <c r="B43" s="293"/>
      <c r="C43" s="293"/>
      <c r="D43" s="83"/>
      <c r="F43" s="5"/>
      <c r="G43" s="5"/>
      <c r="H43" s="5"/>
      <c r="I43" s="5"/>
      <c r="J43" s="5"/>
      <c r="K43" s="5"/>
      <c r="L43" s="5"/>
      <c r="M43" s="5"/>
      <c r="N43" s="5"/>
      <c r="O43" s="5"/>
      <c r="P43" s="5"/>
      <c r="Q43" s="5"/>
      <c r="R43" s="5"/>
      <c r="S43" s="5"/>
    </row>
    <row r="44" spans="1:19" ht="15.75" x14ac:dyDescent="0.25">
      <c r="A44" s="84"/>
      <c r="B44" s="85" t="s">
        <v>129</v>
      </c>
      <c r="C44" s="85" t="s">
        <v>128</v>
      </c>
      <c r="D44" s="92"/>
      <c r="E44" s="57" t="str">
        <f>"All of this worksheet's questions are for Fiscal Year "&amp;$B$9&amp;":"</f>
        <v>All of this worksheet's questions are for Fiscal Year 2022–2023:</v>
      </c>
    </row>
    <row r="45" spans="1:19" ht="15" customHeight="1" x14ac:dyDescent="0.2">
      <c r="A45" s="84" t="str">
        <f>RIGHT(B40,4)&amp;"–"&amp;RIGHT(B40,4)+1</f>
        <v>2023–2024</v>
      </c>
      <c r="B45" s="2"/>
      <c r="C45" s="2"/>
      <c r="D45" s="62"/>
      <c r="E45" s="269" t="s">
        <v>219</v>
      </c>
    </row>
    <row r="46" spans="1:19" x14ac:dyDescent="0.2">
      <c r="A46" s="84" t="str">
        <f>LEFT(A45,4)+1&amp;"–"&amp;RIGHT(A45,4)+1</f>
        <v>2024–2025</v>
      </c>
      <c r="B46" s="2"/>
      <c r="C46" s="2"/>
      <c r="D46" s="62"/>
      <c r="E46" s="269"/>
    </row>
    <row r="47" spans="1:19" x14ac:dyDescent="0.2">
      <c r="A47" s="84" t="str">
        <f>LEFT(A46,4)+1&amp;"–"&amp;RIGHT(A46,4)+1</f>
        <v>2025–2026</v>
      </c>
      <c r="B47" s="2"/>
      <c r="C47" s="2"/>
      <c r="D47" s="62"/>
      <c r="E47" s="269"/>
    </row>
    <row r="48" spans="1:19" ht="15" customHeight="1" x14ac:dyDescent="0.2">
      <c r="A48" s="84" t="str">
        <f>LEFT(A47,4)+1&amp;"–"&amp;RIGHT(A47,4)+1</f>
        <v>2026–2027</v>
      </c>
      <c r="B48" s="2"/>
      <c r="C48" s="2"/>
      <c r="D48" s="87"/>
      <c r="E48" s="269"/>
    </row>
    <row r="49" spans="1:19" x14ac:dyDescent="0.2">
      <c r="A49" s="84" t="str">
        <f>LEFT(A48,4)+1&amp;"–"&amp;RIGHT(A48,4)+1</f>
        <v>2027–2028</v>
      </c>
      <c r="B49" s="2"/>
      <c r="C49" s="2"/>
      <c r="D49" s="87"/>
      <c r="E49" s="98"/>
    </row>
    <row r="50" spans="1:19" x14ac:dyDescent="0.2">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
      <c r="C51" s="2"/>
      <c r="D51" s="62"/>
      <c r="E51" s="98"/>
    </row>
    <row r="52" spans="1:19" x14ac:dyDescent="0.2">
      <c r="A52" s="84" t="str">
        <f t="shared" si="1"/>
        <v>2038–2043</v>
      </c>
      <c r="B52" s="2"/>
      <c r="C52" s="2"/>
      <c r="D52" s="62"/>
      <c r="E52" s="269"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
      <c r="C53" s="2"/>
      <c r="D53" s="62"/>
      <c r="E53" s="269"/>
    </row>
    <row r="54" spans="1:19" ht="15" customHeight="1" x14ac:dyDescent="0.2">
      <c r="A54" s="84" t="str">
        <f t="shared" si="1"/>
        <v>2048–2053</v>
      </c>
      <c r="B54" s="2"/>
      <c r="C54" s="2"/>
      <c r="D54" s="62"/>
      <c r="E54" s="98"/>
    </row>
    <row r="55" spans="1:19" x14ac:dyDescent="0.2">
      <c r="A55" s="84" t="str">
        <f t="shared" si="1"/>
        <v>2053–2058</v>
      </c>
      <c r="B55" s="2"/>
      <c r="C55" s="2"/>
      <c r="D55" s="62"/>
      <c r="E55" s="59"/>
    </row>
    <row r="56" spans="1:19" x14ac:dyDescent="0.2">
      <c r="A56" s="84" t="str">
        <f t="shared" si="1"/>
        <v>2058–2063</v>
      </c>
      <c r="B56" s="2"/>
      <c r="C56" s="2"/>
      <c r="D56" s="62"/>
      <c r="E56" s="59"/>
    </row>
    <row r="57" spans="1:19" ht="15.75" x14ac:dyDescent="0.25">
      <c r="A57" s="84" t="str">
        <f t="shared" si="1"/>
        <v>2063–2068</v>
      </c>
      <c r="B57" s="2"/>
      <c r="C57" s="2"/>
      <c r="D57" s="62"/>
      <c r="E57" s="5"/>
    </row>
    <row r="58" spans="1:19" ht="15.75" x14ac:dyDescent="0.25">
      <c r="A58" s="84" t="str">
        <f t="shared" si="1"/>
        <v>2068–2073</v>
      </c>
      <c r="B58" s="2"/>
      <c r="C58" s="2"/>
      <c r="D58" s="62"/>
      <c r="E58" s="5"/>
      <c r="F58" s="93"/>
      <c r="G58" s="93"/>
      <c r="H58" s="20"/>
      <c r="I58" s="20"/>
      <c r="J58" s="20"/>
      <c r="K58" s="20"/>
      <c r="L58" s="20"/>
      <c r="M58" s="20"/>
      <c r="N58" s="20"/>
      <c r="O58" s="20"/>
      <c r="P58" s="20"/>
      <c r="Q58" s="20"/>
      <c r="R58" s="20"/>
      <c r="S58" s="20"/>
    </row>
    <row r="59" spans="1:19" x14ac:dyDescent="0.2">
      <c r="A59" s="84" t="str">
        <f t="shared" si="1"/>
        <v>2073–2078</v>
      </c>
      <c r="B59" s="2"/>
      <c r="C59" s="2"/>
      <c r="D59" s="62"/>
      <c r="E59" s="11"/>
      <c r="F59" s="20"/>
      <c r="G59" s="20"/>
      <c r="H59" s="20"/>
      <c r="I59" s="20"/>
      <c r="J59" s="20"/>
      <c r="K59" s="20"/>
      <c r="L59" s="20"/>
      <c r="M59" s="20"/>
      <c r="N59" s="20"/>
      <c r="O59" s="20"/>
      <c r="P59" s="20"/>
      <c r="Q59" s="20"/>
      <c r="R59" s="20"/>
      <c r="S59" s="20"/>
    </row>
    <row r="60" spans="1:19" x14ac:dyDescent="0.2">
      <c r="A60" s="84" t="str">
        <f t="shared" si="1"/>
        <v>2078–2083</v>
      </c>
      <c r="B60" s="2"/>
      <c r="C60" s="2"/>
      <c r="D60" s="62"/>
      <c r="F60" s="20"/>
      <c r="G60" s="20"/>
      <c r="H60" s="20"/>
      <c r="I60" s="20"/>
      <c r="J60" s="20"/>
      <c r="K60" s="20"/>
      <c r="L60" s="20"/>
      <c r="M60" s="20"/>
      <c r="N60" s="20"/>
      <c r="O60" s="20"/>
      <c r="P60" s="20"/>
      <c r="Q60" s="20"/>
      <c r="R60" s="20"/>
      <c r="S60" s="20"/>
    </row>
    <row r="61" spans="1:19" ht="15.75" x14ac:dyDescent="0.25">
      <c r="A61" s="84" t="str">
        <f t="shared" si="1"/>
        <v>2083–2088</v>
      </c>
      <c r="B61" s="2"/>
      <c r="C61" s="2"/>
      <c r="D61" s="62"/>
      <c r="F61" s="6"/>
      <c r="G61" s="6"/>
      <c r="H61" s="6"/>
      <c r="I61" s="6"/>
      <c r="J61" s="6"/>
      <c r="K61" s="6"/>
      <c r="L61" s="6"/>
      <c r="M61" s="6"/>
      <c r="N61" s="6"/>
      <c r="O61" s="6"/>
      <c r="P61" s="6"/>
      <c r="Q61" s="6"/>
      <c r="R61" s="6"/>
      <c r="S61" s="6"/>
    </row>
    <row r="62" spans="1:19" x14ac:dyDescent="0.2">
      <c r="A62" s="84" t="str">
        <f t="shared" si="1"/>
        <v>2088–2093</v>
      </c>
      <c r="B62" s="2"/>
      <c r="C62" s="2"/>
      <c r="D62" s="62"/>
    </row>
    <row r="63" spans="1:19" ht="15.75" x14ac:dyDescent="0.25">
      <c r="A63" s="84" t="str">
        <f t="shared" si="1"/>
        <v>2093–2098</v>
      </c>
      <c r="B63" s="2"/>
      <c r="C63" s="2"/>
      <c r="D63" s="62"/>
      <c r="E63" s="12"/>
    </row>
    <row r="64" spans="1:19" ht="15.75" x14ac:dyDescent="0.25">
      <c r="A64" s="84" t="str">
        <f t="shared" si="1"/>
        <v>2098–2103</v>
      </c>
      <c r="B64" s="2"/>
      <c r="C64" s="2"/>
      <c r="D64" s="62"/>
      <c r="E64" s="12"/>
    </row>
    <row r="65" spans="1:19" ht="15.75" x14ac:dyDescent="0.25">
      <c r="A65" s="84" t="str">
        <f t="shared" si="1"/>
        <v>2103–2108</v>
      </c>
      <c r="B65" s="2"/>
      <c r="C65" s="2"/>
      <c r="D65" s="62"/>
      <c r="E65" s="12"/>
    </row>
    <row r="66" spans="1:19" x14ac:dyDescent="0.2">
      <c r="A66" s="84" t="str">
        <f t="shared" si="1"/>
        <v>2108–2113</v>
      </c>
      <c r="B66" s="2"/>
      <c r="C66" s="2"/>
      <c r="D66" s="62"/>
    </row>
    <row r="67" spans="1:19" x14ac:dyDescent="0.2">
      <c r="A67" s="84" t="str">
        <f t="shared" si="1"/>
        <v>2113–2118</v>
      </c>
      <c r="B67" s="2"/>
      <c r="C67" s="2"/>
      <c r="D67" s="62"/>
    </row>
    <row r="68" spans="1:19" x14ac:dyDescent="0.2">
      <c r="A68" s="84" t="str">
        <f t="shared" si="1"/>
        <v>2118–2123</v>
      </c>
      <c r="B68" s="2"/>
      <c r="C68" s="2"/>
      <c r="D68" s="62"/>
    </row>
    <row r="69" spans="1:19" x14ac:dyDescent="0.2">
      <c r="E69" s="90"/>
    </row>
    <row r="70" spans="1:19" ht="20.25" x14ac:dyDescent="0.3">
      <c r="A70" s="152" t="s">
        <v>149</v>
      </c>
    </row>
    <row r="71" spans="1:19" ht="15.75" x14ac:dyDescent="0.25">
      <c r="A71" s="12" t="s">
        <v>13</v>
      </c>
      <c r="B71" s="265" t="str">
        <f>B40</f>
        <v>2022–2023</v>
      </c>
      <c r="C71" s="265"/>
      <c r="D71" s="20"/>
    </row>
    <row r="72" spans="1:19" ht="15.75" x14ac:dyDescent="0.25">
      <c r="A72" s="12" t="s">
        <v>210</v>
      </c>
      <c r="B72" s="280" t="str">
        <f>B41</f>
        <v>3600</v>
      </c>
      <c r="C72" s="280"/>
      <c r="D72" s="91"/>
    </row>
    <row r="73" spans="1:19" ht="15.75" x14ac:dyDescent="0.25">
      <c r="A73" s="12" t="s">
        <v>209</v>
      </c>
      <c r="B73" s="265" t="str">
        <f>B42</f>
        <v>Department of Fish and Wildlife</v>
      </c>
      <c r="C73" s="265"/>
      <c r="D73" s="55"/>
    </row>
    <row r="74" spans="1:19" ht="30" customHeight="1" x14ac:dyDescent="0.25">
      <c r="A74" s="293" t="s">
        <v>10</v>
      </c>
      <c r="B74" s="293"/>
      <c r="C74" s="293"/>
      <c r="D74" s="83"/>
      <c r="F74" s="5"/>
      <c r="G74" s="5"/>
      <c r="H74" s="5"/>
      <c r="I74" s="5"/>
      <c r="J74" s="5"/>
      <c r="K74" s="5"/>
      <c r="L74" s="5"/>
      <c r="M74" s="5"/>
      <c r="N74" s="5"/>
      <c r="O74" s="5"/>
      <c r="P74" s="5"/>
      <c r="Q74" s="5"/>
      <c r="R74" s="5"/>
      <c r="S74" s="5"/>
    </row>
    <row r="75" spans="1:19" ht="15.75" x14ac:dyDescent="0.25">
      <c r="A75" s="84"/>
      <c r="B75" s="85" t="s">
        <v>129</v>
      </c>
      <c r="C75" s="85" t="s">
        <v>128</v>
      </c>
      <c r="D75" s="92"/>
      <c r="E75" s="57" t="str">
        <f>"All of this worksheet's questions are for Fiscal Year "&amp;$B$9&amp;":"</f>
        <v>All of this worksheet's questions are for Fiscal Year 2022–2023:</v>
      </c>
    </row>
    <row r="76" spans="1:19" ht="15" customHeight="1" x14ac:dyDescent="0.2">
      <c r="A76" s="84" t="str">
        <f>RIGHT(B71,4)&amp;"–"&amp;RIGHT(B71,4)+1</f>
        <v>2023–2024</v>
      </c>
      <c r="B76" s="2"/>
      <c r="C76" s="2"/>
      <c r="D76" s="62"/>
      <c r="E76" s="269" t="s">
        <v>219</v>
      </c>
    </row>
    <row r="77" spans="1:19" x14ac:dyDescent="0.2">
      <c r="A77" s="84" t="str">
        <f>LEFT(A76,4)+1&amp;"–"&amp;RIGHT(A76,4)+1</f>
        <v>2024–2025</v>
      </c>
      <c r="B77" s="2"/>
      <c r="C77" s="2"/>
      <c r="D77" s="62"/>
      <c r="E77" s="269"/>
    </row>
    <row r="78" spans="1:19" x14ac:dyDescent="0.2">
      <c r="A78" s="84" t="str">
        <f>LEFT(A77,4)+1&amp;"–"&amp;RIGHT(A77,4)+1</f>
        <v>2025–2026</v>
      </c>
      <c r="B78" s="2"/>
      <c r="C78" s="2"/>
      <c r="D78" s="62"/>
      <c r="E78" s="269"/>
    </row>
    <row r="79" spans="1:19" x14ac:dyDescent="0.2">
      <c r="A79" s="84" t="str">
        <f>LEFT(A78,4)+1&amp;"–"&amp;RIGHT(A78,4)+1</f>
        <v>2026–2027</v>
      </c>
      <c r="B79" s="2"/>
      <c r="C79" s="2"/>
      <c r="D79" s="87"/>
      <c r="E79" s="269"/>
    </row>
    <row r="80" spans="1:19" x14ac:dyDescent="0.2">
      <c r="A80" s="84" t="str">
        <f>LEFT(A79,4)+1&amp;"–"&amp;RIGHT(A79,4)+1</f>
        <v>2027–2028</v>
      </c>
      <c r="B80" s="2"/>
      <c r="C80" s="2"/>
      <c r="D80" s="87"/>
      <c r="E80" s="98"/>
    </row>
    <row r="81" spans="1:5" x14ac:dyDescent="0.2">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
      <c r="C82" s="2"/>
      <c r="D82" s="62"/>
      <c r="E82" s="98"/>
    </row>
    <row r="83" spans="1:5" x14ac:dyDescent="0.2">
      <c r="A83" s="84" t="str">
        <f t="shared" si="2"/>
        <v>2038–2043</v>
      </c>
      <c r="B83" s="2"/>
      <c r="C83" s="2"/>
      <c r="D83" s="62"/>
      <c r="E83" s="269"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
      <c r="C84" s="2"/>
      <c r="D84" s="62"/>
      <c r="E84" s="269"/>
    </row>
    <row r="85" spans="1:5" ht="15" customHeight="1" x14ac:dyDescent="0.2">
      <c r="A85" s="84" t="str">
        <f t="shared" si="2"/>
        <v>2048–2053</v>
      </c>
      <c r="B85" s="2"/>
      <c r="C85" s="2"/>
      <c r="D85" s="62"/>
      <c r="E85" s="98"/>
    </row>
    <row r="86" spans="1:5" x14ac:dyDescent="0.2">
      <c r="A86" s="84" t="str">
        <f t="shared" si="2"/>
        <v>2053–2058</v>
      </c>
      <c r="B86" s="2"/>
      <c r="C86" s="2"/>
      <c r="D86" s="62"/>
      <c r="E86" s="59"/>
    </row>
    <row r="87" spans="1:5" x14ac:dyDescent="0.2">
      <c r="A87" s="84" t="str">
        <f t="shared" si="2"/>
        <v>2058–2063</v>
      </c>
      <c r="B87" s="2"/>
      <c r="C87" s="2"/>
      <c r="D87" s="62"/>
      <c r="E87" s="59"/>
    </row>
    <row r="88" spans="1:5" ht="15.75" x14ac:dyDescent="0.25">
      <c r="A88" s="84" t="str">
        <f t="shared" si="2"/>
        <v>2063–2068</v>
      </c>
      <c r="B88" s="2"/>
      <c r="C88" s="2"/>
      <c r="D88" s="62"/>
      <c r="E88" s="5"/>
    </row>
    <row r="89" spans="1:5" ht="15.75" x14ac:dyDescent="0.25">
      <c r="A89" s="84" t="str">
        <f t="shared" si="2"/>
        <v>2068–2073</v>
      </c>
      <c r="B89" s="2"/>
      <c r="C89" s="2"/>
      <c r="D89" s="62"/>
      <c r="E89" s="5"/>
    </row>
    <row r="90" spans="1:5" x14ac:dyDescent="0.2">
      <c r="A90" s="84" t="str">
        <f t="shared" si="2"/>
        <v>2073–2078</v>
      </c>
      <c r="B90" s="2"/>
      <c r="C90" s="2"/>
      <c r="D90" s="62"/>
      <c r="E90" s="11"/>
    </row>
    <row r="91" spans="1:5" x14ac:dyDescent="0.2">
      <c r="A91" s="84" t="str">
        <f t="shared" si="2"/>
        <v>2078–2083</v>
      </c>
      <c r="B91" s="2"/>
      <c r="C91" s="2"/>
      <c r="D91" s="62"/>
    </row>
    <row r="92" spans="1:5" x14ac:dyDescent="0.2">
      <c r="A92" s="84" t="str">
        <f t="shared" si="2"/>
        <v>2083–2088</v>
      </c>
      <c r="B92" s="2"/>
      <c r="C92" s="2"/>
      <c r="D92" s="62"/>
    </row>
    <row r="93" spans="1:5" x14ac:dyDescent="0.2">
      <c r="A93" s="84" t="str">
        <f t="shared" si="2"/>
        <v>2088–2093</v>
      </c>
      <c r="B93" s="2"/>
      <c r="C93" s="2"/>
      <c r="D93" s="62"/>
    </row>
    <row r="94" spans="1:5" ht="15.75" x14ac:dyDescent="0.25">
      <c r="A94" s="84" t="str">
        <f t="shared" si="2"/>
        <v>2093–2098</v>
      </c>
      <c r="B94" s="2"/>
      <c r="C94" s="2"/>
      <c r="D94" s="62"/>
      <c r="E94" s="12"/>
    </row>
    <row r="95" spans="1:5" ht="15.75" x14ac:dyDescent="0.25">
      <c r="A95" s="84" t="str">
        <f t="shared" si="2"/>
        <v>2098–2103</v>
      </c>
      <c r="B95" s="2"/>
      <c r="C95" s="2"/>
      <c r="D95" s="62"/>
      <c r="E95" s="12"/>
    </row>
    <row r="96" spans="1:5" ht="15.75" x14ac:dyDescent="0.25">
      <c r="A96" s="84" t="str">
        <f t="shared" si="2"/>
        <v>2103–2108</v>
      </c>
      <c r="B96" s="2"/>
      <c r="C96" s="2"/>
      <c r="D96" s="62"/>
      <c r="E96" s="12"/>
    </row>
    <row r="97" spans="1:4" x14ac:dyDescent="0.2">
      <c r="A97" s="84" t="str">
        <f t="shared" si="2"/>
        <v>2108–2113</v>
      </c>
      <c r="B97" s="2"/>
      <c r="C97" s="2"/>
      <c r="D97" s="62"/>
    </row>
    <row r="98" spans="1:4" x14ac:dyDescent="0.2">
      <c r="A98" s="84" t="str">
        <f t="shared" si="2"/>
        <v>2113–2118</v>
      </c>
      <c r="B98" s="2"/>
      <c r="C98" s="2"/>
      <c r="D98" s="62"/>
    </row>
    <row r="99" spans="1:4" x14ac:dyDescent="0.2">
      <c r="A99" s="84" t="str">
        <f t="shared" si="2"/>
        <v>2118–2123</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I0swTpth3ryM/gNJAHzUC7gSAvLODGzmPKhEpZnOHbo95Ed4e7/K+h5zCLPxqW1KA6PKikkGQXaHO0n+bXZ5ww==" saltValue="4k2HJUv75daUwik+6zkSJQ=="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activeCell="P3" sqref="P3"/>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1674</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1675</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1676</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25">
      <c r="A16" s="129"/>
      <c r="B16" s="130">
        <f>IF('LR-Fund 0447 Journal Entries'!$E$8="Governmental Fund",'LR-Fund 0447 Journal Entries'!$J$14,0)</f>
        <v>3931418</v>
      </c>
      <c r="C16" s="168" t="s">
        <v>156</v>
      </c>
      <c r="D16" s="130">
        <f>IF('LR-Fund 0447 Journal Entries'!$E$8="Governmental Fund",'LR-Fund 0447 Journal Entries'!$J$24,0)</f>
        <v>0</v>
      </c>
      <c r="E16" s="170" t="s">
        <v>157</v>
      </c>
      <c r="F16" s="130">
        <f>IF('LR-Fund 0447 Journal Entries'!$E$8="Governmental Fund",'LR-Fund 0447 Journal Entries'!$K$31,0)</f>
        <v>2044752</v>
      </c>
      <c r="G16" s="169" t="s">
        <v>157</v>
      </c>
      <c r="H16" s="130">
        <f>IF('LR-Fund 0447 Journal Entries'!$E$8="Governmental Fund",'LR-Fund 0447 Journal Entries'!$K$52,0)</f>
        <v>0</v>
      </c>
      <c r="I16" s="169" t="s">
        <v>156</v>
      </c>
      <c r="J16" s="130">
        <f>IF('LR-Fund 0447 Journal Entries'!$E$8="Governmental Fund",'LR-Fund 0447 Journal Entries'!$J$58,0)</f>
        <v>0</v>
      </c>
      <c r="K16" s="170" t="s">
        <v>160</v>
      </c>
      <c r="L16" s="133">
        <f>+B16+D16-F16-H16+J16</f>
        <v>1886666</v>
      </c>
      <c r="M16" s="132"/>
      <c r="N16" s="134">
        <f>SUM('LR-Department Note Disclosure'!B14:B37)</f>
        <v>1886666</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25">
      <c r="A24" s="129"/>
      <c r="B24" s="130">
        <f>IF('LR-Fund 0447 Journal Entries'!$E$8="Proprietary - Internal Service Fund",'LR-Fund 0447 Journal Entries'!$J$14,0)</f>
        <v>0</v>
      </c>
      <c r="C24" s="168" t="s">
        <v>156</v>
      </c>
      <c r="D24" s="130">
        <f>IF('LR-Fund 0447 Journal Entries'!$E$8="Proprietary - Internal Service Fund",'LR-Fund 0447 Journal Entries'!$J$24,0)</f>
        <v>0</v>
      </c>
      <c r="E24" s="170" t="s">
        <v>157</v>
      </c>
      <c r="F24" s="130">
        <f>IF('LR-Fund 0447 Journal Entries'!$E$8="Proprietary - Internal Service Fund",'LR-Fund 0447 Journal Entries'!$K$31,0)</f>
        <v>0</v>
      </c>
      <c r="G24" s="169" t="s">
        <v>157</v>
      </c>
      <c r="H24" s="130">
        <f>IF('LR-Fund 0447 Journal Entries'!$E$8="Proprietary - Internal Service Fund",'LR-Fund 0447 Journal Entries'!$K$52,0)</f>
        <v>0</v>
      </c>
      <c r="I24" s="169" t="s">
        <v>156</v>
      </c>
      <c r="J24" s="130">
        <f>IF('LR-Fund 0447 Journal Entries'!$E$8="Proprietary - Internal Service Fund",'LR-Fund 0447 Journal Entries'!$J$58,0)</f>
        <v>0</v>
      </c>
      <c r="K24" s="170" t="s">
        <v>160</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25">
      <c r="A33" s="129"/>
      <c r="B33" s="130">
        <f>IF('LR-Fund 0447 Journal Entries'!$E$8="Proprietary - Enterprise Fund",'LR-Fund 0447 Journal Entries'!$J$14,0)</f>
        <v>0</v>
      </c>
      <c r="C33" s="168" t="s">
        <v>156</v>
      </c>
      <c r="D33" s="130">
        <f>IF('LR-Fund 0447 Journal Entries'!$E$8="Proprietary - Enterprise Fund",'LR-Fund 0447 Journal Entries'!$J$24,0)</f>
        <v>0</v>
      </c>
      <c r="E33" s="170" t="s">
        <v>157</v>
      </c>
      <c r="F33" s="130">
        <f>IF('LR-Fund 0447 Journal Entries'!$E$8="Proprietary - Enterprise Fund",'LR-Fund 0447 Journal Entries'!$K$31,0)</f>
        <v>0</v>
      </c>
      <c r="G33" s="169" t="s">
        <v>157</v>
      </c>
      <c r="H33" s="130">
        <f>IF('LR-Fund 0447 Journal Entries'!$E$8="Proprietary - Enterprise Fund",'LR-Fund 0447 Journal Entries'!$K$52,0)</f>
        <v>0</v>
      </c>
      <c r="I33" s="169" t="s">
        <v>156</v>
      </c>
      <c r="J33" s="130">
        <f>IF('LR-Fund 0447 Journal Entries'!$E$8="Proprietary - Enterprise Fund",'LR-Fund 0447 Journal Entries'!$J$58,0)</f>
        <v>0</v>
      </c>
      <c r="K33" s="170" t="s">
        <v>160</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1678</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IF('LR-Fund 0447 Journal Entries'!$E$8="Governmental Fund",'LR-Fund 0447 Journal Entries'!$J$41,0)</f>
        <v>1353162</v>
      </c>
      <c r="C42" s="138"/>
      <c r="E42" s="138"/>
      <c r="G42" s="167"/>
      <c r="H42" s="167"/>
      <c r="I42" s="167"/>
      <c r="J42" s="167"/>
      <c r="K42" s="138"/>
      <c r="L42" s="138"/>
      <c r="M42" s="139"/>
      <c r="N42" s="134">
        <f>'LR-Department Note Disclosure'!B14</f>
        <v>1353162</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IF('LR-Fund 0447 Journal Entries'!$E$8="Proprietary - Internal Service Fund",'LR-Fund 0447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IF('LR-Fund 0447 Journal Entries'!$E$8="Proprietary - Enterprise Fund",'LR-Fund 0447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activeCell="N18" sqref="N18"/>
      <selection pane="bottomLeft" activeCell="N18" sqref="N18"/>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1805</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1799</v>
      </c>
      <c r="B11" s="240" t="s">
        <v>1732</v>
      </c>
      <c r="C11" s="240" t="s">
        <v>1733</v>
      </c>
      <c r="D11" s="240" t="s">
        <v>1733</v>
      </c>
      <c r="E11" s="240" t="s">
        <v>1840</v>
      </c>
      <c r="F11" s="240" t="s">
        <v>1802</v>
      </c>
    </row>
    <row r="12" spans="1:6" ht="28.5" x14ac:dyDescent="0.25">
      <c r="A12" s="240" t="s">
        <v>1799</v>
      </c>
      <c r="B12" s="240" t="s">
        <v>1750</v>
      </c>
      <c r="C12" s="240" t="s">
        <v>1735</v>
      </c>
      <c r="D12" s="240" t="s">
        <v>1742</v>
      </c>
      <c r="E12" s="240" t="s">
        <v>1748</v>
      </c>
      <c r="F12" s="240" t="s">
        <v>1749</v>
      </c>
    </row>
    <row r="13" spans="1:6" ht="71.25" x14ac:dyDescent="0.25">
      <c r="A13" s="240" t="s">
        <v>1799</v>
      </c>
      <c r="B13" s="240" t="s">
        <v>1751</v>
      </c>
      <c r="C13" s="240" t="s">
        <v>1734</v>
      </c>
      <c r="D13" s="240" t="s">
        <v>1735</v>
      </c>
      <c r="E13" s="240" t="s">
        <v>1736</v>
      </c>
      <c r="F13" s="240" t="s">
        <v>1737</v>
      </c>
    </row>
    <row r="14" spans="1:6" ht="42.75" x14ac:dyDescent="0.25">
      <c r="A14" s="240" t="s">
        <v>1799</v>
      </c>
      <c r="B14" s="240" t="s">
        <v>1738</v>
      </c>
      <c r="C14" s="240" t="s">
        <v>1735</v>
      </c>
      <c r="D14" s="240" t="s">
        <v>1743</v>
      </c>
      <c r="E14" s="240" t="s">
        <v>1739</v>
      </c>
      <c r="F14" s="240" t="s">
        <v>1740</v>
      </c>
    </row>
    <row r="15" spans="1:6" ht="42.75" x14ac:dyDescent="0.25">
      <c r="A15" s="240" t="s">
        <v>1799</v>
      </c>
      <c r="B15" s="240" t="s">
        <v>1741</v>
      </c>
      <c r="C15" s="240" t="s">
        <v>1735</v>
      </c>
      <c r="D15" s="240" t="s">
        <v>1747</v>
      </c>
      <c r="E15" s="240" t="s">
        <v>1793</v>
      </c>
      <c r="F15" s="240" t="s">
        <v>1737</v>
      </c>
    </row>
    <row r="16" spans="1:6" ht="28.5" x14ac:dyDescent="0.25">
      <c r="A16" s="240" t="s">
        <v>1799</v>
      </c>
      <c r="B16" s="240" t="s">
        <v>1752</v>
      </c>
      <c r="C16" s="240" t="s">
        <v>1735</v>
      </c>
      <c r="D16" s="240" t="s">
        <v>1803</v>
      </c>
      <c r="E16" s="240" t="s">
        <v>1753</v>
      </c>
      <c r="F16" s="240" t="s">
        <v>1737</v>
      </c>
    </row>
    <row r="17" spans="1:6" ht="85.5" x14ac:dyDescent="0.25">
      <c r="A17" s="240" t="s">
        <v>1799</v>
      </c>
      <c r="B17" s="240" t="s">
        <v>1754</v>
      </c>
      <c r="C17" s="240" t="s">
        <v>1755</v>
      </c>
      <c r="D17" s="240" t="s">
        <v>1756</v>
      </c>
      <c r="E17" s="240" t="s">
        <v>1795</v>
      </c>
      <c r="F17" s="240" t="s">
        <v>1804</v>
      </c>
    </row>
    <row r="18" spans="1:6" ht="99.75" x14ac:dyDescent="0.25">
      <c r="A18" s="240" t="s">
        <v>1799</v>
      </c>
      <c r="B18" s="240" t="s">
        <v>1796</v>
      </c>
      <c r="C18" s="240" t="s">
        <v>1759</v>
      </c>
      <c r="D18" s="240" t="s">
        <v>1863</v>
      </c>
      <c r="E18" s="240" t="s">
        <v>1797</v>
      </c>
      <c r="F18" s="240" t="s">
        <v>1737</v>
      </c>
    </row>
    <row r="19" spans="1:6" ht="28.5" x14ac:dyDescent="0.25">
      <c r="A19" s="240" t="s">
        <v>1799</v>
      </c>
      <c r="B19" s="240" t="s">
        <v>1876</v>
      </c>
      <c r="C19" s="240" t="s">
        <v>1879</v>
      </c>
      <c r="D19" s="240" t="s">
        <v>1877</v>
      </c>
      <c r="E19" s="240" t="s">
        <v>1878</v>
      </c>
      <c r="F19" s="240" t="s">
        <v>1737</v>
      </c>
    </row>
    <row r="20" spans="1:6" ht="28.5" x14ac:dyDescent="0.25">
      <c r="A20" s="240" t="s">
        <v>1799</v>
      </c>
      <c r="B20" s="240" t="s">
        <v>1765</v>
      </c>
      <c r="C20" s="240" t="s">
        <v>1735</v>
      </c>
      <c r="D20" s="240" t="s">
        <v>1864</v>
      </c>
      <c r="E20" s="240" t="s">
        <v>1806</v>
      </c>
      <c r="F20" s="240" t="s">
        <v>1737</v>
      </c>
    </row>
    <row r="21" spans="1:6" ht="114" x14ac:dyDescent="0.25">
      <c r="A21" s="240" t="s">
        <v>1800</v>
      </c>
      <c r="B21" s="240" t="s">
        <v>1783</v>
      </c>
      <c r="C21" s="240" t="s">
        <v>1784</v>
      </c>
      <c r="D21" s="240" t="s">
        <v>1784</v>
      </c>
      <c r="E21" s="240" t="s">
        <v>1808</v>
      </c>
      <c r="F21" s="240" t="s">
        <v>1771</v>
      </c>
    </row>
    <row r="22" spans="1:6" ht="42.75" x14ac:dyDescent="0.25">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activeCell="N18" sqref="N18"/>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19" ht="44.45" customHeight="1" x14ac:dyDescent="0.25">
      <c r="A1" s="256" t="s">
        <v>1666</v>
      </c>
      <c r="B1" s="256"/>
      <c r="C1" s="256"/>
      <c r="D1" s="256"/>
      <c r="E1" s="256"/>
      <c r="F1" s="256"/>
      <c r="G1" s="256"/>
      <c r="H1" s="256"/>
      <c r="I1" s="256"/>
      <c r="J1" s="256"/>
      <c r="K1" s="256"/>
      <c r="L1" s="151"/>
      <c r="M1" s="151"/>
      <c r="N1" s="151"/>
      <c r="O1" s="151"/>
    </row>
    <row r="2" spans="1:19" ht="15" customHeight="1" x14ac:dyDescent="0.25">
      <c r="A2" s="286" t="s">
        <v>0</v>
      </c>
      <c r="B2" s="286"/>
      <c r="C2" s="286"/>
      <c r="D2" s="286"/>
      <c r="E2" s="286"/>
      <c r="F2" s="286"/>
      <c r="G2" s="286"/>
      <c r="H2" s="286"/>
      <c r="I2" s="286"/>
      <c r="J2" s="286"/>
      <c r="K2" s="286"/>
      <c r="L2" s="165"/>
      <c r="M2" s="165"/>
      <c r="N2" s="165"/>
      <c r="O2" s="165"/>
    </row>
    <row r="3" spans="1:19" ht="15.75" x14ac:dyDescent="0.25">
      <c r="A3" s="257" t="s">
        <v>13</v>
      </c>
      <c r="B3" s="257"/>
      <c r="C3" s="257"/>
      <c r="D3" s="257"/>
      <c r="E3" s="257"/>
      <c r="F3" s="258" t="s">
        <v>24</v>
      </c>
      <c r="G3" s="258"/>
      <c r="H3" s="258"/>
      <c r="I3" s="258"/>
    </row>
    <row r="4" spans="1:19" ht="15.75" x14ac:dyDescent="0.2">
      <c r="A4" s="257" t="s">
        <v>209</v>
      </c>
      <c r="B4" s="257"/>
      <c r="C4" s="257"/>
      <c r="D4" s="257"/>
      <c r="E4" s="257"/>
      <c r="F4" s="259"/>
      <c r="G4" s="259"/>
      <c r="H4" s="259"/>
      <c r="I4" s="259"/>
      <c r="L4" s="39"/>
      <c r="M4" s="39"/>
      <c r="N4" s="39"/>
      <c r="O4" s="39"/>
      <c r="P4" s="39"/>
      <c r="Q4" s="39"/>
    </row>
    <row r="5" spans="1:19" ht="15.75" x14ac:dyDescent="0.2">
      <c r="A5" s="257" t="s">
        <v>1640</v>
      </c>
      <c r="B5" s="257"/>
      <c r="C5" s="257"/>
      <c r="D5" s="257"/>
      <c r="E5" s="257"/>
      <c r="F5" s="259"/>
      <c r="G5" s="259"/>
      <c r="H5" s="259"/>
      <c r="I5" s="259"/>
      <c r="L5" s="40"/>
      <c r="M5" s="40"/>
      <c r="N5" s="40"/>
      <c r="O5" s="40"/>
      <c r="P5" s="39"/>
      <c r="Q5" s="39"/>
    </row>
    <row r="6" spans="1:19" ht="18" x14ac:dyDescent="0.25">
      <c r="A6" s="257" t="s">
        <v>2</v>
      </c>
      <c r="B6" s="257"/>
      <c r="C6" s="257"/>
      <c r="D6" s="257"/>
      <c r="E6" s="257"/>
      <c r="F6" s="260"/>
      <c r="G6" s="260"/>
      <c r="H6" s="260"/>
      <c r="I6" s="260"/>
      <c r="K6" s="96"/>
      <c r="L6" s="40"/>
      <c r="M6" s="40"/>
      <c r="N6" s="40"/>
      <c r="O6" s="40"/>
      <c r="P6" s="39"/>
      <c r="Q6" s="39"/>
    </row>
    <row r="7" spans="1:19" ht="18" x14ac:dyDescent="0.25">
      <c r="A7" s="257" t="s">
        <v>3</v>
      </c>
      <c r="B7" s="257"/>
      <c r="C7" s="257"/>
      <c r="D7" s="257"/>
      <c r="E7" s="257"/>
      <c r="F7" s="260"/>
      <c r="G7" s="260"/>
      <c r="H7" s="260"/>
      <c r="I7" s="260"/>
      <c r="K7" s="96"/>
      <c r="L7" s="40"/>
      <c r="M7" s="40"/>
      <c r="N7" s="40"/>
      <c r="O7" s="40"/>
      <c r="P7" s="39"/>
      <c r="Q7" s="39"/>
    </row>
    <row r="8" spans="1:19" ht="18" x14ac:dyDescent="0.25">
      <c r="A8" s="257" t="s">
        <v>1641</v>
      </c>
      <c r="B8" s="257"/>
      <c r="C8" s="257"/>
      <c r="D8" s="257"/>
      <c r="E8" s="257"/>
      <c r="F8" s="260"/>
      <c r="G8" s="260"/>
      <c r="H8" s="260"/>
      <c r="I8" s="260"/>
      <c r="K8" s="96"/>
      <c r="L8" s="40"/>
      <c r="M8" s="40"/>
      <c r="N8" s="40"/>
      <c r="O8" s="40"/>
      <c r="P8" s="39"/>
      <c r="Q8" s="39"/>
    </row>
    <row r="9" spans="1:19" ht="15.75" x14ac:dyDescent="0.25">
      <c r="A9" s="257" t="s">
        <v>1639</v>
      </c>
      <c r="B9" s="257"/>
      <c r="C9" s="257"/>
      <c r="D9" s="257"/>
      <c r="E9" s="257"/>
      <c r="F9" s="261" t="str">
        <f>IFERROR(IF(F7="Proprietary","Proprietary Fund",VLOOKUP(F5,qryIndex02a!$A$2:$K$654,4,FALSE)),"Unidentified")</f>
        <v>Unidentified</v>
      </c>
      <c r="G9" s="261"/>
      <c r="H9" s="261"/>
      <c r="I9" s="261"/>
      <c r="J9" s="21"/>
      <c r="K9" s="39"/>
      <c r="L9" s="39"/>
      <c r="M9" s="39"/>
      <c r="N9" s="39"/>
      <c r="O9" s="39"/>
      <c r="P9" s="39"/>
      <c r="Q9" s="39"/>
    </row>
    <row r="10" spans="1:19" ht="15.75" x14ac:dyDescent="0.25">
      <c r="A10" s="38"/>
      <c r="B10" s="38"/>
      <c r="C10" s="38"/>
      <c r="D10" s="38"/>
      <c r="E10" s="38"/>
      <c r="F10" s="39"/>
      <c r="G10" s="39"/>
      <c r="H10" s="41"/>
      <c r="I10" s="39"/>
      <c r="J10" s="39"/>
      <c r="K10" s="39"/>
      <c r="L10" s="39"/>
      <c r="M10" s="39"/>
      <c r="N10" s="39"/>
      <c r="O10" s="39"/>
      <c r="P10" s="39"/>
      <c r="Q10" s="39"/>
    </row>
    <row r="11" spans="1:19" ht="15.75" x14ac:dyDescent="0.25">
      <c r="A11" s="38"/>
      <c r="B11" s="38"/>
      <c r="C11" s="38"/>
      <c r="D11" s="38"/>
      <c r="E11" s="40"/>
      <c r="F11" s="39"/>
      <c r="G11" s="39"/>
      <c r="H11" s="41"/>
      <c r="I11" s="39"/>
      <c r="J11" s="39"/>
      <c r="K11" s="39"/>
      <c r="L11" s="39"/>
      <c r="M11" s="39"/>
      <c r="N11" s="39"/>
      <c r="O11" s="39"/>
      <c r="P11" s="39"/>
      <c r="Q11" s="39"/>
    </row>
    <row r="12" spans="1:19" s="178" customFormat="1" ht="21" customHeight="1" x14ac:dyDescent="0.3">
      <c r="A12" s="172" t="s">
        <v>1855</v>
      </c>
      <c r="B12" s="173"/>
      <c r="C12" s="174"/>
      <c r="D12" s="174"/>
      <c r="E12" s="174"/>
      <c r="F12" s="175"/>
      <c r="G12" s="175"/>
      <c r="H12" s="176"/>
      <c r="I12" s="176"/>
      <c r="J12" s="175"/>
      <c r="K12" s="175"/>
      <c r="L12" s="39"/>
      <c r="M12" s="39"/>
      <c r="N12" s="177"/>
      <c r="O12" s="177"/>
      <c r="P12" s="177"/>
    </row>
    <row r="13" spans="1:19" s="188" customFormat="1" ht="16.5" customHeight="1" x14ac:dyDescent="0.25">
      <c r="A13" s="203" t="s">
        <v>4</v>
      </c>
      <c r="B13" s="205"/>
      <c r="C13" s="191"/>
      <c r="D13" s="191"/>
      <c r="E13" s="191"/>
      <c r="F13" s="192"/>
      <c r="G13" s="192"/>
      <c r="H13" s="182"/>
      <c r="I13" s="182"/>
      <c r="J13" s="187"/>
      <c r="K13" s="187"/>
    </row>
    <row r="14" spans="1:19" s="188" customFormat="1" ht="16.5" customHeight="1" x14ac:dyDescent="0.3">
      <c r="A14" s="184">
        <v>0</v>
      </c>
      <c r="B14" s="215" t="s">
        <v>1857</v>
      </c>
      <c r="C14" s="191"/>
      <c r="D14" s="191"/>
      <c r="E14" s="191"/>
      <c r="F14" s="192"/>
      <c r="G14" s="192"/>
      <c r="H14" s="182"/>
      <c r="I14" s="182"/>
      <c r="J14" s="187"/>
      <c r="K14" s="187"/>
      <c r="M14" s="262" t="s">
        <v>1671</v>
      </c>
      <c r="N14" s="263"/>
      <c r="P14" s="262" t="s">
        <v>1668</v>
      </c>
      <c r="Q14" s="263"/>
      <c r="S14" s="222" t="s">
        <v>1669</v>
      </c>
    </row>
    <row r="15" spans="1:19" ht="16.5" customHeight="1" x14ac:dyDescent="0.25">
      <c r="B15" s="26" t="s">
        <v>194</v>
      </c>
      <c r="C15" s="193"/>
      <c r="D15" s="193"/>
      <c r="E15" s="193"/>
      <c r="F15" s="194"/>
      <c r="G15" s="194"/>
      <c r="H15" s="195"/>
      <c r="I15" s="195"/>
      <c r="J15" s="248">
        <f>M15</f>
        <v>0</v>
      </c>
      <c r="M15" s="196"/>
      <c r="P15" s="196"/>
      <c r="Q15" s="224"/>
      <c r="S15" s="223">
        <f>P15-M15</f>
        <v>0</v>
      </c>
    </row>
    <row r="16" spans="1:19" ht="16.5" customHeight="1" x14ac:dyDescent="0.25">
      <c r="A16" s="99"/>
      <c r="B16" s="26" t="s">
        <v>195</v>
      </c>
      <c r="C16" s="193"/>
      <c r="D16" s="193"/>
      <c r="E16" s="193"/>
      <c r="F16" s="194"/>
      <c r="G16" s="194"/>
      <c r="H16" s="195"/>
      <c r="I16" s="195"/>
      <c r="J16" s="248">
        <f>M16</f>
        <v>0</v>
      </c>
      <c r="M16" s="196"/>
      <c r="P16" s="196"/>
      <c r="Q16" s="224"/>
      <c r="S16" s="223">
        <f>P16-M16</f>
        <v>0</v>
      </c>
    </row>
    <row r="17" spans="1:19" ht="16.5" customHeight="1" x14ac:dyDescent="0.25">
      <c r="A17" s="99"/>
      <c r="B17" s="26" t="s">
        <v>196</v>
      </c>
      <c r="C17" s="193"/>
      <c r="D17" s="193"/>
      <c r="E17" s="193"/>
      <c r="F17" s="194"/>
      <c r="G17" s="194"/>
      <c r="H17" s="195"/>
      <c r="I17" s="195"/>
      <c r="J17" s="248">
        <f>M17</f>
        <v>0</v>
      </c>
      <c r="M17" s="196"/>
      <c r="P17" s="196"/>
      <c r="Q17" s="224"/>
      <c r="S17" s="223">
        <f>P17-M17</f>
        <v>0</v>
      </c>
    </row>
    <row r="18" spans="1:19" ht="16.5" customHeight="1" x14ac:dyDescent="0.25">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25">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25">
      <c r="A20" s="99"/>
      <c r="B20" s="217"/>
      <c r="C20" s="26" t="s">
        <v>192</v>
      </c>
      <c r="D20" s="193"/>
      <c r="E20" s="193"/>
      <c r="F20" s="218"/>
      <c r="G20" s="218"/>
      <c r="H20" s="195"/>
      <c r="I20" s="195"/>
      <c r="J20" s="213"/>
      <c r="K20" s="247"/>
      <c r="P20" s="224"/>
      <c r="Q20" s="224"/>
    </row>
    <row r="21" spans="1:19" ht="16.5" customHeight="1" x14ac:dyDescent="0.25">
      <c r="A21" s="99"/>
      <c r="B21" s="217"/>
      <c r="C21" s="26" t="s">
        <v>193</v>
      </c>
      <c r="D21" s="193"/>
      <c r="E21" s="193"/>
      <c r="F21" s="218"/>
      <c r="G21" s="218"/>
      <c r="H21" s="195"/>
      <c r="I21" s="195"/>
      <c r="J21" s="213"/>
      <c r="K21" s="248">
        <f>N21</f>
        <v>0</v>
      </c>
      <c r="N21" s="196"/>
      <c r="P21" s="224"/>
      <c r="Q21" s="196"/>
      <c r="S21" s="223">
        <f>Q21-N21</f>
        <v>0</v>
      </c>
    </row>
    <row r="22" spans="1:19" ht="16.5" customHeight="1" x14ac:dyDescent="0.25">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25">
      <c r="A23" s="99"/>
      <c r="B23" s="217"/>
      <c r="C23" s="26" t="s">
        <v>191</v>
      </c>
      <c r="D23" s="193"/>
      <c r="E23" s="193"/>
      <c r="F23" s="218"/>
      <c r="G23" s="218"/>
      <c r="H23" s="195"/>
      <c r="I23" s="195"/>
      <c r="J23" s="213"/>
      <c r="K23" s="248">
        <f>N23</f>
        <v>0</v>
      </c>
      <c r="N23" s="196"/>
      <c r="P23" s="224"/>
      <c r="Q23" s="196"/>
      <c r="S23" s="223">
        <f t="shared" si="0"/>
        <v>0</v>
      </c>
    </row>
    <row r="24" spans="1:19" ht="16.5" customHeight="1" x14ac:dyDescent="0.25">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25">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25">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25">
      <c r="A27" s="1"/>
      <c r="B27" s="26"/>
      <c r="C27" s="50"/>
      <c r="D27" s="47"/>
      <c r="E27" s="47"/>
      <c r="F27" s="48"/>
      <c r="G27" s="48"/>
      <c r="H27" s="49"/>
      <c r="I27" s="49"/>
      <c r="J27" s="155"/>
      <c r="K27" s="155"/>
      <c r="L27" s="21"/>
    </row>
    <row r="28" spans="1:19" ht="16.5" customHeight="1" x14ac:dyDescent="0.25">
      <c r="A28" s="1"/>
      <c r="B28" s="26"/>
      <c r="C28" s="50"/>
      <c r="D28" s="47"/>
      <c r="E28" s="47"/>
      <c r="F28" s="48"/>
      <c r="G28" s="48"/>
      <c r="H28" s="49"/>
      <c r="I28" s="49"/>
      <c r="J28" s="46"/>
      <c r="K28" s="46"/>
      <c r="L28" s="21"/>
    </row>
    <row r="29" spans="1:19" s="178" customFormat="1" ht="21" customHeight="1" x14ac:dyDescent="0.3">
      <c r="A29" s="172" t="s">
        <v>1858</v>
      </c>
      <c r="B29" s="173"/>
      <c r="C29" s="174"/>
      <c r="D29" s="174"/>
      <c r="E29" s="174"/>
      <c r="F29" s="175"/>
      <c r="G29" s="175"/>
      <c r="H29" s="176"/>
      <c r="I29" s="176"/>
      <c r="J29" s="175"/>
      <c r="K29" s="175"/>
      <c r="L29" s="39"/>
      <c r="M29" s="39"/>
      <c r="N29" s="177"/>
      <c r="O29" s="177"/>
      <c r="P29" s="177"/>
    </row>
    <row r="30" spans="1:19" s="188" customFormat="1" ht="16.5" customHeight="1" x14ac:dyDescent="0.3">
      <c r="A30" s="184">
        <v>1</v>
      </c>
      <c r="B30" s="215" t="s">
        <v>1859</v>
      </c>
      <c r="C30" s="191"/>
      <c r="D30" s="191"/>
      <c r="E30" s="191"/>
      <c r="F30" s="192"/>
      <c r="G30" s="192"/>
      <c r="H30" s="182"/>
      <c r="I30" s="182"/>
      <c r="J30" s="187"/>
      <c r="K30" s="187"/>
    </row>
    <row r="31" spans="1:19" ht="16.5" customHeight="1" x14ac:dyDescent="0.25">
      <c r="B31" s="26" t="s">
        <v>197</v>
      </c>
      <c r="C31" s="193"/>
      <c r="D31" s="193"/>
      <c r="E31" s="193"/>
      <c r="F31" s="194"/>
      <c r="G31" s="194"/>
      <c r="H31" s="195"/>
      <c r="I31" s="195"/>
      <c r="J31" s="196"/>
      <c r="K31" s="219"/>
    </row>
    <row r="32" spans="1:19" ht="16.5" customHeight="1" x14ac:dyDescent="0.25">
      <c r="A32" s="99"/>
      <c r="B32" s="193"/>
      <c r="C32" s="26" t="s">
        <v>1861</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140</v>
      </c>
      <c r="C36" s="191"/>
      <c r="D36" s="191"/>
      <c r="E36" s="191"/>
      <c r="F36" s="192"/>
      <c r="G36" s="192"/>
      <c r="H36" s="182"/>
      <c r="I36" s="182"/>
      <c r="J36" s="187"/>
      <c r="K36" s="187"/>
    </row>
    <row r="37" spans="1:16" ht="16.5" customHeight="1" x14ac:dyDescent="0.25">
      <c r="B37" s="26" t="s">
        <v>194</v>
      </c>
      <c r="C37" s="193"/>
      <c r="D37" s="193"/>
      <c r="E37" s="193"/>
      <c r="F37" s="194"/>
      <c r="G37" s="194"/>
      <c r="H37" s="195"/>
      <c r="I37" s="195"/>
      <c r="J37" s="196"/>
      <c r="K37" s="216"/>
    </row>
    <row r="38" spans="1:16" ht="16.5" customHeight="1" x14ac:dyDescent="0.25">
      <c r="A38" s="99"/>
      <c r="B38" s="26" t="s">
        <v>195</v>
      </c>
      <c r="C38" s="193"/>
      <c r="D38" s="193"/>
      <c r="E38" s="193"/>
      <c r="F38" s="194"/>
      <c r="G38" s="194"/>
      <c r="H38" s="195"/>
      <c r="I38" s="195"/>
      <c r="J38" s="196"/>
      <c r="K38" s="216"/>
    </row>
    <row r="39" spans="1:16" ht="16.5" customHeight="1" x14ac:dyDescent="0.25">
      <c r="A39" s="99"/>
      <c r="B39" s="26" t="s">
        <v>196</v>
      </c>
      <c r="C39" s="193"/>
      <c r="D39" s="193"/>
      <c r="E39" s="193"/>
      <c r="F39" s="194"/>
      <c r="G39" s="194"/>
      <c r="H39" s="195"/>
      <c r="I39" s="195"/>
      <c r="J39" s="196"/>
      <c r="K39" s="216"/>
    </row>
    <row r="40" spans="1:16" ht="16.5" customHeight="1" x14ac:dyDescent="0.25">
      <c r="A40" s="99"/>
      <c r="B40" s="217"/>
      <c r="C40" s="26" t="s">
        <v>198</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137</v>
      </c>
      <c r="C43" s="191"/>
      <c r="D43" s="191"/>
      <c r="E43" s="191"/>
      <c r="F43" s="192"/>
      <c r="G43" s="192"/>
      <c r="H43" s="182"/>
      <c r="I43" s="182"/>
      <c r="J43" s="187"/>
      <c r="K43" s="187"/>
    </row>
    <row r="44" spans="1:16" ht="16.5" customHeight="1" x14ac:dyDescent="0.25">
      <c r="B44" s="26" t="s">
        <v>1862</v>
      </c>
      <c r="C44" s="193"/>
      <c r="D44" s="193"/>
      <c r="E44" s="193"/>
      <c r="F44" s="194"/>
      <c r="G44" s="194"/>
      <c r="H44" s="195"/>
      <c r="I44" s="195"/>
      <c r="J44" s="196"/>
      <c r="K44" s="216"/>
    </row>
    <row r="45" spans="1:16" ht="16.5" customHeight="1" x14ac:dyDescent="0.25">
      <c r="A45" s="99"/>
      <c r="B45" s="193"/>
      <c r="C45" s="26" t="s">
        <v>1642</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1856</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138</v>
      </c>
      <c r="C49" s="191"/>
      <c r="D49" s="191"/>
      <c r="E49" s="191"/>
      <c r="F49" s="192"/>
      <c r="G49" s="192"/>
      <c r="H49" s="182"/>
      <c r="I49" s="182"/>
      <c r="J49" s="187"/>
      <c r="K49" s="187"/>
    </row>
    <row r="50" spans="1:12" ht="16.5" customHeight="1" x14ac:dyDescent="0.25">
      <c r="A50" s="99"/>
      <c r="B50" s="26" t="s">
        <v>200</v>
      </c>
      <c r="C50" s="53"/>
      <c r="D50" s="193"/>
      <c r="E50" s="193"/>
      <c r="F50" s="194"/>
      <c r="G50" s="194"/>
      <c r="H50" s="195"/>
      <c r="I50" s="195"/>
      <c r="J50" s="196"/>
      <c r="K50" s="216"/>
    </row>
    <row r="51" spans="1:12" ht="16.5" customHeight="1" x14ac:dyDescent="0.25">
      <c r="A51" s="99"/>
      <c r="B51" s="53"/>
      <c r="C51" s="26" t="s">
        <v>190</v>
      </c>
      <c r="D51" s="193"/>
      <c r="E51" s="193"/>
      <c r="F51" s="194"/>
      <c r="G51" s="194"/>
      <c r="H51" s="195"/>
      <c r="I51" s="195"/>
      <c r="J51" s="219"/>
      <c r="K51" s="196"/>
    </row>
    <row r="52" spans="1:12" ht="16.5" customHeight="1" x14ac:dyDescent="0.25">
      <c r="A52" s="99"/>
      <c r="B52" s="53"/>
      <c r="C52" s="26" t="s">
        <v>193</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1860</v>
      </c>
      <c r="C55" s="191"/>
      <c r="D55" s="191"/>
      <c r="E55" s="191"/>
      <c r="F55" s="192"/>
      <c r="G55" s="192"/>
      <c r="H55" s="182"/>
      <c r="I55" s="182"/>
      <c r="J55" s="187"/>
      <c r="K55" s="187"/>
    </row>
    <row r="56" spans="1:12" ht="16.5" customHeight="1" x14ac:dyDescent="0.25">
      <c r="B56" s="26" t="s">
        <v>201</v>
      </c>
      <c r="C56" s="193"/>
      <c r="D56" s="193"/>
      <c r="E56" s="193"/>
      <c r="F56" s="194"/>
      <c r="G56" s="194"/>
      <c r="H56" s="195"/>
      <c r="I56" s="195"/>
      <c r="J56" s="196"/>
      <c r="K56" s="220"/>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134</v>
      </c>
      <c r="C61" s="191"/>
      <c r="D61" s="191"/>
      <c r="E61" s="191"/>
      <c r="F61" s="192"/>
      <c r="G61" s="192"/>
      <c r="H61" s="182"/>
      <c r="I61" s="182"/>
      <c r="J61" s="187"/>
      <c r="K61" s="187"/>
    </row>
    <row r="62" spans="1:12" ht="16.5" customHeight="1" x14ac:dyDescent="0.25">
      <c r="B62" s="26" t="s">
        <v>1643</v>
      </c>
      <c r="C62" s="193"/>
      <c r="D62" s="193"/>
      <c r="E62" s="193"/>
      <c r="F62" s="194"/>
      <c r="G62" s="194"/>
      <c r="H62" s="195"/>
      <c r="I62" s="195"/>
      <c r="J62" s="196"/>
      <c r="K62" s="220"/>
    </row>
    <row r="63" spans="1:12" ht="16.5" customHeight="1" x14ac:dyDescent="0.25">
      <c r="A63" s="99"/>
      <c r="B63" s="193"/>
      <c r="C63" s="26" t="s">
        <v>203</v>
      </c>
      <c r="D63" s="193"/>
      <c r="E63" s="193"/>
      <c r="F63" s="194"/>
      <c r="G63" s="194"/>
      <c r="H63" s="195"/>
      <c r="I63" s="195"/>
      <c r="J63" s="220"/>
      <c r="K63" s="196"/>
    </row>
    <row r="64" spans="1:12" ht="16.5" customHeight="1" x14ac:dyDescent="0.25">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135</v>
      </c>
      <c r="C66" s="191"/>
      <c r="D66" s="191"/>
      <c r="E66" s="191"/>
      <c r="F66" s="192"/>
      <c r="G66" s="192"/>
      <c r="H66" s="182"/>
      <c r="I66" s="182"/>
      <c r="J66" s="187"/>
      <c r="K66" s="187"/>
    </row>
    <row r="67" spans="1:12" ht="16.5" customHeight="1" x14ac:dyDescent="0.25">
      <c r="B67" s="26" t="s">
        <v>1643</v>
      </c>
      <c r="C67" s="193"/>
      <c r="D67" s="193"/>
      <c r="E67" s="193"/>
      <c r="F67" s="194"/>
      <c r="G67" s="194"/>
      <c r="H67" s="195"/>
      <c r="I67" s="195"/>
      <c r="J67" s="196"/>
      <c r="K67" s="220"/>
    </row>
    <row r="68" spans="1:12" ht="16.5" customHeight="1" x14ac:dyDescent="0.25">
      <c r="A68" s="99"/>
      <c r="B68" s="193"/>
      <c r="C68" s="26" t="s">
        <v>1875</v>
      </c>
      <c r="D68" s="193"/>
      <c r="E68" s="193"/>
      <c r="F68" s="194"/>
      <c r="G68" s="194"/>
      <c r="H68" s="195"/>
      <c r="I68" s="195"/>
      <c r="J68" s="220"/>
      <c r="K68" s="196"/>
    </row>
    <row r="69" spans="1:12" ht="16.5" customHeight="1" x14ac:dyDescent="0.2">
      <c r="A69" s="99"/>
      <c r="B69" s="295" t="s">
        <v>1841</v>
      </c>
      <c r="C69" s="295"/>
      <c r="D69" s="295"/>
      <c r="E69" s="295"/>
      <c r="F69" s="295"/>
      <c r="G69" s="295"/>
      <c r="H69" s="295"/>
      <c r="I69" s="295"/>
      <c r="J69" s="155">
        <f>SUM(J67:J68)</f>
        <v>0</v>
      </c>
      <c r="K69" s="155">
        <f>SUM(K67:K68)</f>
        <v>0</v>
      </c>
      <c r="L69" s="21" t="str">
        <f>IF(J69=K69,"&lt;- Debits and Credits equal each other.","&lt;- Debits and Credits do not equal each other.")</f>
        <v>&lt;- Debits and Credits equal each other.</v>
      </c>
    </row>
    <row r="70" spans="1:12" ht="19.899999999999999" customHeight="1" x14ac:dyDescent="0.25">
      <c r="A70" s="99"/>
      <c r="B70" s="295"/>
      <c r="C70" s="295"/>
      <c r="D70" s="295"/>
      <c r="E70" s="295"/>
      <c r="F70" s="295"/>
      <c r="G70" s="295"/>
      <c r="H70" s="295"/>
      <c r="I70" s="295"/>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1712</v>
      </c>
      <c r="E75" s="230"/>
      <c r="F75" s="231"/>
      <c r="G75" s="231"/>
      <c r="H75" s="231"/>
      <c r="I75" s="232"/>
      <c r="J75" s="232"/>
      <c r="K75" s="233"/>
    </row>
    <row r="76" spans="1:12" ht="16.5" customHeight="1" x14ac:dyDescent="0.25">
      <c r="H76" s="37"/>
      <c r="K76" s="239" t="s">
        <v>1711</v>
      </c>
    </row>
    <row r="77" spans="1:12" ht="16.5" customHeight="1" x14ac:dyDescent="0.25">
      <c r="D77" s="193" t="s">
        <v>1717</v>
      </c>
      <c r="H77" s="37"/>
      <c r="K77" s="238">
        <f>J15+J37</f>
        <v>0</v>
      </c>
    </row>
    <row r="78" spans="1:12" ht="16.5" customHeight="1" x14ac:dyDescent="0.25">
      <c r="D78" s="193" t="s">
        <v>1718</v>
      </c>
      <c r="H78" s="37"/>
      <c r="K78" s="238">
        <f>J16+J38</f>
        <v>0</v>
      </c>
    </row>
    <row r="79" spans="1:12" ht="16.5" customHeight="1" x14ac:dyDescent="0.25">
      <c r="D79" s="193" t="s">
        <v>1719</v>
      </c>
      <c r="H79" s="37"/>
      <c r="K79" s="238">
        <f>J17+J39</f>
        <v>0</v>
      </c>
    </row>
    <row r="80" spans="1:12" ht="16.5" customHeight="1" x14ac:dyDescent="0.25">
      <c r="D80" s="193" t="s">
        <v>1720</v>
      </c>
      <c r="H80" s="37"/>
      <c r="K80" s="238">
        <f>-K21-K52</f>
        <v>0</v>
      </c>
    </row>
    <row r="81" spans="4:11" ht="15.75" x14ac:dyDescent="0.25">
      <c r="D81" s="193" t="s">
        <v>1721</v>
      </c>
      <c r="H81" s="37"/>
      <c r="K81" s="238">
        <f>-K22-K51</f>
        <v>0</v>
      </c>
    </row>
    <row r="82" spans="4:11" ht="16.5" customHeight="1" x14ac:dyDescent="0.25">
      <c r="D82" s="193" t="s">
        <v>1722</v>
      </c>
      <c r="H82" s="37"/>
      <c r="K82" s="238">
        <f>-K23-K45+J62+J67</f>
        <v>0</v>
      </c>
    </row>
    <row r="83" spans="4:11" ht="16.5" customHeight="1" x14ac:dyDescent="0.25">
      <c r="D83" s="193" t="s">
        <v>1880</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H9IpoFgQcUW2B+Tew2WILNq0K/sSKia8hqAPANvXHUaxIjWqyIre3JIKveI539mIGaymJIerhKuoLa0vIqatvQ==" saltValue="GT36hzkJGBmNn/fIDfbURQ=="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election activeCell="N18" sqref="N18"/>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",'FP-Fund #### Journal Entries'!F3)</f>
        <v>FY 2022–2023</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6" t="s">
        <v>1688</v>
      </c>
      <c r="I8" s="73"/>
      <c r="J8" s="226" t="s">
        <v>1689</v>
      </c>
      <c r="K8" s="73"/>
      <c r="L8" s="225"/>
      <c r="M8" s="73"/>
      <c r="N8" s="226" t="s">
        <v>1687</v>
      </c>
      <c r="O8" s="73"/>
      <c r="P8" s="225"/>
      <c r="Q8" s="71"/>
    </row>
    <row r="9" spans="2:17" x14ac:dyDescent="0.25">
      <c r="B9" s="69"/>
      <c r="C9" s="73" t="s">
        <v>19</v>
      </c>
      <c r="Q9" s="71"/>
    </row>
    <row r="10" spans="2:17" ht="36.75" thickBot="1" x14ac:dyDescent="0.3">
      <c r="B10" s="69"/>
      <c r="D10" s="75" t="s">
        <v>21</v>
      </c>
      <c r="F10" s="104"/>
      <c r="G10" s="103"/>
      <c r="H10" s="104"/>
      <c r="I10" s="103"/>
      <c r="J10" s="104"/>
      <c r="K10" s="103"/>
      <c r="L10" s="103">
        <f>SUM(F10+H10-J10)</f>
        <v>0</v>
      </c>
      <c r="M10" s="103"/>
      <c r="N10" s="104"/>
      <c r="O10" s="103"/>
      <c r="P10" s="103">
        <f>L10-N10</f>
        <v>0</v>
      </c>
      <c r="Q10" s="71"/>
    </row>
    <row r="11" spans="2:17" ht="19.5" thickTop="1" thickBot="1" x14ac:dyDescent="0.3">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36.75" thickBot="1" x14ac:dyDescent="0.3">
      <c r="B14" s="69"/>
      <c r="D14" s="75" t="s">
        <v>21</v>
      </c>
      <c r="F14" s="104"/>
      <c r="G14" s="103"/>
      <c r="H14" s="104"/>
      <c r="I14" s="103"/>
      <c r="J14" s="104"/>
      <c r="K14" s="103"/>
      <c r="L14" s="103">
        <f>SUM(F14+H14-J14)</f>
        <v>0</v>
      </c>
      <c r="M14" s="103"/>
      <c r="N14" s="104"/>
      <c r="O14" s="103"/>
      <c r="P14" s="103">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36.75" thickBot="1" x14ac:dyDescent="0.3">
      <c r="B18" s="69"/>
      <c r="D18" s="75" t="s">
        <v>21</v>
      </c>
      <c r="F18" s="104"/>
      <c r="G18" s="103"/>
      <c r="H18" s="104"/>
      <c r="I18" s="103"/>
      <c r="J18" s="104"/>
      <c r="K18" s="103"/>
      <c r="L18" s="103">
        <f>SUM(F18+H18-J18)</f>
        <v>0</v>
      </c>
      <c r="M18" s="103"/>
      <c r="N18" s="104"/>
      <c r="O18" s="103"/>
      <c r="P18" s="103">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206E0B4C-17B4-44EA-AE00-38D4F0381B58}"/>
</file>

<file path=customXml/itemProps2.xml><?xml version="1.0" encoding="utf-8"?>
<ds:datastoreItem xmlns:ds="http://schemas.openxmlformats.org/officeDocument/2006/customXml" ds:itemID="{37E08DD9-BD46-421F-B342-FD045274A6E8}"/>
</file>

<file path=customXml/itemProps3.xml><?xml version="1.0" encoding="utf-8"?>
<ds:datastoreItem xmlns:ds="http://schemas.openxmlformats.org/officeDocument/2006/customXml" ds:itemID="{6AF7493E-CE39-4432-8E45-2E520DA1A0D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LS-Version Changes</vt:lpstr>
      <vt:lpstr>LS-Fund 0200 Journal Entries</vt:lpstr>
      <vt:lpstr>LS-Department Note Disclosure</vt:lpstr>
      <vt:lpstr>LS-Lease Liabilities</vt:lpstr>
      <vt:lpstr>LS-Check Figures  </vt:lpstr>
      <vt:lpstr>LR-Version Changes</vt:lpstr>
      <vt:lpstr>LR-Fund 0447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0447 Journal Entries'!Print_Area</vt:lpstr>
      <vt:lpstr>'LS-Department Note Disclosure'!Print_Area</vt:lpstr>
      <vt:lpstr>'LS-Fund 0200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cp:lastPrinted>2024-04-23T17:55:15Z</cp:lastPrinted>
  <dcterms:created xsi:type="dcterms:W3CDTF">2023-03-08T17:19:33Z</dcterms:created>
  <dcterms:modified xsi:type="dcterms:W3CDTF">2024-06-24T18:07:28Z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3422900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