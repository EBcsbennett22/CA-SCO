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Completed Templates/Lessor/"/>
    </mc:Choice>
  </mc:AlternateContent>
  <xr:revisionPtr revIDLastSave="10" documentId="8_{24B72CC8-D922-4C18-B81D-41473D77CDF0}" xr6:coauthVersionLast="47" xr6:coauthVersionMax="47" xr10:uidLastSave="{C95E612C-6676-4529-87C9-F8795238650E}"/>
  <bookViews>
    <workbookView xWindow="-108" yWindow="-108" windowWidth="23256" windowHeight="12720" firstSheet="8" activeTab="8" xr2:uid="{7DBBF11A-19A4-49EE-A7AA-3FEEB711F9E7}"/>
  </bookViews>
  <sheets>
    <sheet name="LS-Fund 0042 Journal Entries" sheetId="1" state="hidden" r:id="rId1"/>
    <sheet name="LS-Fund 0046 Journal Entrie" sheetId="2" state="hidden" r:id="rId2"/>
    <sheet name="LS-Fund 3290 Journal Entrie" sheetId="3" state="hidden" r:id="rId3"/>
    <sheet name="LS-Fund 3291 Journal Entrie" sheetId="4" state="hidden" r:id="rId4"/>
    <sheet name="LS-Fund 6072 Journal Entrie " sheetId="5" state="hidden" r:id="rId5"/>
    <sheet name="LS-Department Note Disclosure" sheetId="6" state="hidden" r:id="rId6"/>
    <sheet name="LS-Lease Liabilities" sheetId="7" state="hidden" r:id="rId7"/>
    <sheet name="LS-Check Figures  " sheetId="8" state="hidden" r:id="rId8"/>
    <sheet name="LR-Fund 0042 Journal Entries" sheetId="9" r:id="rId9"/>
    <sheet name="LR-Department Note Disclosure" sheetId="10" r:id="rId10"/>
    <sheet name="LR-Check Figures" sheetId="11" r:id="rId11"/>
  </sheets>
  <externalReferences>
    <externalReference r:id="rId12"/>
    <externalReference r:id="rId13"/>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0">#REF!</definedName>
    <definedName name="AgencyCode">#REF!</definedName>
    <definedName name="AgencyCode1" localSheetId="10">#REF!</definedName>
    <definedName name="AgencyCode1">#REF!</definedName>
    <definedName name="AnalystGASB">[1]DeveloperInfo!$D$20</definedName>
    <definedName name="Annuity" localSheetId="10">#REF!</definedName>
    <definedName name="Annuity">#REF!</definedName>
    <definedName name="Annuity1" localSheetId="10">#REF!</definedName>
    <definedName name="Annuity1">#REF!</definedName>
    <definedName name="AnnuityLY" localSheetId="1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0">#REF!</definedName>
    <definedName name="EmployerRates">#REF!</definedName>
    <definedName name="EmployerRates1" localSheetId="10">#REF!</definedName>
    <definedName name="EmployerRates1">#REF!</definedName>
    <definedName name="EmployerRatesLEO" localSheetId="10">#REF!</definedName>
    <definedName name="EmployerRatesLEO">#REF!</definedName>
    <definedName name="EmployerRatesLEO1" localSheetId="10">#REF!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ITEM_CAPCOST">#REF!</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0">#REF!</definedName>
    <definedName name="Pension">#REF!</definedName>
    <definedName name="Pension1" localSheetId="10">#REF!</definedName>
    <definedName name="Pension1">#REF!</definedName>
    <definedName name="PensionLY" localSheetId="10">#REF!</definedName>
    <definedName name="PensionLY">#REF!</definedName>
    <definedName name="PlanNameLongGASB">[1]DeveloperInfo!$D$7</definedName>
    <definedName name="PlanNameShortGASB">[1]DeveloperInfo!$D$8</definedName>
    <definedName name="_xlnm.Print_Area" localSheetId="9">'LR-Department Note Disclosure'!$A$1:$C$93</definedName>
    <definedName name="_xlnm.Print_Area" localSheetId="8">'LR-Fund 0042 Journal Entries'!$B$1:$K$67</definedName>
    <definedName name="_xlnm.Print_Area" localSheetId="5">'LS-Department Note Disclosure'!$A$1:$C$85</definedName>
    <definedName name="_xlnm.Print_Area" localSheetId="0">'LS-Fund 0042 Journal Entries'!$A$1:$J$9</definedName>
    <definedName name="_xlnm.Print_Area" localSheetId="1">'LS-Fund 0046 Journal Entrie'!$A$1:$J$9</definedName>
    <definedName name="_xlnm.Print_Area" localSheetId="2">'LS-Fund 3290 Journal Entrie'!$A$1:$J$9</definedName>
    <definedName name="_xlnm.Print_Area" localSheetId="3">'LS-Fund 3291 Journal Entrie'!$A$1:$J$9</definedName>
    <definedName name="_xlnm.Print_Area" localSheetId="4">'LS-Fund 6072 Journal Entrie '!$A$1:$J$9</definedName>
    <definedName name="_xlnm.Print_Area" localSheetId="6">'LS-Lease Liabilities'!$B$2:$Q$17</definedName>
    <definedName name="Print_Area_MI">#REF!</definedName>
    <definedName name="ProjDisc?">[1]DeveloperInfo!$D$65</definedName>
    <definedName name="ProValResults" localSheetId="10">#REF!</definedName>
    <definedName name="ProValResults">#REF!</definedName>
    <definedName name="ProValResults1" localSheetId="10">#REF!</definedName>
    <definedName name="ProValResults1">#REF!</definedName>
    <definedName name="Report_18_Analysis">#REF!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0">#REF!</definedName>
    <definedName name="TableData">#REF!</definedName>
    <definedName name="TableData1" localSheetId="10">#REF!</definedName>
    <definedName name="TableData1">#REF!</definedName>
    <definedName name="Type" localSheetId="10">#REF!</definedName>
    <definedName name="Type">#REF!</definedName>
    <definedName name="TypeAnnuity" localSheetId="10">#REF!</definedName>
    <definedName name="TypeAnnuity">#REF!</definedName>
    <definedName name="TypeAnnuity1" localSheetId="10">#REF!</definedName>
    <definedName name="TypeAnnuity1">#REF!</definedName>
    <definedName name="TypePension" localSheetId="10">#REF!</definedName>
    <definedName name="TypePension">#REF!</definedName>
    <definedName name="TypePension1" localSheetId="10">#REF!</definedName>
    <definedName name="TypePension1">#REF!</definedName>
    <definedName name="UnfundedData" localSheetId="10">#REF!</definedName>
    <definedName name="UnfundedData">#REF!</definedName>
    <definedName name="UnfundedData1" localSheetId="10">#REF!</definedName>
    <definedName name="UnfundedData1">#REF!</definedName>
    <definedName name="UnfundedLY" localSheetId="10">#REF!</definedName>
    <definedName name="UnfundedLY">#REF!</definedName>
    <definedName name="UnfundedLY1" localSheetId="10">#REF!</definedName>
    <definedName name="UnfundedLY1">#REF!</definedName>
    <definedName name="UnfundedLYLEO1" localSheetId="10">#REF!</definedName>
    <definedName name="UnfundedLYLEO1">#REF!</definedName>
    <definedName name="UnfunedLYLEO" localSheetId="10">#REF!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1" l="1"/>
  <c r="N57" i="11" l="1"/>
  <c r="B57" i="11"/>
  <c r="P57" i="11" s="1"/>
  <c r="N49" i="11"/>
  <c r="B49" i="11"/>
  <c r="P49" i="11" s="1"/>
  <c r="D51" i="11" s="1"/>
  <c r="N42" i="11"/>
  <c r="P42" i="11" s="1"/>
  <c r="D44" i="11" s="1"/>
  <c r="N33" i="11"/>
  <c r="J33" i="11"/>
  <c r="H33" i="11"/>
  <c r="F33" i="11"/>
  <c r="D33" i="11"/>
  <c r="B33" i="11"/>
  <c r="N24" i="11"/>
  <c r="J24" i="11"/>
  <c r="H24" i="11"/>
  <c r="F24" i="11"/>
  <c r="D24" i="11"/>
  <c r="B24" i="11"/>
  <c r="L24" i="11" s="1"/>
  <c r="P24" i="11" s="1"/>
  <c r="D26" i="11" s="1"/>
  <c r="N16" i="11"/>
  <c r="J16" i="11"/>
  <c r="H16" i="11"/>
  <c r="D16" i="11"/>
  <c r="L16" i="11" s="1"/>
  <c r="P16" i="11" s="1"/>
  <c r="D18" i="11" s="1"/>
  <c r="E83" i="10"/>
  <c r="E81" i="10"/>
  <c r="E75" i="10"/>
  <c r="E52" i="10"/>
  <c r="E50" i="10"/>
  <c r="E44" i="10"/>
  <c r="B42" i="10"/>
  <c r="B73" i="10" s="1"/>
  <c r="B41" i="10"/>
  <c r="B72" i="10" s="1"/>
  <c r="B40" i="10"/>
  <c r="B71"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E21" i="10"/>
  <c r="E19" i="10"/>
  <c r="A14" i="10"/>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E13" i="10"/>
  <c r="K68" i="9"/>
  <c r="K60" i="9"/>
  <c r="J60" i="9"/>
  <c r="L60" i="9" s="1"/>
  <c r="K55" i="9"/>
  <c r="L55" i="9" s="1"/>
  <c r="J55" i="9"/>
  <c r="L43" i="9"/>
  <c r="K43" i="9"/>
  <c r="J43" i="9"/>
  <c r="K38" i="9"/>
  <c r="J38" i="9"/>
  <c r="L38" i="9" s="1"/>
  <c r="C37" i="9"/>
  <c r="K33" i="9"/>
  <c r="J33" i="9"/>
  <c r="L33" i="9" s="1"/>
  <c r="C32" i="9"/>
  <c r="B30" i="9"/>
  <c r="K26" i="9"/>
  <c r="J26" i="9"/>
  <c r="L26" i="9" s="1"/>
  <c r="S19" i="9"/>
  <c r="Q18" i="9"/>
  <c r="S18" i="9" s="1"/>
  <c r="K18" i="9"/>
  <c r="S17" i="9"/>
  <c r="K17" i="9"/>
  <c r="J16" i="9" s="1"/>
  <c r="J20" i="9" s="1"/>
  <c r="S16" i="9"/>
  <c r="S15" i="9"/>
  <c r="P15" i="9"/>
  <c r="J15" i="9"/>
  <c r="S14" i="9"/>
  <c r="J14" i="9"/>
  <c r="K67" i="9" s="1"/>
  <c r="N91" i="8"/>
  <c r="N90" i="8"/>
  <c r="D90" i="8"/>
  <c r="J90" i="8" s="1"/>
  <c r="P90" i="8" s="1"/>
  <c r="N89" i="8"/>
  <c r="N88" i="8"/>
  <c r="L88" i="8"/>
  <c r="N80" i="8"/>
  <c r="N79" i="8"/>
  <c r="N78" i="8"/>
  <c r="N77" i="8"/>
  <c r="L77" i="8"/>
  <c r="D77" i="8"/>
  <c r="J77" i="8" s="1"/>
  <c r="P77" i="8" s="1"/>
  <c r="N69" i="8"/>
  <c r="D69" i="8"/>
  <c r="J69" i="8" s="1"/>
  <c r="P69" i="8" s="1"/>
  <c r="N68" i="8"/>
  <c r="J68" i="8"/>
  <c r="P68" i="8" s="1"/>
  <c r="H68" i="8"/>
  <c r="D68" i="8"/>
  <c r="N67" i="8"/>
  <c r="H67" i="8"/>
  <c r="D67" i="8"/>
  <c r="J67" i="8" s="1"/>
  <c r="P67" i="8" s="1"/>
  <c r="N66" i="8"/>
  <c r="L66" i="8"/>
  <c r="J66" i="8"/>
  <c r="P66" i="8" s="1"/>
  <c r="D66" i="8"/>
  <c r="N57" i="8"/>
  <c r="B57" i="8"/>
  <c r="D91" i="8" s="1"/>
  <c r="J91" i="8" s="1"/>
  <c r="P91" i="8" s="1"/>
  <c r="D51" i="8"/>
  <c r="P49" i="8"/>
  <c r="N49" i="8"/>
  <c r="B49" i="8"/>
  <c r="D80" i="8" s="1"/>
  <c r="J80" i="8" s="1"/>
  <c r="P80" i="8" s="1"/>
  <c r="P42" i="8"/>
  <c r="D44" i="8" s="1"/>
  <c r="N42" i="8"/>
  <c r="N41" i="8"/>
  <c r="N33" i="8"/>
  <c r="J33" i="8"/>
  <c r="H89" i="8" s="1"/>
  <c r="H33" i="8"/>
  <c r="H90" i="8" s="1"/>
  <c r="F33" i="8"/>
  <c r="D33" i="8"/>
  <c r="D89" i="8" s="1"/>
  <c r="J89" i="8" s="1"/>
  <c r="P89" i="8" s="1"/>
  <c r="B33" i="8"/>
  <c r="D88" i="8" s="1"/>
  <c r="J88" i="8" s="1"/>
  <c r="P88" i="8" s="1"/>
  <c r="N24" i="8"/>
  <c r="J24" i="8"/>
  <c r="H78" i="8" s="1"/>
  <c r="H24" i="8"/>
  <c r="H79" i="8" s="1"/>
  <c r="F24" i="8"/>
  <c r="D79" i="8" s="1"/>
  <c r="D24" i="8"/>
  <c r="L24" i="8" s="1"/>
  <c r="P24" i="8" s="1"/>
  <c r="D26" i="8" s="1"/>
  <c r="B24" i="8"/>
  <c r="N16" i="8"/>
  <c r="L16" i="8"/>
  <c r="P16" i="8" s="1"/>
  <c r="D18" i="8" s="1"/>
  <c r="N19" i="7"/>
  <c r="L19" i="7"/>
  <c r="J19" i="7"/>
  <c r="H19" i="7"/>
  <c r="F19" i="7"/>
  <c r="L18" i="7"/>
  <c r="P18" i="7" s="1"/>
  <c r="P19" i="7" s="1"/>
  <c r="N15" i="7"/>
  <c r="J15" i="7"/>
  <c r="H15" i="7"/>
  <c r="F15" i="7"/>
  <c r="L14" i="7"/>
  <c r="P14" i="7" s="1"/>
  <c r="P15" i="7" s="1"/>
  <c r="N11" i="7"/>
  <c r="J11" i="7"/>
  <c r="H11" i="7"/>
  <c r="F11" i="7"/>
  <c r="L10" i="7"/>
  <c r="P10" i="7" s="1"/>
  <c r="P11" i="7" s="1"/>
  <c r="F7" i="7"/>
  <c r="J5" i="7"/>
  <c r="J4" i="7"/>
  <c r="L7" i="7" s="1"/>
  <c r="D92" i="6"/>
  <c r="D89" i="6"/>
  <c r="D86" i="6"/>
  <c r="D83" i="6"/>
  <c r="D78" i="6"/>
  <c r="A75" i="6"/>
  <c r="N56" i="11" s="1"/>
  <c r="D74" i="6"/>
  <c r="B72" i="6"/>
  <c r="B71" i="6"/>
  <c r="B70" i="6"/>
  <c r="D58" i="6"/>
  <c r="D55" i="6"/>
  <c r="D52" i="6"/>
  <c r="D47" i="6"/>
  <c r="D43" i="6"/>
  <c r="B41" i="6"/>
  <c r="B40" i="6"/>
  <c r="B39" i="6"/>
  <c r="A44" i="6" s="1"/>
  <c r="D32" i="6"/>
  <c r="D30" i="6"/>
  <c r="D27" i="6"/>
  <c r="D24" i="6"/>
  <c r="D21" i="6"/>
  <c r="D16"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13" i="6"/>
  <c r="N41" i="11" s="1"/>
  <c r="D12" i="6"/>
  <c r="K129" i="5"/>
  <c r="K127" i="5"/>
  <c r="K124" i="5"/>
  <c r="K114" i="5"/>
  <c r="J114" i="5"/>
  <c r="L114" i="5" s="1"/>
  <c r="L105" i="5"/>
  <c r="K105" i="5"/>
  <c r="J105" i="5"/>
  <c r="K91" i="5"/>
  <c r="J91" i="5"/>
  <c r="L91" i="5" s="1"/>
  <c r="L77" i="5"/>
  <c r="K77" i="5"/>
  <c r="J77" i="5"/>
  <c r="K70" i="5"/>
  <c r="J70" i="5"/>
  <c r="L70" i="5" s="1"/>
  <c r="K65" i="5"/>
  <c r="J65" i="5"/>
  <c r="L65" i="5" s="1"/>
  <c r="B63" i="5"/>
  <c r="K59" i="5"/>
  <c r="J59" i="5"/>
  <c r="L59" i="5" s="1"/>
  <c r="K49" i="5"/>
  <c r="J49" i="5"/>
  <c r="L49" i="5" s="1"/>
  <c r="K43" i="5"/>
  <c r="L43" i="5" s="1"/>
  <c r="J43" i="5"/>
  <c r="K36" i="5"/>
  <c r="L36" i="5" s="1"/>
  <c r="J36" i="5"/>
  <c r="S25" i="5"/>
  <c r="S24" i="5"/>
  <c r="Q24" i="5"/>
  <c r="K24" i="5"/>
  <c r="S23" i="5"/>
  <c r="K23" i="5"/>
  <c r="K128" i="5" s="1"/>
  <c r="S22" i="5"/>
  <c r="K22" i="5"/>
  <c r="S21" i="5"/>
  <c r="K21" i="5"/>
  <c r="J19" i="5" s="1"/>
  <c r="S20" i="5"/>
  <c r="K20" i="5"/>
  <c r="K125" i="5" s="1"/>
  <c r="S19" i="5"/>
  <c r="S18" i="5"/>
  <c r="P18" i="5"/>
  <c r="J18" i="5"/>
  <c r="S17" i="5"/>
  <c r="J17" i="5"/>
  <c r="S16" i="5"/>
  <c r="J16" i="5"/>
  <c r="K123" i="5" s="1"/>
  <c r="S15" i="5"/>
  <c r="J15" i="5"/>
  <c r="F9" i="5"/>
  <c r="C64" i="5" s="1"/>
  <c r="K129" i="4"/>
  <c r="K126" i="4"/>
  <c r="K125" i="4"/>
  <c r="K122" i="4"/>
  <c r="K114" i="4"/>
  <c r="L114" i="4" s="1"/>
  <c r="J114" i="4"/>
  <c r="L105" i="4"/>
  <c r="K105" i="4"/>
  <c r="J105" i="4"/>
  <c r="K91" i="4"/>
  <c r="L91" i="4" s="1"/>
  <c r="J91" i="4"/>
  <c r="L77" i="4"/>
  <c r="K77" i="4"/>
  <c r="J77" i="4"/>
  <c r="K70" i="4"/>
  <c r="L70" i="4" s="1"/>
  <c r="J70" i="4"/>
  <c r="K65" i="4"/>
  <c r="J65" i="4"/>
  <c r="L65" i="4" s="1"/>
  <c r="B63" i="4"/>
  <c r="K59" i="4"/>
  <c r="L59" i="4" s="1"/>
  <c r="J59" i="4"/>
  <c r="K49" i="4"/>
  <c r="J49" i="4"/>
  <c r="L49" i="4" s="1"/>
  <c r="L43" i="4"/>
  <c r="K43" i="4"/>
  <c r="J43" i="4"/>
  <c r="L36" i="4"/>
  <c r="K36" i="4"/>
  <c r="J36" i="4"/>
  <c r="S25" i="4"/>
  <c r="Q24" i="4"/>
  <c r="S24" i="4" s="1"/>
  <c r="S23" i="4"/>
  <c r="K23" i="4"/>
  <c r="K128" i="4" s="1"/>
  <c r="S22" i="4"/>
  <c r="K22" i="4"/>
  <c r="K127" i="4" s="1"/>
  <c r="S21" i="4"/>
  <c r="K21" i="4"/>
  <c r="S20" i="4"/>
  <c r="K20" i="4"/>
  <c r="S19" i="4"/>
  <c r="P18" i="4"/>
  <c r="S18" i="4" s="1"/>
  <c r="J18" i="4"/>
  <c r="S17" i="4"/>
  <c r="J17" i="4"/>
  <c r="K124" i="4" s="1"/>
  <c r="S16" i="4"/>
  <c r="J16" i="4"/>
  <c r="K123" i="4" s="1"/>
  <c r="S15" i="4"/>
  <c r="J15" i="4"/>
  <c r="F9" i="4"/>
  <c r="C104" i="4" s="1"/>
  <c r="K129" i="3"/>
  <c r="K127" i="3"/>
  <c r="K125" i="3"/>
  <c r="K124" i="3"/>
  <c r="K123" i="3"/>
  <c r="K122" i="3"/>
  <c r="L114" i="3"/>
  <c r="K114" i="3"/>
  <c r="J114" i="3"/>
  <c r="K105" i="3"/>
  <c r="J105" i="3"/>
  <c r="L105" i="3" s="1"/>
  <c r="L91" i="3"/>
  <c r="K91" i="3"/>
  <c r="J91" i="3"/>
  <c r="K77" i="3"/>
  <c r="J77" i="3"/>
  <c r="L77" i="3" s="1"/>
  <c r="K70" i="3"/>
  <c r="J70" i="3"/>
  <c r="L70" i="3" s="1"/>
  <c r="K65" i="3"/>
  <c r="L65" i="3" s="1"/>
  <c r="J65" i="3"/>
  <c r="B63" i="3"/>
  <c r="K59" i="3"/>
  <c r="J59" i="3"/>
  <c r="L59" i="3" s="1"/>
  <c r="K49" i="3"/>
  <c r="L49" i="3" s="1"/>
  <c r="J49" i="3"/>
  <c r="L43" i="3"/>
  <c r="K43" i="3"/>
  <c r="J43" i="3"/>
  <c r="K36" i="3"/>
  <c r="L36" i="3" s="1"/>
  <c r="J36" i="3"/>
  <c r="S25" i="3"/>
  <c r="S24" i="3"/>
  <c r="Q24" i="3"/>
  <c r="K24" i="3"/>
  <c r="S23" i="3"/>
  <c r="K23" i="3"/>
  <c r="K128" i="3" s="1"/>
  <c r="S22" i="3"/>
  <c r="K22" i="3"/>
  <c r="S21" i="3"/>
  <c r="K21" i="3"/>
  <c r="K25" i="3" s="1"/>
  <c r="S20" i="3"/>
  <c r="K20" i="3"/>
  <c r="S19" i="3"/>
  <c r="S18" i="3"/>
  <c r="P18" i="3"/>
  <c r="J18" i="3"/>
  <c r="S17" i="3"/>
  <c r="J17" i="3"/>
  <c r="S16" i="3"/>
  <c r="J16" i="3"/>
  <c r="S15" i="3"/>
  <c r="J15" i="3"/>
  <c r="F9" i="3"/>
  <c r="C104" i="3" s="1"/>
  <c r="K129" i="2"/>
  <c r="K128" i="2"/>
  <c r="K123" i="2"/>
  <c r="K122" i="2"/>
  <c r="K114" i="2"/>
  <c r="L114" i="2" s="1"/>
  <c r="J114" i="2"/>
  <c r="K105" i="2"/>
  <c r="J105" i="2"/>
  <c r="L105" i="2" s="1"/>
  <c r="K91" i="2"/>
  <c r="L91" i="2" s="1"/>
  <c r="J91" i="2"/>
  <c r="K77" i="2"/>
  <c r="J77" i="2"/>
  <c r="L77" i="2" s="1"/>
  <c r="K70" i="2"/>
  <c r="J70" i="2"/>
  <c r="L70" i="2" s="1"/>
  <c r="L65" i="2"/>
  <c r="K65" i="2"/>
  <c r="J65" i="2"/>
  <c r="B63" i="2"/>
  <c r="K59" i="2"/>
  <c r="J59" i="2"/>
  <c r="L59" i="2" s="1"/>
  <c r="L49" i="2"/>
  <c r="K49" i="2"/>
  <c r="J49" i="2"/>
  <c r="K43" i="2"/>
  <c r="J43" i="2"/>
  <c r="L43" i="2" s="1"/>
  <c r="K36" i="2"/>
  <c r="J36" i="2"/>
  <c r="L36" i="2" s="1"/>
  <c r="S25" i="2"/>
  <c r="Q24" i="2"/>
  <c r="K24" i="2" s="1"/>
  <c r="S23" i="2"/>
  <c r="K23" i="2"/>
  <c r="S22" i="2"/>
  <c r="K22" i="2"/>
  <c r="K127" i="2" s="1"/>
  <c r="S21" i="2"/>
  <c r="K21" i="2"/>
  <c r="K126" i="2" s="1"/>
  <c r="S20" i="2"/>
  <c r="K20" i="2"/>
  <c r="K125" i="2" s="1"/>
  <c r="S19" i="2"/>
  <c r="P18" i="2"/>
  <c r="S18" i="2" s="1"/>
  <c r="J18" i="2"/>
  <c r="S17" i="2"/>
  <c r="J17" i="2"/>
  <c r="K124" i="2" s="1"/>
  <c r="S16" i="2"/>
  <c r="J16" i="2"/>
  <c r="S15" i="2"/>
  <c r="J15" i="2"/>
  <c r="F9" i="2"/>
  <c r="C35" i="2" s="1"/>
  <c r="K129" i="1"/>
  <c r="K128" i="1"/>
  <c r="K127" i="1"/>
  <c r="K123" i="1"/>
  <c r="K122" i="1"/>
  <c r="K114" i="1"/>
  <c r="J114" i="1"/>
  <c r="L114" i="1" s="1"/>
  <c r="K105" i="1"/>
  <c r="L105" i="1" s="1"/>
  <c r="J105" i="1"/>
  <c r="K91" i="1"/>
  <c r="J91" i="1"/>
  <c r="L91" i="1" s="1"/>
  <c r="K77" i="1"/>
  <c r="L77" i="1" s="1"/>
  <c r="J77" i="1"/>
  <c r="K70" i="1"/>
  <c r="J70" i="1"/>
  <c r="L70" i="1" s="1"/>
  <c r="K65" i="1"/>
  <c r="J65" i="1"/>
  <c r="B63" i="1"/>
  <c r="K59" i="1"/>
  <c r="J59" i="1"/>
  <c r="L59" i="1" s="1"/>
  <c r="K49" i="1"/>
  <c r="L49" i="1" s="1"/>
  <c r="J49" i="1"/>
  <c r="K43" i="1"/>
  <c r="J43" i="1"/>
  <c r="L43" i="1" s="1"/>
  <c r="K36" i="1"/>
  <c r="J36" i="1"/>
  <c r="L36" i="1" s="1"/>
  <c r="S25" i="1"/>
  <c r="Q24" i="1"/>
  <c r="S24" i="1" s="1"/>
  <c r="K24" i="1"/>
  <c r="S23" i="1"/>
  <c r="K23" i="1"/>
  <c r="S22" i="1"/>
  <c r="K22" i="1"/>
  <c r="S21" i="1"/>
  <c r="K21" i="1"/>
  <c r="K126" i="1" s="1"/>
  <c r="S20" i="1"/>
  <c r="K20" i="1"/>
  <c r="K125" i="1" s="1"/>
  <c r="S19" i="1"/>
  <c r="P18" i="1"/>
  <c r="S18" i="1" s="1"/>
  <c r="J18" i="1"/>
  <c r="S17" i="1"/>
  <c r="J17" i="1"/>
  <c r="K124" i="1" s="1"/>
  <c r="S16" i="1"/>
  <c r="J16" i="1"/>
  <c r="S15" i="1"/>
  <c r="J15" i="1"/>
  <c r="F9" i="1"/>
  <c r="C64" i="1" s="1"/>
  <c r="L33" i="11" l="1"/>
  <c r="P33" i="11" s="1"/>
  <c r="D35" i="11" s="1"/>
  <c r="L65" i="1"/>
  <c r="J26" i="5"/>
  <c r="L26" i="5" s="1"/>
  <c r="N48" i="11"/>
  <c r="N48" i="8"/>
  <c r="D63" i="6"/>
  <c r="A45" i="6"/>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J79" i="8"/>
  <c r="P79" i="8" s="1"/>
  <c r="J26" i="2"/>
  <c r="D93" i="8"/>
  <c r="D71" i="8"/>
  <c r="C104" i="2"/>
  <c r="C64" i="4"/>
  <c r="K126" i="5"/>
  <c r="L11" i="7"/>
  <c r="L15" i="7"/>
  <c r="D78" i="8"/>
  <c r="J78" i="8" s="1"/>
  <c r="P78" i="8" s="1"/>
  <c r="C35" i="1"/>
  <c r="B100" i="4"/>
  <c r="B100" i="1"/>
  <c r="J19" i="3"/>
  <c r="J26" i="3" s="1"/>
  <c r="L26" i="3" s="1"/>
  <c r="K26" i="3"/>
  <c r="C35" i="5"/>
  <c r="K20" i="9"/>
  <c r="L20" i="9" s="1"/>
  <c r="S24" i="2"/>
  <c r="K25" i="2"/>
  <c r="K26" i="2" s="1"/>
  <c r="B100" i="2"/>
  <c r="C104" i="1"/>
  <c r="J19" i="2"/>
  <c r="C64" i="2"/>
  <c r="K126" i="3"/>
  <c r="K24" i="4"/>
  <c r="C35" i="4"/>
  <c r="A76" i="6"/>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D94" i="6"/>
  <c r="N56" i="8"/>
  <c r="K69" i="9"/>
  <c r="A45" i="10"/>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B100" i="3"/>
  <c r="K25" i="1"/>
  <c r="C35" i="3"/>
  <c r="C64" i="3"/>
  <c r="J19" i="1"/>
  <c r="J26" i="1" s="1"/>
  <c r="L26" i="1" s="1"/>
  <c r="K26" i="1"/>
  <c r="K25" i="5"/>
  <c r="B100" i="5"/>
  <c r="K122" i="5"/>
  <c r="C104" i="5"/>
  <c r="D61" i="6"/>
  <c r="L33" i="8"/>
  <c r="P33" i="8" s="1"/>
  <c r="D35" i="8" s="1"/>
  <c r="P57" i="8"/>
  <c r="D59" i="8" s="1"/>
  <c r="K19" i="9"/>
  <c r="K26" i="5"/>
  <c r="K25" i="4" l="1"/>
  <c r="K26" i="4" s="1"/>
  <c r="J19" i="4"/>
  <c r="J26" i="4" s="1"/>
  <c r="L26" i="2"/>
  <c r="L26" i="4" l="1"/>
</calcChain>
</file>

<file path=xl/sharedStrings.xml><?xml version="1.0" encoding="utf-8"?>
<sst xmlns="http://schemas.openxmlformats.org/spreadsheetml/2006/main" count="1005" uniqueCount="183">
  <si>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</si>
  <si>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</si>
  <si>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</si>
  <si>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2022–2023</t>
  </si>
  <si>
    <t>Organization Name:</t>
  </si>
  <si>
    <t>Department of Transportation</t>
  </si>
  <si>
    <t>Organization Code (4-Digits):</t>
  </si>
  <si>
    <t>2660</t>
  </si>
  <si>
    <t>Fund Number (4-Digits):</t>
  </si>
  <si>
    <t>Fund Classification:</t>
  </si>
  <si>
    <t>Governmental</t>
  </si>
  <si>
    <t>Fund Type:</t>
  </si>
  <si>
    <t>Governmental Fund</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</si>
  <si>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</si>
  <si>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</si>
  <si>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</si>
  <si>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</si>
  <si>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</si>
  <si>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</si>
  <si>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</si>
  <si>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</si>
  <si>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</si>
  <si>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</si>
  <si>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</si>
  <si>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</si>
  <si>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</si>
  <si>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</si>
  <si>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</si>
  <si>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</si>
  <si>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</si>
  <si>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</si>
  <si>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</si>
  <si>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</si>
  <si>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</si>
  <si>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</si>
  <si>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</si>
  <si>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</si>
  <si>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</si>
  <si>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</si>
  <si>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</si>
  <si>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</si>
  <si>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</si>
  <si>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</si>
  <si>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</si>
  <si>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</si>
  <si>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</si>
  <si>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</si>
  <si>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</si>
  <si>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</si>
  <si>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</si>
  <si>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</si>
  <si>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</si>
  <si>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</si>
  <si>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</si>
  <si>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</si>
  <si>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</si>
  <si>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</si>
  <si>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</si>
  <si>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</si>
  <si>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</si>
  <si>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</si>
  <si>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</si>
  <si>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</si>
  <si>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</si>
  <si>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</si>
  <si>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</si>
  <si>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</si>
  <si>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</si>
  <si>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</si>
  <si>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</si>
  <si>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</si>
  <si>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</si>
  <si>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</si>
  <si>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</si>
  <si>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</si>
  <si>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</si>
  <si>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</si>
  <si>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</si>
  <si>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</si>
  <si>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</si>
  <si>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</si>
  <si>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</si>
  <si>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</si>
  <si>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</si>
  <si>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</si>
  <si>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</si>
  <si>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</si>
  <si>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</si>
  <si>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</si>
  <si>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</si>
  <si>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</si>
  <si>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No</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</si>
  <si>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</si>
  <si>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</si>
  <si>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</si>
  <si>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</si>
  <si>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</si>
  <si>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</si>
  <si>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</si>
  <si>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</si>
  <si>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</si>
  <si>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</si>
  <si>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</si>
  <si>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</si>
  <si>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</si>
  <si>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</si>
  <si>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</si>
  <si>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</si>
  <si>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</si>
  <si>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</si>
  <si>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</si>
  <si>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</si>
  <si>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</si>
  <si>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</si>
  <si>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</si>
  <si>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</si>
  <si>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</si>
  <si>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</si>
  <si>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</si>
  <si>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</si>
  <si>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</si>
  <si>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</si>
  <si>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</si>
  <si>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</si>
  <si>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</si>
  <si>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</si>
  <si>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</si>
  <si>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</si>
  <si>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</si>
  <si>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</si>
  <si>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</si>
  <si>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</si>
  <si>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</si>
  <si>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</si>
  <si>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</si>
  <si>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</si>
  <si>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</si>
  <si>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</si>
  <si>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</si>
  <si>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</si>
  <si>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</si>
  <si>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</si>
  <si>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</si>
  <si>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</si>
  <si>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</si>
  <si>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</si>
  <si>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</si>
  <si>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</si>
  <si>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</si>
  <si>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</si>
  <si>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</si>
  <si>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</si>
  <si>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</si>
  <si>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</si>
  <si>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</si>
  <si>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</si>
  <si>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</si>
  <si>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</si>
  <si>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</si>
  <si>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</si>
  <si>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</si>
  <si>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</si>
  <si>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</si>
  <si>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</si>
  <si>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</si>
  <si>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</si>
  <si>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</si>
  <si>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</si>
  <si>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</si>
  <si>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</si>
  <si>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</si>
  <si>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</si>
  <si>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</si>
  <si>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</si>
  <si>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</si>
  <si>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</si>
  <si>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</si>
  <si>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</si>
  <si>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</si>
  <si>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</si>
  <si>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t>2022-2023</t>
  </si>
  <si>
    <t>'Governmental</t>
  </si>
  <si>
    <t>'Governmental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</si>
</sst>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 numFmtId="167" formatCode="####0000"/>
    <numFmt numFmtId="168" formatCode="0000####"/>
  </numFmts>
  <fonts count="48" x14ac:knownFonts="1">
    <font>
      <sz val="11"/>
      <color theme="1"/>
      <name val="Calibri"/>
      <family val="2"/>
      <scheme val="minor"/>
    </font>
    <font>
      <sz val="11"/>
      <color theme="1"/>
      <name val="Calibri"/>
      <family val="2"/>
      <scheme val="minor"/>
    </font>
    <font>
      <b/>
      <sz val="11"/>
      <color theme="1"/>
      <name val="Calibri"/>
      <family val="2"/>
      <scheme val="minor"/>
    </font>
    <font>
      <b/>
      <sz val="16"/>
      <name val="Arial"/>
      <family val="2"/>
    </font>
    <font>
      <sz val="16"/>
      <name val="Arial"/>
      <family val="2"/>
    </font>
    <font>
      <b/>
      <sz val="12"/>
      <name val="Arial"/>
      <family val="2"/>
    </font>
    <font>
      <sz val="12"/>
      <color theme="1"/>
      <name val="arial"/>
      <family val="2"/>
    </font>
    <font>
      <sz val="12"/>
      <color rgb="FFFF0000"/>
      <name val="arial"/>
      <family val="2"/>
    </font>
    <font>
      <sz val="10"/>
      <color rgb="FFFF0000"/>
      <name val="arial"/>
      <family val="2"/>
    </font>
    <font>
      <b/>
      <sz val="14"/>
      <color rgb="FF00B05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sz val="14"/>
      <color rgb="FFFF0000"/>
      <name val="Arial"/>
      <family val="2"/>
    </font>
    <font>
      <i/>
      <sz val="14"/>
      <color rgb="FFFF0000"/>
      <name val="Arial"/>
      <family val="2"/>
    </font>
    <font>
      <b/>
      <sz val="14"/>
      <color rgb="FFFF0000"/>
      <name val="Arial"/>
      <family val="2"/>
    </font>
    <font>
      <b/>
      <sz val="12"/>
      <color rgb="FF00B050"/>
      <name val="Arial"/>
      <family val="2"/>
    </font>
    <font>
      <i/>
      <sz val="12"/>
      <color rgb="FFFF0000"/>
      <name val="Arial"/>
      <family val="2"/>
    </font>
    <font>
      <sz val="12"/>
      <name val="Arial"/>
      <family val="2"/>
    </font>
    <font>
      <i/>
      <sz val="12"/>
      <name val="Arial"/>
      <family val="2"/>
    </font>
    <font>
      <b/>
      <sz val="12"/>
      <color theme="8" tint="-0.249977111117893"/>
      <name val="Arial"/>
      <family val="2"/>
    </font>
    <font>
      <b/>
      <sz val="12"/>
      <color rgb="FFFF0000"/>
      <name val="Arial"/>
      <family val="2"/>
    </font>
    <font>
      <b/>
      <sz val="14"/>
      <name val="Arial"/>
      <family val="2"/>
    </font>
    <font>
      <b/>
      <sz val="12"/>
      <color theme="1"/>
      <name val="arial"/>
      <family val="2"/>
    </font>
    <font>
      <sz val="12"/>
      <color theme="8" tint="-0.249977111117893"/>
      <name val="Arial"/>
      <family val="2"/>
    </font>
    <font>
      <b/>
      <sz val="16"/>
      <color theme="8" tint="-0.249977111117893"/>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i/>
      <sz val="14"/>
      <color theme="1"/>
      <name val="Arial Narrow"/>
      <family val="2"/>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rgb="FF00B0F0"/>
      <name val="Arial"/>
      <family val="2"/>
    </font>
    <font>
      <b/>
      <sz val="12"/>
      <color rgb="FF0070C0"/>
      <name val="Arial"/>
      <family val="2"/>
    </font>
    <font>
      <sz val="12"/>
      <color rgb="FF0070C0"/>
      <name val="Arial"/>
      <family val="2"/>
    </font>
    <font>
      <i/>
      <sz val="12"/>
      <color theme="1"/>
      <name val="Arial"/>
      <family val="2"/>
    </font>
    <font>
      <i/>
      <sz val="14"/>
      <color theme="1"/>
      <name val="Arial"/>
      <family val="2"/>
    </font>
    <font>
      <b/>
      <sz val="12"/>
      <color rgb="FF00B0F0"/>
      <name val="Arial"/>
      <family val="2"/>
    </font>
    <font>
      <b/>
      <sz val="12"/>
      <color rgb="FF7030A0"/>
      <name val="Arial"/>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s>
  <borders count="17">
    <border>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63">
    <xf numFmtId="0" fontId="0" fillId="0" borderId="0" xfId="0"/>
    <xf numFmtId="0" fontId="5" fillId="0" borderId="0" xfId="0" applyFont="1" applyAlignment="1">
      <alignment vertical="top" wrapText="1"/>
    </xf>
    <xf numFmtId="0" fontId="6" fillId="0" borderId="0" xfId="0" applyFont="1" applyAlignment="1">
      <alignment vertical="top"/>
    </xf>
    <xf numFmtId="0" fontId="7" fillId="0" borderId="0" xfId="0" applyFont="1" applyAlignment="1">
      <alignment vertical="center"/>
    </xf>
    <xf numFmtId="0" fontId="8" fillId="0" borderId="0" xfId="0" applyFont="1" applyAlignment="1">
      <alignment vertical="center"/>
    </xf>
    <xf numFmtId="0" fontId="7" fillId="0" borderId="0" xfId="0" applyFont="1" applyAlignment="1">
      <alignment horizontal="left" vertical="top"/>
    </xf>
    <xf numFmtId="0" fontId="7" fillId="0" borderId="0" xfId="0" quotePrefix="1" applyFont="1" applyAlignment="1">
      <alignment horizontal="left" vertical="top"/>
    </xf>
    <xf numFmtId="0" fontId="9" fillId="0" borderId="0" xfId="0" applyFont="1" applyAlignment="1">
      <alignment vertical="center"/>
    </xf>
    <xf numFmtId="0" fontId="5" fillId="0" borderId="0" xfId="0" applyFont="1" applyAlignment="1">
      <alignment horizontal="left" vertical="top"/>
    </xf>
    <xf numFmtId="165" fontId="7" fillId="0" borderId="0" xfId="2" applyNumberFormat="1" applyFont="1" applyAlignment="1" applyProtection="1">
      <alignment horizontal="left" vertical="top"/>
    </xf>
    <xf numFmtId="0" fontId="10" fillId="3" borderId="0" xfId="0" applyFont="1" applyFill="1" applyAlignment="1">
      <alignment horizontal="left"/>
    </xf>
    <xf numFmtId="165" fontId="10" fillId="3" borderId="0" xfId="0" applyNumberFormat="1" applyFont="1" applyFill="1"/>
    <xf numFmtId="165" fontId="11" fillId="3" borderId="0" xfId="0" applyNumberFormat="1" applyFont="1" applyFill="1"/>
    <xf numFmtId="165" fontId="11" fillId="3" borderId="0" xfId="2" applyNumberFormat="1" applyFont="1" applyFill="1" applyProtection="1"/>
    <xf numFmtId="165" fontId="11" fillId="3" borderId="0" xfId="0" applyNumberFormat="1" applyFont="1" applyFill="1" applyAlignment="1">
      <alignment horizontal="left"/>
    </xf>
    <xf numFmtId="0" fontId="12" fillId="0" borderId="0" xfId="0" applyFont="1" applyAlignment="1">
      <alignment horizontal="left" vertical="top"/>
    </xf>
    <xf numFmtId="0" fontId="13" fillId="0" borderId="0" xfId="0" applyFont="1" applyAlignment="1">
      <alignment vertical="top"/>
    </xf>
    <xf numFmtId="0" fontId="14" fillId="0" borderId="1" xfId="0" applyFont="1" applyBorder="1" applyAlignment="1">
      <alignment horizontal="center" vertical="top" wrapText="1"/>
    </xf>
    <xf numFmtId="0" fontId="15" fillId="0" borderId="0" xfId="0" applyFont="1" applyAlignment="1">
      <alignment horizontal="left"/>
    </xf>
    <xf numFmtId="0" fontId="14" fillId="0" borderId="0" xfId="0" applyFont="1" applyAlignment="1">
      <alignment vertical="top"/>
    </xf>
    <xf numFmtId="165" fontId="16" fillId="0" borderId="0" xfId="0" applyNumberFormat="1" applyFont="1"/>
    <xf numFmtId="165" fontId="16" fillId="0" borderId="0" xfId="2" applyNumberFormat="1" applyFont="1" applyProtection="1"/>
    <xf numFmtId="165" fontId="16" fillId="0" borderId="0" xfId="0" applyNumberFormat="1" applyFont="1" applyAlignment="1">
      <alignment horizontal="left"/>
    </xf>
    <xf numFmtId="44" fontId="16" fillId="0" borderId="0" xfId="2" applyFont="1" applyProtection="1"/>
    <xf numFmtId="0" fontId="7" fillId="0" borderId="1" xfId="0" applyFont="1" applyBorder="1" applyAlignment="1">
      <alignment horizontal="center" vertical="top" wrapText="1"/>
    </xf>
    <xf numFmtId="165" fontId="15" fillId="0" borderId="0" xfId="0" applyNumberFormat="1" applyFont="1" applyAlignment="1">
      <alignment horizontal="left"/>
    </xf>
    <xf numFmtId="165" fontId="17" fillId="0" borderId="0" xfId="0" applyNumberFormat="1" applyFont="1"/>
    <xf numFmtId="165" fontId="17" fillId="0" borderId="0" xfId="2" applyNumberFormat="1" applyFont="1" applyProtection="1"/>
    <xf numFmtId="165" fontId="17" fillId="0" borderId="0" xfId="0" applyNumberFormat="1" applyFont="1" applyAlignment="1">
      <alignment horizontal="left"/>
    </xf>
    <xf numFmtId="0" fontId="14" fillId="0" borderId="4" xfId="0" applyFont="1" applyBorder="1" applyAlignment="1">
      <alignment horizontal="center" vertical="top"/>
    </xf>
    <xf numFmtId="0" fontId="18" fillId="0" borderId="0" xfId="0" applyFont="1" applyAlignment="1">
      <alignment horizontal="right" vertical="top"/>
    </xf>
    <xf numFmtId="165" fontId="19" fillId="0" borderId="0" xfId="0" applyNumberFormat="1" applyFont="1"/>
    <xf numFmtId="165" fontId="5" fillId="0" borderId="0" xfId="0" applyNumberFormat="1" applyFont="1"/>
    <xf numFmtId="165" fontId="5" fillId="0" borderId="0" xfId="2" applyNumberFormat="1" applyFont="1" applyProtection="1"/>
    <xf numFmtId="165" fontId="5" fillId="0" borderId="0" xfId="0" applyNumberFormat="1" applyFont="1" applyAlignment="1">
      <alignment horizontal="left"/>
    </xf>
    <xf numFmtId="166" fontId="19" fillId="3" borderId="0" xfId="1" applyNumberFormat="1" applyFont="1" applyFill="1" applyProtection="1"/>
    <xf numFmtId="166" fontId="19" fillId="2" borderId="0" xfId="1" applyNumberFormat="1" applyFont="1" applyFill="1" applyProtection="1">
      <protection locked="0"/>
    </xf>
    <xf numFmtId="166" fontId="6" fillId="0" borderId="0" xfId="1" applyNumberFormat="1" applyFont="1" applyFill="1" applyAlignment="1">
      <alignment vertical="top"/>
    </xf>
    <xf numFmtId="166" fontId="6" fillId="0" borderId="0" xfId="0" applyNumberFormat="1" applyFont="1" applyAlignment="1">
      <alignment vertical="top"/>
    </xf>
    <xf numFmtId="0" fontId="7" fillId="0" borderId="0" xfId="0" applyFont="1" applyAlignment="1">
      <alignment vertical="top" wrapText="1"/>
    </xf>
    <xf numFmtId="166" fontId="6" fillId="3" borderId="0" xfId="1" applyNumberFormat="1" applyFont="1" applyFill="1" applyAlignment="1">
      <alignment vertical="top"/>
    </xf>
    <xf numFmtId="44" fontId="19" fillId="0" borderId="0" xfId="2" applyFont="1" applyProtection="1"/>
    <xf numFmtId="0" fontId="20" fillId="0" borderId="0" xfId="0" applyFont="1" applyAlignment="1">
      <alignment horizontal="right" vertical="top" wrapText="1"/>
    </xf>
    <xf numFmtId="165" fontId="21" fillId="0" borderId="0" xfId="0" applyNumberFormat="1" applyFont="1"/>
    <xf numFmtId="165" fontId="21" fillId="0" borderId="0" xfId="2" applyNumberFormat="1" applyFont="1" applyFill="1" applyProtection="1"/>
    <xf numFmtId="165" fontId="21" fillId="0" borderId="0" xfId="0" applyNumberFormat="1" applyFont="1" applyAlignment="1">
      <alignment horizontal="left"/>
    </xf>
    <xf numFmtId="44" fontId="7" fillId="0" borderId="0" xfId="2" applyFont="1" applyProtection="1"/>
    <xf numFmtId="0" fontId="7" fillId="0" borderId="0" xfId="0" applyFont="1" applyAlignment="1">
      <alignment vertical="top"/>
    </xf>
    <xf numFmtId="0" fontId="6" fillId="0" borderId="0" xfId="0" applyFont="1"/>
    <xf numFmtId="165" fontId="19" fillId="0" borderId="0" xfId="0" applyNumberFormat="1" applyFont="1" applyAlignment="1">
      <alignment horizontal="left"/>
    </xf>
    <xf numFmtId="165" fontId="21" fillId="0" borderId="0" xfId="2" applyNumberFormat="1" applyFont="1" applyProtection="1"/>
    <xf numFmtId="44" fontId="22" fillId="0" borderId="0" xfId="2" applyFont="1" applyProtection="1"/>
    <xf numFmtId="165" fontId="23" fillId="0" borderId="0" xfId="0" applyNumberFormat="1" applyFont="1" applyAlignment="1">
      <alignment horizontal="left"/>
    </xf>
    <xf numFmtId="165" fontId="4" fillId="0" borderId="0" xfId="0" applyNumberFormat="1" applyFont="1" applyAlignment="1">
      <alignment horizontal="left"/>
    </xf>
    <xf numFmtId="166" fontId="19" fillId="0" borderId="0" xfId="1" applyNumberFormat="1" applyFont="1" applyProtection="1"/>
    <xf numFmtId="0" fontId="24" fillId="0" borderId="0" xfId="0" applyFont="1"/>
    <xf numFmtId="0" fontId="19" fillId="0" borderId="0" xfId="0" applyFont="1" applyAlignment="1">
      <alignment vertical="top"/>
    </xf>
    <xf numFmtId="166" fontId="19" fillId="0" borderId="0" xfId="1" applyNumberFormat="1" applyFont="1" applyFill="1" applyProtection="1"/>
    <xf numFmtId="166" fontId="19" fillId="2" borderId="0" xfId="1" applyNumberFormat="1" applyFont="1" applyFill="1" applyAlignment="1" applyProtection="1">
      <protection locked="0"/>
    </xf>
    <xf numFmtId="166" fontId="19" fillId="0" borderId="0" xfId="1" applyNumberFormat="1" applyFont="1"/>
    <xf numFmtId="165" fontId="14" fillId="0" borderId="0" xfId="2" applyNumberFormat="1" applyFont="1" applyAlignment="1" applyProtection="1">
      <alignment vertical="top"/>
    </xf>
    <xf numFmtId="166" fontId="19" fillId="0" borderId="0" xfId="1" applyNumberFormat="1" applyFont="1" applyAlignment="1">
      <alignment vertical="top"/>
    </xf>
    <xf numFmtId="44" fontId="7" fillId="0" borderId="0" xfId="2" applyFont="1" applyFill="1" applyProtection="1"/>
    <xf numFmtId="0" fontId="14" fillId="0" borderId="1" xfId="0" applyFont="1" applyBorder="1" applyAlignment="1">
      <alignment horizontal="center"/>
    </xf>
    <xf numFmtId="0" fontId="14" fillId="0" borderId="0" xfId="0" applyFont="1"/>
    <xf numFmtId="165" fontId="14" fillId="0" borderId="0" xfId="2" applyNumberFormat="1" applyFont="1" applyProtection="1"/>
    <xf numFmtId="0" fontId="19" fillId="0" borderId="0" xfId="0" applyFont="1"/>
    <xf numFmtId="165" fontId="19" fillId="0" borderId="0" xfId="2" applyNumberFormat="1" applyFont="1" applyProtection="1"/>
    <xf numFmtId="0" fontId="7" fillId="0" borderId="0" xfId="0" applyFont="1" applyAlignment="1">
      <alignment horizontal="center"/>
    </xf>
    <xf numFmtId="0" fontId="25" fillId="0" borderId="0" xfId="0" applyFont="1"/>
    <xf numFmtId="0" fontId="10" fillId="0" borderId="2" xfId="0" applyFont="1" applyBorder="1" applyAlignment="1">
      <alignment horizontal="left"/>
    </xf>
    <xf numFmtId="165" fontId="10" fillId="0" borderId="5" xfId="0" applyNumberFormat="1" applyFont="1" applyBorder="1"/>
    <xf numFmtId="165" fontId="11" fillId="0" borderId="5" xfId="0" applyNumberFormat="1" applyFont="1" applyBorder="1"/>
    <xf numFmtId="165" fontId="11" fillId="0" borderId="5" xfId="2" applyNumberFormat="1" applyFont="1" applyFill="1" applyBorder="1" applyProtection="1"/>
    <xf numFmtId="165" fontId="11" fillId="0" borderId="3" xfId="2" applyNumberFormat="1" applyFont="1" applyFill="1" applyBorder="1" applyProtection="1"/>
    <xf numFmtId="0" fontId="24" fillId="0" borderId="0" xfId="0" applyFont="1" applyAlignment="1">
      <alignment horizontal="center" vertical="top"/>
    </xf>
    <xf numFmtId="166" fontId="6" fillId="3" borderId="0" xfId="0" applyNumberFormat="1" applyFont="1" applyFill="1" applyAlignment="1">
      <alignment vertical="top"/>
    </xf>
    <xf numFmtId="165" fontId="7" fillId="0" borderId="0" xfId="2" applyNumberFormat="1" applyFont="1" applyAlignment="1" applyProtection="1">
      <alignment vertical="top"/>
    </xf>
    <xf numFmtId="0" fontId="5" fillId="0" borderId="0" xfId="0" applyFont="1" applyAlignment="1">
      <alignment horizontal="center"/>
    </xf>
    <xf numFmtId="0" fontId="7" fillId="0" borderId="0" xfId="0" applyFont="1" applyAlignment="1">
      <alignment horizontal="left" vertical="top" wrapText="1"/>
    </xf>
    <xf numFmtId="0" fontId="26" fillId="0" borderId="0" xfId="0" applyFont="1" applyAlignment="1">
      <alignment horizontal="left"/>
    </xf>
    <xf numFmtId="0" fontId="5" fillId="0" borderId="0" xfId="0" applyFont="1" applyAlignment="1">
      <alignment horizontal="left"/>
    </xf>
    <xf numFmtId="0" fontId="19" fillId="0" borderId="0" xfId="0" applyFont="1" applyAlignment="1">
      <alignment horizontal="left"/>
    </xf>
    <xf numFmtId="0" fontId="24" fillId="0" borderId="0" xfId="0" applyFont="1" applyAlignment="1">
      <alignment horizontal="left"/>
    </xf>
    <xf numFmtId="0" fontId="6" fillId="3" borderId="4" xfId="0" applyFont="1" applyFill="1" applyBorder="1"/>
    <xf numFmtId="0" fontId="24" fillId="3" borderId="4" xfId="0" applyFont="1" applyFill="1" applyBorder="1" applyAlignment="1">
      <alignment horizontal="center"/>
    </xf>
    <xf numFmtId="166" fontId="7" fillId="2" borderId="4" xfId="1" applyNumberFormat="1" applyFont="1" applyFill="1" applyBorder="1" applyProtection="1">
      <protection locked="0"/>
    </xf>
    <xf numFmtId="0" fontId="24" fillId="0" borderId="0" xfId="0" applyFont="1" applyAlignment="1">
      <alignment horizontal="left" vertical="top"/>
    </xf>
    <xf numFmtId="0" fontId="6" fillId="0" borderId="0" xfId="0" applyFont="1" applyAlignment="1">
      <alignment horizontal="left" vertical="top"/>
    </xf>
    <xf numFmtId="0" fontId="24" fillId="0" borderId="0" xfId="0" applyFont="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vertical="top"/>
    </xf>
    <xf numFmtId="0" fontId="6" fillId="0" borderId="0" xfId="0" applyFont="1" applyAlignment="1">
      <alignment vertical="top" wrapText="1"/>
    </xf>
    <xf numFmtId="0" fontId="7" fillId="0" borderId="0" xfId="0" applyFont="1" applyAlignment="1">
      <alignment horizontal="left"/>
    </xf>
    <xf numFmtId="165" fontId="7" fillId="0" borderId="0" xfId="2" applyNumberFormat="1" applyFont="1" applyFill="1" applyBorder="1" applyProtection="1"/>
    <xf numFmtId="0" fontId="28" fillId="4" borderId="0" xfId="0" applyFont="1" applyFill="1"/>
    <xf numFmtId="38" fontId="28" fillId="4" borderId="0" xfId="0" applyNumberFormat="1" applyFont="1" applyFill="1"/>
    <xf numFmtId="0" fontId="28" fillId="4" borderId="7" xfId="0" applyFont="1" applyFill="1" applyBorder="1"/>
    <xf numFmtId="0" fontId="28" fillId="4" borderId="8" xfId="0" applyFont="1" applyFill="1" applyBorder="1"/>
    <xf numFmtId="38" fontId="28" fillId="4" borderId="8" xfId="0" applyNumberFormat="1" applyFont="1" applyFill="1" applyBorder="1"/>
    <xf numFmtId="0" fontId="28" fillId="4" borderId="9" xfId="0" applyFont="1" applyFill="1" applyBorder="1"/>
    <xf numFmtId="0" fontId="28" fillId="4" borderId="10" xfId="0" applyFont="1" applyFill="1" applyBorder="1"/>
    <xf numFmtId="0" fontId="29" fillId="4" borderId="0" xfId="0" applyFont="1" applyFill="1"/>
    <xf numFmtId="0" fontId="29" fillId="4" borderId="0" xfId="0" applyFont="1" applyFill="1" applyAlignment="1">
      <alignment horizontal="center"/>
    </xf>
    <xf numFmtId="0" fontId="28" fillId="4" borderId="11" xfId="0" applyFont="1" applyFill="1" applyBorder="1"/>
    <xf numFmtId="0" fontId="29" fillId="0" borderId="0" xfId="0" applyFont="1" applyAlignment="1" applyProtection="1">
      <alignment horizontal="center"/>
      <protection locked="0"/>
    </xf>
    <xf numFmtId="38" fontId="30" fillId="4" borderId="12" xfId="0" applyNumberFormat="1" applyFont="1" applyFill="1" applyBorder="1" applyAlignment="1">
      <alignment horizontal="center" wrapText="1"/>
    </xf>
    <xf numFmtId="0" fontId="30" fillId="4" borderId="0" xfId="0" applyFont="1" applyFill="1"/>
    <xf numFmtId="38" fontId="30" fillId="4" borderId="12" xfId="0" applyNumberFormat="1" applyFont="1" applyFill="1" applyBorder="1" applyAlignment="1">
      <alignment horizontal="center"/>
    </xf>
    <xf numFmtId="38" fontId="31" fillId="4" borderId="0" xfId="0" applyNumberFormat="1" applyFont="1" applyFill="1" applyAlignment="1">
      <alignment horizontal="center" wrapText="1"/>
    </xf>
    <xf numFmtId="38" fontId="31" fillId="4" borderId="0" xfId="0" applyNumberFormat="1" applyFont="1" applyFill="1" applyAlignment="1">
      <alignment horizontal="center"/>
    </xf>
    <xf numFmtId="38" fontId="30" fillId="4" borderId="0" xfId="0" applyNumberFormat="1" applyFont="1" applyFill="1" applyAlignment="1">
      <alignment horizontal="center" wrapText="1"/>
    </xf>
    <xf numFmtId="165" fontId="28" fillId="2" borderId="0" xfId="2" applyNumberFormat="1" applyFont="1" applyFill="1" applyProtection="1">
      <protection locked="0"/>
    </xf>
    <xf numFmtId="166" fontId="28" fillId="4" borderId="0" xfId="1" applyNumberFormat="1" applyFont="1" applyFill="1"/>
    <xf numFmtId="165" fontId="28" fillId="4" borderId="0" xfId="2" applyNumberFormat="1" applyFont="1" applyFill="1"/>
    <xf numFmtId="165" fontId="28" fillId="4" borderId="13" xfId="2" applyNumberFormat="1" applyFont="1" applyFill="1" applyBorder="1"/>
    <xf numFmtId="166" fontId="28" fillId="4" borderId="0" xfId="1" quotePrefix="1" applyNumberFormat="1" applyFont="1" applyFill="1"/>
    <xf numFmtId="166" fontId="28" fillId="4" borderId="0" xfId="1" applyNumberFormat="1" applyFont="1" applyFill="1" applyBorder="1"/>
    <xf numFmtId="0" fontId="28" fillId="4" borderId="14" xfId="0" applyFont="1" applyFill="1" applyBorder="1"/>
    <xf numFmtId="0" fontId="28" fillId="4" borderId="12" xfId="0" applyFont="1" applyFill="1" applyBorder="1"/>
    <xf numFmtId="38" fontId="28" fillId="4" borderId="12" xfId="0" applyNumberFormat="1" applyFont="1" applyFill="1" applyBorder="1"/>
    <xf numFmtId="0" fontId="28" fillId="4" borderId="15" xfId="0" applyFont="1" applyFill="1" applyBorder="1"/>
    <xf numFmtId="0" fontId="32" fillId="5" borderId="0" xfId="3" applyFont="1" applyFill="1"/>
    <xf numFmtId="0" fontId="33" fillId="5" borderId="0" xfId="3" applyFont="1" applyFill="1"/>
    <xf numFmtId="0" fontId="33" fillId="5" borderId="0" xfId="3" applyFont="1" applyFill="1" applyAlignment="1">
      <alignment horizontal="center"/>
    </xf>
    <xf numFmtId="0" fontId="33" fillId="5" borderId="0" xfId="3" applyFont="1" applyFill="1" applyAlignment="1">
      <alignment wrapText="1"/>
    </xf>
    <xf numFmtId="0" fontId="33" fillId="5" borderId="0" xfId="3" applyFont="1" applyFill="1" applyAlignment="1">
      <alignment horizontal="center" wrapText="1"/>
    </xf>
    <xf numFmtId="0" fontId="33" fillId="0" borderId="0" xfId="3" applyFont="1"/>
    <xf numFmtId="0" fontId="33" fillId="0" borderId="0" xfId="3" applyFont="1" applyAlignment="1">
      <alignment horizontal="center"/>
    </xf>
    <xf numFmtId="0" fontId="2" fillId="6" borderId="0" xfId="3" applyFont="1" applyFill="1"/>
    <xf numFmtId="0" fontId="1" fillId="6" borderId="0" xfId="3" applyFill="1"/>
    <xf numFmtId="0" fontId="1" fillId="6" borderId="0" xfId="3" applyFill="1" applyAlignment="1">
      <alignment horizontal="center"/>
    </xf>
    <xf numFmtId="0" fontId="1" fillId="0" borderId="0" xfId="3"/>
    <xf numFmtId="0" fontId="34" fillId="0" borderId="0" xfId="3" applyFont="1" applyAlignment="1">
      <alignment horizontal="left" vertical="top" wrapText="1"/>
    </xf>
    <xf numFmtId="0" fontId="36" fillId="0" borderId="0" xfId="3" applyFont="1" applyAlignment="1">
      <alignment vertical="top"/>
    </xf>
    <xf numFmtId="0" fontId="34" fillId="0" borderId="0" xfId="3" applyFont="1" applyAlignment="1">
      <alignment horizontal="center" vertical="top" wrapText="1"/>
    </xf>
    <xf numFmtId="0" fontId="36" fillId="0" borderId="16" xfId="3" applyFont="1" applyBorder="1" applyAlignment="1">
      <alignment horizontal="center" vertical="top" wrapText="1"/>
    </xf>
    <xf numFmtId="0" fontId="36" fillId="0" borderId="0" xfId="3" applyFont="1" applyAlignment="1">
      <alignment vertical="top" wrapText="1"/>
    </xf>
    <xf numFmtId="0" fontId="36" fillId="0" borderId="0" xfId="3" applyFont="1" applyAlignment="1">
      <alignment horizontal="center" vertical="top"/>
    </xf>
    <xf numFmtId="0" fontId="36" fillId="0" borderId="0" xfId="3" applyFont="1" applyAlignment="1">
      <alignment horizontal="center" vertical="top" wrapText="1"/>
    </xf>
    <xf numFmtId="0" fontId="37" fillId="0" borderId="0" xfId="3" applyFont="1" applyAlignment="1">
      <alignment horizontal="center" vertical="top" wrapText="1"/>
    </xf>
    <xf numFmtId="0" fontId="37" fillId="0" borderId="0" xfId="3" quotePrefix="1" applyFont="1" applyAlignment="1">
      <alignment horizontal="center" vertical="top" wrapText="1"/>
    </xf>
    <xf numFmtId="0" fontId="38" fillId="0" borderId="0" xfId="3" applyFont="1" applyAlignment="1">
      <alignment horizontal="center" vertical="top" wrapText="1"/>
    </xf>
    <xf numFmtId="0" fontId="34" fillId="0" borderId="0" xfId="3" applyFont="1" applyAlignment="1">
      <alignment vertical="top"/>
    </xf>
    <xf numFmtId="166" fontId="34" fillId="2" borderId="4" xfId="1" applyNumberFormat="1" applyFont="1" applyFill="1" applyBorder="1" applyAlignment="1" applyProtection="1">
      <alignment vertical="top"/>
      <protection locked="0"/>
    </xf>
    <xf numFmtId="166" fontId="34" fillId="0" borderId="0" xfId="1" applyNumberFormat="1" applyFont="1" applyAlignment="1" applyProtection="1">
      <alignment horizontal="center" vertical="top"/>
    </xf>
    <xf numFmtId="166" fontId="34" fillId="0" borderId="0" xfId="1" quotePrefix="1" applyNumberFormat="1" applyFont="1" applyAlignment="1" applyProtection="1">
      <alignment horizontal="center" vertical="top"/>
    </xf>
    <xf numFmtId="166" fontId="34" fillId="0" borderId="0" xfId="1" quotePrefix="1" applyNumberFormat="1" applyFont="1" applyFill="1" applyBorder="1" applyAlignment="1" applyProtection="1">
      <alignment horizontal="center" vertical="top"/>
      <protection locked="0"/>
    </xf>
    <xf numFmtId="166" fontId="34" fillId="0" borderId="4" xfId="1" applyNumberFormat="1" applyFont="1" applyBorder="1" applyAlignment="1" applyProtection="1">
      <alignment vertical="top"/>
    </xf>
    <xf numFmtId="166" fontId="34" fillId="0" borderId="0" xfId="1" quotePrefix="1" applyNumberFormat="1" applyFont="1" applyAlignment="1" applyProtection="1">
      <alignment vertical="top"/>
    </xf>
    <xf numFmtId="166" fontId="34" fillId="0" borderId="4" xfId="1" applyNumberFormat="1" applyFont="1" applyFill="1" applyBorder="1" applyAlignment="1" applyProtection="1">
      <alignment vertical="top"/>
    </xf>
    <xf numFmtId="166" fontId="34" fillId="0" borderId="0" xfId="1" applyNumberFormat="1" applyFont="1" applyAlignment="1" applyProtection="1">
      <alignment vertical="top"/>
    </xf>
    <xf numFmtId="166" fontId="39" fillId="0" borderId="4" xfId="1" applyNumberFormat="1" applyFont="1" applyBorder="1" applyAlignment="1" applyProtection="1">
      <alignment vertical="top"/>
    </xf>
    <xf numFmtId="0" fontId="34" fillId="0" borderId="0" xfId="3" applyFont="1" applyAlignment="1">
      <alignment horizontal="center" vertical="top"/>
    </xf>
    <xf numFmtId="0" fontId="40" fillId="0" borderId="0" xfId="3" applyFont="1" applyAlignment="1">
      <alignment vertical="top"/>
    </xf>
    <xf numFmtId="0" fontId="34" fillId="0" borderId="0" xfId="3" applyFont="1" applyAlignment="1">
      <alignment vertical="top" wrapText="1"/>
    </xf>
    <xf numFmtId="0" fontId="36" fillId="0" borderId="0" xfId="3" applyFont="1" applyAlignment="1">
      <alignment horizontal="left" vertical="top"/>
    </xf>
    <xf numFmtId="166" fontId="34" fillId="0" borderId="0" xfId="1" applyNumberFormat="1" applyFont="1" applyFill="1" applyBorder="1" applyAlignment="1" applyProtection="1">
      <alignment vertical="top"/>
      <protection locked="0"/>
    </xf>
    <xf numFmtId="43" fontId="34" fillId="0" borderId="0" xfId="1" quotePrefix="1" applyFont="1" applyAlignment="1" applyProtection="1">
      <alignment vertical="top"/>
    </xf>
    <xf numFmtId="43" fontId="34" fillId="0" borderId="0" xfId="1" applyFont="1" applyAlignment="1" applyProtection="1">
      <alignment vertical="top"/>
    </xf>
    <xf numFmtId="0" fontId="36" fillId="0" borderId="0" xfId="3" applyFont="1" applyAlignment="1">
      <alignment horizontal="left" vertical="top" wrapText="1"/>
    </xf>
    <xf numFmtId="0" fontId="1" fillId="0" borderId="0" xfId="3" applyAlignment="1">
      <alignment horizontal="center"/>
    </xf>
    <xf numFmtId="166" fontId="1" fillId="0" borderId="4" xfId="1" applyNumberFormat="1" applyBorder="1" applyProtection="1"/>
    <xf numFmtId="0" fontId="38" fillId="0" borderId="0" xfId="3" applyFont="1"/>
    <xf numFmtId="0" fontId="37" fillId="0" borderId="0" xfId="3" applyFont="1" applyAlignment="1">
      <alignment horizontal="right" vertical="top" wrapText="1"/>
    </xf>
    <xf numFmtId="0" fontId="39" fillId="0" borderId="0" xfId="3" applyFont="1" applyAlignment="1">
      <alignment vertical="top"/>
    </xf>
    <xf numFmtId="0" fontId="2" fillId="0" borderId="0" xfId="3" applyFont="1"/>
    <xf numFmtId="0" fontId="8" fillId="0" borderId="0" xfId="0" applyFont="1" applyAlignment="1">
      <alignment horizontal="left" vertical="center" wrapText="1"/>
    </xf>
    <xf numFmtId="0" fontId="7" fillId="2" borderId="0" xfId="0" applyFont="1" applyFill="1" applyAlignment="1" applyProtection="1">
      <alignment horizontal="left" vertical="top"/>
      <protection locked="0"/>
    </xf>
    <xf numFmtId="167" fontId="7" fillId="2" borderId="0" xfId="0" applyNumberFormat="1" applyFont="1" applyFill="1" applyAlignment="1" applyProtection="1">
      <alignment horizontal="left"/>
      <protection locked="0"/>
    </xf>
    <xf numFmtId="49" fontId="7" fillId="2" borderId="0" xfId="1" applyNumberFormat="1" applyFont="1" applyFill="1" applyBorder="1" applyAlignment="1" applyProtection="1">
      <protection locked="0"/>
    </xf>
    <xf numFmtId="0" fontId="7" fillId="0" borderId="0" xfId="0" quotePrefix="1" applyFont="1" applyAlignment="1">
      <alignment horizontal="left"/>
    </xf>
    <xf numFmtId="0" fontId="5" fillId="0" borderId="0" xfId="0" applyFont="1"/>
    <xf numFmtId="165" fontId="7" fillId="0" borderId="0" xfId="2" applyNumberFormat="1" applyFont="1" applyAlignment="1" applyProtection="1">
      <alignment horizontal="left"/>
    </xf>
    <xf numFmtId="0" fontId="41" fillId="0" borderId="0" xfId="0" applyFont="1"/>
    <xf numFmtId="44" fontId="41" fillId="0" borderId="0" xfId="2" applyFont="1" applyProtection="1"/>
    <xf numFmtId="0" fontId="42" fillId="0" borderId="0" xfId="0" applyFont="1" applyAlignment="1">
      <alignment vertical="top" wrapText="1"/>
    </xf>
    <xf numFmtId="0" fontId="16" fillId="0" borderId="0" xfId="0" applyFont="1" applyAlignment="1">
      <alignment vertical="top" wrapText="1"/>
    </xf>
    <xf numFmtId="0" fontId="16" fillId="0" borderId="0" xfId="0" applyFont="1"/>
    <xf numFmtId="0" fontId="43" fillId="0" borderId="0" xfId="0" applyFont="1"/>
    <xf numFmtId="165" fontId="7" fillId="0" borderId="0" xfId="2" applyNumberFormat="1" applyFont="1" applyProtection="1"/>
    <xf numFmtId="0" fontId="16" fillId="0" borderId="0" xfId="0" applyFont="1" applyAlignment="1">
      <alignment horizontal="left"/>
    </xf>
    <xf numFmtId="0" fontId="14" fillId="0" borderId="0" xfId="0" quotePrefix="1" applyFont="1" applyAlignment="1">
      <alignment horizontal="left"/>
    </xf>
    <xf numFmtId="0" fontId="14" fillId="0" borderId="0" xfId="0" applyFont="1" applyAlignment="1">
      <alignment horizontal="left"/>
    </xf>
    <xf numFmtId="165" fontId="14" fillId="0" borderId="0" xfId="2" applyNumberFormat="1" applyFont="1" applyAlignment="1" applyProtection="1">
      <alignment horizontal="left"/>
    </xf>
    <xf numFmtId="44" fontId="14" fillId="0" borderId="0" xfId="2" applyFont="1" applyProtection="1"/>
    <xf numFmtId="44" fontId="19" fillId="0" borderId="0" xfId="0" applyNumberFormat="1" applyFont="1" applyAlignment="1">
      <alignment horizontal="left"/>
    </xf>
    <xf numFmtId="43" fontId="41" fillId="0" borderId="0" xfId="1" applyFont="1" applyProtection="1"/>
    <xf numFmtId="0" fontId="44" fillId="0" borderId="0" xfId="0" applyFont="1"/>
    <xf numFmtId="165" fontId="20" fillId="0" borderId="0" xfId="0" applyNumberFormat="1" applyFont="1" applyAlignment="1">
      <alignment horizontal="left" indent="1"/>
    </xf>
    <xf numFmtId="44" fontId="41" fillId="0" borderId="0" xfId="0" applyNumberFormat="1" applyFont="1" applyAlignment="1">
      <alignment horizontal="left"/>
    </xf>
    <xf numFmtId="165" fontId="7" fillId="0" borderId="0" xfId="2" applyNumberFormat="1" applyFont="1" applyFill="1" applyProtection="1"/>
    <xf numFmtId="165" fontId="19" fillId="0" borderId="0" xfId="2" applyNumberFormat="1" applyFont="1" applyFill="1" applyProtection="1"/>
    <xf numFmtId="43" fontId="6" fillId="0" borderId="0" xfId="1" applyFont="1" applyProtection="1"/>
    <xf numFmtId="0" fontId="19" fillId="0" borderId="0" xfId="0" applyFont="1" applyAlignment="1">
      <alignment wrapText="1"/>
    </xf>
    <xf numFmtId="0" fontId="44" fillId="0" borderId="0" xfId="0" applyFont="1" applyAlignment="1">
      <alignment horizontal="left" indent="2"/>
    </xf>
    <xf numFmtId="0" fontId="45" fillId="0" borderId="0" xfId="0" applyFont="1" applyAlignment="1">
      <alignment horizontal="left" indent="1"/>
    </xf>
    <xf numFmtId="165" fontId="7" fillId="0" borderId="0" xfId="0" applyNumberFormat="1" applyFont="1"/>
    <xf numFmtId="165" fontId="14" fillId="0" borderId="0" xfId="2" applyNumberFormat="1" applyFont="1" applyFill="1" applyProtection="1"/>
    <xf numFmtId="165" fontId="46" fillId="0" borderId="0" xfId="2" applyNumberFormat="1" applyFont="1" applyAlignment="1" applyProtection="1">
      <alignment horizontal="right"/>
    </xf>
    <xf numFmtId="165" fontId="6" fillId="0" borderId="0" xfId="0" applyNumberFormat="1" applyFont="1"/>
    <xf numFmtId="0" fontId="7" fillId="0" borderId="0" xfId="0" applyFont="1"/>
    <xf numFmtId="0" fontId="22" fillId="0" borderId="0" xfId="0" applyFont="1"/>
    <xf numFmtId="165" fontId="22" fillId="0" borderId="0" xfId="2" applyNumberFormat="1" applyFont="1" applyFill="1" applyProtection="1"/>
    <xf numFmtId="0" fontId="46" fillId="0" borderId="0" xfId="0" applyFont="1" applyAlignment="1">
      <alignment horizontal="right"/>
    </xf>
    <xf numFmtId="165" fontId="19" fillId="0" borderId="0" xfId="2" applyNumberFormat="1" applyFont="1" applyFill="1" applyAlignment="1" applyProtection="1">
      <alignment horizontal="right"/>
    </xf>
    <xf numFmtId="0" fontId="20" fillId="0" borderId="0" xfId="0" applyFont="1"/>
    <xf numFmtId="0" fontId="47" fillId="0" borderId="0" xfId="0" applyFont="1"/>
    <xf numFmtId="0" fontId="5" fillId="0" borderId="0" xfId="0" applyFont="1" applyAlignment="1">
      <alignment vertical="center" wrapText="1"/>
    </xf>
    <xf numFmtId="0" fontId="19" fillId="0" borderId="0" xfId="0" applyFont="1" applyAlignment="1">
      <alignment horizontal="left" vertical="top"/>
    </xf>
    <xf numFmtId="0" fontId="7" fillId="0" borderId="0" xfId="0" applyFont="1" applyAlignment="1">
      <alignment horizontal="left" wrapText="1"/>
    </xf>
    <xf numFmtId="0" fontId="27" fillId="0" borderId="0" xfId="0" applyFont="1" applyAlignment="1">
      <alignment horizontal="center"/>
    </xf>
    <xf numFmtId="0" fontId="24" fillId="0" borderId="6" xfId="0" applyFont="1" applyBorder="1" applyAlignment="1">
      <alignment horizontal="center"/>
    </xf>
    <xf numFmtId="165" fontId="7" fillId="2" borderId="4" xfId="2" applyNumberFormat="1" applyFont="1" applyFill="1" applyBorder="1" applyProtection="1">
      <protection locked="0"/>
    </xf>
    <xf numFmtId="165" fontId="7" fillId="0" borderId="6" xfId="2" applyNumberFormat="1" applyFont="1" applyFill="1" applyBorder="1" applyProtection="1"/>
    <xf numFmtId="44" fontId="7" fillId="2" borderId="0" xfId="2" applyFont="1" applyFill="1" applyAlignment="1" applyProtection="1">
      <alignment horizontal="left" vertical="top"/>
      <protection locked="0"/>
    </xf>
    <xf numFmtId="43" fontId="5" fillId="0" borderId="0" xfId="1" applyFont="1" applyAlignment="1" applyProtection="1">
      <alignment horizontal="center"/>
    </xf>
    <xf numFmtId="164" fontId="7" fillId="0" borderId="0" xfId="0" applyNumberFormat="1" applyFont="1" applyAlignment="1">
      <alignment horizontal="left"/>
    </xf>
    <xf numFmtId="43" fontId="6" fillId="0" borderId="0" xfId="1" applyFont="1" applyBorder="1" applyProtection="1"/>
    <xf numFmtId="44" fontId="6" fillId="0" borderId="0" xfId="2" applyFont="1" applyFill="1" applyProtection="1"/>
    <xf numFmtId="164" fontId="19" fillId="0" borderId="0" xfId="0" applyNumberFormat="1" applyFont="1" applyAlignment="1">
      <alignment horizontal="left"/>
    </xf>
    <xf numFmtId="0" fontId="24" fillId="0" borderId="0" xfId="0" applyFont="1" applyAlignment="1">
      <alignment horizontal="center"/>
    </xf>
    <xf numFmtId="44" fontId="19" fillId="0" borderId="0" xfId="2" applyFont="1" applyFill="1" applyAlignment="1" applyProtection="1">
      <alignment horizontal="left" vertical="top"/>
    </xf>
    <xf numFmtId="0" fontId="19" fillId="0" borderId="0" xfId="0" applyFont="1" applyAlignment="1">
      <alignment horizontal="left" vertical="top" wrapText="1"/>
    </xf>
    <xf numFmtId="0" fontId="7" fillId="2" borderId="0" xfId="0" applyFont="1" applyFill="1" applyAlignment="1" applyProtection="1">
      <alignment horizontal="left"/>
      <protection locked="0"/>
    </xf>
    <xf numFmtId="0" fontId="5" fillId="0" borderId="0" xfId="0" applyFont="1" applyAlignment="1">
      <alignment horizontal="left" vertical="top"/>
    </xf>
    <xf numFmtId="49" fontId="7" fillId="2" borderId="0" xfId="1" applyNumberFormat="1" applyFont="1" applyFill="1" applyBorder="1" applyAlignment="1" applyProtection="1">
      <alignment horizontal="left"/>
      <protection locked="0"/>
    </xf>
    <xf numFmtId="0" fontId="3" fillId="0" borderId="0" xfId="0" applyFont="1" applyAlignment="1">
      <alignment horizontal="center" vertical="top" wrapText="1"/>
    </xf>
    <xf numFmtId="0" fontId="7" fillId="2" borderId="0" xfId="0" applyFont="1" applyFill="1" applyAlignment="1" applyProtection="1">
      <alignment horizontal="left" vertical="top"/>
      <protection locked="0"/>
    </xf>
    <xf numFmtId="164" fontId="7" fillId="2" borderId="0" xfId="0" quotePrefix="1" applyNumberFormat="1" applyFont="1" applyFill="1" applyAlignment="1" applyProtection="1">
      <alignment horizontal="left" vertical="top"/>
      <protection locked="0"/>
    </xf>
    <xf numFmtId="0" fontId="7" fillId="0" borderId="0" xfId="0" applyFont="1" applyAlignment="1">
      <alignment horizontal="left" vertical="top"/>
    </xf>
    <xf numFmtId="0" fontId="14" fillId="0" borderId="2" xfId="0" applyFont="1" applyBorder="1" applyAlignment="1">
      <alignment horizontal="center" vertical="top"/>
    </xf>
    <xf numFmtId="0" fontId="14" fillId="0" borderId="3" xfId="0" applyFont="1" applyBorder="1" applyAlignment="1">
      <alignment horizontal="center" vertical="top"/>
    </xf>
    <xf numFmtId="165" fontId="15" fillId="0" borderId="0" xfId="0" applyNumberFormat="1" applyFont="1" applyAlignment="1">
      <alignment horizontal="left" vertical="top" wrapText="1"/>
    </xf>
    <xf numFmtId="0" fontId="19" fillId="2" borderId="0" xfId="0" applyFont="1" applyFill="1" applyProtection="1">
      <protection locked="0"/>
    </xf>
    <xf numFmtId="0" fontId="3" fillId="0" borderId="0" xfId="0" applyFont="1" applyAlignment="1">
      <alignment horizontal="center" vertical="center" wrapText="1"/>
    </xf>
    <xf numFmtId="0" fontId="12" fillId="0" borderId="0" xfId="0" applyFont="1" applyAlignment="1">
      <alignment horizontal="left" vertical="top" wrapText="1"/>
    </xf>
    <xf numFmtId="0" fontId="19" fillId="0" borderId="0" xfId="0" applyFont="1" applyAlignment="1">
      <alignment vertical="top" wrapText="1"/>
    </xf>
    <xf numFmtId="0" fontId="19" fillId="0" borderId="0" xfId="0" applyFont="1" applyAlignment="1">
      <alignment horizontal="left" wrapText="1"/>
    </xf>
    <xf numFmtId="44" fontId="7" fillId="2" borderId="0" xfId="2" applyFont="1" applyFill="1" applyAlignment="1" applyProtection="1">
      <alignment horizontal="left" vertical="top"/>
      <protection locked="0"/>
    </xf>
    <xf numFmtId="164" fontId="19" fillId="2" borderId="0" xfId="0" applyNumberFormat="1" applyFont="1" applyFill="1" applyAlignment="1" applyProtection="1">
      <alignment horizontal="left"/>
      <protection locked="0"/>
    </xf>
    <xf numFmtId="0" fontId="19" fillId="2" borderId="0" xfId="0" applyFont="1" applyFill="1" applyAlignment="1" applyProtection="1">
      <alignment horizontal="left"/>
      <protection locked="0"/>
    </xf>
    <xf numFmtId="0" fontId="27" fillId="0" borderId="0" xfId="0" applyFont="1" applyAlignment="1">
      <alignment horizontal="center"/>
    </xf>
    <xf numFmtId="0" fontId="24" fillId="0" borderId="0" xfId="0" applyFont="1" applyAlignment="1">
      <alignment horizontal="left"/>
    </xf>
    <xf numFmtId="0" fontId="6" fillId="0" borderId="6" xfId="0"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19" fillId="0" borderId="0" xfId="0" applyFont="1" applyAlignment="1">
      <alignment horizontal="left"/>
    </xf>
    <xf numFmtId="164" fontId="19" fillId="0" borderId="0" xfId="0" applyNumberFormat="1" applyFont="1" applyAlignment="1">
      <alignment horizontal="left"/>
    </xf>
    <xf numFmtId="0" fontId="36" fillId="0" borderId="16" xfId="3" applyFont="1" applyBorder="1" applyAlignment="1">
      <alignment horizontal="center" vertical="top"/>
    </xf>
    <xf numFmtId="0" fontId="34" fillId="0" borderId="0" xfId="3" applyFont="1" applyAlignment="1">
      <alignment horizontal="left" vertical="top" wrapText="1"/>
    </xf>
    <xf numFmtId="0" fontId="35" fillId="2" borderId="0" xfId="3" applyFont="1" applyFill="1" applyAlignment="1">
      <alignment horizontal="left" vertical="top" wrapText="1"/>
    </xf>
    <xf numFmtId="0" fontId="36" fillId="0" borderId="16" xfId="3" applyFont="1" applyBorder="1" applyAlignment="1">
      <alignment horizontal="center" vertical="top" wrapText="1"/>
    </xf>
    <xf numFmtId="0" fontId="5" fillId="0" borderId="0" xfId="0" applyFont="1" applyAlignment="1">
      <alignment horizontal="left"/>
    </xf>
    <xf numFmtId="0" fontId="7" fillId="0" borderId="0" xfId="0" applyFont="1" applyAlignment="1">
      <alignment horizontal="left" vertical="center" wrapText="1"/>
    </xf>
    <xf numFmtId="0" fontId="14" fillId="0" borderId="0" xfId="0" applyFont="1" applyAlignment="1">
      <alignment wrapText="1"/>
    </xf>
    <xf numFmtId="0" fontId="14" fillId="0" borderId="0" xfId="0" applyFont="1"/>
    <xf numFmtId="0" fontId="19" fillId="0" borderId="0" xfId="0" applyFont="1"/>
    <xf numFmtId="0" fontId="7" fillId="2" borderId="0" xfId="0" applyFont="1" applyFill="1" applyAlignment="1" applyProtection="1">
      <alignment horizontal="left"/>
      <protection locked="0"/>
    </xf>
    <xf numFmtId="0" fontId="19" fillId="0" borderId="0" xfId="0" applyFont="1" applyAlignment="1">
      <alignment horizontal="left" vertical="top" wrapText="1"/>
    </xf>
    <xf numFmtId="168" fontId="7" fillId="2" borderId="0" xfId="0" applyNumberFormat="1" applyFont="1" applyFill="1" applyAlignment="1" applyProtection="1">
      <alignment horizontal="left"/>
      <protection locked="0"/>
    </xf>
    <xf numFmtId="0" fontId="27" fillId="0" borderId="16" xfId="0" applyFont="1" applyBorder="1" applyAlignment="1">
      <alignment horizontal="center"/>
    </xf>
  </cellXfs>
  <cellStyles count="4">
    <cellStyle name="Comma" xfId="1" builtinId="3"/>
    <cellStyle name="Currency" xfId="2" builtinId="4"/>
    <cellStyle name="Normal" xfId="0" builtinId="0"/>
    <cellStyle name="Normal 2" xfId="3" xr:uid="{177F9C8D-B9C3-4794-9C62-B663DB3BB202}"/>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GASB%2087%20-%20Leases\GASB%2087%20Leases%20FY23\FY23%20GASB%2087%20SCO%20Submission%20doc\DOT%20Copy\DOT%20GASB_87_Annual_Reporting_Submission_Workbook_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 Down Menus"/>
      <sheetName val="qryIndex02a"/>
      <sheetName val="LS-Version Changes"/>
      <sheetName val="Need to Post JVA"/>
      <sheetName val="LS-Fund 0042 Journal Entries"/>
      <sheetName val="LS-Fund 0046 Journal Entrie"/>
      <sheetName val="LS-Fund 3290 Journal Entrie"/>
      <sheetName val="LS-Fund 3291 Journal Entrie"/>
      <sheetName val="LS-Fund 6072 Journal Entrie "/>
      <sheetName val="LS-Department Note Disclosure"/>
      <sheetName val="LS-Lease Liabilities"/>
      <sheetName val="LS-Check Figures  "/>
      <sheetName val="LR-Version Changes"/>
      <sheetName val="LR-Fund 0042 Journal Entries"/>
      <sheetName val="LR-Department Note Disclosure"/>
      <sheetName val="LR-Check Figures"/>
      <sheetName val="Fund 3290"/>
      <sheetName val="0042"/>
      <sheetName val="0046"/>
      <sheetName val="3290"/>
      <sheetName val="3291"/>
      <sheetName val="6072"/>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AED9-85AA-4A18-96DC-0FE9A49E4B8B}">
  <sheetPr>
    <tabColor theme="9" tint="0.59999389629810485"/>
    <pageSetUpPr fitToPage="1"/>
  </sheetPr>
  <dimension ref="A1:S193"/>
  <sheetViews>
    <sheetView topLeftCell="A96" zoomScale="70" zoomScaleNormal="70" workbookViewId="0">
      <selection activeCell="T25" sqref="T25"/>
    </sheetView>
  </sheetViews>
  <sheetFormatPr defaultColWidth="9.109375" defaultRowHeight="15" x14ac:dyDescent="0.3"/>
  <cols>
    <col min="1" max="1" width="13.33203125" style="2" customWidth="1"/>
    <col min="2" max="5" width="10.6640625" style="2" customWidth="1"/>
    <col min="6" max="7" width="15.33203125" style="2" customWidth="1"/>
    <col min="8" max="8" width="15.33203125" style="77" customWidth="1"/>
    <col min="9" max="9" width="15.33203125" style="2" customWidth="1"/>
    <col min="10" max="10" width="21.33203125" style="2" customWidth="1"/>
    <col min="11" max="11" width="19.109375" style="2" customWidth="1"/>
    <col min="12" max="12" width="4" style="2" customWidth="1"/>
    <col min="13" max="14" width="17.33203125" style="2" customWidth="1"/>
    <col min="15" max="15" width="4" style="2" customWidth="1"/>
    <col min="16" max="17" width="15.88671875" style="2" customWidth="1"/>
    <col min="18" max="18" width="4" style="2" customWidth="1"/>
    <col min="19" max="19" width="15.88671875" style="2" customWidth="1"/>
    <col min="20" max="16384" width="9.109375" style="2"/>
  </cols>
  <sheetData>
    <row r="1" spans="1:19" ht="45" customHeight="1" x14ac:dyDescent="0.3">
      <c r="A1" s="227" t="s">
        <v>0</v>
      </c>
      <c r="B1" s="227"/>
      <c r="C1" s="227"/>
      <c r="D1" s="227"/>
      <c r="E1" s="227"/>
      <c r="F1" s="227"/>
      <c r="G1" s="227"/>
      <c r="H1" s="227"/>
      <c r="I1" s="227"/>
      <c r="J1" s="227"/>
      <c r="K1" s="227"/>
      <c r="L1" s="1"/>
      <c r="M1" s="1"/>
      <c r="N1" s="1"/>
      <c r="O1" s="1"/>
    </row>
    <row r="2" spans="1:19" ht="16.5" customHeight="1" x14ac:dyDescent="0.3">
      <c r="A2" s="3" t="s">
        <v>1</v>
      </c>
      <c r="B2" s="4"/>
      <c r="C2" s="4"/>
      <c r="D2" s="4"/>
      <c r="E2" s="4"/>
      <c r="F2" s="4"/>
      <c r="G2" s="4"/>
      <c r="H2" s="4"/>
      <c r="I2" s="4"/>
      <c r="J2" s="4"/>
      <c r="K2" s="4"/>
      <c r="L2" s="4"/>
      <c r="M2" s="4"/>
      <c r="N2" s="4"/>
      <c r="O2" s="4"/>
    </row>
    <row r="3" spans="1:19" ht="16.5" customHeight="1" x14ac:dyDescent="0.3">
      <c r="A3" s="225" t="s">
        <v>2</v>
      </c>
      <c r="B3" s="225"/>
      <c r="C3" s="225"/>
      <c r="D3" s="225"/>
      <c r="E3" s="225"/>
      <c r="F3" s="228" t="s">
        <v>3</v>
      </c>
      <c r="G3" s="228"/>
      <c r="H3" s="228"/>
      <c r="I3" s="228"/>
    </row>
    <row r="4" spans="1:19" ht="16.5" customHeight="1" x14ac:dyDescent="0.25">
      <c r="A4" s="225" t="s">
        <v>4</v>
      </c>
      <c r="B4" s="225"/>
      <c r="C4" s="225"/>
      <c r="D4" s="225"/>
      <c r="E4" s="225"/>
      <c r="F4" s="226" t="s">
        <v>5</v>
      </c>
      <c r="G4" s="226"/>
      <c r="H4" s="226"/>
      <c r="I4" s="226"/>
    </row>
    <row r="5" spans="1:19" ht="16.5" customHeight="1" x14ac:dyDescent="0.25">
      <c r="A5" s="225" t="s">
        <v>6</v>
      </c>
      <c r="B5" s="225"/>
      <c r="C5" s="225"/>
      <c r="D5" s="225"/>
      <c r="E5" s="225"/>
      <c r="F5" s="226" t="s">
        <v>7</v>
      </c>
      <c r="G5" s="226"/>
      <c r="H5" s="226"/>
      <c r="I5" s="226"/>
      <c r="L5" s="5"/>
      <c r="M5" s="5"/>
      <c r="N5" s="5"/>
      <c r="O5" s="5"/>
      <c r="P5" s="5"/>
      <c r="Q5" s="5"/>
    </row>
    <row r="6" spans="1:19" ht="16.5" customHeight="1" x14ac:dyDescent="0.3">
      <c r="A6" s="225" t="s">
        <v>8</v>
      </c>
      <c r="B6" s="225"/>
      <c r="C6" s="225"/>
      <c r="D6" s="225"/>
      <c r="E6" s="225"/>
      <c r="F6" s="229">
        <v>42</v>
      </c>
      <c r="G6" s="229"/>
      <c r="H6" s="229"/>
      <c r="I6" s="229"/>
      <c r="L6" s="6"/>
      <c r="M6" s="6"/>
      <c r="N6" s="6"/>
      <c r="O6" s="6"/>
      <c r="P6" s="5"/>
      <c r="Q6" s="5"/>
    </row>
    <row r="7" spans="1:19" ht="16.5" customHeight="1" x14ac:dyDescent="0.3">
      <c r="A7" s="225" t="s">
        <v>9</v>
      </c>
      <c r="B7" s="225"/>
      <c r="C7" s="225"/>
      <c r="D7" s="225"/>
      <c r="E7" s="225"/>
      <c r="F7" s="229" t="s">
        <v>10</v>
      </c>
      <c r="G7" s="229"/>
      <c r="H7" s="229"/>
      <c r="I7" s="229"/>
      <c r="K7" s="7"/>
      <c r="L7" s="6"/>
      <c r="M7" s="6"/>
      <c r="N7" s="6"/>
      <c r="O7" s="6"/>
      <c r="P7" s="5"/>
      <c r="Q7" s="5"/>
    </row>
    <row r="8" spans="1:19" ht="16.5" customHeight="1" x14ac:dyDescent="0.3">
      <c r="A8" s="225" t="s">
        <v>11</v>
      </c>
      <c r="B8" s="225"/>
      <c r="C8" s="225"/>
      <c r="D8" s="225"/>
      <c r="E8" s="225"/>
      <c r="F8" s="229" t="s">
        <v>12</v>
      </c>
      <c r="G8" s="229"/>
      <c r="H8" s="229"/>
      <c r="I8" s="229"/>
      <c r="K8" s="7"/>
      <c r="L8" s="6"/>
      <c r="M8" s="6"/>
      <c r="N8" s="6"/>
      <c r="O8" s="6"/>
      <c r="P8" s="5"/>
      <c r="Q8" s="5"/>
    </row>
    <row r="9" spans="1:19" ht="16.5" customHeight="1" x14ac:dyDescent="0.3">
      <c r="A9" s="225" t="s">
        <v>13</v>
      </c>
      <c r="B9" s="225"/>
      <c r="C9" s="225"/>
      <c r="D9" s="225"/>
      <c r="E9" s="225"/>
      <c r="F9" s="230" t="str">
        <f>IFERROR(IF(F7="Proprietary","Proprietary Fund",VLOOKUP(F5,[2]qryIndex02a!$A$2:$K$654,4,FALSE)),"Unidentified")</f>
        <v>TRANSPORTATION</v>
      </c>
      <c r="G9" s="230"/>
      <c r="H9" s="230"/>
      <c r="I9" s="230"/>
      <c r="K9" s="5"/>
      <c r="L9" s="5"/>
      <c r="M9" s="5"/>
      <c r="N9" s="5"/>
      <c r="O9" s="5"/>
      <c r="P9" s="5"/>
    </row>
    <row r="10" spans="1:19" ht="16.5" customHeight="1" x14ac:dyDescent="0.3">
      <c r="A10" s="8"/>
      <c r="B10" s="8"/>
      <c r="C10" s="8"/>
      <c r="D10" s="8"/>
      <c r="E10" s="6"/>
      <c r="F10" s="5"/>
      <c r="G10" s="5"/>
      <c r="H10" s="9"/>
      <c r="I10" s="5"/>
      <c r="J10" s="5"/>
      <c r="K10" s="5"/>
      <c r="L10" s="5"/>
      <c r="M10" s="5"/>
      <c r="N10" s="5"/>
      <c r="O10" s="5"/>
      <c r="P10" s="5"/>
    </row>
    <row r="11" spans="1:19" ht="16.5" customHeight="1" x14ac:dyDescent="0.3">
      <c r="A11" s="8"/>
      <c r="B11" s="8"/>
      <c r="C11" s="8"/>
      <c r="D11" s="8"/>
      <c r="E11" s="6"/>
      <c r="F11" s="5"/>
      <c r="G11" s="5"/>
      <c r="H11" s="9"/>
      <c r="I11" s="5"/>
      <c r="J11" s="5"/>
      <c r="K11" s="5"/>
      <c r="L11" s="5"/>
      <c r="M11" s="5"/>
      <c r="N11" s="5"/>
      <c r="O11" s="5"/>
      <c r="P11" s="5"/>
    </row>
    <row r="12" spans="1:19" s="16" customFormat="1" ht="21" customHeight="1" x14ac:dyDescent="0.4">
      <c r="A12" s="10" t="s">
        <v>14</v>
      </c>
      <c r="B12" s="11"/>
      <c r="C12" s="12"/>
      <c r="D12" s="12"/>
      <c r="E12" s="12"/>
      <c r="F12" s="13"/>
      <c r="G12" s="13"/>
      <c r="H12" s="14"/>
      <c r="I12" s="14"/>
      <c r="J12" s="13"/>
      <c r="K12" s="13"/>
      <c r="L12" s="5"/>
      <c r="M12" s="5"/>
      <c r="N12" s="15"/>
      <c r="O12" s="15"/>
      <c r="P12" s="15"/>
    </row>
    <row r="13" spans="1:19" s="19" customFormat="1" ht="16.5" customHeight="1" x14ac:dyDescent="0.35">
      <c r="A13" s="17" t="s">
        <v>15</v>
      </c>
      <c r="B13" s="18"/>
      <c r="D13" s="20"/>
      <c r="E13" s="20"/>
      <c r="F13" s="21"/>
      <c r="G13" s="21"/>
      <c r="H13" s="22"/>
      <c r="I13" s="22"/>
      <c r="J13" s="23"/>
      <c r="K13" s="23"/>
    </row>
    <row r="14" spans="1:19" ht="16.5" customHeight="1" x14ac:dyDescent="0.35">
      <c r="A14" s="24">
        <v>0</v>
      </c>
      <c r="B14" s="25" t="s">
        <v>16</v>
      </c>
      <c r="C14" s="26"/>
      <c r="D14" s="26"/>
      <c r="E14" s="26"/>
      <c r="F14" s="27"/>
      <c r="G14" s="27"/>
      <c r="H14" s="28"/>
      <c r="I14" s="28"/>
      <c r="J14" s="23"/>
      <c r="K14" s="23"/>
      <c r="L14" s="19"/>
      <c r="M14" s="231" t="s">
        <v>17</v>
      </c>
      <c r="N14" s="232"/>
      <c r="O14" s="19"/>
      <c r="P14" s="231" t="s">
        <v>18</v>
      </c>
      <c r="Q14" s="232"/>
      <c r="R14" s="19"/>
      <c r="S14" s="29" t="s">
        <v>19</v>
      </c>
    </row>
    <row r="15" spans="1:19" ht="16.5" customHeight="1" x14ac:dyDescent="0.3">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3">
      <c r="A16" s="30" t="s">
        <v>20</v>
      </c>
      <c r="B16" s="31" t="s">
        <v>22</v>
      </c>
      <c r="C16" s="31"/>
      <c r="D16" s="31"/>
      <c r="E16" s="32"/>
      <c r="F16" s="33"/>
      <c r="G16" s="33"/>
      <c r="H16" s="34"/>
      <c r="I16" s="34"/>
      <c r="J16" s="35">
        <f>M16</f>
        <v>0</v>
      </c>
      <c r="M16" s="36"/>
      <c r="P16" s="36">
        <v>0</v>
      </c>
      <c r="Q16" s="37"/>
      <c r="S16" s="38">
        <f t="shared" si="0"/>
        <v>0</v>
      </c>
    </row>
    <row r="17" spans="1:19" ht="16.5" customHeight="1" x14ac:dyDescent="0.3">
      <c r="A17" s="30" t="s">
        <v>20</v>
      </c>
      <c r="B17" s="31" t="s">
        <v>23</v>
      </c>
      <c r="C17" s="31"/>
      <c r="D17" s="31"/>
      <c r="E17" s="32"/>
      <c r="F17" s="33"/>
      <c r="G17" s="33"/>
      <c r="H17" s="34"/>
      <c r="I17" s="34"/>
      <c r="J17" s="35">
        <f>M17</f>
        <v>88282278.794842467</v>
      </c>
      <c r="M17" s="36">
        <v>88282278.794842467</v>
      </c>
      <c r="P17" s="36">
        <v>88282279</v>
      </c>
      <c r="Q17" s="37"/>
      <c r="S17" s="38">
        <f t="shared" si="0"/>
        <v>0.20515753328800201</v>
      </c>
    </row>
    <row r="18" spans="1:19" ht="16.5" customHeight="1" x14ac:dyDescent="0.3">
      <c r="A18" s="39"/>
      <c r="B18" s="31" t="s">
        <v>24</v>
      </c>
      <c r="C18" s="31"/>
      <c r="D18" s="31"/>
      <c r="E18" s="32"/>
      <c r="F18" s="33"/>
      <c r="G18" s="33"/>
      <c r="H18" s="34"/>
      <c r="I18" s="34"/>
      <c r="J18" s="35">
        <f>P18</f>
        <v>295241</v>
      </c>
      <c r="M18" s="36">
        <v>361780.37363121856</v>
      </c>
      <c r="P18" s="40">
        <f>IF(SUM($Q$21:$Q$23)&gt;SUM($P$15:$P$17),SUM($Q$21:$Q$23)-SUM($P$15:$P$17),0)</f>
        <v>295241</v>
      </c>
      <c r="Q18" s="37"/>
      <c r="S18" s="38">
        <f t="shared" si="0"/>
        <v>-66539.373631218565</v>
      </c>
    </row>
    <row r="19" spans="1:19" ht="16.5" customHeight="1" x14ac:dyDescent="0.3">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3">
      <c r="A20" s="39"/>
      <c r="B20" s="31"/>
      <c r="C20" s="31" t="s">
        <v>26</v>
      </c>
      <c r="D20" s="31"/>
      <c r="E20" s="32"/>
      <c r="F20" s="33"/>
      <c r="G20" s="33"/>
      <c r="H20" s="34"/>
      <c r="I20" s="34"/>
      <c r="J20" s="41"/>
      <c r="K20" s="35">
        <f>N20</f>
        <v>0</v>
      </c>
      <c r="N20" s="36"/>
      <c r="P20" s="37"/>
      <c r="Q20" s="36">
        <v>0</v>
      </c>
      <c r="S20" s="38">
        <f t="shared" si="0"/>
        <v>0</v>
      </c>
    </row>
    <row r="21" spans="1:19" ht="16.5" customHeight="1" x14ac:dyDescent="0.3">
      <c r="A21" s="39"/>
      <c r="B21" s="31"/>
      <c r="C21" s="31" t="s">
        <v>27</v>
      </c>
      <c r="D21" s="31"/>
      <c r="E21" s="32"/>
      <c r="F21" s="33"/>
      <c r="G21" s="33"/>
      <c r="H21" s="34"/>
      <c r="I21" s="34"/>
      <c r="J21" s="41"/>
      <c r="K21" s="35">
        <f>N21</f>
        <v>0</v>
      </c>
      <c r="N21" s="36"/>
      <c r="P21" s="37"/>
      <c r="Q21" s="36">
        <v>0</v>
      </c>
      <c r="S21" s="38">
        <f>Q21-N21</f>
        <v>0</v>
      </c>
    </row>
    <row r="22" spans="1:19" ht="16.5" customHeight="1" x14ac:dyDescent="0.3">
      <c r="A22" s="39"/>
      <c r="B22" s="31"/>
      <c r="C22" s="31" t="s">
        <v>28</v>
      </c>
      <c r="D22" s="31"/>
      <c r="E22" s="32"/>
      <c r="F22" s="33"/>
      <c r="G22" s="33"/>
      <c r="H22" s="34"/>
      <c r="I22" s="34"/>
      <c r="J22" s="41"/>
      <c r="K22" s="35">
        <f>N22</f>
        <v>18684623.101202592</v>
      </c>
      <c r="N22" s="36">
        <v>18684623.101202592</v>
      </c>
      <c r="P22" s="37"/>
      <c r="Q22" s="36">
        <v>18684623</v>
      </c>
      <c r="S22" s="38">
        <f t="shared" ref="S22:S25" si="1">Q22-N22</f>
        <v>-0.101202592253685</v>
      </c>
    </row>
    <row r="23" spans="1:19" ht="16.5" customHeight="1" x14ac:dyDescent="0.3">
      <c r="A23" s="42" t="s">
        <v>29</v>
      </c>
      <c r="B23" s="31"/>
      <c r="C23" s="31" t="s">
        <v>30</v>
      </c>
      <c r="D23" s="31"/>
      <c r="E23" s="32"/>
      <c r="F23" s="33"/>
      <c r="G23" s="33"/>
      <c r="H23" s="34"/>
      <c r="I23" s="34"/>
      <c r="J23" s="41"/>
      <c r="K23" s="35">
        <f>N23</f>
        <v>69892896.362542897</v>
      </c>
      <c r="N23" s="36">
        <v>69892896.362542897</v>
      </c>
      <c r="P23" s="37"/>
      <c r="Q23" s="36">
        <v>69892897</v>
      </c>
      <c r="S23" s="38">
        <f t="shared" si="1"/>
        <v>0.63745710253715515</v>
      </c>
    </row>
    <row r="24" spans="1:19" ht="16.5" customHeight="1" x14ac:dyDescent="0.3">
      <c r="A24" s="39"/>
      <c r="B24" s="31"/>
      <c r="C24" s="31" t="s">
        <v>31</v>
      </c>
      <c r="D24" s="31"/>
      <c r="E24" s="32"/>
      <c r="F24" s="33"/>
      <c r="G24" s="33"/>
      <c r="H24" s="34"/>
      <c r="I24" s="34"/>
      <c r="J24" s="41"/>
      <c r="K24" s="35">
        <f>Q24</f>
        <v>0</v>
      </c>
      <c r="N24" s="36">
        <v>-66539.704728194047</v>
      </c>
      <c r="P24" s="37"/>
      <c r="Q24" s="40">
        <f>IF(SUM($Q$39:$Q$41)&lt;SUM($P$33:$P$35),-SUM($Q$39:$Q$41)+SUM($P$33:$P$35),0)</f>
        <v>0</v>
      </c>
      <c r="S24" s="38">
        <f t="shared" si="1"/>
        <v>66539.704728194047</v>
      </c>
    </row>
    <row r="25" spans="1:19" ht="16.5" customHeight="1" x14ac:dyDescent="0.3">
      <c r="A25" s="39"/>
      <c r="B25" s="31"/>
      <c r="C25" s="31" t="s">
        <v>32</v>
      </c>
      <c r="D25" s="31"/>
      <c r="E25" s="32"/>
      <c r="F25" s="33"/>
      <c r="G25" s="33"/>
      <c r="H25" s="34"/>
      <c r="I25" s="34"/>
      <c r="J25" s="41"/>
      <c r="K25" s="35">
        <f>IF(SUM($K$21:$K$24)&lt;SUM($J$15:$J$18),-SUM($K$21:$K$24)+SUM($J$15:$J$18),0)</f>
        <v>0.33109697699546814</v>
      </c>
      <c r="N25" s="36"/>
      <c r="P25" s="37"/>
      <c r="Q25" s="37"/>
      <c r="S25" s="38">
        <f t="shared" si="1"/>
        <v>0</v>
      </c>
    </row>
    <row r="26" spans="1:19" ht="16.5" customHeight="1" x14ac:dyDescent="0.3">
      <c r="A26" s="39"/>
      <c r="C26" s="43"/>
      <c r="D26" s="43"/>
      <c r="E26" s="43"/>
      <c r="F26" s="44"/>
      <c r="G26" s="44"/>
      <c r="H26" s="45"/>
      <c r="I26" s="45"/>
      <c r="J26" s="46">
        <f>SUM(J15:J25)</f>
        <v>88577519.794842467</v>
      </c>
      <c r="K26" s="46">
        <f>SUM(K15:K25)</f>
        <v>88577519.794842467</v>
      </c>
      <c r="L26" s="47" t="str">
        <f>IF(J26=K26,"&lt;- Debits and Credits equal each other.","&lt;- Debits and Credits do not equal each other.")</f>
        <v>&lt;- Debits and Credits equal each other.</v>
      </c>
    </row>
    <row r="27" spans="1:19" ht="16.5" customHeight="1" x14ac:dyDescent="0.3">
      <c r="A27" s="48"/>
      <c r="B27" s="22" t="s">
        <v>33</v>
      </c>
      <c r="C27" s="49"/>
      <c r="D27" s="43"/>
      <c r="E27" s="43"/>
      <c r="F27" s="50"/>
      <c r="G27" s="50"/>
      <c r="H27" s="45"/>
      <c r="I27" s="45"/>
      <c r="J27" s="51"/>
      <c r="K27" s="51"/>
      <c r="L27" s="47"/>
    </row>
    <row r="28" spans="1:19" ht="16.2" customHeight="1" x14ac:dyDescent="0.35">
      <c r="A28" s="48"/>
      <c r="B28" s="52" t="s">
        <v>34</v>
      </c>
      <c r="C28" s="53"/>
      <c r="D28" s="43"/>
      <c r="E28" s="43"/>
      <c r="F28" s="44"/>
      <c r="G28" s="44"/>
      <c r="H28" s="45"/>
      <c r="I28" s="45"/>
      <c r="J28" s="51"/>
      <c r="K28" s="51"/>
      <c r="L28" s="47"/>
    </row>
    <row r="29" spans="1:19" ht="16.2" customHeight="1" x14ac:dyDescent="0.35">
      <c r="A29" s="48"/>
      <c r="B29" s="52"/>
      <c r="C29" s="53"/>
      <c r="D29" s="43"/>
      <c r="E29" s="43"/>
      <c r="F29" s="44"/>
      <c r="G29" s="44"/>
      <c r="H29" s="45"/>
      <c r="I29" s="45"/>
      <c r="J29" s="51"/>
      <c r="K29" s="51"/>
      <c r="L29" s="47"/>
    </row>
    <row r="30" spans="1:19" ht="16.5" customHeight="1" x14ac:dyDescent="0.3">
      <c r="A30" s="39"/>
      <c r="C30" s="43"/>
      <c r="D30" s="43"/>
      <c r="E30" s="43"/>
      <c r="F30" s="44"/>
      <c r="G30" s="44"/>
      <c r="H30" s="45"/>
      <c r="I30" s="45"/>
      <c r="J30" s="46"/>
      <c r="K30" s="46"/>
      <c r="L30" s="47"/>
    </row>
    <row r="31" spans="1:19" s="16" customFormat="1" ht="21" customHeight="1" x14ac:dyDescent="0.4">
      <c r="A31" s="10" t="s">
        <v>35</v>
      </c>
      <c r="B31" s="11"/>
      <c r="C31" s="12"/>
      <c r="D31" s="12"/>
      <c r="E31" s="12"/>
      <c r="F31" s="13"/>
      <c r="G31" s="13"/>
      <c r="H31" s="14"/>
      <c r="I31" s="14"/>
      <c r="J31" s="13"/>
      <c r="K31" s="13"/>
      <c r="L31" s="5"/>
      <c r="M31" s="5"/>
      <c r="N31" s="15"/>
      <c r="O31" s="15"/>
      <c r="P31" s="15"/>
    </row>
    <row r="32" spans="1:19" s="19" customFormat="1" ht="16.5" customHeight="1" x14ac:dyDescent="0.35">
      <c r="A32" s="17">
        <v>1</v>
      </c>
      <c r="B32" s="18" t="s">
        <v>36</v>
      </c>
      <c r="D32" s="20"/>
      <c r="E32" s="20"/>
      <c r="F32" s="21"/>
      <c r="G32" s="21"/>
      <c r="H32" s="22"/>
      <c r="I32" s="22"/>
      <c r="J32" s="23"/>
      <c r="K32" s="23"/>
    </row>
    <row r="33" spans="1:12" ht="16.5" customHeight="1" x14ac:dyDescent="0.3">
      <c r="B33" s="31" t="s">
        <v>37</v>
      </c>
      <c r="C33" s="31"/>
      <c r="D33" s="32"/>
      <c r="E33" s="32"/>
      <c r="F33" s="33"/>
      <c r="G33" s="33"/>
      <c r="H33" s="34"/>
      <c r="I33" s="34"/>
      <c r="J33" s="36">
        <v>4233405.6925628269</v>
      </c>
      <c r="K33" s="54"/>
    </row>
    <row r="34" spans="1:12" ht="16.5" customHeight="1" x14ac:dyDescent="0.3">
      <c r="A34" s="39"/>
      <c r="B34" s="31"/>
      <c r="C34" s="31" t="s">
        <v>38</v>
      </c>
      <c r="D34" s="32"/>
      <c r="E34" s="32"/>
      <c r="F34" s="33"/>
      <c r="G34" s="33"/>
      <c r="H34" s="34"/>
      <c r="I34" s="34"/>
      <c r="J34" s="54"/>
      <c r="K34" s="36">
        <v>4233405.6925628269</v>
      </c>
    </row>
    <row r="35" spans="1:12" ht="16.5" customHeight="1" x14ac:dyDescent="0.3">
      <c r="A35" s="39"/>
      <c r="B35" s="31"/>
      <c r="C35" s="31" t="str">
        <f>IF($F$7="Proprietary","Cr: Acct 0870 - SERVICES &amp; CHARGES (MG ADJ)",VLOOKUP($F$9,'[2]Drop Down Menus'!$F$2:$G$10,2,FALSE))</f>
        <v>Cr: Acct 0830 - TRANSPORTATION (GAAP ADJ)</v>
      </c>
      <c r="D35" s="32"/>
      <c r="E35" s="32"/>
      <c r="F35" s="33"/>
      <c r="G35" s="33"/>
      <c r="H35" s="34"/>
      <c r="I35" s="34"/>
      <c r="J35" s="54"/>
      <c r="K35" s="36"/>
    </row>
    <row r="36" spans="1:12" ht="16.5" customHeight="1" x14ac:dyDescent="0.3">
      <c r="A36" s="39"/>
      <c r="C36" s="26"/>
      <c r="D36" s="26"/>
      <c r="E36" s="26"/>
      <c r="F36" s="27"/>
      <c r="G36" s="27"/>
      <c r="H36" s="28"/>
      <c r="I36" s="28"/>
      <c r="J36" s="46">
        <f>SUM(J33:J35)</f>
        <v>4233405.6925628269</v>
      </c>
      <c r="K36" s="46">
        <f>SUM(K33:K35)</f>
        <v>4233405.6925628269</v>
      </c>
      <c r="L36" s="47" t="str">
        <f>IF(J36=K36,"&lt;- Debits and Credits equal each other.","&lt;- Debits and Credits do not equal each other.")</f>
        <v>&lt;- Debits and Credits equal each other.</v>
      </c>
    </row>
    <row r="37" spans="1:12" ht="16.5" customHeight="1" x14ac:dyDescent="0.3">
      <c r="A37" s="48"/>
      <c r="B37" s="55"/>
      <c r="C37" s="26"/>
      <c r="D37" s="26"/>
      <c r="E37" s="26"/>
      <c r="F37" s="27"/>
      <c r="G37" s="27"/>
      <c r="H37" s="28"/>
      <c r="I37" s="28"/>
      <c r="J37" s="51"/>
      <c r="K37" s="51"/>
      <c r="L37" s="47"/>
    </row>
    <row r="38" spans="1:12" ht="16.5" customHeight="1" x14ac:dyDescent="0.35">
      <c r="A38" s="24">
        <v>2</v>
      </c>
      <c r="B38" s="18" t="s">
        <v>39</v>
      </c>
      <c r="C38" s="26"/>
      <c r="D38" s="26"/>
      <c r="E38" s="26"/>
      <c r="F38" s="27"/>
      <c r="G38" s="27"/>
      <c r="H38" s="28"/>
      <c r="I38" s="28"/>
      <c r="J38" s="51"/>
      <c r="K38" s="51"/>
      <c r="L38" s="47"/>
    </row>
    <row r="39" spans="1:12" ht="16.5" customHeight="1" x14ac:dyDescent="0.3">
      <c r="A39" s="30" t="s">
        <v>20</v>
      </c>
      <c r="B39" s="31" t="s">
        <v>21</v>
      </c>
      <c r="C39" s="31"/>
      <c r="D39" s="32"/>
      <c r="E39" s="32"/>
      <c r="F39" s="33"/>
      <c r="G39" s="33"/>
      <c r="H39" s="34"/>
      <c r="I39" s="34"/>
      <c r="J39" s="36"/>
      <c r="K39" s="54"/>
    </row>
    <row r="40" spans="1:12" ht="16.5" customHeight="1" x14ac:dyDescent="0.3">
      <c r="A40" s="30" t="s">
        <v>20</v>
      </c>
      <c r="B40" s="31" t="s">
        <v>22</v>
      </c>
      <c r="C40" s="31"/>
      <c r="D40" s="32"/>
      <c r="E40" s="32"/>
      <c r="F40" s="33"/>
      <c r="G40" s="33"/>
      <c r="H40" s="34"/>
      <c r="I40" s="34"/>
      <c r="J40" s="36"/>
      <c r="K40" s="54"/>
    </row>
    <row r="41" spans="1:12" ht="16.5" customHeight="1" x14ac:dyDescent="0.3">
      <c r="A41" s="30" t="s">
        <v>20</v>
      </c>
      <c r="B41" s="31" t="s">
        <v>23</v>
      </c>
      <c r="C41" s="31"/>
      <c r="D41" s="32"/>
      <c r="E41" s="32"/>
      <c r="F41" s="33"/>
      <c r="G41" s="33"/>
      <c r="H41" s="34"/>
      <c r="I41" s="34"/>
      <c r="J41" s="36">
        <v>4233405.6925628269</v>
      </c>
      <c r="K41" s="54"/>
    </row>
    <row r="42" spans="1:12" ht="16.5" customHeight="1" x14ac:dyDescent="0.3">
      <c r="A42" s="39"/>
      <c r="B42" s="31"/>
      <c r="C42" s="31" t="s">
        <v>40</v>
      </c>
      <c r="D42" s="32"/>
      <c r="E42" s="32"/>
      <c r="F42" s="33"/>
      <c r="G42" s="33"/>
      <c r="H42" s="34"/>
      <c r="I42" s="34"/>
      <c r="J42" s="54"/>
      <c r="K42" s="36">
        <v>4233405.6925628269</v>
      </c>
    </row>
    <row r="43" spans="1:12" ht="16.5" customHeight="1" x14ac:dyDescent="0.3">
      <c r="A43" s="39"/>
      <c r="B43" s="22" t="s">
        <v>41</v>
      </c>
      <c r="C43" s="26"/>
      <c r="D43" s="26"/>
      <c r="E43" s="26"/>
      <c r="F43" s="27"/>
      <c r="G43" s="27"/>
      <c r="H43" s="28"/>
      <c r="I43" s="28"/>
      <c r="J43" s="46">
        <f>SUM(J39:J42)</f>
        <v>4233405.6925628269</v>
      </c>
      <c r="K43" s="46">
        <f>SUM(K39:K42)</f>
        <v>4233405.6925628269</v>
      </c>
      <c r="L43" s="47" t="str">
        <f>IF(J43=K43,"&lt;- Debits and Credits equal each other.","&lt;- Debits and Credits do not equal each other.")</f>
        <v>&lt;- Debits and Credits equal each other.</v>
      </c>
    </row>
    <row r="44" spans="1:12" ht="16.5" customHeight="1" x14ac:dyDescent="0.3">
      <c r="A44" s="48"/>
      <c r="C44" s="49"/>
      <c r="D44" s="43"/>
      <c r="E44" s="43"/>
      <c r="F44" s="50"/>
      <c r="G44" s="50"/>
      <c r="H44" s="45"/>
      <c r="I44" s="45"/>
      <c r="J44" s="51"/>
      <c r="K44" s="51"/>
      <c r="L44" s="47"/>
    </row>
    <row r="45" spans="1:12" ht="16.5" customHeight="1" x14ac:dyDescent="0.3">
      <c r="A45" s="48"/>
      <c r="B45" s="22"/>
      <c r="C45" s="49"/>
      <c r="D45" s="43"/>
      <c r="E45" s="43"/>
      <c r="F45" s="50"/>
      <c r="G45" s="50"/>
      <c r="H45" s="45"/>
      <c r="I45" s="45"/>
      <c r="J45" s="51"/>
      <c r="K45" s="51"/>
      <c r="L45" s="47"/>
    </row>
    <row r="46" spans="1:12" s="19" customFormat="1" ht="16.5" customHeight="1" x14ac:dyDescent="0.35">
      <c r="A46" s="17">
        <v>3</v>
      </c>
      <c r="B46" s="18" t="s">
        <v>42</v>
      </c>
      <c r="C46" s="20"/>
      <c r="D46" s="20"/>
      <c r="E46" s="20"/>
      <c r="F46" s="21"/>
      <c r="G46" s="21"/>
      <c r="H46" s="22"/>
      <c r="I46" s="22"/>
      <c r="J46" s="23"/>
      <c r="K46" s="23"/>
    </row>
    <row r="47" spans="1:12" ht="16.5" customHeight="1" x14ac:dyDescent="0.3">
      <c r="B47" s="31" t="s">
        <v>43</v>
      </c>
      <c r="C47" s="31"/>
      <c r="D47" s="32"/>
      <c r="E47" s="32"/>
      <c r="F47" s="33"/>
      <c r="G47" s="33"/>
      <c r="H47" s="34"/>
      <c r="I47" s="34"/>
      <c r="J47" s="36">
        <v>4233405.6925628269</v>
      </c>
      <c r="K47" s="54"/>
    </row>
    <row r="48" spans="1:12" ht="16.5" customHeight="1" x14ac:dyDescent="0.3">
      <c r="A48" s="42" t="s">
        <v>29</v>
      </c>
      <c r="B48" s="31"/>
      <c r="C48" s="31" t="s">
        <v>30</v>
      </c>
      <c r="D48" s="32"/>
      <c r="E48" s="32"/>
      <c r="F48" s="33"/>
      <c r="G48" s="33"/>
      <c r="H48" s="34"/>
      <c r="I48" s="34"/>
      <c r="J48" s="54"/>
      <c r="K48" s="36">
        <v>4233405.6925628269</v>
      </c>
    </row>
    <row r="49" spans="1:16" ht="16.5" customHeight="1" x14ac:dyDescent="0.3">
      <c r="A49" s="39"/>
      <c r="C49" s="26"/>
      <c r="D49" s="26"/>
      <c r="E49" s="26"/>
      <c r="F49" s="27"/>
      <c r="G49" s="27"/>
      <c r="H49" s="28"/>
      <c r="I49" s="28"/>
      <c r="J49" s="46">
        <f>SUM(J47:J48)</f>
        <v>4233405.6925628269</v>
      </c>
      <c r="K49" s="46">
        <f>SUM(K47:K48)</f>
        <v>4233405.6925628269</v>
      </c>
      <c r="L49" s="47" t="str">
        <f>IF(J49=K49,"&lt;- Debits and Credits equal each other.","&lt;- Debits and Credits do not equal each other.")</f>
        <v>&lt;- Debits and Credits equal each other.</v>
      </c>
    </row>
    <row r="50" spans="1:16" ht="16.5" customHeight="1" x14ac:dyDescent="0.3">
      <c r="A50" s="39"/>
      <c r="B50" s="52" t="s">
        <v>44</v>
      </c>
      <c r="C50" s="26"/>
      <c r="D50" s="26"/>
      <c r="E50" s="26"/>
      <c r="F50" s="27"/>
      <c r="G50" s="27"/>
      <c r="H50" s="28"/>
      <c r="I50" s="28"/>
      <c r="J50" s="46"/>
      <c r="K50" s="46"/>
      <c r="L50" s="47"/>
    </row>
    <row r="51" spans="1:16" ht="16.5" customHeight="1" x14ac:dyDescent="0.3">
      <c r="A51" s="39"/>
      <c r="B51" s="52"/>
      <c r="C51" s="26"/>
      <c r="D51" s="26"/>
      <c r="E51" s="26"/>
      <c r="F51" s="27"/>
      <c r="G51" s="27"/>
      <c r="H51" s="28"/>
      <c r="I51" s="28"/>
      <c r="J51" s="46"/>
      <c r="K51" s="46"/>
      <c r="L51" s="47"/>
    </row>
    <row r="52" spans="1:16" ht="16.5" customHeight="1" x14ac:dyDescent="0.3">
      <c r="A52" s="48"/>
      <c r="B52" s="26"/>
      <c r="C52" s="26"/>
      <c r="D52" s="26"/>
      <c r="E52" s="26"/>
      <c r="F52" s="27"/>
      <c r="G52" s="27"/>
      <c r="H52" s="28"/>
      <c r="I52" s="28"/>
      <c r="J52" s="51"/>
      <c r="K52" s="51"/>
      <c r="L52" s="47"/>
    </row>
    <row r="53" spans="1:16" s="16" customFormat="1" ht="21" customHeight="1" x14ac:dyDescent="0.4">
      <c r="A53" s="10" t="s">
        <v>45</v>
      </c>
      <c r="B53" s="11"/>
      <c r="C53" s="12"/>
      <c r="D53" s="12"/>
      <c r="E53" s="12"/>
      <c r="F53" s="13"/>
      <c r="G53" s="13"/>
      <c r="H53" s="14"/>
      <c r="I53" s="14"/>
      <c r="J53" s="13"/>
      <c r="K53" s="13"/>
      <c r="L53" s="5"/>
      <c r="M53" s="5"/>
      <c r="N53" s="15"/>
      <c r="O53" s="15"/>
      <c r="P53" s="15"/>
    </row>
    <row r="54" spans="1:16" s="19" customFormat="1" ht="16.5" customHeight="1" x14ac:dyDescent="0.35">
      <c r="A54" s="17">
        <v>4</v>
      </c>
      <c r="B54" s="18" t="s">
        <v>46</v>
      </c>
      <c r="C54" s="20"/>
      <c r="D54" s="20"/>
      <c r="E54" s="20"/>
      <c r="F54" s="21"/>
      <c r="G54" s="21"/>
      <c r="H54" s="22"/>
      <c r="I54" s="22"/>
      <c r="J54" s="23"/>
      <c r="K54" s="23"/>
    </row>
    <row r="55" spans="1:16" ht="16.5" customHeight="1" x14ac:dyDescent="0.3">
      <c r="B55" s="31" t="s">
        <v>47</v>
      </c>
      <c r="C55" s="56"/>
      <c r="D55" s="32"/>
      <c r="E55" s="32"/>
      <c r="F55" s="33"/>
      <c r="G55" s="33"/>
      <c r="H55" s="34"/>
      <c r="I55" s="34"/>
      <c r="J55" s="36">
        <v>19679604.958950352</v>
      </c>
      <c r="K55" s="54"/>
    </row>
    <row r="56" spans="1:16" ht="16.5" customHeight="1" x14ac:dyDescent="0.3">
      <c r="A56" s="39"/>
      <c r="B56" s="56"/>
      <c r="C56" s="31" t="s">
        <v>26</v>
      </c>
      <c r="D56" s="32"/>
      <c r="E56" s="32"/>
      <c r="F56" s="33"/>
      <c r="G56" s="33"/>
      <c r="H56" s="34"/>
      <c r="I56" s="34"/>
      <c r="J56" s="57"/>
      <c r="K56" s="36"/>
    </row>
    <row r="57" spans="1:16" ht="16.5" customHeight="1" x14ac:dyDescent="0.3">
      <c r="A57" s="39"/>
      <c r="B57" s="56"/>
      <c r="C57" s="31" t="s">
        <v>27</v>
      </c>
      <c r="D57" s="32"/>
      <c r="E57" s="32"/>
      <c r="F57" s="33"/>
      <c r="G57" s="33"/>
      <c r="H57" s="34"/>
      <c r="I57" s="34"/>
      <c r="J57" s="57"/>
      <c r="K57" s="36"/>
    </row>
    <row r="58" spans="1:16" ht="16.5" customHeight="1" x14ac:dyDescent="0.3">
      <c r="A58" s="39"/>
      <c r="B58" s="31"/>
      <c r="C58" s="31" t="s">
        <v>28</v>
      </c>
      <c r="D58" s="32"/>
      <c r="E58" s="32"/>
      <c r="F58" s="33"/>
      <c r="G58" s="33"/>
      <c r="H58" s="34"/>
      <c r="I58" s="34"/>
      <c r="J58" s="54"/>
      <c r="K58" s="36">
        <v>19679604.958950352</v>
      </c>
    </row>
    <row r="59" spans="1:16" ht="16.5" customHeight="1" x14ac:dyDescent="0.3">
      <c r="A59" s="39"/>
      <c r="C59" s="26"/>
      <c r="D59" s="26"/>
      <c r="E59" s="26"/>
      <c r="F59" s="27"/>
      <c r="G59" s="27"/>
      <c r="H59" s="28"/>
      <c r="I59" s="28"/>
      <c r="J59" s="46">
        <f>SUM(J55:J58)</f>
        <v>19679604.958950352</v>
      </c>
      <c r="K59" s="46">
        <f>SUM(K55:K58)</f>
        <v>19679604.958950352</v>
      </c>
      <c r="L59" s="47" t="str">
        <f>IF(J59=K59,"&lt;- Debits and Credits equal each other.","&lt;- Debits and Credits do not equal each other.")</f>
        <v>&lt;- Debits and Credits equal each other.</v>
      </c>
    </row>
    <row r="60" spans="1:16" ht="16.5" customHeight="1" x14ac:dyDescent="0.35">
      <c r="A60" s="39"/>
      <c r="B60" s="25"/>
      <c r="C60" s="43"/>
      <c r="D60" s="43"/>
      <c r="E60" s="43"/>
      <c r="F60" s="50"/>
      <c r="G60" s="50"/>
      <c r="H60" s="45"/>
      <c r="I60" s="45"/>
    </row>
    <row r="61" spans="1:16" s="19" customFormat="1" ht="16.5" customHeight="1" x14ac:dyDescent="0.35">
      <c r="A61" s="17">
        <v>5</v>
      </c>
      <c r="B61" s="18" t="s">
        <v>48</v>
      </c>
      <c r="C61" s="20"/>
      <c r="D61" s="20"/>
      <c r="E61" s="20"/>
      <c r="F61" s="21"/>
      <c r="G61" s="21"/>
      <c r="H61" s="22"/>
      <c r="I61" s="22"/>
      <c r="J61" s="23"/>
      <c r="K61" s="23"/>
    </row>
    <row r="62" spans="1:16" ht="16.5" customHeight="1" x14ac:dyDescent="0.3">
      <c r="B62" s="31" t="s">
        <v>49</v>
      </c>
      <c r="C62" s="31"/>
      <c r="D62" s="32"/>
      <c r="E62" s="32"/>
      <c r="F62" s="33"/>
      <c r="G62" s="33"/>
      <c r="H62" s="34"/>
      <c r="I62" s="34"/>
      <c r="J62" s="58">
        <v>19618317</v>
      </c>
      <c r="K62" s="59"/>
    </row>
    <row r="63" spans="1:16" ht="16.5" customHeight="1" x14ac:dyDescent="0.3">
      <c r="A63" s="39"/>
      <c r="B63" s="31" t="str">
        <f>IF(F7="Governmental","Dr: Acct 0851 - DEBT SERVICE - INTEREST LEASES","Dr: Acct 0894 - INTEREST EXPENSE AND FISCAL CHARGES")</f>
        <v>Dr: Acct 0851 - DEBT SERVICE - INTEREST LEASES</v>
      </c>
      <c r="C63" s="31"/>
      <c r="D63" s="32"/>
      <c r="E63" s="32"/>
      <c r="F63" s="33"/>
      <c r="G63" s="33"/>
      <c r="H63" s="34"/>
      <c r="I63" s="34"/>
      <c r="J63" s="58">
        <v>229547</v>
      </c>
      <c r="K63" s="59"/>
    </row>
    <row r="64" spans="1:16" ht="16.5" customHeight="1" x14ac:dyDescent="0.3">
      <c r="A64" s="39"/>
      <c r="B64" s="31"/>
      <c r="C64" s="31" t="str">
        <f>IF($F$7="Proprietary","Cr: Acct 0870 - SERVICES &amp; CHARGES (MG ADJ)",VLOOKUP($F$9,'[2]Drop Down Menus'!$F$2:$G$10,2,FALSE))</f>
        <v>Cr: Acct 0830 - TRANSPORTATION (GAAP ADJ)</v>
      </c>
      <c r="D64" s="32"/>
      <c r="E64" s="32"/>
      <c r="F64" s="33"/>
      <c r="G64" s="33"/>
      <c r="H64" s="34"/>
      <c r="I64" s="34"/>
      <c r="J64" s="59"/>
      <c r="K64" s="36">
        <f>J62+J63</f>
        <v>19847864</v>
      </c>
    </row>
    <row r="65" spans="1:12" ht="16.5" customHeight="1" x14ac:dyDescent="0.3">
      <c r="A65" s="39"/>
      <c r="C65" s="26"/>
      <c r="D65" s="26"/>
      <c r="E65" s="26"/>
      <c r="F65" s="27"/>
      <c r="G65" s="27"/>
      <c r="H65" s="28"/>
      <c r="I65" s="28"/>
      <c r="J65" s="46">
        <f>SUM(J62:J64)</f>
        <v>19847864</v>
      </c>
      <c r="K65" s="46">
        <f>SUM(K62:K64)</f>
        <v>19847864</v>
      </c>
      <c r="L65" s="47" t="str">
        <f>IF(J65=K65,"&lt;- Debits and Credits equal each other.","&lt;- Debits and Credits do not equal each other.")</f>
        <v>&lt;- Debits and Credits equal each other.</v>
      </c>
    </row>
    <row r="66" spans="1:12" ht="16.5" customHeight="1" x14ac:dyDescent="0.35">
      <c r="A66" s="48"/>
      <c r="B66" s="25"/>
      <c r="C66" s="26"/>
      <c r="D66" s="26"/>
      <c r="E66" s="26"/>
      <c r="F66" s="27"/>
      <c r="G66" s="27"/>
      <c r="H66" s="28"/>
      <c r="I66" s="28"/>
      <c r="J66" s="51"/>
      <c r="K66" s="51"/>
      <c r="L66" s="47"/>
    </row>
    <row r="67" spans="1:12" s="19" customFormat="1" ht="16.5" customHeight="1" x14ac:dyDescent="0.35">
      <c r="A67" s="17">
        <v>6</v>
      </c>
      <c r="B67" s="18" t="s">
        <v>50</v>
      </c>
      <c r="C67" s="20"/>
      <c r="D67" s="20"/>
      <c r="E67" s="20"/>
      <c r="F67" s="21"/>
      <c r="G67" s="21"/>
      <c r="H67" s="22"/>
      <c r="I67" s="22"/>
      <c r="J67" s="23"/>
      <c r="K67" s="23"/>
    </row>
    <row r="68" spans="1:12" ht="16.5" customHeight="1" x14ac:dyDescent="0.3">
      <c r="A68" s="42" t="s">
        <v>29</v>
      </c>
      <c r="B68" s="31" t="s">
        <v>51</v>
      </c>
      <c r="C68" s="31"/>
      <c r="D68" s="32"/>
      <c r="E68" s="32"/>
      <c r="F68" s="33"/>
      <c r="G68" s="33"/>
      <c r="H68" s="34"/>
      <c r="I68" s="34"/>
      <c r="J68" s="36">
        <v>19618316.944844581</v>
      </c>
      <c r="K68" s="54"/>
    </row>
    <row r="69" spans="1:12" ht="16.5" customHeight="1" x14ac:dyDescent="0.3">
      <c r="A69" s="39"/>
      <c r="B69" s="31"/>
      <c r="C69" s="31" t="s">
        <v>52</v>
      </c>
      <c r="D69" s="32"/>
      <c r="E69" s="32"/>
      <c r="F69" s="33"/>
      <c r="G69" s="33"/>
      <c r="H69" s="34"/>
      <c r="I69" s="34"/>
      <c r="J69" s="54"/>
      <c r="K69" s="36">
        <v>19618316.944844581</v>
      </c>
    </row>
    <row r="70" spans="1:12" ht="16.5" customHeight="1" x14ac:dyDescent="0.3">
      <c r="A70" s="39"/>
      <c r="C70" s="26"/>
      <c r="D70" s="26"/>
      <c r="E70" s="26"/>
      <c r="F70" s="27"/>
      <c r="G70" s="27"/>
      <c r="H70" s="28"/>
      <c r="I70" s="28"/>
      <c r="J70" s="46">
        <f>SUM(J68:J69)</f>
        <v>19618316.944844581</v>
      </c>
      <c r="K70" s="46">
        <f>SUM(K68:K69)</f>
        <v>19618316.944844581</v>
      </c>
      <c r="L70" s="47" t="str">
        <f>IF(J70=K70,"&lt;- Debits and Credits equal each other.","&lt;- Debits and Credits do not equal each other.")</f>
        <v>&lt;- Debits and Credits equal each other.</v>
      </c>
    </row>
    <row r="71" spans="1:12" ht="16.5" customHeight="1" x14ac:dyDescent="0.3">
      <c r="A71" s="39"/>
      <c r="B71" s="52" t="s">
        <v>53</v>
      </c>
      <c r="C71" s="26"/>
      <c r="D71" s="26"/>
      <c r="E71" s="26"/>
      <c r="F71" s="27"/>
      <c r="G71" s="27"/>
      <c r="H71" s="28"/>
      <c r="I71" s="28"/>
    </row>
    <row r="72" spans="1:12" ht="16.5" customHeight="1" x14ac:dyDescent="0.3">
      <c r="A72" s="39"/>
      <c r="B72" s="52"/>
      <c r="C72" s="26"/>
      <c r="D72" s="26"/>
      <c r="E72" s="26"/>
      <c r="F72" s="27"/>
      <c r="G72" s="27"/>
      <c r="H72" s="28"/>
      <c r="I72" s="28"/>
    </row>
    <row r="73" spans="1:12" ht="16.5" customHeight="1" x14ac:dyDescent="0.3">
      <c r="A73" s="39"/>
      <c r="B73" s="52"/>
      <c r="C73" s="26"/>
      <c r="D73" s="26"/>
      <c r="E73" s="26"/>
      <c r="F73" s="27"/>
      <c r="G73" s="27"/>
      <c r="H73" s="28"/>
      <c r="I73" s="28"/>
    </row>
    <row r="74" spans="1:12" s="19" customFormat="1" ht="16.5" customHeight="1" x14ac:dyDescent="0.35">
      <c r="A74" s="17">
        <v>7</v>
      </c>
      <c r="B74" s="18" t="s">
        <v>54</v>
      </c>
      <c r="C74" s="20"/>
      <c r="D74" s="20"/>
      <c r="E74" s="20"/>
      <c r="F74" s="21"/>
      <c r="G74" s="21"/>
      <c r="H74" s="22"/>
      <c r="I74" s="22"/>
      <c r="J74" s="23"/>
      <c r="K74" s="23"/>
    </row>
    <row r="75" spans="1:12" ht="16.5" customHeight="1" x14ac:dyDescent="0.3">
      <c r="A75" s="42" t="s">
        <v>29</v>
      </c>
      <c r="B75" s="31" t="s">
        <v>51</v>
      </c>
      <c r="C75" s="31"/>
      <c r="D75" s="32"/>
      <c r="E75" s="32"/>
      <c r="F75" s="33"/>
      <c r="G75" s="33"/>
      <c r="H75" s="34"/>
      <c r="I75" s="34"/>
      <c r="J75" s="36">
        <v>18982994.820496302</v>
      </c>
      <c r="K75" s="54"/>
    </row>
    <row r="76" spans="1:12" ht="16.5" customHeight="1" x14ac:dyDescent="0.3">
      <c r="A76" s="39"/>
      <c r="B76" s="31"/>
      <c r="C76" s="31" t="s">
        <v>55</v>
      </c>
      <c r="D76" s="32"/>
      <c r="E76" s="32"/>
      <c r="F76" s="33"/>
      <c r="G76" s="33"/>
      <c r="H76" s="34"/>
      <c r="I76" s="34"/>
      <c r="J76" s="54"/>
      <c r="K76" s="36">
        <v>18982994.820496302</v>
      </c>
    </row>
    <row r="77" spans="1:12" ht="16.5" customHeight="1" x14ac:dyDescent="0.25">
      <c r="A77" s="39"/>
      <c r="B77" s="233" t="s">
        <v>56</v>
      </c>
      <c r="C77" s="233"/>
      <c r="D77" s="233"/>
      <c r="E77" s="233"/>
      <c r="F77" s="233"/>
      <c r="G77" s="233"/>
      <c r="H77" s="233"/>
      <c r="I77" s="233"/>
      <c r="J77" s="46">
        <f>SUM(J75:J76)</f>
        <v>18982994.820496302</v>
      </c>
      <c r="K77" s="46">
        <f>SUM(K75:K76)</f>
        <v>18982994.820496302</v>
      </c>
      <c r="L77" s="47" t="str">
        <f>IF(J77=K77,"&lt;- Debits and Credits equal each other.","&lt;- Debits and Credits do not equal each other.")</f>
        <v>&lt;- Debits and Credits equal each other.</v>
      </c>
    </row>
    <row r="78" spans="1:12" ht="16.5" customHeight="1" x14ac:dyDescent="0.25">
      <c r="A78" s="39"/>
      <c r="B78" s="233"/>
      <c r="C78" s="233"/>
      <c r="D78" s="233"/>
      <c r="E78" s="233"/>
      <c r="F78" s="233"/>
      <c r="G78" s="233"/>
      <c r="H78" s="233"/>
      <c r="I78" s="233"/>
      <c r="J78" s="46"/>
      <c r="K78" s="46"/>
      <c r="L78" s="47"/>
    </row>
    <row r="79" spans="1:12" ht="24.6" customHeight="1" x14ac:dyDescent="0.25">
      <c r="A79" s="39"/>
      <c r="B79" s="233"/>
      <c r="C79" s="233"/>
      <c r="D79" s="233"/>
      <c r="E79" s="233"/>
      <c r="F79" s="233"/>
      <c r="G79" s="233"/>
      <c r="H79" s="233"/>
      <c r="I79" s="233"/>
      <c r="J79" s="46"/>
      <c r="K79" s="46"/>
      <c r="L79" s="47"/>
    </row>
    <row r="80" spans="1:12" ht="16.5" customHeight="1" x14ac:dyDescent="0.3">
      <c r="A80" s="48"/>
      <c r="B80" s="52" t="s">
        <v>57</v>
      </c>
      <c r="C80" s="26"/>
      <c r="D80" s="26"/>
      <c r="E80" s="26"/>
      <c r="F80" s="27"/>
      <c r="G80" s="27"/>
      <c r="H80" s="28"/>
      <c r="I80" s="28"/>
      <c r="J80" s="51"/>
      <c r="K80" s="51"/>
      <c r="L80" s="47"/>
    </row>
    <row r="81" spans="1:16" ht="16.5" customHeight="1" x14ac:dyDescent="0.3">
      <c r="A81" s="48"/>
      <c r="B81" s="52"/>
      <c r="C81" s="26"/>
      <c r="D81" s="26"/>
      <c r="E81" s="26"/>
      <c r="F81" s="27"/>
      <c r="G81" s="27"/>
      <c r="H81" s="28"/>
      <c r="I81" s="28"/>
      <c r="J81" s="51"/>
      <c r="K81" s="51"/>
      <c r="L81" s="47"/>
    </row>
    <row r="82" spans="1:16" ht="16.5" customHeight="1" x14ac:dyDescent="0.35">
      <c r="A82" s="48"/>
      <c r="B82" s="25"/>
      <c r="C82" s="26"/>
      <c r="D82" s="26"/>
      <c r="E82" s="26"/>
      <c r="F82" s="27"/>
      <c r="G82" s="27"/>
      <c r="H82" s="28"/>
      <c r="I82" s="28"/>
      <c r="J82" s="51"/>
      <c r="K82" s="51"/>
      <c r="L82" s="47"/>
    </row>
    <row r="83" spans="1:16" s="16" customFormat="1" ht="21" customHeight="1" x14ac:dyDescent="0.4">
      <c r="A83" s="10" t="s">
        <v>58</v>
      </c>
      <c r="B83" s="11"/>
      <c r="C83" s="12"/>
      <c r="D83" s="12"/>
      <c r="E83" s="12"/>
      <c r="F83" s="13"/>
      <c r="G83" s="13"/>
      <c r="H83" s="14"/>
      <c r="I83" s="14"/>
      <c r="J83" s="13"/>
      <c r="K83" s="13"/>
      <c r="L83" s="5"/>
      <c r="M83" s="5"/>
      <c r="N83" s="15"/>
      <c r="O83" s="15"/>
      <c r="P83" s="15"/>
    </row>
    <row r="84" spans="1:16" s="19" customFormat="1" ht="16.5" customHeight="1" x14ac:dyDescent="0.35">
      <c r="A84" s="17">
        <v>8</v>
      </c>
      <c r="B84" s="18" t="s">
        <v>59</v>
      </c>
      <c r="H84" s="60"/>
    </row>
    <row r="85" spans="1:16" ht="16.5" customHeight="1" x14ac:dyDescent="0.3">
      <c r="B85" s="31" t="s">
        <v>60</v>
      </c>
      <c r="C85" s="31"/>
      <c r="D85" s="32"/>
      <c r="E85" s="32"/>
      <c r="F85" s="33"/>
      <c r="G85" s="33"/>
      <c r="H85" s="34"/>
      <c r="I85" s="34"/>
      <c r="J85" s="36"/>
      <c r="K85" s="54"/>
      <c r="L85" s="47"/>
    </row>
    <row r="86" spans="1:16" ht="16.5" customHeight="1" x14ac:dyDescent="0.25">
      <c r="A86" s="39"/>
      <c r="B86" s="31" t="s">
        <v>61</v>
      </c>
      <c r="C86" s="56"/>
      <c r="D86" s="56"/>
      <c r="E86" s="56"/>
      <c r="F86" s="56"/>
      <c r="G86" s="56"/>
      <c r="H86" s="56"/>
      <c r="I86" s="56"/>
      <c r="J86" s="36"/>
      <c r="K86" s="61"/>
    </row>
    <row r="87" spans="1:16" ht="16.5" customHeight="1" x14ac:dyDescent="0.25">
      <c r="A87" s="39"/>
      <c r="B87" s="31" t="s">
        <v>62</v>
      </c>
      <c r="C87" s="56"/>
      <c r="D87" s="56"/>
      <c r="E87" s="56"/>
      <c r="F87" s="56"/>
      <c r="G87" s="56"/>
      <c r="H87" s="56"/>
      <c r="I87" s="56"/>
      <c r="J87" s="36">
        <v>999180.00000000012</v>
      </c>
      <c r="K87" s="61"/>
    </row>
    <row r="88" spans="1:16" ht="16.5" customHeight="1" x14ac:dyDescent="0.25">
      <c r="A88" s="30" t="s">
        <v>20</v>
      </c>
      <c r="B88" s="56"/>
      <c r="C88" s="31" t="s">
        <v>63</v>
      </c>
      <c r="D88" s="56"/>
      <c r="E88" s="56"/>
      <c r="F88" s="56"/>
      <c r="G88" s="56"/>
      <c r="H88" s="56"/>
      <c r="I88" s="56"/>
      <c r="J88" s="61"/>
      <c r="K88" s="36"/>
    </row>
    <row r="89" spans="1:16" ht="16.5" customHeight="1" x14ac:dyDescent="0.25">
      <c r="A89" s="30" t="s">
        <v>20</v>
      </c>
      <c r="B89" s="56"/>
      <c r="C89" s="31" t="s">
        <v>64</v>
      </c>
      <c r="D89" s="56"/>
      <c r="E89" s="56"/>
      <c r="F89" s="56"/>
      <c r="G89" s="56"/>
      <c r="H89" s="56"/>
      <c r="I89" s="56"/>
      <c r="J89" s="61"/>
      <c r="K89" s="36"/>
    </row>
    <row r="90" spans="1:16" ht="16.5" customHeight="1" x14ac:dyDescent="0.25">
      <c r="A90" s="30" t="s">
        <v>20</v>
      </c>
      <c r="B90" s="56"/>
      <c r="C90" s="31" t="s">
        <v>65</v>
      </c>
      <c r="D90" s="56"/>
      <c r="E90" s="56"/>
      <c r="F90" s="56"/>
      <c r="G90" s="56"/>
      <c r="H90" s="56"/>
      <c r="I90" s="56"/>
      <c r="J90" s="61"/>
      <c r="K90" s="36">
        <v>999180.00000000012</v>
      </c>
    </row>
    <row r="91" spans="1:16" ht="16.5" customHeight="1" x14ac:dyDescent="0.3">
      <c r="B91" s="22" t="s">
        <v>66</v>
      </c>
      <c r="H91" s="2"/>
      <c r="J91" s="62">
        <f>SUM(J85:J90)</f>
        <v>999180.00000000012</v>
      </c>
      <c r="K91" s="62">
        <f>SUM(K85:K90)</f>
        <v>999180.00000000012</v>
      </c>
      <c r="L91" s="47" t="str">
        <f>IF(J91=K91,"&lt;- Debits and Credits equal each other.","&lt;- Debits and Credits do not equal each other.")</f>
        <v>&lt;- Debits and Credits equal each other.</v>
      </c>
    </row>
    <row r="92" spans="1:16" ht="16.5" customHeight="1" x14ac:dyDescent="0.3">
      <c r="H92" s="2"/>
    </row>
    <row r="93" spans="1:16" ht="16.5" customHeight="1" x14ac:dyDescent="0.3">
      <c r="H93" s="2"/>
    </row>
    <row r="94" spans="1:16" s="16" customFormat="1" ht="21" customHeight="1" x14ac:dyDescent="0.4">
      <c r="A94" s="10" t="s">
        <v>67</v>
      </c>
      <c r="B94" s="11"/>
      <c r="C94" s="12"/>
      <c r="D94" s="12"/>
      <c r="E94" s="12"/>
      <c r="F94" s="13"/>
      <c r="G94" s="13"/>
      <c r="H94" s="14"/>
      <c r="I94" s="14"/>
      <c r="J94" s="13"/>
      <c r="K94" s="13"/>
      <c r="L94" s="5"/>
      <c r="M94" s="5"/>
      <c r="N94" s="15"/>
      <c r="O94" s="15"/>
      <c r="P94" s="15"/>
    </row>
    <row r="95" spans="1:16" s="19" customFormat="1" ht="16.5" customHeight="1" x14ac:dyDescent="0.35">
      <c r="A95" s="63">
        <v>9</v>
      </c>
      <c r="B95" s="18" t="s">
        <v>68</v>
      </c>
      <c r="C95" s="64"/>
      <c r="D95" s="64"/>
      <c r="E95" s="64"/>
      <c r="F95" s="64"/>
      <c r="G95" s="64"/>
      <c r="H95" s="64"/>
      <c r="I95" s="64"/>
      <c r="J95" s="65"/>
      <c r="K95" s="65"/>
    </row>
    <row r="96" spans="1:16" ht="16.5" customHeight="1" x14ac:dyDescent="0.25">
      <c r="A96" s="42" t="s">
        <v>29</v>
      </c>
      <c r="B96" s="31" t="s">
        <v>51</v>
      </c>
      <c r="C96" s="31"/>
      <c r="D96" s="66"/>
      <c r="E96" s="66"/>
      <c r="F96" s="66"/>
      <c r="G96" s="66"/>
      <c r="H96" s="66"/>
      <c r="I96" s="66"/>
      <c r="J96" s="36"/>
      <c r="K96" s="67"/>
    </row>
    <row r="97" spans="1:12" ht="16.5" customHeight="1" x14ac:dyDescent="0.25">
      <c r="B97" s="31" t="s">
        <v>60</v>
      </c>
      <c r="C97" s="56"/>
      <c r="D97" s="56"/>
      <c r="E97" s="56"/>
      <c r="F97" s="56"/>
      <c r="G97" s="56"/>
      <c r="H97" s="56"/>
      <c r="I97" s="56"/>
      <c r="J97" s="36"/>
      <c r="K97" s="56"/>
    </row>
    <row r="98" spans="1:12" ht="16.5" customHeight="1" x14ac:dyDescent="0.25">
      <c r="B98" s="31" t="s">
        <v>61</v>
      </c>
      <c r="C98" s="56"/>
      <c r="D98" s="56"/>
      <c r="E98" s="56"/>
      <c r="F98" s="56"/>
      <c r="G98" s="56"/>
      <c r="H98" s="56"/>
      <c r="I98" s="56"/>
      <c r="J98" s="36"/>
      <c r="K98" s="56"/>
    </row>
    <row r="99" spans="1:12" ht="16.5" customHeight="1" x14ac:dyDescent="0.25">
      <c r="B99" s="31" t="s">
        <v>62</v>
      </c>
      <c r="C99" s="56"/>
      <c r="D99" s="56"/>
      <c r="E99" s="56"/>
      <c r="F99" s="56"/>
      <c r="G99" s="56"/>
      <c r="H99" s="56"/>
      <c r="I99" s="56"/>
      <c r="J99" s="36"/>
      <c r="K99" s="56"/>
    </row>
    <row r="100" spans="1:12" ht="16.5" customHeight="1" x14ac:dyDescent="0.25">
      <c r="B100" s="31" t="str">
        <f>IF($F$7="Proprietary","Dr: Acct 0870 - SERVICES &amp; CHARGES (MG ADJ)",VLOOKUP($F$9,'[2]Drop Down Menus'!$F$2:$H$10,3,FALSE))</f>
        <v>Dr: Acct 0830 - TRANSPORTATION (GAAP ADJ)</v>
      </c>
      <c r="C100" s="56"/>
      <c r="D100" s="56"/>
      <c r="E100" s="56"/>
      <c r="F100" s="56"/>
      <c r="G100" s="56"/>
      <c r="H100" s="56"/>
      <c r="I100" s="56"/>
      <c r="J100" s="36"/>
      <c r="K100" s="56"/>
    </row>
    <row r="101" spans="1:12" ht="16.5" customHeight="1" x14ac:dyDescent="0.25">
      <c r="A101" s="30" t="s">
        <v>20</v>
      </c>
      <c r="B101" s="56"/>
      <c r="C101" s="31" t="s">
        <v>63</v>
      </c>
      <c r="D101" s="56"/>
      <c r="E101" s="56"/>
      <c r="F101" s="56"/>
      <c r="G101" s="56"/>
      <c r="H101" s="56"/>
      <c r="I101" s="56"/>
      <c r="J101" s="56"/>
      <c r="K101" s="36"/>
    </row>
    <row r="102" spans="1:12" ht="16.5" customHeight="1" x14ac:dyDescent="0.25">
      <c r="A102" s="30" t="s">
        <v>20</v>
      </c>
      <c r="B102" s="56"/>
      <c r="C102" s="31" t="s">
        <v>64</v>
      </c>
      <c r="D102" s="56"/>
      <c r="E102" s="56"/>
      <c r="F102" s="56"/>
      <c r="G102" s="56"/>
      <c r="H102" s="56"/>
      <c r="I102" s="56"/>
      <c r="J102" s="56"/>
      <c r="K102" s="36"/>
    </row>
    <row r="103" spans="1:12" ht="16.5" customHeight="1" x14ac:dyDescent="0.25">
      <c r="A103" s="30" t="s">
        <v>20</v>
      </c>
      <c r="B103" s="56"/>
      <c r="C103" s="31" t="s">
        <v>65</v>
      </c>
      <c r="D103" s="56"/>
      <c r="E103" s="56"/>
      <c r="F103" s="56"/>
      <c r="G103" s="56"/>
      <c r="H103" s="56"/>
      <c r="I103" s="56"/>
      <c r="J103" s="56"/>
      <c r="K103" s="36"/>
    </row>
    <row r="104" spans="1:12" ht="16.5" customHeight="1" x14ac:dyDescent="0.25">
      <c r="B104" s="56"/>
      <c r="C104" s="31" t="str">
        <f>IF($F$7="Proprietary","Dr: Acct 0870 - SERVICES &amp; CHARGES (MG ADJ)",VLOOKUP($F$9,'[2]Drop Down Menus'!$F$2:$G$10,2,FALSE))</f>
        <v>Cr: Acct 0830 - TRANSPORTATION (GAAP ADJ)</v>
      </c>
      <c r="D104" s="56"/>
      <c r="E104" s="56"/>
      <c r="F104" s="56"/>
      <c r="G104" s="56"/>
      <c r="H104" s="56"/>
      <c r="I104" s="56"/>
      <c r="J104" s="56"/>
      <c r="K104" s="36"/>
    </row>
    <row r="105" spans="1:12" ht="16.5" customHeight="1" x14ac:dyDescent="0.3">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3">
      <c r="B106" s="52" t="s">
        <v>53</v>
      </c>
      <c r="H106" s="2"/>
      <c r="J106" s="62"/>
      <c r="K106" s="62"/>
      <c r="L106" s="47"/>
    </row>
    <row r="107" spans="1:12" ht="16.5" customHeight="1" x14ac:dyDescent="0.3">
      <c r="H107" s="2"/>
    </row>
    <row r="108" spans="1:12" ht="16.5" customHeight="1" x14ac:dyDescent="0.3">
      <c r="H108" s="2"/>
    </row>
    <row r="109" spans="1:12" s="19" customFormat="1" ht="16.5" customHeight="1" x14ac:dyDescent="0.35">
      <c r="A109" s="63">
        <v>10</v>
      </c>
      <c r="B109" s="18" t="s">
        <v>69</v>
      </c>
      <c r="C109" s="64"/>
      <c r="D109" s="64"/>
    </row>
    <row r="110" spans="1:12" ht="16.5" customHeight="1" x14ac:dyDescent="0.25">
      <c r="A110" s="30" t="s">
        <v>20</v>
      </c>
      <c r="B110" s="31" t="s">
        <v>21</v>
      </c>
      <c r="C110" s="31"/>
      <c r="D110" s="66"/>
      <c r="E110" s="56"/>
      <c r="F110" s="56"/>
      <c r="G110" s="56"/>
      <c r="H110" s="56"/>
      <c r="I110" s="56"/>
      <c r="J110" s="36"/>
      <c r="K110" s="56"/>
    </row>
    <row r="111" spans="1:12" ht="16.5" customHeight="1" x14ac:dyDescent="0.25">
      <c r="A111" s="30" t="s">
        <v>20</v>
      </c>
      <c r="B111" s="31" t="s">
        <v>22</v>
      </c>
      <c r="C111" s="31"/>
      <c r="D111" s="66"/>
      <c r="E111" s="56"/>
      <c r="F111" s="56"/>
      <c r="G111" s="56"/>
      <c r="H111" s="56"/>
      <c r="I111" s="56"/>
      <c r="J111" s="36"/>
      <c r="K111" s="56"/>
    </row>
    <row r="112" spans="1:12" ht="16.5" customHeight="1" x14ac:dyDescent="0.25">
      <c r="A112" s="30" t="s">
        <v>20</v>
      </c>
      <c r="B112" s="31" t="s">
        <v>23</v>
      </c>
      <c r="C112" s="31"/>
      <c r="D112" s="66"/>
      <c r="E112" s="56"/>
      <c r="F112" s="56"/>
      <c r="G112" s="56"/>
      <c r="H112" s="56"/>
      <c r="I112" s="56"/>
      <c r="J112" s="36"/>
      <c r="K112" s="56"/>
    </row>
    <row r="113" spans="1:12" ht="16.5" customHeight="1" x14ac:dyDescent="0.25">
      <c r="A113" s="42" t="s">
        <v>29</v>
      </c>
      <c r="B113" s="31"/>
      <c r="C113" s="31" t="s">
        <v>30</v>
      </c>
      <c r="D113" s="66"/>
      <c r="E113" s="56"/>
      <c r="F113" s="56"/>
      <c r="G113" s="56"/>
      <c r="H113" s="56"/>
      <c r="I113" s="56"/>
      <c r="J113" s="56"/>
      <c r="K113" s="36"/>
    </row>
    <row r="114" spans="1:12" ht="16.5" customHeight="1" x14ac:dyDescent="0.3">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3">
      <c r="A115" s="68"/>
      <c r="B115" s="52" t="s">
        <v>44</v>
      </c>
      <c r="C115" s="69"/>
      <c r="D115" s="69"/>
      <c r="H115" s="2"/>
      <c r="J115" s="62"/>
      <c r="K115" s="62"/>
      <c r="L115" s="47"/>
    </row>
    <row r="116" spans="1:12" ht="16.5" customHeight="1" x14ac:dyDescent="0.3">
      <c r="H116" s="2"/>
    </row>
    <row r="117" spans="1:12" ht="16.5" customHeight="1" x14ac:dyDescent="0.3">
      <c r="H117" s="2"/>
    </row>
    <row r="118" spans="1:12" ht="16.5" customHeight="1" x14ac:dyDescent="0.3">
      <c r="H118" s="2"/>
    </row>
    <row r="119" spans="1:12" ht="16.5" customHeight="1" x14ac:dyDescent="0.3">
      <c r="H119" s="2"/>
    </row>
    <row r="120" spans="1:12" ht="21" x14ac:dyDescent="0.4">
      <c r="D120" s="70" t="s">
        <v>70</v>
      </c>
      <c r="E120" s="71"/>
      <c r="F120" s="72"/>
      <c r="G120" s="72"/>
      <c r="H120" s="72"/>
      <c r="I120" s="73"/>
      <c r="J120" s="73"/>
      <c r="K120" s="74"/>
    </row>
    <row r="121" spans="1:12" ht="16.5" customHeight="1" x14ac:dyDescent="0.3">
      <c r="H121" s="2"/>
      <c r="K121" s="75" t="s">
        <v>71</v>
      </c>
    </row>
    <row r="122" spans="1:12" ht="16.5" customHeight="1" x14ac:dyDescent="0.3">
      <c r="D122" s="32" t="s">
        <v>72</v>
      </c>
      <c r="H122" s="2"/>
      <c r="K122" s="76">
        <f>J15+J39-K88-K101+J110</f>
        <v>0</v>
      </c>
    </row>
    <row r="123" spans="1:12" ht="16.5" customHeight="1" x14ac:dyDescent="0.3">
      <c r="D123" s="32" t="s">
        <v>73</v>
      </c>
      <c r="H123" s="2"/>
      <c r="K123" s="76">
        <f>J16+J40-K89-K102+J111</f>
        <v>0</v>
      </c>
    </row>
    <row r="124" spans="1:12" ht="16.5" customHeight="1" x14ac:dyDescent="0.3">
      <c r="D124" s="32" t="s">
        <v>74</v>
      </c>
      <c r="H124" s="2"/>
      <c r="K124" s="76">
        <f>J17+J41-K90-K103+J112</f>
        <v>91516504.4874053</v>
      </c>
    </row>
    <row r="125" spans="1:12" ht="16.5" customHeight="1" x14ac:dyDescent="0.3">
      <c r="D125" s="32" t="s">
        <v>75</v>
      </c>
      <c r="H125" s="2"/>
      <c r="K125" s="76">
        <f>-K20-K56+J85+J97</f>
        <v>0</v>
      </c>
    </row>
    <row r="126" spans="1:12" ht="16.5" customHeight="1" x14ac:dyDescent="0.3">
      <c r="D126" s="32" t="s">
        <v>76</v>
      </c>
      <c r="H126" s="2"/>
      <c r="K126" s="76">
        <f>-K21-K57+J86+J98</f>
        <v>0</v>
      </c>
    </row>
    <row r="127" spans="1:12" ht="16.5" customHeight="1" x14ac:dyDescent="0.3">
      <c r="D127" s="32" t="s">
        <v>77</v>
      </c>
      <c r="H127" s="2"/>
      <c r="K127" s="76">
        <f>-K22-K58+J87+J99</f>
        <v>-37365048.060152948</v>
      </c>
    </row>
    <row r="128" spans="1:12" ht="16.5" customHeight="1" x14ac:dyDescent="0.3">
      <c r="D128" s="32" t="s">
        <v>78</v>
      </c>
      <c r="H128" s="2"/>
      <c r="K128" s="76">
        <f>-K23-K48+J68+J75+J96-K113</f>
        <v>-35524990.289764851</v>
      </c>
    </row>
    <row r="129" spans="4:11" ht="16.5" customHeight="1" x14ac:dyDescent="0.3">
      <c r="D129" s="32" t="s">
        <v>79</v>
      </c>
      <c r="H129" s="2"/>
      <c r="K129" s="76">
        <f>-K76</f>
        <v>-18982994.820496302</v>
      </c>
    </row>
    <row r="130" spans="4:11" ht="16.5" customHeight="1" x14ac:dyDescent="0.3">
      <c r="H130" s="2"/>
    </row>
    <row r="131" spans="4:11" ht="16.5" customHeight="1" x14ac:dyDescent="0.3">
      <c r="H131" s="2"/>
    </row>
    <row r="132" spans="4:11" x14ac:dyDescent="0.3">
      <c r="H132" s="2"/>
    </row>
    <row r="133" spans="4:11" ht="16.5" customHeight="1" x14ac:dyDescent="0.3">
      <c r="H133" s="2"/>
    </row>
    <row r="134" spans="4:11" ht="16.5" customHeight="1" x14ac:dyDescent="0.3">
      <c r="H134" s="2"/>
    </row>
    <row r="135" spans="4:11" ht="16.5" customHeight="1" x14ac:dyDescent="0.3">
      <c r="H135" s="2"/>
    </row>
    <row r="136" spans="4:11" ht="16.5" customHeight="1" x14ac:dyDescent="0.3">
      <c r="H136" s="2"/>
    </row>
    <row r="137" spans="4:11" ht="16.5" customHeight="1" x14ac:dyDescent="0.3">
      <c r="H137" s="2"/>
    </row>
    <row r="138" spans="4:11" s="56" customFormat="1" ht="16.5" customHeight="1" x14ac:dyDescent="0.3"/>
    <row r="139" spans="4:11" ht="16.5" customHeight="1" x14ac:dyDescent="0.3">
      <c r="H139" s="2"/>
    </row>
    <row r="140" spans="4:11" ht="16.5" customHeight="1" x14ac:dyDescent="0.3">
      <c r="H140" s="2"/>
    </row>
    <row r="141" spans="4:11" x14ac:dyDescent="0.3">
      <c r="H141" s="2"/>
    </row>
    <row r="142" spans="4:11" ht="16.5" customHeight="1" x14ac:dyDescent="0.3">
      <c r="H142" s="2"/>
    </row>
    <row r="143" spans="4:11" ht="16.5" customHeight="1" x14ac:dyDescent="0.3">
      <c r="H143" s="2"/>
    </row>
    <row r="144" spans="4:11" ht="16.5" customHeight="1" x14ac:dyDescent="0.3">
      <c r="H144" s="2"/>
    </row>
    <row r="145" spans="8:8" ht="16.5" customHeight="1" x14ac:dyDescent="0.3">
      <c r="H145" s="2"/>
    </row>
    <row r="146" spans="8:8" ht="16.5" customHeight="1" x14ac:dyDescent="0.3">
      <c r="H146" s="2"/>
    </row>
    <row r="147" spans="8:8" ht="16.5" customHeight="1" x14ac:dyDescent="0.3">
      <c r="H147" s="2"/>
    </row>
    <row r="148" spans="8:8" ht="16.5" customHeight="1" x14ac:dyDescent="0.3">
      <c r="H148" s="2"/>
    </row>
    <row r="149" spans="8:8" ht="16.5" customHeight="1" x14ac:dyDescent="0.3">
      <c r="H149" s="2"/>
    </row>
    <row r="150" spans="8:8" ht="16.5" customHeight="1" x14ac:dyDescent="0.3">
      <c r="H150" s="2"/>
    </row>
    <row r="151" spans="8:8" ht="16.5" customHeight="1" x14ac:dyDescent="0.3">
      <c r="H151" s="2"/>
    </row>
    <row r="152" spans="8:8" ht="16.5" customHeight="1" x14ac:dyDescent="0.3">
      <c r="H152" s="2"/>
    </row>
    <row r="153" spans="8:8" ht="16.5" customHeight="1" x14ac:dyDescent="0.3">
      <c r="H153" s="2"/>
    </row>
    <row r="154" spans="8:8" ht="16.5" customHeight="1" x14ac:dyDescent="0.3">
      <c r="H154" s="2"/>
    </row>
    <row r="155" spans="8:8" ht="16.5" customHeight="1" x14ac:dyDescent="0.3">
      <c r="H155" s="2"/>
    </row>
    <row r="156" spans="8:8" ht="16.5" customHeight="1" x14ac:dyDescent="0.3">
      <c r="H156" s="2"/>
    </row>
    <row r="157" spans="8:8" ht="16.5" customHeight="1" x14ac:dyDescent="0.3">
      <c r="H157" s="2"/>
    </row>
    <row r="158" spans="8:8" ht="16.5" customHeight="1" x14ac:dyDescent="0.3">
      <c r="H158" s="2"/>
    </row>
    <row r="159" spans="8:8" ht="16.5" customHeight="1" x14ac:dyDescent="0.3">
      <c r="H159" s="2"/>
    </row>
    <row r="160" spans="8:8" ht="16.5" customHeight="1" x14ac:dyDescent="0.3">
      <c r="H160" s="2"/>
    </row>
    <row r="161" spans="8:8" ht="16.5" customHeight="1" x14ac:dyDescent="0.3">
      <c r="H161" s="2"/>
    </row>
    <row r="162" spans="8:8" ht="16.5" customHeight="1" x14ac:dyDescent="0.3">
      <c r="H162" s="2"/>
    </row>
    <row r="163" spans="8:8" ht="16.5" customHeight="1" x14ac:dyDescent="0.3">
      <c r="H163" s="2"/>
    </row>
    <row r="164" spans="8:8" ht="16.5" customHeight="1" x14ac:dyDescent="0.3">
      <c r="H164" s="2"/>
    </row>
    <row r="165" spans="8:8" ht="16.5" customHeight="1" x14ac:dyDescent="0.3">
      <c r="H165" s="2"/>
    </row>
    <row r="166" spans="8:8" ht="16.5" customHeight="1" x14ac:dyDescent="0.3">
      <c r="H166" s="2"/>
    </row>
    <row r="167" spans="8:8" ht="16.5" customHeight="1" x14ac:dyDescent="0.3">
      <c r="H167" s="2"/>
    </row>
    <row r="168" spans="8:8" x14ac:dyDescent="0.3">
      <c r="H168" s="2"/>
    </row>
    <row r="169" spans="8:8" ht="16.5" customHeight="1" x14ac:dyDescent="0.3">
      <c r="H169" s="2"/>
    </row>
    <row r="170" spans="8:8" ht="16.5" customHeight="1" x14ac:dyDescent="0.3">
      <c r="H170" s="2"/>
    </row>
    <row r="171" spans="8:8" ht="16.5" customHeight="1" x14ac:dyDescent="0.3">
      <c r="H171" s="2"/>
    </row>
    <row r="172" spans="8:8" s="56" customFormat="1" ht="16.5" customHeight="1" x14ac:dyDescent="0.3"/>
    <row r="173" spans="8:8" ht="16.5" customHeight="1" x14ac:dyDescent="0.3">
      <c r="H173" s="2"/>
    </row>
    <row r="174" spans="8:8" ht="16.5" customHeight="1" x14ac:dyDescent="0.3">
      <c r="H174" s="2"/>
    </row>
    <row r="175" spans="8:8" x14ac:dyDescent="0.3">
      <c r="H175" s="2"/>
    </row>
    <row r="176" spans="8:8" ht="16.5" customHeight="1" x14ac:dyDescent="0.3">
      <c r="H176" s="2"/>
    </row>
    <row r="177" spans="8:8" ht="16.5" customHeight="1" x14ac:dyDescent="0.3">
      <c r="H177" s="2"/>
    </row>
    <row r="178" spans="8:8" ht="16.5" customHeight="1" x14ac:dyDescent="0.3">
      <c r="H178" s="2"/>
    </row>
    <row r="179" spans="8:8" ht="16.5" customHeight="1" x14ac:dyDescent="0.3">
      <c r="H179" s="2"/>
    </row>
    <row r="180" spans="8:8" ht="16.5" customHeight="1" x14ac:dyDescent="0.3">
      <c r="H180" s="2"/>
    </row>
    <row r="181" spans="8:8" ht="16.5" customHeight="1" x14ac:dyDescent="0.3">
      <c r="H181" s="2"/>
    </row>
    <row r="182" spans="8:8" s="56" customFormat="1" ht="16.5" customHeight="1" x14ac:dyDescent="0.3"/>
    <row r="183" spans="8:8" ht="16.5" customHeight="1" x14ac:dyDescent="0.3">
      <c r="H183" s="2"/>
    </row>
    <row r="184" spans="8:8" ht="34.5" customHeight="1" x14ac:dyDescent="0.3">
      <c r="H184" s="2"/>
    </row>
    <row r="185" spans="8:8" ht="16.5" customHeight="1" x14ac:dyDescent="0.3">
      <c r="H185" s="2"/>
    </row>
    <row r="186" spans="8:8" ht="16.5" customHeight="1" x14ac:dyDescent="0.3">
      <c r="H186" s="2"/>
    </row>
    <row r="187" spans="8:8" ht="16.5" customHeight="1" x14ac:dyDescent="0.3">
      <c r="H187" s="2"/>
    </row>
    <row r="188" spans="8:8" ht="16.5" customHeight="1" x14ac:dyDescent="0.3">
      <c r="H188" s="2"/>
    </row>
    <row r="189" spans="8:8" ht="16.5" customHeight="1" x14ac:dyDescent="0.3">
      <c r="H189" s="2"/>
    </row>
    <row r="190" spans="8:8" ht="16.5" customHeight="1" x14ac:dyDescent="0.3">
      <c r="H190" s="2"/>
    </row>
    <row r="191" spans="8:8" ht="16.5" customHeight="1" x14ac:dyDescent="0.3">
      <c r="H191" s="2"/>
    </row>
    <row r="192" spans="8:8" ht="16.5" customHeight="1" x14ac:dyDescent="0.3">
      <c r="H192" s="2"/>
    </row>
    <row r="193" spans="8:8" ht="16.5" customHeight="1" x14ac:dyDescent="0.3">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29D0CAE-F892-4B64-945A-39B067E34899}">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CBA313F3-82B6-4179-89E7-909AA3146E2D}">
      <formula1>0</formula1>
    </dataValidation>
    <dataValidation operator="lessThan" allowBlank="1" showInputMessage="1" showErrorMessage="1" sqref="A3:A8" xr:uid="{9CCFD9A9-DE30-49D1-9EF3-228FC4B8B200}"/>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9CDC8-A486-4094-B223-FFAB21DEEC4C}">
  <sheetPr>
    <tabColor theme="9" tint="0.59999389629810485"/>
    <pageSetUpPr fitToPage="1"/>
  </sheetPr>
  <dimension ref="A1:S193"/>
  <sheetViews>
    <sheetView topLeftCell="A48" zoomScale="70" zoomScaleNormal="70" workbookViewId="0">
      <selection activeCell="T25" sqref="T25"/>
    </sheetView>
  </sheetViews>
  <sheetFormatPr defaultColWidth="9.109375" defaultRowHeight="15" x14ac:dyDescent="0.3"/>
  <cols>
    <col min="1" max="1" width="13.33203125" style="2" customWidth="1"/>
    <col min="2" max="5" width="10.6640625" style="2" customWidth="1"/>
    <col min="6" max="7" width="15.33203125" style="2" customWidth="1"/>
    <col min="8" max="8" width="15.33203125" style="77" customWidth="1"/>
    <col min="9" max="9" width="15.33203125" style="2" customWidth="1"/>
    <col min="10" max="10" width="21.33203125" style="2" customWidth="1"/>
    <col min="11" max="11" width="19.109375" style="2" customWidth="1"/>
    <col min="12" max="12" width="4" style="2" customWidth="1"/>
    <col min="13" max="14" width="17.33203125" style="2" customWidth="1"/>
    <col min="15" max="15" width="4" style="2" customWidth="1"/>
    <col min="16" max="17" width="15.88671875" style="2" customWidth="1"/>
    <col min="18" max="18" width="4" style="2" customWidth="1"/>
    <col min="19" max="19" width="15.88671875" style="2" customWidth="1"/>
    <col min="20" max="16384" width="9.109375" style="2"/>
  </cols>
  <sheetData>
    <row r="1" spans="1:19" ht="45" customHeight="1" x14ac:dyDescent="0.3">
      <c r="A1" s="227" t="s">
        <v>0</v>
      </c>
      <c r="B1" s="227"/>
      <c r="C1" s="227"/>
      <c r="D1" s="227"/>
      <c r="E1" s="227"/>
      <c r="F1" s="227"/>
      <c r="G1" s="227"/>
      <c r="H1" s="227"/>
      <c r="I1" s="227"/>
      <c r="J1" s="227"/>
      <c r="K1" s="227"/>
      <c r="L1" s="1"/>
      <c r="M1" s="1"/>
      <c r="N1" s="1"/>
      <c r="O1" s="1"/>
    </row>
    <row r="2" spans="1:19" ht="16.5" customHeight="1" x14ac:dyDescent="0.3">
      <c r="A2" s="3" t="s">
        <v>1</v>
      </c>
      <c r="B2" s="4"/>
      <c r="C2" s="4"/>
      <c r="D2" s="4"/>
      <c r="E2" s="4"/>
      <c r="F2" s="4"/>
      <c r="G2" s="4"/>
      <c r="H2" s="4"/>
      <c r="I2" s="4"/>
      <c r="J2" s="4"/>
      <c r="K2" s="4"/>
      <c r="L2" s="4"/>
      <c r="M2" s="4"/>
      <c r="N2" s="4"/>
      <c r="O2" s="4"/>
    </row>
    <row r="3" spans="1:19" ht="16.5" customHeight="1" x14ac:dyDescent="0.3">
      <c r="A3" s="225" t="s">
        <v>2</v>
      </c>
      <c r="B3" s="225"/>
      <c r="C3" s="225"/>
      <c r="D3" s="225"/>
      <c r="E3" s="225"/>
      <c r="F3" s="228" t="s">
        <v>3</v>
      </c>
      <c r="G3" s="228"/>
      <c r="H3" s="228"/>
      <c r="I3" s="228"/>
    </row>
    <row r="4" spans="1:19" ht="16.5" customHeight="1" x14ac:dyDescent="0.25">
      <c r="A4" s="225" t="s">
        <v>4</v>
      </c>
      <c r="B4" s="225"/>
      <c r="C4" s="225"/>
      <c r="D4" s="225"/>
      <c r="E4" s="225"/>
      <c r="F4" s="226" t="s">
        <v>5</v>
      </c>
      <c r="G4" s="226"/>
      <c r="H4" s="226"/>
      <c r="I4" s="226"/>
    </row>
    <row r="5" spans="1:19" ht="16.5" customHeight="1" x14ac:dyDescent="0.25">
      <c r="A5" s="225" t="s">
        <v>6</v>
      </c>
      <c r="B5" s="225"/>
      <c r="C5" s="225"/>
      <c r="D5" s="225"/>
      <c r="E5" s="225"/>
      <c r="F5" s="226" t="s">
        <v>7</v>
      </c>
      <c r="G5" s="226"/>
      <c r="H5" s="226"/>
      <c r="I5" s="226"/>
      <c r="L5" s="5"/>
      <c r="M5" s="5"/>
      <c r="N5" s="5"/>
      <c r="O5" s="5"/>
      <c r="P5" s="5"/>
      <c r="Q5" s="5"/>
    </row>
    <row r="6" spans="1:19" ht="16.5" customHeight="1" x14ac:dyDescent="0.3">
      <c r="A6" s="225" t="s">
        <v>8</v>
      </c>
      <c r="B6" s="225"/>
      <c r="C6" s="225"/>
      <c r="D6" s="225"/>
      <c r="E6" s="225"/>
      <c r="F6" s="229">
        <v>46</v>
      </c>
      <c r="G6" s="229"/>
      <c r="H6" s="229"/>
      <c r="I6" s="229"/>
      <c r="L6" s="6"/>
      <c r="M6" s="6"/>
      <c r="N6" s="6"/>
      <c r="O6" s="6"/>
      <c r="P6" s="5"/>
      <c r="Q6" s="5"/>
    </row>
    <row r="7" spans="1:19" ht="16.5" customHeight="1" x14ac:dyDescent="0.3">
      <c r="A7" s="225" t="s">
        <v>9</v>
      </c>
      <c r="B7" s="225"/>
      <c r="C7" s="225"/>
      <c r="D7" s="225"/>
      <c r="E7" s="225"/>
      <c r="F7" s="229" t="s">
        <v>10</v>
      </c>
      <c r="G7" s="229"/>
      <c r="H7" s="229"/>
      <c r="I7" s="229"/>
      <c r="K7" s="7"/>
      <c r="L7" s="6"/>
      <c r="M7" s="6"/>
      <c r="N7" s="6"/>
      <c r="O7" s="6"/>
      <c r="P7" s="5"/>
      <c r="Q7" s="5"/>
    </row>
    <row r="8" spans="1:19" ht="16.5" customHeight="1" x14ac:dyDescent="0.3">
      <c r="A8" s="225" t="s">
        <v>11</v>
      </c>
      <c r="B8" s="225"/>
      <c r="C8" s="225"/>
      <c r="D8" s="225"/>
      <c r="E8" s="225"/>
      <c r="F8" s="229" t="s">
        <v>12</v>
      </c>
      <c r="G8" s="229"/>
      <c r="H8" s="229"/>
      <c r="I8" s="229"/>
      <c r="K8" s="7"/>
      <c r="L8" s="6"/>
      <c r="M8" s="6"/>
      <c r="N8" s="6"/>
      <c r="O8" s="6"/>
      <c r="P8" s="5"/>
      <c r="Q8" s="5"/>
    </row>
    <row r="9" spans="1:19" ht="16.5" customHeight="1" x14ac:dyDescent="0.3">
      <c r="A9" s="225" t="s">
        <v>13</v>
      </c>
      <c r="B9" s="225"/>
      <c r="C9" s="225"/>
      <c r="D9" s="225"/>
      <c r="E9" s="225"/>
      <c r="F9" s="230" t="str">
        <f>IFERROR(IF(F7="Proprietary","Proprietary Fund",VLOOKUP(F5,[2]qryIndex02a!$A$2:$K$654,4,FALSE)),"Unidentified")</f>
        <v>TRANSPORTATION</v>
      </c>
      <c r="G9" s="230"/>
      <c r="H9" s="230"/>
      <c r="I9" s="230"/>
      <c r="K9" s="5"/>
      <c r="L9" s="5"/>
      <c r="M9" s="5"/>
      <c r="N9" s="5"/>
      <c r="O9" s="5"/>
      <c r="P9" s="5"/>
    </row>
    <row r="10" spans="1:19" ht="16.5" customHeight="1" x14ac:dyDescent="0.3">
      <c r="A10" s="8"/>
      <c r="B10" s="8"/>
      <c r="C10" s="8"/>
      <c r="D10" s="8"/>
      <c r="E10" s="6"/>
      <c r="F10" s="5"/>
      <c r="G10" s="5"/>
      <c r="H10" s="9"/>
      <c r="I10" s="5"/>
      <c r="J10" s="5"/>
      <c r="K10" s="5"/>
      <c r="L10" s="5"/>
      <c r="M10" s="5"/>
      <c r="N10" s="5"/>
      <c r="O10" s="5"/>
      <c r="P10" s="5"/>
    </row>
    <row r="11" spans="1:19" ht="16.5" customHeight="1" x14ac:dyDescent="0.3">
      <c r="A11" s="8"/>
      <c r="B11" s="8"/>
      <c r="C11" s="8"/>
      <c r="D11" s="8"/>
      <c r="E11" s="6"/>
      <c r="F11" s="5"/>
      <c r="G11" s="5"/>
      <c r="H11" s="9"/>
      <c r="I11" s="5"/>
      <c r="J11" s="5"/>
      <c r="K11" s="5"/>
      <c r="L11" s="5"/>
      <c r="M11" s="5"/>
      <c r="N11" s="5"/>
      <c r="O11" s="5"/>
      <c r="P11" s="5"/>
    </row>
    <row r="12" spans="1:19" s="16" customFormat="1" ht="21" customHeight="1" x14ac:dyDescent="0.4">
      <c r="A12" s="10" t="s">
        <v>14</v>
      </c>
      <c r="B12" s="11"/>
      <c r="C12" s="12"/>
      <c r="D12" s="12"/>
      <c r="E12" s="12"/>
      <c r="F12" s="13"/>
      <c r="G12" s="13"/>
      <c r="H12" s="14"/>
      <c r="I12" s="14"/>
      <c r="J12" s="13"/>
      <c r="K12" s="13"/>
      <c r="L12" s="5"/>
      <c r="M12" s="5"/>
      <c r="N12" s="15"/>
      <c r="O12" s="15"/>
      <c r="P12" s="15"/>
    </row>
    <row r="13" spans="1:19" s="19" customFormat="1" ht="16.5" customHeight="1" x14ac:dyDescent="0.35">
      <c r="A13" s="17" t="s">
        <v>15</v>
      </c>
      <c r="B13" s="18"/>
      <c r="D13" s="20"/>
      <c r="E13" s="20"/>
      <c r="F13" s="21"/>
      <c r="G13" s="21"/>
      <c r="H13" s="22"/>
      <c r="I13" s="22"/>
      <c r="J13" s="23"/>
      <c r="K13" s="23"/>
    </row>
    <row r="14" spans="1:19" ht="16.5" customHeight="1" x14ac:dyDescent="0.35">
      <c r="A14" s="24">
        <v>0</v>
      </c>
      <c r="B14" s="25" t="s">
        <v>16</v>
      </c>
      <c r="C14" s="26"/>
      <c r="D14" s="26"/>
      <c r="E14" s="26"/>
      <c r="F14" s="27"/>
      <c r="G14" s="27"/>
      <c r="H14" s="28"/>
      <c r="I14" s="28"/>
      <c r="J14" s="23"/>
      <c r="K14" s="23"/>
      <c r="L14" s="19"/>
      <c r="M14" s="231" t="s">
        <v>17</v>
      </c>
      <c r="N14" s="232"/>
      <c r="O14" s="19"/>
      <c r="P14" s="231" t="s">
        <v>18</v>
      </c>
      <c r="Q14" s="232"/>
      <c r="R14" s="19"/>
      <c r="S14" s="29" t="s">
        <v>19</v>
      </c>
    </row>
    <row r="15" spans="1:19" ht="16.5" customHeight="1" x14ac:dyDescent="0.3">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3">
      <c r="A16" s="30" t="s">
        <v>20</v>
      </c>
      <c r="B16" s="31" t="s">
        <v>22</v>
      </c>
      <c r="C16" s="31"/>
      <c r="D16" s="31"/>
      <c r="E16" s="32"/>
      <c r="F16" s="33"/>
      <c r="G16" s="33"/>
      <c r="H16" s="34"/>
      <c r="I16" s="34"/>
      <c r="J16" s="35">
        <f>M16</f>
        <v>0</v>
      </c>
      <c r="M16" s="36">
        <v>0</v>
      </c>
      <c r="P16" s="36">
        <v>0</v>
      </c>
      <c r="Q16" s="37"/>
      <c r="S16" s="38">
        <f t="shared" si="0"/>
        <v>0</v>
      </c>
    </row>
    <row r="17" spans="1:19" ht="16.5" customHeight="1" x14ac:dyDescent="0.3">
      <c r="A17" s="30" t="s">
        <v>20</v>
      </c>
      <c r="B17" s="31" t="s">
        <v>23</v>
      </c>
      <c r="C17" s="31"/>
      <c r="D17" s="31"/>
      <c r="E17" s="32"/>
      <c r="F17" s="33"/>
      <c r="G17" s="33"/>
      <c r="H17" s="34"/>
      <c r="I17" s="34"/>
      <c r="J17" s="35">
        <f>M17</f>
        <v>0</v>
      </c>
      <c r="M17" s="36"/>
      <c r="P17" s="36">
        <v>0</v>
      </c>
      <c r="Q17" s="37"/>
      <c r="S17" s="38">
        <f t="shared" si="0"/>
        <v>0</v>
      </c>
    </row>
    <row r="18" spans="1:19" ht="16.5" customHeight="1" x14ac:dyDescent="0.3">
      <c r="A18" s="39"/>
      <c r="B18" s="31" t="s">
        <v>24</v>
      </c>
      <c r="C18" s="31"/>
      <c r="D18" s="31"/>
      <c r="E18" s="32"/>
      <c r="F18" s="33"/>
      <c r="G18" s="33"/>
      <c r="H18" s="34"/>
      <c r="I18" s="34"/>
      <c r="J18" s="35">
        <f>P18</f>
        <v>0</v>
      </c>
      <c r="M18" s="36">
        <v>0</v>
      </c>
      <c r="P18" s="40">
        <f>IF(SUM($Q$21:$Q$23)&gt;SUM($P$15:$P$17),SUM($Q$21:$Q$23)-SUM($P$15:$P$17),0)</f>
        <v>0</v>
      </c>
      <c r="Q18" s="37"/>
      <c r="S18" s="38">
        <f t="shared" si="0"/>
        <v>0</v>
      </c>
    </row>
    <row r="19" spans="1:19" ht="16.5" customHeight="1" x14ac:dyDescent="0.3">
      <c r="A19" s="39"/>
      <c r="B19" s="31" t="s">
        <v>25</v>
      </c>
      <c r="C19" s="31"/>
      <c r="D19" s="31"/>
      <c r="E19" s="32"/>
      <c r="F19" s="33"/>
      <c r="G19" s="33"/>
      <c r="H19" s="34"/>
      <c r="I19" s="34"/>
      <c r="J19" s="35">
        <f>IF(SUM($K$21:$K$24)&gt;SUM($J$15:$J$18),SUM($K$21:$K$24)-SUM($J$15:$J$18),0)</f>
        <v>0</v>
      </c>
      <c r="M19" s="36">
        <v>0</v>
      </c>
      <c r="P19" s="37"/>
      <c r="Q19" s="37"/>
      <c r="S19" s="38">
        <f t="shared" si="0"/>
        <v>0</v>
      </c>
    </row>
    <row r="20" spans="1:19" ht="16.5" customHeight="1" x14ac:dyDescent="0.3">
      <c r="A20" s="39"/>
      <c r="B20" s="31"/>
      <c r="C20" s="31" t="s">
        <v>26</v>
      </c>
      <c r="D20" s="31"/>
      <c r="E20" s="32"/>
      <c r="F20" s="33"/>
      <c r="G20" s="33"/>
      <c r="H20" s="34"/>
      <c r="I20" s="34"/>
      <c r="J20" s="41"/>
      <c r="K20" s="35">
        <f>N20</f>
        <v>0</v>
      </c>
      <c r="N20" s="36"/>
      <c r="P20" s="37"/>
      <c r="Q20" s="36">
        <v>0</v>
      </c>
      <c r="S20" s="38">
        <f t="shared" si="0"/>
        <v>0</v>
      </c>
    </row>
    <row r="21" spans="1:19" ht="16.5" customHeight="1" x14ac:dyDescent="0.3">
      <c r="A21" s="39"/>
      <c r="B21" s="31"/>
      <c r="C21" s="31" t="s">
        <v>27</v>
      </c>
      <c r="D21" s="31"/>
      <c r="E21" s="32"/>
      <c r="F21" s="33"/>
      <c r="G21" s="33"/>
      <c r="H21" s="34"/>
      <c r="I21" s="34"/>
      <c r="J21" s="41"/>
      <c r="K21" s="35">
        <f>N21</f>
        <v>0</v>
      </c>
      <c r="N21" s="36">
        <v>0</v>
      </c>
      <c r="P21" s="37"/>
      <c r="Q21" s="36">
        <v>0</v>
      </c>
      <c r="S21" s="38">
        <f>Q21-N21</f>
        <v>0</v>
      </c>
    </row>
    <row r="22" spans="1:19" ht="16.5" customHeight="1" x14ac:dyDescent="0.3">
      <c r="A22" s="39"/>
      <c r="B22" s="31"/>
      <c r="C22" s="31" t="s">
        <v>28</v>
      </c>
      <c r="D22" s="31"/>
      <c r="E22" s="32"/>
      <c r="F22" s="33"/>
      <c r="G22" s="33"/>
      <c r="H22" s="34"/>
      <c r="I22" s="34"/>
      <c r="J22" s="41"/>
      <c r="K22" s="35">
        <f>N22</f>
        <v>0</v>
      </c>
      <c r="N22" s="36"/>
      <c r="P22" s="37"/>
      <c r="Q22" s="36">
        <v>0</v>
      </c>
      <c r="S22" s="38">
        <f t="shared" ref="S22:S25" si="1">Q22-N22</f>
        <v>0</v>
      </c>
    </row>
    <row r="23" spans="1:19" ht="16.5" customHeight="1" x14ac:dyDescent="0.3">
      <c r="A23" s="42" t="s">
        <v>29</v>
      </c>
      <c r="B23" s="31"/>
      <c r="C23" s="31" t="s">
        <v>30</v>
      </c>
      <c r="D23" s="31"/>
      <c r="E23" s="32"/>
      <c r="F23" s="33"/>
      <c r="G23" s="33"/>
      <c r="H23" s="34"/>
      <c r="I23" s="34"/>
      <c r="J23" s="41"/>
      <c r="K23" s="35">
        <f>N23</f>
        <v>0</v>
      </c>
      <c r="N23" s="36">
        <v>0</v>
      </c>
      <c r="P23" s="37"/>
      <c r="Q23" s="36">
        <v>0</v>
      </c>
      <c r="S23" s="38">
        <f t="shared" si="1"/>
        <v>0</v>
      </c>
    </row>
    <row r="24" spans="1:19" ht="16.5" customHeight="1" x14ac:dyDescent="0.3">
      <c r="A24" s="39"/>
      <c r="B24" s="31"/>
      <c r="C24" s="31" t="s">
        <v>31</v>
      </c>
      <c r="D24" s="31"/>
      <c r="E24" s="32"/>
      <c r="F24" s="33"/>
      <c r="G24" s="33"/>
      <c r="H24" s="34"/>
      <c r="I24" s="34"/>
      <c r="J24" s="41"/>
      <c r="K24" s="35">
        <f>Q24</f>
        <v>0</v>
      </c>
      <c r="N24" s="36">
        <v>0</v>
      </c>
      <c r="P24" s="37"/>
      <c r="Q24" s="40">
        <f>IF(SUM($Q$39:$Q$41)&lt;SUM($P$33:$P$35),-SUM($Q$39:$Q$41)+SUM($P$33:$P$35),0)</f>
        <v>0</v>
      </c>
      <c r="S24" s="38">
        <f t="shared" si="1"/>
        <v>0</v>
      </c>
    </row>
    <row r="25" spans="1:19" ht="16.5" customHeight="1" x14ac:dyDescent="0.3">
      <c r="A25" s="39"/>
      <c r="B25" s="31"/>
      <c r="C25" s="31" t="s">
        <v>32</v>
      </c>
      <c r="D25" s="31"/>
      <c r="E25" s="32"/>
      <c r="F25" s="33"/>
      <c r="G25" s="33"/>
      <c r="H25" s="34"/>
      <c r="I25" s="34"/>
      <c r="J25" s="41"/>
      <c r="K25" s="35">
        <f>IF(SUM($K$21:$K$24)&lt;SUM($J$15:$J$18),-SUM($K$21:$K$24)+SUM($J$15:$J$18),0)</f>
        <v>0</v>
      </c>
      <c r="N25" s="36">
        <v>0</v>
      </c>
      <c r="P25" s="37"/>
      <c r="Q25" s="37"/>
      <c r="S25" s="38">
        <f t="shared" si="1"/>
        <v>0</v>
      </c>
    </row>
    <row r="26" spans="1:19" ht="16.5" customHeight="1" x14ac:dyDescent="0.3">
      <c r="A26" s="39"/>
      <c r="C26" s="43"/>
      <c r="D26" s="43"/>
      <c r="E26" s="43"/>
      <c r="F26" s="44"/>
      <c r="G26" s="44"/>
      <c r="H26" s="45"/>
      <c r="I26" s="45"/>
      <c r="J26" s="46">
        <f>SUM(J15:J25)</f>
        <v>0</v>
      </c>
      <c r="K26" s="46">
        <f>SUM(K15:K25)</f>
        <v>0</v>
      </c>
      <c r="L26" s="47" t="str">
        <f>IF(J26=K26,"&lt;- Debits and Credits equal each other.","&lt;- Debits and Credits do not equal each other.")</f>
        <v>&lt;- Debits and Credits equal each other.</v>
      </c>
    </row>
    <row r="27" spans="1:19" ht="16.5" customHeight="1" x14ac:dyDescent="0.3">
      <c r="A27" s="48"/>
      <c r="B27" s="22" t="s">
        <v>33</v>
      </c>
      <c r="C27" s="49"/>
      <c r="D27" s="43"/>
      <c r="E27" s="43"/>
      <c r="F27" s="50"/>
      <c r="G27" s="50"/>
      <c r="H27" s="45"/>
      <c r="I27" s="45"/>
      <c r="J27" s="51"/>
      <c r="K27" s="51"/>
      <c r="L27" s="47"/>
    </row>
    <row r="28" spans="1:19" ht="16.2" customHeight="1" x14ac:dyDescent="0.35">
      <c r="A28" s="48"/>
      <c r="B28" s="52" t="s">
        <v>34</v>
      </c>
      <c r="C28" s="53"/>
      <c r="D28" s="43"/>
      <c r="E28" s="43"/>
      <c r="F28" s="44"/>
      <c r="G28" s="44"/>
      <c r="H28" s="45"/>
      <c r="I28" s="45"/>
      <c r="J28" s="51"/>
      <c r="K28" s="51"/>
      <c r="L28" s="47"/>
    </row>
    <row r="29" spans="1:19" ht="16.2" customHeight="1" x14ac:dyDescent="0.35">
      <c r="A29" s="48"/>
      <c r="B29" s="52"/>
      <c r="C29" s="53"/>
      <c r="D29" s="43"/>
      <c r="E29" s="43"/>
      <c r="F29" s="44"/>
      <c r="G29" s="44"/>
      <c r="H29" s="45"/>
      <c r="I29" s="45"/>
      <c r="J29" s="51"/>
      <c r="K29" s="51"/>
      <c r="L29" s="47"/>
    </row>
    <row r="30" spans="1:19" ht="16.5" customHeight="1" x14ac:dyDescent="0.3">
      <c r="A30" s="39"/>
      <c r="C30" s="43"/>
      <c r="D30" s="43"/>
      <c r="E30" s="43"/>
      <c r="F30" s="44"/>
      <c r="G30" s="44"/>
      <c r="H30" s="45"/>
      <c r="I30" s="45"/>
      <c r="J30" s="46"/>
      <c r="K30" s="46"/>
      <c r="L30" s="47"/>
    </row>
    <row r="31" spans="1:19" s="16" customFormat="1" ht="21" customHeight="1" x14ac:dyDescent="0.4">
      <c r="A31" s="10" t="s">
        <v>35</v>
      </c>
      <c r="B31" s="11"/>
      <c r="C31" s="12"/>
      <c r="D31" s="12"/>
      <c r="E31" s="12"/>
      <c r="F31" s="13"/>
      <c r="G31" s="13"/>
      <c r="H31" s="14"/>
      <c r="I31" s="14"/>
      <c r="J31" s="13"/>
      <c r="K31" s="13"/>
      <c r="L31" s="5"/>
      <c r="M31" s="5"/>
      <c r="N31" s="15"/>
      <c r="O31" s="15"/>
      <c r="P31" s="15"/>
    </row>
    <row r="32" spans="1:19" s="19" customFormat="1" ht="16.5" customHeight="1" x14ac:dyDescent="0.35">
      <c r="A32" s="17">
        <v>1</v>
      </c>
      <c r="B32" s="18" t="s">
        <v>36</v>
      </c>
      <c r="D32" s="20"/>
      <c r="E32" s="20"/>
      <c r="F32" s="21"/>
      <c r="G32" s="21"/>
      <c r="H32" s="22"/>
      <c r="I32" s="22"/>
      <c r="J32" s="23"/>
      <c r="K32" s="23"/>
    </row>
    <row r="33" spans="1:12" ht="16.5" customHeight="1" x14ac:dyDescent="0.3">
      <c r="B33" s="31" t="s">
        <v>37</v>
      </c>
      <c r="C33" s="31"/>
      <c r="D33" s="32"/>
      <c r="E33" s="32"/>
      <c r="F33" s="33"/>
      <c r="G33" s="33"/>
      <c r="H33" s="34"/>
      <c r="I33" s="34"/>
      <c r="J33" s="36">
        <v>17089707.534362476</v>
      </c>
      <c r="K33" s="54"/>
    </row>
    <row r="34" spans="1:12" ht="16.5" customHeight="1" x14ac:dyDescent="0.3">
      <c r="A34" s="39"/>
      <c r="B34" s="31"/>
      <c r="C34" s="31" t="s">
        <v>38</v>
      </c>
      <c r="D34" s="32"/>
      <c r="E34" s="32"/>
      <c r="F34" s="33"/>
      <c r="G34" s="33"/>
      <c r="H34" s="34"/>
      <c r="I34" s="34"/>
      <c r="J34" s="54"/>
      <c r="K34" s="36">
        <v>17089707.534362476</v>
      </c>
    </row>
    <row r="35" spans="1:12" ht="16.5" customHeight="1" x14ac:dyDescent="0.3">
      <c r="A35" s="39"/>
      <c r="B35" s="31"/>
      <c r="C35" s="31" t="str">
        <f>IF($F$7="Proprietary","Cr: Acct 0870 - SERVICES &amp; CHARGES (MG ADJ)",VLOOKUP($F$9,'[2]Drop Down Menus'!$F$2:$G$10,2,FALSE))</f>
        <v>Cr: Acct 0830 - TRANSPORTATION (GAAP ADJ)</v>
      </c>
      <c r="D35" s="32"/>
      <c r="E35" s="32"/>
      <c r="F35" s="33"/>
      <c r="G35" s="33"/>
      <c r="H35" s="34"/>
      <c r="I35" s="34"/>
      <c r="J35" s="54"/>
      <c r="K35" s="36"/>
    </row>
    <row r="36" spans="1:12" ht="16.5" customHeight="1" x14ac:dyDescent="0.3">
      <c r="A36" s="39"/>
      <c r="C36" s="26"/>
      <c r="D36" s="26"/>
      <c r="E36" s="26"/>
      <c r="F36" s="27"/>
      <c r="G36" s="27"/>
      <c r="H36" s="28"/>
      <c r="I36" s="28"/>
      <c r="J36" s="46">
        <f>SUM(J33:J35)</f>
        <v>17089707.534362476</v>
      </c>
      <c r="K36" s="46">
        <f>SUM(K33:K35)</f>
        <v>17089707.534362476</v>
      </c>
      <c r="L36" s="47" t="str">
        <f>IF(J36=K36,"&lt;- Debits and Credits equal each other.","&lt;- Debits and Credits do not equal each other.")</f>
        <v>&lt;- Debits and Credits equal each other.</v>
      </c>
    </row>
    <row r="37" spans="1:12" ht="16.5" customHeight="1" x14ac:dyDescent="0.3">
      <c r="A37" s="48"/>
      <c r="B37" s="55"/>
      <c r="C37" s="26"/>
      <c r="D37" s="26"/>
      <c r="E37" s="26"/>
      <c r="F37" s="27"/>
      <c r="G37" s="27"/>
      <c r="H37" s="28"/>
      <c r="I37" s="28"/>
      <c r="J37" s="51"/>
      <c r="K37" s="51"/>
      <c r="L37" s="47"/>
    </row>
    <row r="38" spans="1:12" ht="16.5" customHeight="1" x14ac:dyDescent="0.35">
      <c r="A38" s="24">
        <v>2</v>
      </c>
      <c r="B38" s="18" t="s">
        <v>39</v>
      </c>
      <c r="C38" s="26"/>
      <c r="D38" s="26"/>
      <c r="E38" s="26"/>
      <c r="F38" s="27"/>
      <c r="G38" s="27"/>
      <c r="H38" s="28"/>
      <c r="I38" s="28"/>
      <c r="J38" s="51"/>
      <c r="K38" s="51"/>
      <c r="L38" s="47"/>
    </row>
    <row r="39" spans="1:12" ht="16.5" customHeight="1" x14ac:dyDescent="0.3">
      <c r="A39" s="30" t="s">
        <v>20</v>
      </c>
      <c r="B39" s="31" t="s">
        <v>21</v>
      </c>
      <c r="C39" s="31"/>
      <c r="D39" s="32"/>
      <c r="E39" s="32"/>
      <c r="F39" s="33"/>
      <c r="G39" s="33"/>
      <c r="H39" s="34"/>
      <c r="I39" s="34"/>
      <c r="J39" s="36"/>
      <c r="K39" s="54"/>
    </row>
    <row r="40" spans="1:12" ht="16.5" customHeight="1" x14ac:dyDescent="0.3">
      <c r="A40" s="30" t="s">
        <v>20</v>
      </c>
      <c r="B40" s="31" t="s">
        <v>22</v>
      </c>
      <c r="C40" s="31"/>
      <c r="D40" s="32"/>
      <c r="E40" s="32"/>
      <c r="F40" s="33"/>
      <c r="G40" s="33"/>
      <c r="H40" s="34"/>
      <c r="I40" s="34"/>
      <c r="J40" s="36">
        <v>17089707.534362476</v>
      </c>
      <c r="K40" s="54"/>
    </row>
    <row r="41" spans="1:12" ht="16.5" customHeight="1" x14ac:dyDescent="0.3">
      <c r="A41" s="30" t="s">
        <v>20</v>
      </c>
      <c r="B41" s="31" t="s">
        <v>23</v>
      </c>
      <c r="C41" s="31"/>
      <c r="D41" s="32"/>
      <c r="E41" s="32"/>
      <c r="F41" s="33"/>
      <c r="G41" s="33"/>
      <c r="H41" s="34"/>
      <c r="I41" s="34"/>
      <c r="J41" s="36"/>
      <c r="K41" s="54"/>
    </row>
    <row r="42" spans="1:12" ht="16.5" customHeight="1" x14ac:dyDescent="0.3">
      <c r="A42" s="39"/>
      <c r="B42" s="31"/>
      <c r="C42" s="31" t="s">
        <v>40</v>
      </c>
      <c r="D42" s="32"/>
      <c r="E42" s="32"/>
      <c r="F42" s="33"/>
      <c r="G42" s="33"/>
      <c r="H42" s="34"/>
      <c r="I42" s="34"/>
      <c r="J42" s="54"/>
      <c r="K42" s="36">
        <v>17089707.534362476</v>
      </c>
    </row>
    <row r="43" spans="1:12" ht="16.5" customHeight="1" x14ac:dyDescent="0.3">
      <c r="A43" s="39"/>
      <c r="B43" s="22" t="s">
        <v>41</v>
      </c>
      <c r="C43" s="26"/>
      <c r="D43" s="26"/>
      <c r="E43" s="26"/>
      <c r="F43" s="27"/>
      <c r="G43" s="27"/>
      <c r="H43" s="28"/>
      <c r="I43" s="28"/>
      <c r="J43" s="46">
        <f>SUM(J39:J42)</f>
        <v>17089707.534362476</v>
      </c>
      <c r="K43" s="46">
        <f>SUM(K39:K42)</f>
        <v>17089707.534362476</v>
      </c>
      <c r="L43" s="47" t="str">
        <f>IF(J43=K43,"&lt;- Debits and Credits equal each other.","&lt;- Debits and Credits do not equal each other.")</f>
        <v>&lt;- Debits and Credits equal each other.</v>
      </c>
    </row>
    <row r="44" spans="1:12" ht="16.5" customHeight="1" x14ac:dyDescent="0.3">
      <c r="A44" s="48"/>
      <c r="C44" s="49"/>
      <c r="D44" s="43"/>
      <c r="E44" s="43"/>
      <c r="F44" s="50"/>
      <c r="G44" s="50"/>
      <c r="H44" s="45"/>
      <c r="I44" s="45"/>
      <c r="J44" s="51"/>
      <c r="K44" s="51"/>
      <c r="L44" s="47"/>
    </row>
    <row r="45" spans="1:12" ht="16.5" customHeight="1" x14ac:dyDescent="0.3">
      <c r="A45" s="48"/>
      <c r="B45" s="22"/>
      <c r="C45" s="49"/>
      <c r="D45" s="43"/>
      <c r="E45" s="43"/>
      <c r="F45" s="50"/>
      <c r="G45" s="50"/>
      <c r="H45" s="45"/>
      <c r="I45" s="45"/>
      <c r="J45" s="51"/>
      <c r="K45" s="51"/>
      <c r="L45" s="47"/>
    </row>
    <row r="46" spans="1:12" s="19" customFormat="1" ht="16.5" customHeight="1" x14ac:dyDescent="0.35">
      <c r="A46" s="17">
        <v>3</v>
      </c>
      <c r="B46" s="18" t="s">
        <v>42</v>
      </c>
      <c r="C46" s="20"/>
      <c r="D46" s="20"/>
      <c r="E46" s="20"/>
      <c r="F46" s="21"/>
      <c r="G46" s="21"/>
      <c r="H46" s="22"/>
      <c r="I46" s="22"/>
      <c r="J46" s="23"/>
      <c r="K46" s="23"/>
    </row>
    <row r="47" spans="1:12" ht="16.5" customHeight="1" x14ac:dyDescent="0.3">
      <c r="B47" s="31" t="s">
        <v>43</v>
      </c>
      <c r="C47" s="31"/>
      <c r="D47" s="32"/>
      <c r="E47" s="32"/>
      <c r="F47" s="33"/>
      <c r="G47" s="33"/>
      <c r="H47" s="34"/>
      <c r="I47" s="34"/>
      <c r="J47" s="36">
        <v>17089707.534362476</v>
      </c>
      <c r="K47" s="54"/>
    </row>
    <row r="48" spans="1:12" ht="16.5" customHeight="1" x14ac:dyDescent="0.3">
      <c r="A48" s="42" t="s">
        <v>29</v>
      </c>
      <c r="B48" s="31"/>
      <c r="C48" s="31" t="s">
        <v>30</v>
      </c>
      <c r="D48" s="32"/>
      <c r="E48" s="32"/>
      <c r="F48" s="33"/>
      <c r="G48" s="33"/>
      <c r="H48" s="34"/>
      <c r="I48" s="34"/>
      <c r="J48" s="54"/>
      <c r="K48" s="36">
        <v>17089707.534362476</v>
      </c>
    </row>
    <row r="49" spans="1:16" ht="16.5" customHeight="1" x14ac:dyDescent="0.3">
      <c r="A49" s="39"/>
      <c r="C49" s="26"/>
      <c r="D49" s="26"/>
      <c r="E49" s="26"/>
      <c r="F49" s="27"/>
      <c r="G49" s="27"/>
      <c r="H49" s="28"/>
      <c r="I49" s="28"/>
      <c r="J49" s="46">
        <f>SUM(J47:J48)</f>
        <v>17089707.534362476</v>
      </c>
      <c r="K49" s="46">
        <f>SUM(K47:K48)</f>
        <v>17089707.534362476</v>
      </c>
      <c r="L49" s="47" t="str">
        <f>IF(J49=K49,"&lt;- Debits and Credits equal each other.","&lt;- Debits and Credits do not equal each other.")</f>
        <v>&lt;- Debits and Credits equal each other.</v>
      </c>
    </row>
    <row r="50" spans="1:16" ht="16.5" customHeight="1" x14ac:dyDescent="0.3">
      <c r="A50" s="39"/>
      <c r="B50" s="52" t="s">
        <v>44</v>
      </c>
      <c r="C50" s="26"/>
      <c r="D50" s="26"/>
      <c r="E50" s="26"/>
      <c r="F50" s="27"/>
      <c r="G50" s="27"/>
      <c r="H50" s="28"/>
      <c r="I50" s="28"/>
      <c r="J50" s="46"/>
      <c r="K50" s="46"/>
      <c r="L50" s="47"/>
    </row>
    <row r="51" spans="1:16" ht="16.5" customHeight="1" x14ac:dyDescent="0.3">
      <c r="A51" s="39"/>
      <c r="B51" s="52"/>
      <c r="C51" s="26"/>
      <c r="D51" s="26"/>
      <c r="E51" s="26"/>
      <c r="F51" s="27"/>
      <c r="G51" s="27"/>
      <c r="H51" s="28"/>
      <c r="I51" s="28"/>
      <c r="J51" s="46"/>
      <c r="K51" s="46"/>
      <c r="L51" s="47"/>
    </row>
    <row r="52" spans="1:16" ht="16.5" customHeight="1" x14ac:dyDescent="0.3">
      <c r="A52" s="48"/>
      <c r="B52" s="26"/>
      <c r="C52" s="26"/>
      <c r="D52" s="26"/>
      <c r="E52" s="26"/>
      <c r="F52" s="27"/>
      <c r="G52" s="27"/>
      <c r="H52" s="28"/>
      <c r="I52" s="28"/>
      <c r="J52" s="51"/>
      <c r="K52" s="51"/>
      <c r="L52" s="47"/>
    </row>
    <row r="53" spans="1:16" s="16" customFormat="1" ht="21" customHeight="1" x14ac:dyDescent="0.4">
      <c r="A53" s="10" t="s">
        <v>45</v>
      </c>
      <c r="B53" s="11"/>
      <c r="C53" s="12"/>
      <c r="D53" s="12"/>
      <c r="E53" s="12"/>
      <c r="F53" s="13"/>
      <c r="G53" s="13"/>
      <c r="H53" s="14"/>
      <c r="I53" s="14"/>
      <c r="J53" s="13"/>
      <c r="K53" s="13"/>
      <c r="L53" s="5"/>
      <c r="M53" s="5"/>
      <c r="N53" s="15"/>
      <c r="O53" s="15"/>
      <c r="P53" s="15"/>
    </row>
    <row r="54" spans="1:16" s="19" customFormat="1" ht="16.5" customHeight="1" x14ac:dyDescent="0.35">
      <c r="A54" s="17">
        <v>4</v>
      </c>
      <c r="B54" s="18" t="s">
        <v>46</v>
      </c>
      <c r="C54" s="20"/>
      <c r="D54" s="20"/>
      <c r="E54" s="20"/>
      <c r="F54" s="21"/>
      <c r="G54" s="21"/>
      <c r="H54" s="22"/>
      <c r="I54" s="22"/>
      <c r="J54" s="23"/>
      <c r="K54" s="23"/>
    </row>
    <row r="55" spans="1:16" ht="16.5" customHeight="1" x14ac:dyDescent="0.3">
      <c r="B55" s="31" t="s">
        <v>47</v>
      </c>
      <c r="C55" s="56"/>
      <c r="D55" s="32"/>
      <c r="E55" s="32"/>
      <c r="F55" s="33"/>
      <c r="G55" s="33"/>
      <c r="H55" s="34"/>
      <c r="I55" s="34"/>
      <c r="J55" s="36">
        <v>2010553.8275720561</v>
      </c>
      <c r="K55" s="54"/>
    </row>
    <row r="56" spans="1:16" ht="16.5" customHeight="1" x14ac:dyDescent="0.3">
      <c r="A56" s="39"/>
      <c r="B56" s="56"/>
      <c r="C56" s="31" t="s">
        <v>26</v>
      </c>
      <c r="D56" s="32"/>
      <c r="E56" s="32"/>
      <c r="F56" s="33"/>
      <c r="G56" s="33"/>
      <c r="H56" s="34"/>
      <c r="I56" s="34"/>
      <c r="J56" s="57"/>
      <c r="K56" s="36"/>
    </row>
    <row r="57" spans="1:16" ht="16.5" customHeight="1" x14ac:dyDescent="0.3">
      <c r="A57" s="39"/>
      <c r="B57" s="56"/>
      <c r="C57" s="31" t="s">
        <v>27</v>
      </c>
      <c r="D57" s="32"/>
      <c r="E57" s="32"/>
      <c r="F57" s="33"/>
      <c r="G57" s="33"/>
      <c r="H57" s="34"/>
      <c r="I57" s="34"/>
      <c r="J57" s="57"/>
      <c r="K57" s="36">
        <v>2010553.8275720561</v>
      </c>
    </row>
    <row r="58" spans="1:16" ht="16.5" customHeight="1" x14ac:dyDescent="0.3">
      <c r="A58" s="39"/>
      <c r="B58" s="31"/>
      <c r="C58" s="31" t="s">
        <v>28</v>
      </c>
      <c r="D58" s="32"/>
      <c r="E58" s="32"/>
      <c r="F58" s="33"/>
      <c r="G58" s="33"/>
      <c r="H58" s="34"/>
      <c r="I58" s="34"/>
      <c r="J58" s="54"/>
      <c r="K58" s="36"/>
    </row>
    <row r="59" spans="1:16" ht="16.5" customHeight="1" x14ac:dyDescent="0.3">
      <c r="A59" s="39"/>
      <c r="C59" s="26"/>
      <c r="D59" s="26"/>
      <c r="E59" s="26"/>
      <c r="F59" s="27"/>
      <c r="G59" s="27"/>
      <c r="H59" s="28"/>
      <c r="I59" s="28"/>
      <c r="J59" s="46">
        <f>SUM(J55:J58)</f>
        <v>2010553.8275720561</v>
      </c>
      <c r="K59" s="46">
        <f>SUM(K55:K58)</f>
        <v>2010553.8275720561</v>
      </c>
      <c r="L59" s="47" t="str">
        <f>IF(J59=K59,"&lt;- Debits and Credits equal each other.","&lt;- Debits and Credits do not equal each other.")</f>
        <v>&lt;- Debits and Credits equal each other.</v>
      </c>
    </row>
    <row r="60" spans="1:16" ht="16.5" customHeight="1" x14ac:dyDescent="0.35">
      <c r="A60" s="39"/>
      <c r="B60" s="25"/>
      <c r="C60" s="43"/>
      <c r="D60" s="43"/>
      <c r="E60" s="43"/>
      <c r="F60" s="50"/>
      <c r="G60" s="50"/>
      <c r="H60" s="45"/>
      <c r="I60" s="45"/>
    </row>
    <row r="61" spans="1:16" s="19" customFormat="1" ht="16.5" customHeight="1" x14ac:dyDescent="0.35">
      <c r="A61" s="17">
        <v>5</v>
      </c>
      <c r="B61" s="18" t="s">
        <v>48</v>
      </c>
      <c r="C61" s="20"/>
      <c r="D61" s="20"/>
      <c r="E61" s="20"/>
      <c r="F61" s="21"/>
      <c r="G61" s="21"/>
      <c r="H61" s="22"/>
      <c r="I61" s="22"/>
      <c r="J61" s="23"/>
      <c r="K61" s="23"/>
    </row>
    <row r="62" spans="1:16" ht="16.5" customHeight="1" x14ac:dyDescent="0.3">
      <c r="B62" s="31" t="s">
        <v>49</v>
      </c>
      <c r="C62" s="31"/>
      <c r="D62" s="32"/>
      <c r="E62" s="32"/>
      <c r="F62" s="33"/>
      <c r="G62" s="33"/>
      <c r="H62" s="34"/>
      <c r="I62" s="34"/>
      <c r="J62" s="58">
        <v>2010555.4356931276</v>
      </c>
      <c r="K62" s="59"/>
    </row>
    <row r="63" spans="1:16" ht="16.5" customHeight="1" x14ac:dyDescent="0.3">
      <c r="A63" s="39"/>
      <c r="B63" s="31" t="str">
        <f>IF(F7="Governmental","Dr: Acct 0851 - DEBT SERVICE - INTEREST LEASES","Dr: Acct 0894 - INTEREST EXPENSE AND FISCAL CHARGES")</f>
        <v>Dr: Acct 0851 - DEBT SERVICE - INTEREST LEASES</v>
      </c>
      <c r="C63" s="31"/>
      <c r="D63" s="32"/>
      <c r="E63" s="32"/>
      <c r="F63" s="33"/>
      <c r="G63" s="33"/>
      <c r="H63" s="34"/>
      <c r="I63" s="34"/>
      <c r="J63" s="58">
        <v>3216.5643068724949</v>
      </c>
      <c r="K63" s="59"/>
    </row>
    <row r="64" spans="1:16" ht="16.5" customHeight="1" x14ac:dyDescent="0.3">
      <c r="A64" s="39"/>
      <c r="B64" s="31"/>
      <c r="C64" s="31" t="str">
        <f>IF($F$7="Proprietary","Cr: Acct 0870 - SERVICES &amp; CHARGES (MG ADJ)",VLOOKUP($F$9,'[2]Drop Down Menus'!$F$2:$G$10,2,FALSE))</f>
        <v>Cr: Acct 0830 - TRANSPORTATION (GAAP ADJ)</v>
      </c>
      <c r="D64" s="32"/>
      <c r="E64" s="32"/>
      <c r="F64" s="33"/>
      <c r="G64" s="33"/>
      <c r="H64" s="34"/>
      <c r="I64" s="34"/>
      <c r="J64" s="59"/>
      <c r="K64" s="36">
        <v>2013772</v>
      </c>
    </row>
    <row r="65" spans="1:12" ht="16.5" customHeight="1" x14ac:dyDescent="0.3">
      <c r="A65" s="39"/>
      <c r="C65" s="26"/>
      <c r="D65" s="26"/>
      <c r="E65" s="26"/>
      <c r="F65" s="27"/>
      <c r="G65" s="27"/>
      <c r="H65" s="28"/>
      <c r="I65" s="28"/>
      <c r="J65" s="46">
        <f>SUM(J62:J64)</f>
        <v>2013772</v>
      </c>
      <c r="K65" s="46">
        <f>SUM(K62:K64)</f>
        <v>2013772</v>
      </c>
      <c r="L65" s="47" t="str">
        <f>IF(J65=K65,"&lt;- Debits and Credits equal each other.","&lt;- Debits and Credits do not equal each other.")</f>
        <v>&lt;- Debits and Credits equal each other.</v>
      </c>
    </row>
    <row r="66" spans="1:12" ht="16.5" customHeight="1" x14ac:dyDescent="0.35">
      <c r="A66" s="48"/>
      <c r="B66" s="25"/>
      <c r="C66" s="26"/>
      <c r="D66" s="26"/>
      <c r="E66" s="26"/>
      <c r="F66" s="27"/>
      <c r="G66" s="27"/>
      <c r="H66" s="28"/>
      <c r="I66" s="28"/>
      <c r="J66" s="51"/>
      <c r="K66" s="51"/>
      <c r="L66" s="47"/>
    </row>
    <row r="67" spans="1:12" s="19" customFormat="1" ht="16.5" customHeight="1" x14ac:dyDescent="0.35">
      <c r="A67" s="17">
        <v>6</v>
      </c>
      <c r="B67" s="18" t="s">
        <v>50</v>
      </c>
      <c r="C67" s="20"/>
      <c r="D67" s="20"/>
      <c r="E67" s="20"/>
      <c r="F67" s="21"/>
      <c r="G67" s="21"/>
      <c r="H67" s="22"/>
      <c r="I67" s="22"/>
      <c r="J67" s="23"/>
      <c r="K67" s="23"/>
    </row>
    <row r="68" spans="1:12" ht="16.5" customHeight="1" x14ac:dyDescent="0.3">
      <c r="A68" s="42" t="s">
        <v>29</v>
      </c>
      <c r="B68" s="31" t="s">
        <v>51</v>
      </c>
      <c r="C68" s="31"/>
      <c r="D68" s="32"/>
      <c r="E68" s="32"/>
      <c r="F68" s="33"/>
      <c r="G68" s="33"/>
      <c r="H68" s="34"/>
      <c r="I68" s="34"/>
      <c r="J68" s="36">
        <v>2010555.4356931276</v>
      </c>
      <c r="K68" s="54"/>
    </row>
    <row r="69" spans="1:12" ht="16.5" customHeight="1" x14ac:dyDescent="0.3">
      <c r="A69" s="39"/>
      <c r="B69" s="31"/>
      <c r="C69" s="31" t="s">
        <v>52</v>
      </c>
      <c r="D69" s="32"/>
      <c r="E69" s="32"/>
      <c r="F69" s="33"/>
      <c r="G69" s="33"/>
      <c r="H69" s="34"/>
      <c r="I69" s="34"/>
      <c r="J69" s="54"/>
      <c r="K69" s="36">
        <v>2010555.4356931276</v>
      </c>
    </row>
    <row r="70" spans="1:12" ht="16.5" customHeight="1" x14ac:dyDescent="0.3">
      <c r="A70" s="39"/>
      <c r="C70" s="26"/>
      <c r="D70" s="26"/>
      <c r="E70" s="26"/>
      <c r="F70" s="27"/>
      <c r="G70" s="27"/>
      <c r="H70" s="28"/>
      <c r="I70" s="28"/>
      <c r="J70" s="46">
        <f>SUM(J68:J69)</f>
        <v>2010555.4356931276</v>
      </c>
      <c r="K70" s="46">
        <f>SUM(K68:K69)</f>
        <v>2010555.4356931276</v>
      </c>
      <c r="L70" s="47" t="str">
        <f>IF(J70=K70,"&lt;- Debits and Credits equal each other.","&lt;- Debits and Credits do not equal each other.")</f>
        <v>&lt;- Debits and Credits equal each other.</v>
      </c>
    </row>
    <row r="71" spans="1:12" ht="16.5" customHeight="1" x14ac:dyDescent="0.3">
      <c r="A71" s="39"/>
      <c r="B71" s="52" t="s">
        <v>53</v>
      </c>
      <c r="C71" s="26"/>
      <c r="D71" s="26"/>
      <c r="E71" s="26"/>
      <c r="F71" s="27"/>
      <c r="G71" s="27"/>
      <c r="H71" s="28"/>
      <c r="I71" s="28"/>
    </row>
    <row r="72" spans="1:12" ht="16.5" customHeight="1" x14ac:dyDescent="0.3">
      <c r="A72" s="39"/>
      <c r="B72" s="52"/>
      <c r="C72" s="26"/>
      <c r="D72" s="26"/>
      <c r="E72" s="26"/>
      <c r="F72" s="27"/>
      <c r="G72" s="27"/>
      <c r="H72" s="28"/>
      <c r="I72" s="28"/>
    </row>
    <row r="73" spans="1:12" ht="16.5" customHeight="1" x14ac:dyDescent="0.3">
      <c r="A73" s="39"/>
      <c r="B73" s="52"/>
      <c r="C73" s="26"/>
      <c r="D73" s="26"/>
      <c r="E73" s="26"/>
      <c r="F73" s="27"/>
      <c r="G73" s="27"/>
      <c r="H73" s="28"/>
      <c r="I73" s="28"/>
    </row>
    <row r="74" spans="1:12" s="19" customFormat="1" ht="16.5" customHeight="1" x14ac:dyDescent="0.35">
      <c r="A74" s="17">
        <v>7</v>
      </c>
      <c r="B74" s="18" t="s">
        <v>54</v>
      </c>
      <c r="C74" s="20"/>
      <c r="D74" s="20"/>
      <c r="E74" s="20"/>
      <c r="F74" s="21"/>
      <c r="G74" s="21"/>
      <c r="H74" s="22"/>
      <c r="I74" s="22"/>
      <c r="J74" s="23"/>
      <c r="K74" s="23"/>
    </row>
    <row r="75" spans="1:12" ht="16.5" customHeight="1" x14ac:dyDescent="0.3">
      <c r="A75" s="42" t="s">
        <v>29</v>
      </c>
      <c r="B75" s="31" t="s">
        <v>51</v>
      </c>
      <c r="C75" s="31"/>
      <c r="D75" s="32"/>
      <c r="E75" s="32"/>
      <c r="F75" s="33"/>
      <c r="G75" s="33"/>
      <c r="H75" s="34"/>
      <c r="I75" s="34"/>
      <c r="J75" s="36">
        <v>12059701.959235745</v>
      </c>
      <c r="K75" s="54"/>
    </row>
    <row r="76" spans="1:12" ht="16.5" customHeight="1" x14ac:dyDescent="0.3">
      <c r="A76" s="39"/>
      <c r="B76" s="31"/>
      <c r="C76" s="31" t="s">
        <v>55</v>
      </c>
      <c r="D76" s="32"/>
      <c r="E76" s="32"/>
      <c r="F76" s="33"/>
      <c r="G76" s="33"/>
      <c r="H76" s="34"/>
      <c r="I76" s="34"/>
      <c r="J76" s="54"/>
      <c r="K76" s="36">
        <v>12059701.959235745</v>
      </c>
    </row>
    <row r="77" spans="1:12" ht="16.5" customHeight="1" x14ac:dyDescent="0.25">
      <c r="A77" s="39"/>
      <c r="B77" s="233" t="s">
        <v>56</v>
      </c>
      <c r="C77" s="233"/>
      <c r="D77" s="233"/>
      <c r="E77" s="233"/>
      <c r="F77" s="233"/>
      <c r="G77" s="233"/>
      <c r="H77" s="233"/>
      <c r="I77" s="233"/>
      <c r="J77" s="46">
        <f>SUM(J75:J76)</f>
        <v>12059701.959235745</v>
      </c>
      <c r="K77" s="46">
        <f>SUM(K75:K76)</f>
        <v>12059701.959235745</v>
      </c>
      <c r="L77" s="47" t="str">
        <f>IF(J77=K77,"&lt;- Debits and Credits equal each other.","&lt;- Debits and Credits do not equal each other.")</f>
        <v>&lt;- Debits and Credits equal each other.</v>
      </c>
    </row>
    <row r="78" spans="1:12" ht="16.5" customHeight="1" x14ac:dyDescent="0.25">
      <c r="A78" s="39"/>
      <c r="B78" s="233"/>
      <c r="C78" s="233"/>
      <c r="D78" s="233"/>
      <c r="E78" s="233"/>
      <c r="F78" s="233"/>
      <c r="G78" s="233"/>
      <c r="H78" s="233"/>
      <c r="I78" s="233"/>
      <c r="J78" s="46"/>
      <c r="K78" s="46"/>
      <c r="L78" s="47"/>
    </row>
    <row r="79" spans="1:12" ht="24.6" customHeight="1" x14ac:dyDescent="0.25">
      <c r="A79" s="39"/>
      <c r="B79" s="233"/>
      <c r="C79" s="233"/>
      <c r="D79" s="233"/>
      <c r="E79" s="233"/>
      <c r="F79" s="233"/>
      <c r="G79" s="233"/>
      <c r="H79" s="233"/>
      <c r="I79" s="233"/>
      <c r="J79" s="46"/>
      <c r="K79" s="46"/>
      <c r="L79" s="47"/>
    </row>
    <row r="80" spans="1:12" ht="16.5" customHeight="1" x14ac:dyDescent="0.3">
      <c r="A80" s="48"/>
      <c r="B80" s="52" t="s">
        <v>57</v>
      </c>
      <c r="C80" s="26"/>
      <c r="D80" s="26"/>
      <c r="E80" s="26"/>
      <c r="F80" s="27"/>
      <c r="G80" s="27"/>
      <c r="H80" s="28"/>
      <c r="I80" s="28"/>
      <c r="J80" s="51"/>
      <c r="K80" s="51"/>
      <c r="L80" s="47"/>
    </row>
    <row r="81" spans="1:16" ht="16.5" customHeight="1" x14ac:dyDescent="0.3">
      <c r="A81" s="48"/>
      <c r="B81" s="52"/>
      <c r="C81" s="26"/>
      <c r="D81" s="26"/>
      <c r="E81" s="26"/>
      <c r="F81" s="27"/>
      <c r="G81" s="27"/>
      <c r="H81" s="28"/>
      <c r="I81" s="28"/>
      <c r="J81" s="51"/>
      <c r="K81" s="51"/>
      <c r="L81" s="47"/>
    </row>
    <row r="82" spans="1:16" ht="16.5" customHeight="1" x14ac:dyDescent="0.35">
      <c r="A82" s="48"/>
      <c r="B82" s="25"/>
      <c r="C82" s="26"/>
      <c r="D82" s="26"/>
      <c r="E82" s="26"/>
      <c r="F82" s="27"/>
      <c r="G82" s="27"/>
      <c r="H82" s="28"/>
      <c r="I82" s="28"/>
      <c r="J82" s="51"/>
      <c r="K82" s="51"/>
      <c r="L82" s="47"/>
    </row>
    <row r="83" spans="1:16" s="16" customFormat="1" ht="21" customHeight="1" x14ac:dyDescent="0.4">
      <c r="A83" s="10" t="s">
        <v>58</v>
      </c>
      <c r="B83" s="11"/>
      <c r="C83" s="12"/>
      <c r="D83" s="12"/>
      <c r="E83" s="12"/>
      <c r="F83" s="13"/>
      <c r="G83" s="13"/>
      <c r="H83" s="14"/>
      <c r="I83" s="14"/>
      <c r="J83" s="13"/>
      <c r="K83" s="13"/>
      <c r="L83" s="5"/>
      <c r="M83" s="5"/>
      <c r="N83" s="15"/>
      <c r="O83" s="15"/>
      <c r="P83" s="15"/>
    </row>
    <row r="84" spans="1:16" s="19" customFormat="1" ht="16.5" customHeight="1" x14ac:dyDescent="0.35">
      <c r="A84" s="17">
        <v>8</v>
      </c>
      <c r="B84" s="18" t="s">
        <v>59</v>
      </c>
      <c r="H84" s="60"/>
    </row>
    <row r="85" spans="1:16" ht="16.5" customHeight="1" x14ac:dyDescent="0.3">
      <c r="B85" s="31" t="s">
        <v>60</v>
      </c>
      <c r="C85" s="31"/>
      <c r="D85" s="32"/>
      <c r="E85" s="32"/>
      <c r="F85" s="33"/>
      <c r="G85" s="33"/>
      <c r="H85" s="34"/>
      <c r="I85" s="34"/>
      <c r="J85" s="36"/>
      <c r="K85" s="54"/>
      <c r="L85" s="47"/>
    </row>
    <row r="86" spans="1:16" ht="16.5" customHeight="1" x14ac:dyDescent="0.25">
      <c r="A86" s="39"/>
      <c r="B86" s="31" t="s">
        <v>61</v>
      </c>
      <c r="C86" s="56"/>
      <c r="D86" s="56"/>
      <c r="E86" s="56"/>
      <c r="F86" s="56"/>
      <c r="G86" s="56"/>
      <c r="H86" s="56"/>
      <c r="I86" s="56"/>
      <c r="J86" s="36">
        <v>0</v>
      </c>
      <c r="K86" s="61"/>
    </row>
    <row r="87" spans="1:16" ht="16.5" customHeight="1" x14ac:dyDescent="0.25">
      <c r="A87" s="39"/>
      <c r="B87" s="31" t="s">
        <v>62</v>
      </c>
      <c r="C87" s="56"/>
      <c r="D87" s="56"/>
      <c r="E87" s="56"/>
      <c r="F87" s="56"/>
      <c r="G87" s="56"/>
      <c r="H87" s="56"/>
      <c r="I87" s="56"/>
      <c r="J87" s="36"/>
      <c r="K87" s="61"/>
    </row>
    <row r="88" spans="1:16" ht="16.5" customHeight="1" x14ac:dyDescent="0.25">
      <c r="A88" s="30" t="s">
        <v>20</v>
      </c>
      <c r="B88" s="56"/>
      <c r="C88" s="31" t="s">
        <v>63</v>
      </c>
      <c r="D88" s="56"/>
      <c r="E88" s="56"/>
      <c r="F88" s="56"/>
      <c r="G88" s="56"/>
      <c r="H88" s="56"/>
      <c r="I88" s="56"/>
      <c r="J88" s="61"/>
      <c r="K88" s="36"/>
    </row>
    <row r="89" spans="1:16" ht="16.5" customHeight="1" x14ac:dyDescent="0.25">
      <c r="A89" s="30" t="s">
        <v>20</v>
      </c>
      <c r="B89" s="56"/>
      <c r="C89" s="31" t="s">
        <v>64</v>
      </c>
      <c r="D89" s="56"/>
      <c r="E89" s="56"/>
      <c r="F89" s="56"/>
      <c r="G89" s="56"/>
      <c r="H89" s="56"/>
      <c r="I89" s="56"/>
      <c r="J89" s="61"/>
      <c r="K89" s="36">
        <v>0</v>
      </c>
    </row>
    <row r="90" spans="1:16" ht="16.5" customHeight="1" x14ac:dyDescent="0.25">
      <c r="A90" s="30" t="s">
        <v>20</v>
      </c>
      <c r="B90" s="56"/>
      <c r="C90" s="31" t="s">
        <v>65</v>
      </c>
      <c r="D90" s="56"/>
      <c r="E90" s="56"/>
      <c r="F90" s="56"/>
      <c r="G90" s="56"/>
      <c r="H90" s="56"/>
      <c r="I90" s="56"/>
      <c r="J90" s="61"/>
      <c r="K90" s="36"/>
    </row>
    <row r="91" spans="1:16" ht="16.5" customHeight="1" x14ac:dyDescent="0.3">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3">
      <c r="H92" s="2"/>
    </row>
    <row r="93" spans="1:16" ht="16.5" customHeight="1" x14ac:dyDescent="0.3">
      <c r="H93" s="2"/>
    </row>
    <row r="94" spans="1:16" s="16" customFormat="1" ht="21" customHeight="1" x14ac:dyDescent="0.4">
      <c r="A94" s="10" t="s">
        <v>67</v>
      </c>
      <c r="B94" s="11"/>
      <c r="C94" s="12"/>
      <c r="D94" s="12"/>
      <c r="E94" s="12"/>
      <c r="F94" s="13"/>
      <c r="G94" s="13"/>
      <c r="H94" s="14"/>
      <c r="I94" s="14"/>
      <c r="J94" s="13"/>
      <c r="K94" s="13"/>
      <c r="L94" s="5"/>
      <c r="M94" s="5"/>
      <c r="N94" s="15"/>
      <c r="O94" s="15"/>
      <c r="P94" s="15"/>
    </row>
    <row r="95" spans="1:16" s="19" customFormat="1" ht="16.5" customHeight="1" x14ac:dyDescent="0.35">
      <c r="A95" s="63">
        <v>9</v>
      </c>
      <c r="B95" s="18" t="s">
        <v>68</v>
      </c>
      <c r="C95" s="64"/>
      <c r="D95" s="64"/>
      <c r="E95" s="64"/>
      <c r="F95" s="64"/>
      <c r="G95" s="64"/>
      <c r="H95" s="64"/>
      <c r="I95" s="64"/>
      <c r="J95" s="65"/>
      <c r="K95" s="65"/>
    </row>
    <row r="96" spans="1:16" ht="16.5" customHeight="1" x14ac:dyDescent="0.25">
      <c r="A96" s="42" t="s">
        <v>29</v>
      </c>
      <c r="B96" s="31" t="s">
        <v>51</v>
      </c>
      <c r="C96" s="31"/>
      <c r="D96" s="66"/>
      <c r="E96" s="66"/>
      <c r="F96" s="66"/>
      <c r="G96" s="66"/>
      <c r="H96" s="66"/>
      <c r="I96" s="66"/>
      <c r="J96" s="36"/>
      <c r="K96" s="67"/>
    </row>
    <row r="97" spans="1:12" ht="16.5" customHeight="1" x14ac:dyDescent="0.25">
      <c r="B97" s="31" t="s">
        <v>60</v>
      </c>
      <c r="C97" s="56"/>
      <c r="D97" s="56"/>
      <c r="E97" s="56"/>
      <c r="F97" s="56"/>
      <c r="G97" s="56"/>
      <c r="H97" s="56"/>
      <c r="I97" s="56"/>
      <c r="J97" s="36"/>
      <c r="K97" s="56"/>
    </row>
    <row r="98" spans="1:12" ht="16.5" customHeight="1" x14ac:dyDescent="0.25">
      <c r="B98" s="31" t="s">
        <v>61</v>
      </c>
      <c r="C98" s="56"/>
      <c r="D98" s="56"/>
      <c r="E98" s="56"/>
      <c r="F98" s="56"/>
      <c r="G98" s="56"/>
      <c r="H98" s="56"/>
      <c r="I98" s="56"/>
      <c r="J98" s="36"/>
      <c r="K98" s="56"/>
    </row>
    <row r="99" spans="1:12" ht="16.5" customHeight="1" x14ac:dyDescent="0.25">
      <c r="B99" s="31" t="s">
        <v>62</v>
      </c>
      <c r="C99" s="56"/>
      <c r="D99" s="56"/>
      <c r="E99" s="56"/>
      <c r="F99" s="56"/>
      <c r="G99" s="56"/>
      <c r="H99" s="56"/>
      <c r="I99" s="56"/>
      <c r="J99" s="36"/>
      <c r="K99" s="56"/>
    </row>
    <row r="100" spans="1:12" ht="16.5" customHeight="1" x14ac:dyDescent="0.25">
      <c r="B100" s="31" t="str">
        <f>IF($F$7="Proprietary","Dr: Acct 0870 - SERVICES &amp; CHARGES (MG ADJ)",VLOOKUP($F$9,'[2]Drop Down Menus'!$F$2:$H$10,3,FALSE))</f>
        <v>Dr: Acct 0830 - TRANSPORTATION (GAAP ADJ)</v>
      </c>
      <c r="C100" s="56"/>
      <c r="D100" s="56"/>
      <c r="E100" s="56"/>
      <c r="F100" s="56"/>
      <c r="G100" s="56"/>
      <c r="H100" s="56"/>
      <c r="I100" s="56"/>
      <c r="J100" s="36"/>
      <c r="K100" s="56"/>
    </row>
    <row r="101" spans="1:12" ht="16.5" customHeight="1" x14ac:dyDescent="0.25">
      <c r="A101" s="30" t="s">
        <v>20</v>
      </c>
      <c r="B101" s="56"/>
      <c r="C101" s="31" t="s">
        <v>63</v>
      </c>
      <c r="D101" s="56"/>
      <c r="E101" s="56"/>
      <c r="F101" s="56"/>
      <c r="G101" s="56"/>
      <c r="H101" s="56"/>
      <c r="I101" s="56"/>
      <c r="J101" s="56"/>
      <c r="K101" s="36"/>
    </row>
    <row r="102" spans="1:12" ht="16.5" customHeight="1" x14ac:dyDescent="0.25">
      <c r="A102" s="30" t="s">
        <v>20</v>
      </c>
      <c r="B102" s="56"/>
      <c r="C102" s="31" t="s">
        <v>64</v>
      </c>
      <c r="D102" s="56"/>
      <c r="E102" s="56"/>
      <c r="F102" s="56"/>
      <c r="G102" s="56"/>
      <c r="H102" s="56"/>
      <c r="I102" s="56"/>
      <c r="J102" s="56"/>
      <c r="K102" s="36"/>
    </row>
    <row r="103" spans="1:12" ht="16.5" customHeight="1" x14ac:dyDescent="0.25">
      <c r="A103" s="30" t="s">
        <v>20</v>
      </c>
      <c r="B103" s="56"/>
      <c r="C103" s="31" t="s">
        <v>65</v>
      </c>
      <c r="D103" s="56"/>
      <c r="E103" s="56"/>
      <c r="F103" s="56"/>
      <c r="G103" s="56"/>
      <c r="H103" s="56"/>
      <c r="I103" s="56"/>
      <c r="J103" s="56"/>
      <c r="K103" s="36"/>
    </row>
    <row r="104" spans="1:12" ht="16.5" customHeight="1" x14ac:dyDescent="0.25">
      <c r="B104" s="56"/>
      <c r="C104" s="31" t="str">
        <f>IF($F$7="Proprietary","Dr: Acct 0870 - SERVICES &amp; CHARGES (MG ADJ)",VLOOKUP($F$9,'[2]Drop Down Menus'!$F$2:$G$10,2,FALSE))</f>
        <v>Cr: Acct 0830 - TRANSPORTATION (GAAP ADJ)</v>
      </c>
      <c r="D104" s="56"/>
      <c r="E104" s="56"/>
      <c r="F104" s="56"/>
      <c r="G104" s="56"/>
      <c r="H104" s="56"/>
      <c r="I104" s="56"/>
      <c r="J104" s="56"/>
      <c r="K104" s="36"/>
    </row>
    <row r="105" spans="1:12" ht="16.5" customHeight="1" x14ac:dyDescent="0.3">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3">
      <c r="B106" s="52" t="s">
        <v>53</v>
      </c>
      <c r="H106" s="2"/>
      <c r="J106" s="62"/>
      <c r="K106" s="62"/>
      <c r="L106" s="47"/>
    </row>
    <row r="107" spans="1:12" ht="16.5" customHeight="1" x14ac:dyDescent="0.3">
      <c r="H107" s="2"/>
    </row>
    <row r="108" spans="1:12" ht="16.5" customHeight="1" x14ac:dyDescent="0.3">
      <c r="H108" s="2"/>
    </row>
    <row r="109" spans="1:12" s="19" customFormat="1" ht="16.5" customHeight="1" x14ac:dyDescent="0.35">
      <c r="A109" s="63">
        <v>10</v>
      </c>
      <c r="B109" s="18" t="s">
        <v>69</v>
      </c>
      <c r="C109" s="64"/>
      <c r="D109" s="64"/>
    </row>
    <row r="110" spans="1:12" ht="16.5" customHeight="1" x14ac:dyDescent="0.25">
      <c r="A110" s="30" t="s">
        <v>20</v>
      </c>
      <c r="B110" s="31" t="s">
        <v>21</v>
      </c>
      <c r="C110" s="31"/>
      <c r="D110" s="66"/>
      <c r="E110" s="56"/>
      <c r="F110" s="56"/>
      <c r="G110" s="56"/>
      <c r="H110" s="56"/>
      <c r="I110" s="56"/>
      <c r="J110" s="36"/>
      <c r="K110" s="56"/>
    </row>
    <row r="111" spans="1:12" ht="16.5" customHeight="1" x14ac:dyDescent="0.25">
      <c r="A111" s="30" t="s">
        <v>20</v>
      </c>
      <c r="B111" s="31" t="s">
        <v>22</v>
      </c>
      <c r="C111" s="31"/>
      <c r="D111" s="66"/>
      <c r="E111" s="56"/>
      <c r="F111" s="56"/>
      <c r="G111" s="56"/>
      <c r="H111" s="56"/>
      <c r="I111" s="56"/>
      <c r="J111" s="36"/>
      <c r="K111" s="56"/>
    </row>
    <row r="112" spans="1:12" ht="16.5" customHeight="1" x14ac:dyDescent="0.25">
      <c r="A112" s="30" t="s">
        <v>20</v>
      </c>
      <c r="B112" s="31" t="s">
        <v>23</v>
      </c>
      <c r="C112" s="31"/>
      <c r="D112" s="66"/>
      <c r="E112" s="56"/>
      <c r="F112" s="56"/>
      <c r="G112" s="56"/>
      <c r="H112" s="56"/>
      <c r="I112" s="56"/>
      <c r="J112" s="36"/>
      <c r="K112" s="56"/>
    </row>
    <row r="113" spans="1:12" ht="16.5" customHeight="1" x14ac:dyDescent="0.25">
      <c r="A113" s="42" t="s">
        <v>29</v>
      </c>
      <c r="B113" s="31"/>
      <c r="C113" s="31" t="s">
        <v>30</v>
      </c>
      <c r="D113" s="66"/>
      <c r="E113" s="56"/>
      <c r="F113" s="56"/>
      <c r="G113" s="56"/>
      <c r="H113" s="56"/>
      <c r="I113" s="56"/>
      <c r="J113" s="56"/>
      <c r="K113" s="36"/>
    </row>
    <row r="114" spans="1:12" ht="16.5" customHeight="1" x14ac:dyDescent="0.3">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3">
      <c r="A115" s="68"/>
      <c r="B115" s="52" t="s">
        <v>44</v>
      </c>
      <c r="C115" s="69"/>
      <c r="D115" s="69"/>
      <c r="H115" s="2"/>
      <c r="J115" s="62"/>
      <c r="K115" s="62"/>
      <c r="L115" s="47"/>
    </row>
    <row r="116" spans="1:12" ht="16.5" customHeight="1" x14ac:dyDescent="0.3">
      <c r="H116" s="2"/>
    </row>
    <row r="117" spans="1:12" ht="16.5" customHeight="1" x14ac:dyDescent="0.3">
      <c r="H117" s="2"/>
    </row>
    <row r="118" spans="1:12" ht="16.5" customHeight="1" x14ac:dyDescent="0.3">
      <c r="H118" s="2"/>
    </row>
    <row r="119" spans="1:12" ht="16.5" customHeight="1" x14ac:dyDescent="0.3">
      <c r="H119" s="2"/>
    </row>
    <row r="120" spans="1:12" ht="21" x14ac:dyDescent="0.4">
      <c r="D120" s="70" t="s">
        <v>70</v>
      </c>
      <c r="E120" s="71"/>
      <c r="F120" s="72"/>
      <c r="G120" s="72"/>
      <c r="H120" s="72"/>
      <c r="I120" s="73"/>
      <c r="J120" s="73"/>
      <c r="K120" s="74"/>
    </row>
    <row r="121" spans="1:12" ht="16.5" customHeight="1" x14ac:dyDescent="0.3">
      <c r="H121" s="2"/>
      <c r="K121" s="75" t="s">
        <v>71</v>
      </c>
    </row>
    <row r="122" spans="1:12" ht="16.5" customHeight="1" x14ac:dyDescent="0.3">
      <c r="D122" s="32" t="s">
        <v>72</v>
      </c>
      <c r="H122" s="2"/>
      <c r="K122" s="76">
        <f>J15+J39-K88-K101+J110</f>
        <v>0</v>
      </c>
    </row>
    <row r="123" spans="1:12" ht="16.5" customHeight="1" x14ac:dyDescent="0.3">
      <c r="D123" s="32" t="s">
        <v>73</v>
      </c>
      <c r="H123" s="2"/>
      <c r="K123" s="76">
        <f>J16+J40-K89-K102+J111</f>
        <v>17089707.534362476</v>
      </c>
    </row>
    <row r="124" spans="1:12" ht="16.5" customHeight="1" x14ac:dyDescent="0.3">
      <c r="D124" s="32" t="s">
        <v>74</v>
      </c>
      <c r="H124" s="2"/>
      <c r="K124" s="76">
        <f>J17+J41-K90-K103+J112</f>
        <v>0</v>
      </c>
    </row>
    <row r="125" spans="1:12" ht="16.5" customHeight="1" x14ac:dyDescent="0.3">
      <c r="D125" s="32" t="s">
        <v>75</v>
      </c>
      <c r="H125" s="2"/>
      <c r="K125" s="76">
        <f>-K20-K56+J85+J97</f>
        <v>0</v>
      </c>
    </row>
    <row r="126" spans="1:12" ht="16.5" customHeight="1" x14ac:dyDescent="0.3">
      <c r="D126" s="32" t="s">
        <v>76</v>
      </c>
      <c r="H126" s="2"/>
      <c r="K126" s="76">
        <f>-K21-K57+J86+J98</f>
        <v>-2010553.8275720561</v>
      </c>
    </row>
    <row r="127" spans="1:12" ht="16.5" customHeight="1" x14ac:dyDescent="0.3">
      <c r="D127" s="32" t="s">
        <v>77</v>
      </c>
      <c r="H127" s="2"/>
      <c r="K127" s="76">
        <f>-K22-K58+J87+J99</f>
        <v>0</v>
      </c>
    </row>
    <row r="128" spans="1:12" ht="16.5" customHeight="1" x14ac:dyDescent="0.3">
      <c r="D128" s="32" t="s">
        <v>78</v>
      </c>
      <c r="H128" s="2"/>
      <c r="K128" s="76">
        <f>-K23-K48+J68+J75+J96-K113</f>
        <v>-3019450.1394336037</v>
      </c>
    </row>
    <row r="129" spans="4:11" ht="16.5" customHeight="1" x14ac:dyDescent="0.3">
      <c r="D129" s="32" t="s">
        <v>79</v>
      </c>
      <c r="H129" s="2"/>
      <c r="K129" s="76">
        <f>-K76</f>
        <v>-12059701.959235745</v>
      </c>
    </row>
    <row r="130" spans="4:11" ht="16.5" customHeight="1" x14ac:dyDescent="0.3">
      <c r="H130" s="2"/>
    </row>
    <row r="131" spans="4:11" ht="16.5" customHeight="1" x14ac:dyDescent="0.3">
      <c r="H131" s="2"/>
    </row>
    <row r="132" spans="4:11" x14ac:dyDescent="0.3">
      <c r="H132" s="2"/>
    </row>
    <row r="133" spans="4:11" ht="16.5" customHeight="1" x14ac:dyDescent="0.3">
      <c r="H133" s="2"/>
    </row>
    <row r="134" spans="4:11" ht="16.5" customHeight="1" x14ac:dyDescent="0.3">
      <c r="H134" s="2"/>
    </row>
    <row r="135" spans="4:11" ht="16.5" customHeight="1" x14ac:dyDescent="0.3">
      <c r="H135" s="2"/>
    </row>
    <row r="136" spans="4:11" ht="16.5" customHeight="1" x14ac:dyDescent="0.3">
      <c r="H136" s="2"/>
    </row>
    <row r="137" spans="4:11" ht="16.5" customHeight="1" x14ac:dyDescent="0.3">
      <c r="H137" s="2"/>
    </row>
    <row r="138" spans="4:11" s="56" customFormat="1" ht="16.5" customHeight="1" x14ac:dyDescent="0.3"/>
    <row r="139" spans="4:11" ht="16.5" customHeight="1" x14ac:dyDescent="0.3">
      <c r="H139" s="2"/>
    </row>
    <row r="140" spans="4:11" ht="16.5" customHeight="1" x14ac:dyDescent="0.3">
      <c r="H140" s="2"/>
    </row>
    <row r="141" spans="4:11" x14ac:dyDescent="0.3">
      <c r="H141" s="2"/>
    </row>
    <row r="142" spans="4:11" ht="16.5" customHeight="1" x14ac:dyDescent="0.3">
      <c r="H142" s="2"/>
    </row>
    <row r="143" spans="4:11" ht="16.5" customHeight="1" x14ac:dyDescent="0.3">
      <c r="H143" s="2"/>
    </row>
    <row r="144" spans="4:11" ht="16.5" customHeight="1" x14ac:dyDescent="0.3">
      <c r="H144" s="2"/>
    </row>
    <row r="145" spans="8:8" ht="16.5" customHeight="1" x14ac:dyDescent="0.3">
      <c r="H145" s="2"/>
    </row>
    <row r="146" spans="8:8" ht="16.5" customHeight="1" x14ac:dyDescent="0.3">
      <c r="H146" s="2"/>
    </row>
    <row r="147" spans="8:8" ht="16.5" customHeight="1" x14ac:dyDescent="0.3">
      <c r="H147" s="2"/>
    </row>
    <row r="148" spans="8:8" ht="16.5" customHeight="1" x14ac:dyDescent="0.3">
      <c r="H148" s="2"/>
    </row>
    <row r="149" spans="8:8" ht="16.5" customHeight="1" x14ac:dyDescent="0.3">
      <c r="H149" s="2"/>
    </row>
    <row r="150" spans="8:8" ht="16.5" customHeight="1" x14ac:dyDescent="0.3">
      <c r="H150" s="2"/>
    </row>
    <row r="151" spans="8:8" ht="16.5" customHeight="1" x14ac:dyDescent="0.3">
      <c r="H151" s="2"/>
    </row>
    <row r="152" spans="8:8" ht="16.5" customHeight="1" x14ac:dyDescent="0.3">
      <c r="H152" s="2"/>
    </row>
    <row r="153" spans="8:8" ht="16.5" customHeight="1" x14ac:dyDescent="0.3">
      <c r="H153" s="2"/>
    </row>
    <row r="154" spans="8:8" ht="16.5" customHeight="1" x14ac:dyDescent="0.3">
      <c r="H154" s="2"/>
    </row>
    <row r="155" spans="8:8" ht="16.5" customHeight="1" x14ac:dyDescent="0.3">
      <c r="H155" s="2"/>
    </row>
    <row r="156" spans="8:8" ht="16.5" customHeight="1" x14ac:dyDescent="0.3">
      <c r="H156" s="2"/>
    </row>
    <row r="157" spans="8:8" ht="16.5" customHeight="1" x14ac:dyDescent="0.3">
      <c r="H157" s="2"/>
    </row>
    <row r="158" spans="8:8" ht="16.5" customHeight="1" x14ac:dyDescent="0.3">
      <c r="H158" s="2"/>
    </row>
    <row r="159" spans="8:8" ht="16.5" customHeight="1" x14ac:dyDescent="0.3">
      <c r="H159" s="2"/>
    </row>
    <row r="160" spans="8:8" ht="16.5" customHeight="1" x14ac:dyDescent="0.3">
      <c r="H160" s="2"/>
    </row>
    <row r="161" spans="8:8" ht="16.5" customHeight="1" x14ac:dyDescent="0.3">
      <c r="H161" s="2"/>
    </row>
    <row r="162" spans="8:8" ht="16.5" customHeight="1" x14ac:dyDescent="0.3">
      <c r="H162" s="2"/>
    </row>
    <row r="163" spans="8:8" ht="16.5" customHeight="1" x14ac:dyDescent="0.3">
      <c r="H163" s="2"/>
    </row>
    <row r="164" spans="8:8" ht="16.5" customHeight="1" x14ac:dyDescent="0.3">
      <c r="H164" s="2"/>
    </row>
    <row r="165" spans="8:8" ht="16.5" customHeight="1" x14ac:dyDescent="0.3">
      <c r="H165" s="2"/>
    </row>
    <row r="166" spans="8:8" ht="16.5" customHeight="1" x14ac:dyDescent="0.3">
      <c r="H166" s="2"/>
    </row>
    <row r="167" spans="8:8" ht="16.5" customHeight="1" x14ac:dyDescent="0.3">
      <c r="H167" s="2"/>
    </row>
    <row r="168" spans="8:8" x14ac:dyDescent="0.3">
      <c r="H168" s="2"/>
    </row>
    <row r="169" spans="8:8" ht="16.5" customHeight="1" x14ac:dyDescent="0.3">
      <c r="H169" s="2"/>
    </row>
    <row r="170" spans="8:8" ht="16.5" customHeight="1" x14ac:dyDescent="0.3">
      <c r="H170" s="2"/>
    </row>
    <row r="171" spans="8:8" ht="16.5" customHeight="1" x14ac:dyDescent="0.3">
      <c r="H171" s="2"/>
    </row>
    <row r="172" spans="8:8" s="56" customFormat="1" ht="16.5" customHeight="1" x14ac:dyDescent="0.3"/>
    <row r="173" spans="8:8" ht="16.5" customHeight="1" x14ac:dyDescent="0.3">
      <c r="H173" s="2"/>
    </row>
    <row r="174" spans="8:8" ht="16.5" customHeight="1" x14ac:dyDescent="0.3">
      <c r="H174" s="2"/>
    </row>
    <row r="175" spans="8:8" x14ac:dyDescent="0.3">
      <c r="H175" s="2"/>
    </row>
    <row r="176" spans="8:8" ht="16.5" customHeight="1" x14ac:dyDescent="0.3">
      <c r="H176" s="2"/>
    </row>
    <row r="177" spans="8:8" ht="16.5" customHeight="1" x14ac:dyDescent="0.3">
      <c r="H177" s="2"/>
    </row>
    <row r="178" spans="8:8" ht="16.5" customHeight="1" x14ac:dyDescent="0.3">
      <c r="H178" s="2"/>
    </row>
    <row r="179" spans="8:8" ht="16.5" customHeight="1" x14ac:dyDescent="0.3">
      <c r="H179" s="2"/>
    </row>
    <row r="180" spans="8:8" ht="16.5" customHeight="1" x14ac:dyDescent="0.3">
      <c r="H180" s="2"/>
    </row>
    <row r="181" spans="8:8" ht="16.5" customHeight="1" x14ac:dyDescent="0.3">
      <c r="H181" s="2"/>
    </row>
    <row r="182" spans="8:8" s="56" customFormat="1" ht="16.5" customHeight="1" x14ac:dyDescent="0.3"/>
    <row r="183" spans="8:8" ht="16.5" customHeight="1" x14ac:dyDescent="0.3">
      <c r="H183" s="2"/>
    </row>
    <row r="184" spans="8:8" ht="34.5" customHeight="1" x14ac:dyDescent="0.3">
      <c r="H184" s="2"/>
    </row>
    <row r="185" spans="8:8" ht="16.5" customHeight="1" x14ac:dyDescent="0.3">
      <c r="H185" s="2"/>
    </row>
    <row r="186" spans="8:8" ht="16.5" customHeight="1" x14ac:dyDescent="0.3">
      <c r="H186" s="2"/>
    </row>
    <row r="187" spans="8:8" ht="16.5" customHeight="1" x14ac:dyDescent="0.3">
      <c r="H187" s="2"/>
    </row>
    <row r="188" spans="8:8" ht="16.5" customHeight="1" x14ac:dyDescent="0.3">
      <c r="H188" s="2"/>
    </row>
    <row r="189" spans="8:8" ht="16.5" customHeight="1" x14ac:dyDescent="0.3">
      <c r="H189" s="2"/>
    </row>
    <row r="190" spans="8:8" ht="16.5" customHeight="1" x14ac:dyDescent="0.3">
      <c r="H190" s="2"/>
    </row>
    <row r="191" spans="8:8" ht="16.5" customHeight="1" x14ac:dyDescent="0.3">
      <c r="H191" s="2"/>
    </row>
    <row r="192" spans="8:8" ht="16.5" customHeight="1" x14ac:dyDescent="0.3">
      <c r="H192" s="2"/>
    </row>
    <row r="193" spans="8:8" ht="16.5" customHeight="1" x14ac:dyDescent="0.3">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64F9B6D6-A796-461E-ACEC-E3A99190F4F1}"/>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1677D9BC-6C4F-481B-8593-A72E91B527FA}">
      <formula1>0</formula1>
    </dataValidation>
    <dataValidation type="textLength" operator="equal" allowBlank="1" showInputMessage="1" showErrorMessage="1" errorTitle="4-Digit Org Code" error="Enter the Org Code/BU as 4 digits." sqref="F5" xr:uid="{2FD11D75-84C6-45B1-AF41-59D1123C2314}">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A177-543A-442B-BB5D-5FC0815B2927}">
  <sheetPr>
    <tabColor theme="9" tint="0.59999389629810485"/>
    <pageSetUpPr fitToPage="1"/>
  </sheetPr>
  <dimension ref="A1:S193"/>
  <sheetViews>
    <sheetView topLeftCell="A52" zoomScale="80" zoomScaleNormal="80" workbookViewId="0">
      <selection activeCell="T25" sqref="T25"/>
    </sheetView>
  </sheetViews>
  <sheetFormatPr defaultColWidth="9.109375" defaultRowHeight="15" x14ac:dyDescent="0.3"/>
  <cols>
    <col min="1" max="1" width="13.33203125" style="2" customWidth="1"/>
    <col min="2" max="5" width="10.6640625" style="2" customWidth="1"/>
    <col min="6" max="7" width="15.33203125" style="2" customWidth="1"/>
    <col min="8" max="8" width="15.33203125" style="77" customWidth="1"/>
    <col min="9" max="9" width="15.33203125" style="2" customWidth="1"/>
    <col min="10" max="10" width="21.33203125" style="2" customWidth="1"/>
    <col min="11" max="11" width="19.109375" style="2" customWidth="1"/>
    <col min="12" max="12" width="4" style="2" customWidth="1"/>
    <col min="13" max="14" width="17.33203125" style="2" customWidth="1"/>
    <col min="15" max="15" width="4" style="2" customWidth="1"/>
    <col min="16" max="17" width="15.88671875" style="2" customWidth="1"/>
    <col min="18" max="18" width="4" style="2" customWidth="1"/>
    <col min="19" max="19" width="15.88671875" style="2" customWidth="1"/>
    <col min="20" max="16384" width="9.109375" style="2"/>
  </cols>
  <sheetData>
    <row r="1" spans="1:19" ht="45" customHeight="1" x14ac:dyDescent="0.3">
      <c r="A1" s="227" t="s">
        <v>0</v>
      </c>
      <c r="B1" s="227"/>
      <c r="C1" s="227"/>
      <c r="D1" s="227"/>
      <c r="E1" s="227"/>
      <c r="F1" s="227"/>
      <c r="G1" s="227"/>
      <c r="H1" s="227"/>
      <c r="I1" s="227"/>
      <c r="J1" s="227"/>
      <c r="K1" s="227"/>
      <c r="L1" s="1"/>
      <c r="M1" s="1"/>
      <c r="N1" s="1"/>
      <c r="O1" s="1"/>
    </row>
    <row r="2" spans="1:19" ht="16.5" customHeight="1" x14ac:dyDescent="0.3">
      <c r="A2" s="3" t="s">
        <v>1</v>
      </c>
      <c r="B2" s="4"/>
      <c r="C2" s="4"/>
      <c r="D2" s="4"/>
      <c r="E2" s="4"/>
      <c r="F2" s="4"/>
      <c r="G2" s="4"/>
      <c r="H2" s="4"/>
      <c r="I2" s="4"/>
      <c r="J2" s="4"/>
      <c r="K2" s="4"/>
      <c r="L2" s="4"/>
      <c r="M2" s="4"/>
      <c r="N2" s="4"/>
      <c r="O2" s="4"/>
    </row>
    <row r="3" spans="1:19" ht="16.5" customHeight="1" x14ac:dyDescent="0.3">
      <c r="A3" s="225" t="s">
        <v>2</v>
      </c>
      <c r="B3" s="225"/>
      <c r="C3" s="225"/>
      <c r="D3" s="225"/>
      <c r="E3" s="225"/>
      <c r="F3" s="228" t="s">
        <v>3</v>
      </c>
      <c r="G3" s="228"/>
      <c r="H3" s="228"/>
      <c r="I3" s="228"/>
    </row>
    <row r="4" spans="1:19" ht="16.5" customHeight="1" x14ac:dyDescent="0.25">
      <c r="A4" s="225" t="s">
        <v>4</v>
      </c>
      <c r="B4" s="225"/>
      <c r="C4" s="225"/>
      <c r="D4" s="225"/>
      <c r="E4" s="225"/>
      <c r="F4" s="226" t="s">
        <v>5</v>
      </c>
      <c r="G4" s="226"/>
      <c r="H4" s="226"/>
      <c r="I4" s="226"/>
    </row>
    <row r="5" spans="1:19" ht="16.5" customHeight="1" x14ac:dyDescent="0.25">
      <c r="A5" s="225" t="s">
        <v>6</v>
      </c>
      <c r="B5" s="225"/>
      <c r="C5" s="225"/>
      <c r="D5" s="225"/>
      <c r="E5" s="225"/>
      <c r="F5" s="226" t="s">
        <v>7</v>
      </c>
      <c r="G5" s="226"/>
      <c r="H5" s="226"/>
      <c r="I5" s="226"/>
      <c r="L5" s="5"/>
      <c r="M5" s="5"/>
      <c r="N5" s="5"/>
      <c r="O5" s="5"/>
      <c r="P5" s="5"/>
      <c r="Q5" s="5"/>
    </row>
    <row r="6" spans="1:19" ht="16.5" customHeight="1" x14ac:dyDescent="0.3">
      <c r="A6" s="225" t="s">
        <v>8</v>
      </c>
      <c r="B6" s="225"/>
      <c r="C6" s="225"/>
      <c r="D6" s="225"/>
      <c r="E6" s="225"/>
      <c r="F6" s="229">
        <v>3290</v>
      </c>
      <c r="G6" s="229"/>
      <c r="H6" s="229"/>
      <c r="I6" s="229"/>
      <c r="L6" s="6"/>
      <c r="M6" s="6"/>
      <c r="N6" s="6"/>
      <c r="O6" s="6"/>
      <c r="P6" s="5"/>
      <c r="Q6" s="5"/>
    </row>
    <row r="7" spans="1:19" ht="16.5" customHeight="1" x14ac:dyDescent="0.3">
      <c r="A7" s="225" t="s">
        <v>9</v>
      </c>
      <c r="B7" s="225"/>
      <c r="C7" s="225"/>
      <c r="D7" s="225"/>
      <c r="E7" s="225"/>
      <c r="F7" s="229" t="s">
        <v>10</v>
      </c>
      <c r="G7" s="229"/>
      <c r="H7" s="229"/>
      <c r="I7" s="229"/>
      <c r="K7" s="7"/>
      <c r="L7" s="6"/>
      <c r="M7" s="6"/>
      <c r="N7" s="6"/>
      <c r="O7" s="6"/>
      <c r="P7" s="5"/>
      <c r="Q7" s="5"/>
    </row>
    <row r="8" spans="1:19" ht="16.5" customHeight="1" x14ac:dyDescent="0.3">
      <c r="A8" s="225" t="s">
        <v>11</v>
      </c>
      <c r="B8" s="225"/>
      <c r="C8" s="225"/>
      <c r="D8" s="225"/>
      <c r="E8" s="225"/>
      <c r="F8" s="229" t="s">
        <v>12</v>
      </c>
      <c r="G8" s="229"/>
      <c r="H8" s="229"/>
      <c r="I8" s="229"/>
      <c r="K8" s="7"/>
      <c r="L8" s="6"/>
      <c r="M8" s="6"/>
      <c r="N8" s="6"/>
      <c r="O8" s="6"/>
      <c r="P8" s="5"/>
      <c r="Q8" s="5"/>
    </row>
    <row r="9" spans="1:19" ht="16.5" customHeight="1" x14ac:dyDescent="0.3">
      <c r="A9" s="225" t="s">
        <v>13</v>
      </c>
      <c r="B9" s="225"/>
      <c r="C9" s="225"/>
      <c r="D9" s="225"/>
      <c r="E9" s="225"/>
      <c r="F9" s="230" t="str">
        <f>IFERROR(IF(F7="Proprietary","Proprietary Fund",VLOOKUP(F5,[2]qryIndex02a!$A$2:$K$654,4,FALSE)),"Unidentified")</f>
        <v>TRANSPORTATION</v>
      </c>
      <c r="G9" s="230"/>
      <c r="H9" s="230"/>
      <c r="I9" s="230"/>
      <c r="K9" s="5"/>
      <c r="L9" s="5"/>
      <c r="M9" s="5"/>
      <c r="N9" s="5"/>
      <c r="O9" s="5"/>
      <c r="P9" s="5"/>
    </row>
    <row r="10" spans="1:19" ht="16.5" customHeight="1" x14ac:dyDescent="0.3">
      <c r="A10" s="8"/>
      <c r="B10" s="8"/>
      <c r="C10" s="8"/>
      <c r="D10" s="8"/>
      <c r="E10" s="6"/>
      <c r="F10" s="5"/>
      <c r="G10" s="5"/>
      <c r="H10" s="9"/>
      <c r="I10" s="5"/>
      <c r="J10" s="5"/>
      <c r="K10" s="5"/>
      <c r="L10" s="5"/>
      <c r="M10" s="5"/>
      <c r="N10" s="5"/>
      <c r="O10" s="5"/>
      <c r="P10" s="5"/>
    </row>
    <row r="11" spans="1:19" ht="16.5" customHeight="1" x14ac:dyDescent="0.3">
      <c r="A11" s="8"/>
      <c r="B11" s="8"/>
      <c r="C11" s="8"/>
      <c r="D11" s="8"/>
      <c r="E11" s="6"/>
      <c r="F11" s="5"/>
      <c r="G11" s="5"/>
      <c r="H11" s="9"/>
      <c r="I11" s="5"/>
      <c r="J11" s="5"/>
      <c r="K11" s="5"/>
      <c r="L11" s="5"/>
      <c r="M11" s="5"/>
      <c r="N11" s="5"/>
      <c r="O11" s="5"/>
      <c r="P11" s="5"/>
    </row>
    <row r="12" spans="1:19" s="16" customFormat="1" ht="21" customHeight="1" x14ac:dyDescent="0.4">
      <c r="A12" s="10" t="s">
        <v>14</v>
      </c>
      <c r="B12" s="11"/>
      <c r="C12" s="12"/>
      <c r="D12" s="12"/>
      <c r="E12" s="12"/>
      <c r="F12" s="13"/>
      <c r="G12" s="13"/>
      <c r="H12" s="14"/>
      <c r="I12" s="14"/>
      <c r="J12" s="13"/>
      <c r="K12" s="13"/>
      <c r="L12" s="5"/>
      <c r="M12" s="5"/>
      <c r="N12" s="15"/>
      <c r="O12" s="15"/>
      <c r="P12" s="15"/>
    </row>
    <row r="13" spans="1:19" s="19" customFormat="1" ht="16.5" customHeight="1" x14ac:dyDescent="0.35">
      <c r="A13" s="17" t="s">
        <v>15</v>
      </c>
      <c r="B13" s="18"/>
      <c r="D13" s="20"/>
      <c r="E13" s="20"/>
      <c r="F13" s="21"/>
      <c r="G13" s="21"/>
      <c r="H13" s="22"/>
      <c r="I13" s="22"/>
      <c r="J13" s="23"/>
      <c r="K13" s="23"/>
    </row>
    <row r="14" spans="1:19" ht="16.5" customHeight="1" x14ac:dyDescent="0.35">
      <c r="A14" s="24">
        <v>0</v>
      </c>
      <c r="B14" s="25" t="s">
        <v>16</v>
      </c>
      <c r="C14" s="26"/>
      <c r="D14" s="26"/>
      <c r="E14" s="26"/>
      <c r="F14" s="27"/>
      <c r="G14" s="27"/>
      <c r="H14" s="28"/>
      <c r="I14" s="28"/>
      <c r="J14" s="23"/>
      <c r="K14" s="23"/>
      <c r="L14" s="19"/>
      <c r="M14" s="231" t="s">
        <v>17</v>
      </c>
      <c r="N14" s="232"/>
      <c r="O14" s="19"/>
      <c r="P14" s="231" t="s">
        <v>18</v>
      </c>
      <c r="Q14" s="232"/>
      <c r="R14" s="19"/>
      <c r="S14" s="29" t="s">
        <v>19</v>
      </c>
    </row>
    <row r="15" spans="1:19" ht="16.5" customHeight="1" x14ac:dyDescent="0.3">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3">
      <c r="A16" s="30" t="s">
        <v>20</v>
      </c>
      <c r="B16" s="31" t="s">
        <v>22</v>
      </c>
      <c r="C16" s="31"/>
      <c r="D16" s="31"/>
      <c r="E16" s="32"/>
      <c r="F16" s="33"/>
      <c r="G16" s="33"/>
      <c r="H16" s="34"/>
      <c r="I16" s="34"/>
      <c r="J16" s="35">
        <f>M16</f>
        <v>0</v>
      </c>
      <c r="M16" s="36"/>
      <c r="P16" s="36"/>
      <c r="Q16" s="37"/>
      <c r="S16" s="38">
        <f t="shared" si="0"/>
        <v>0</v>
      </c>
    </row>
    <row r="17" spans="1:19" ht="16.5" customHeight="1" x14ac:dyDescent="0.3">
      <c r="A17" s="30" t="s">
        <v>20</v>
      </c>
      <c r="B17" s="31" t="s">
        <v>23</v>
      </c>
      <c r="C17" s="31"/>
      <c r="D17" s="31"/>
      <c r="E17" s="32"/>
      <c r="F17" s="33"/>
      <c r="G17" s="33"/>
      <c r="H17" s="34"/>
      <c r="I17" s="34"/>
      <c r="J17" s="35">
        <f>M17</f>
        <v>4195765.1342851603</v>
      </c>
      <c r="M17" s="36">
        <v>4195765.1342851603</v>
      </c>
      <c r="P17" s="36">
        <v>3763842</v>
      </c>
      <c r="Q17" s="37"/>
      <c r="S17" s="38">
        <f t="shared" si="0"/>
        <v>-431923.13428516034</v>
      </c>
    </row>
    <row r="18" spans="1:19" ht="16.5" customHeight="1" x14ac:dyDescent="0.3">
      <c r="A18" s="39"/>
      <c r="B18" s="31" t="s">
        <v>24</v>
      </c>
      <c r="C18" s="31"/>
      <c r="D18" s="31"/>
      <c r="E18" s="32"/>
      <c r="F18" s="33"/>
      <c r="G18" s="33"/>
      <c r="H18" s="34"/>
      <c r="I18" s="34"/>
      <c r="J18" s="35">
        <f>P18</f>
        <v>17601</v>
      </c>
      <c r="M18" s="36">
        <v>17601.514848348175</v>
      </c>
      <c r="P18" s="40">
        <f>IF(SUM($Q$21:$Q$23)&gt;SUM($P$15:$P$17),SUM($Q$21:$Q$23)-SUM($P$15:$P$17),0)</f>
        <v>17601</v>
      </c>
      <c r="Q18" s="37"/>
      <c r="S18" s="38">
        <f t="shared" si="0"/>
        <v>-0.5148483481752919</v>
      </c>
    </row>
    <row r="19" spans="1:19" ht="16.5" customHeight="1" x14ac:dyDescent="0.3">
      <c r="A19" s="39"/>
      <c r="B19" s="31" t="s">
        <v>25</v>
      </c>
      <c r="C19" s="31"/>
      <c r="D19" s="31"/>
      <c r="E19" s="32"/>
      <c r="F19" s="33"/>
      <c r="G19" s="33"/>
      <c r="H19" s="34"/>
      <c r="I19" s="34"/>
      <c r="J19" s="35">
        <f>IF(SUM($K$21:$K$24)&gt;SUM($J$15:$J$18),SUM($K$21:$K$24)-SUM($J$15:$J$18),0)</f>
        <v>295.90153487119824</v>
      </c>
      <c r="M19" s="36">
        <v>295</v>
      </c>
      <c r="P19" s="37"/>
      <c r="Q19" s="37"/>
      <c r="S19" s="38">
        <f t="shared" si="0"/>
        <v>-295</v>
      </c>
    </row>
    <row r="20" spans="1:19" ht="16.5" customHeight="1" x14ac:dyDescent="0.3">
      <c r="A20" s="39"/>
      <c r="B20" s="31"/>
      <c r="C20" s="31" t="s">
        <v>26</v>
      </c>
      <c r="D20" s="31"/>
      <c r="E20" s="32"/>
      <c r="F20" s="33"/>
      <c r="G20" s="33"/>
      <c r="H20" s="34"/>
      <c r="I20" s="34"/>
      <c r="J20" s="41"/>
      <c r="K20" s="35">
        <f>N20</f>
        <v>0</v>
      </c>
      <c r="N20" s="36"/>
      <c r="P20" s="37"/>
      <c r="Q20" s="36"/>
      <c r="S20" s="38">
        <f t="shared" si="0"/>
        <v>0</v>
      </c>
    </row>
    <row r="21" spans="1:19" ht="16.5" customHeight="1" x14ac:dyDescent="0.3">
      <c r="A21" s="39"/>
      <c r="B21" s="31"/>
      <c r="C21" s="31" t="s">
        <v>27</v>
      </c>
      <c r="D21" s="31"/>
      <c r="E21" s="32"/>
      <c r="F21" s="33"/>
      <c r="G21" s="33"/>
      <c r="H21" s="34"/>
      <c r="I21" s="34"/>
      <c r="J21" s="41"/>
      <c r="K21" s="35">
        <f>N21</f>
        <v>0</v>
      </c>
      <c r="N21" s="36"/>
      <c r="P21" s="37"/>
      <c r="Q21" s="36"/>
      <c r="S21" s="38">
        <f>Q21-N21</f>
        <v>0</v>
      </c>
    </row>
    <row r="22" spans="1:19" ht="16.5" customHeight="1" x14ac:dyDescent="0.3">
      <c r="A22" s="39"/>
      <c r="B22" s="31"/>
      <c r="C22" s="31" t="s">
        <v>28</v>
      </c>
      <c r="D22" s="31"/>
      <c r="E22" s="32"/>
      <c r="F22" s="33"/>
      <c r="G22" s="33"/>
      <c r="H22" s="34"/>
      <c r="I22" s="34"/>
      <c r="J22" s="41"/>
      <c r="K22" s="35">
        <f>N22</f>
        <v>1187191.8992746477</v>
      </c>
      <c r="N22" s="36">
        <v>1187191.8992746477</v>
      </c>
      <c r="P22" s="37"/>
      <c r="Q22" s="36">
        <v>1050795</v>
      </c>
      <c r="S22" s="38">
        <f t="shared" ref="S22:S25" si="1">Q22-N22</f>
        <v>-136396.8992746477</v>
      </c>
    </row>
    <row r="23" spans="1:19" ht="16.5" customHeight="1" x14ac:dyDescent="0.3">
      <c r="A23" s="42" t="s">
        <v>29</v>
      </c>
      <c r="B23" s="31"/>
      <c r="C23" s="31" t="s">
        <v>30</v>
      </c>
      <c r="D23" s="31"/>
      <c r="E23" s="32"/>
      <c r="F23" s="33"/>
      <c r="G23" s="33"/>
      <c r="H23" s="34"/>
      <c r="I23" s="34"/>
      <c r="J23" s="41"/>
      <c r="K23" s="35">
        <f>N23</f>
        <v>3026470.1365453838</v>
      </c>
      <c r="N23" s="36">
        <v>3026470.1365453838</v>
      </c>
      <c r="P23" s="37"/>
      <c r="Q23" s="36">
        <v>2730648</v>
      </c>
      <c r="S23" s="38">
        <f t="shared" si="1"/>
        <v>-295822.13654538384</v>
      </c>
    </row>
    <row r="24" spans="1:19" ht="16.5" customHeight="1" x14ac:dyDescent="0.3">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3">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3">
      <c r="A26" s="39"/>
      <c r="C26" s="43"/>
      <c r="D26" s="43"/>
      <c r="E26" s="43"/>
      <c r="F26" s="44"/>
      <c r="G26" s="44"/>
      <c r="H26" s="45"/>
      <c r="I26" s="45"/>
      <c r="J26" s="46">
        <f>SUM(J15:J25)</f>
        <v>4213662.0358200315</v>
      </c>
      <c r="K26" s="46">
        <f>SUM(K15:K25)</f>
        <v>4213662.0358200315</v>
      </c>
      <c r="L26" s="47" t="str">
        <f>IF(J26=K26,"&lt;- Debits and Credits equal each other.","&lt;- Debits and Credits do not equal each other.")</f>
        <v>&lt;- Debits and Credits equal each other.</v>
      </c>
    </row>
    <row r="27" spans="1:19" ht="16.5" customHeight="1" x14ac:dyDescent="0.3">
      <c r="A27" s="48"/>
      <c r="B27" s="22" t="s">
        <v>33</v>
      </c>
      <c r="C27" s="49"/>
      <c r="D27" s="43"/>
      <c r="E27" s="43"/>
      <c r="F27" s="50"/>
      <c r="G27" s="50"/>
      <c r="H27" s="45"/>
      <c r="I27" s="45"/>
      <c r="J27" s="51"/>
      <c r="K27" s="51"/>
      <c r="L27" s="47"/>
    </row>
    <row r="28" spans="1:19" ht="16.2" customHeight="1" x14ac:dyDescent="0.35">
      <c r="A28" s="48"/>
      <c r="B28" s="52" t="s">
        <v>34</v>
      </c>
      <c r="C28" s="53"/>
      <c r="D28" s="43"/>
      <c r="E28" s="43"/>
      <c r="F28" s="44"/>
      <c r="G28" s="44"/>
      <c r="H28" s="45"/>
      <c r="I28" s="45"/>
      <c r="J28" s="51"/>
      <c r="K28" s="51"/>
      <c r="L28" s="47"/>
    </row>
    <row r="29" spans="1:19" ht="16.2" customHeight="1" x14ac:dyDescent="0.35">
      <c r="A29" s="48"/>
      <c r="B29" s="52"/>
      <c r="C29" s="53"/>
      <c r="D29" s="43"/>
      <c r="E29" s="43"/>
      <c r="F29" s="44"/>
      <c r="G29" s="44"/>
      <c r="H29" s="45"/>
      <c r="I29" s="45"/>
      <c r="J29" s="51"/>
      <c r="K29" s="51"/>
      <c r="L29" s="47"/>
    </row>
    <row r="30" spans="1:19" ht="16.5" customHeight="1" x14ac:dyDescent="0.3">
      <c r="A30" s="39"/>
      <c r="C30" s="43"/>
      <c r="D30" s="43"/>
      <c r="E30" s="43"/>
      <c r="F30" s="44"/>
      <c r="G30" s="44"/>
      <c r="H30" s="45"/>
      <c r="I30" s="45"/>
      <c r="J30" s="46"/>
      <c r="K30" s="46"/>
      <c r="L30" s="47"/>
    </row>
    <row r="31" spans="1:19" s="16" customFormat="1" ht="21" customHeight="1" x14ac:dyDescent="0.4">
      <c r="A31" s="10" t="s">
        <v>35</v>
      </c>
      <c r="B31" s="11"/>
      <c r="C31" s="12"/>
      <c r="D31" s="12"/>
      <c r="E31" s="12"/>
      <c r="F31" s="13"/>
      <c r="G31" s="13"/>
      <c r="H31" s="14"/>
      <c r="I31" s="14"/>
      <c r="J31" s="13"/>
      <c r="K31" s="13"/>
      <c r="L31" s="5"/>
      <c r="M31" s="5"/>
      <c r="N31" s="15"/>
      <c r="O31" s="15"/>
      <c r="P31" s="15"/>
    </row>
    <row r="32" spans="1:19" s="19" customFormat="1" ht="16.5" customHeight="1" x14ac:dyDescent="0.35">
      <c r="A32" s="17">
        <v>1</v>
      </c>
      <c r="B32" s="18" t="s">
        <v>36</v>
      </c>
      <c r="D32" s="20"/>
      <c r="E32" s="20"/>
      <c r="F32" s="21"/>
      <c r="G32" s="21"/>
      <c r="H32" s="22"/>
      <c r="I32" s="22"/>
      <c r="J32" s="23"/>
      <c r="K32" s="23"/>
    </row>
    <row r="33" spans="1:12" ht="16.5" customHeight="1" x14ac:dyDescent="0.3">
      <c r="B33" s="31" t="s">
        <v>37</v>
      </c>
      <c r="C33" s="31"/>
      <c r="D33" s="32"/>
      <c r="E33" s="32"/>
      <c r="F33" s="33"/>
      <c r="G33" s="33"/>
      <c r="H33" s="34"/>
      <c r="I33" s="34"/>
      <c r="J33" s="36">
        <v>5740523.0838063397</v>
      </c>
      <c r="K33" s="54"/>
    </row>
    <row r="34" spans="1:12" ht="16.5" customHeight="1" x14ac:dyDescent="0.3">
      <c r="A34" s="39"/>
      <c r="B34" s="31"/>
      <c r="C34" s="31" t="s">
        <v>38</v>
      </c>
      <c r="D34" s="32"/>
      <c r="E34" s="32"/>
      <c r="F34" s="33"/>
      <c r="G34" s="33"/>
      <c r="H34" s="34"/>
      <c r="I34" s="34"/>
      <c r="J34" s="54"/>
      <c r="K34" s="36">
        <v>5740523.0838063397</v>
      </c>
    </row>
    <row r="35" spans="1:12" ht="16.5" customHeight="1" x14ac:dyDescent="0.3">
      <c r="A35" s="39"/>
      <c r="B35" s="31"/>
      <c r="C35" s="31" t="str">
        <f>IF($F$7="Proprietary","Cr: Acct 0870 - SERVICES &amp; CHARGES (MG ADJ)",VLOOKUP($F$9,'[2]Drop Down Menus'!$F$2:$G$10,2,FALSE))</f>
        <v>Cr: Acct 0830 - TRANSPORTATION (GAAP ADJ)</v>
      </c>
      <c r="D35" s="32"/>
      <c r="E35" s="32"/>
      <c r="F35" s="33"/>
      <c r="G35" s="33"/>
      <c r="H35" s="34"/>
      <c r="I35" s="34"/>
      <c r="J35" s="54"/>
      <c r="K35" s="36"/>
    </row>
    <row r="36" spans="1:12" ht="16.5" customHeight="1" x14ac:dyDescent="0.3">
      <c r="A36" s="39"/>
      <c r="C36" s="26"/>
      <c r="D36" s="26"/>
      <c r="E36" s="26"/>
      <c r="F36" s="27"/>
      <c r="G36" s="27"/>
      <c r="H36" s="28"/>
      <c r="I36" s="28"/>
      <c r="J36" s="46">
        <f>SUM(J33:J35)</f>
        <v>5740523.0838063397</v>
      </c>
      <c r="K36" s="46">
        <f>SUM(K33:K35)</f>
        <v>5740523.0838063397</v>
      </c>
      <c r="L36" s="47" t="str">
        <f>IF(J36=K36,"&lt;- Debits and Credits equal each other.","&lt;- Debits and Credits do not equal each other.")</f>
        <v>&lt;- Debits and Credits equal each other.</v>
      </c>
    </row>
    <row r="37" spans="1:12" ht="16.5" customHeight="1" x14ac:dyDescent="0.3">
      <c r="A37" s="48"/>
      <c r="B37" s="55"/>
      <c r="C37" s="26"/>
      <c r="D37" s="26"/>
      <c r="E37" s="26"/>
      <c r="F37" s="27"/>
      <c r="G37" s="27"/>
      <c r="H37" s="28"/>
      <c r="I37" s="28"/>
      <c r="J37" s="51"/>
      <c r="K37" s="51"/>
      <c r="L37" s="47"/>
    </row>
    <row r="38" spans="1:12" ht="16.5" customHeight="1" x14ac:dyDescent="0.35">
      <c r="A38" s="24">
        <v>2</v>
      </c>
      <c r="B38" s="18" t="s">
        <v>39</v>
      </c>
      <c r="C38" s="26"/>
      <c r="D38" s="26"/>
      <c r="E38" s="26"/>
      <c r="F38" s="27"/>
      <c r="G38" s="27"/>
      <c r="H38" s="28"/>
      <c r="I38" s="28"/>
      <c r="J38" s="51"/>
      <c r="K38" s="51"/>
      <c r="L38" s="47"/>
    </row>
    <row r="39" spans="1:12" ht="16.5" customHeight="1" x14ac:dyDescent="0.3">
      <c r="A39" s="30" t="s">
        <v>20</v>
      </c>
      <c r="B39" s="31" t="s">
        <v>21</v>
      </c>
      <c r="C39" s="31"/>
      <c r="D39" s="32"/>
      <c r="E39" s="32"/>
      <c r="F39" s="33"/>
      <c r="G39" s="33"/>
      <c r="H39" s="34"/>
      <c r="I39" s="34"/>
      <c r="J39" s="36"/>
      <c r="K39" s="54"/>
    </row>
    <row r="40" spans="1:12" ht="16.5" customHeight="1" x14ac:dyDescent="0.3">
      <c r="A40" s="30" t="s">
        <v>20</v>
      </c>
      <c r="B40" s="31" t="s">
        <v>22</v>
      </c>
      <c r="C40" s="31"/>
      <c r="D40" s="32"/>
      <c r="E40" s="32"/>
      <c r="F40" s="33"/>
      <c r="G40" s="33"/>
      <c r="H40" s="34"/>
      <c r="I40" s="34"/>
      <c r="J40" s="36"/>
      <c r="K40" s="54"/>
    </row>
    <row r="41" spans="1:12" ht="16.5" customHeight="1" x14ac:dyDescent="0.3">
      <c r="A41" s="30" t="s">
        <v>20</v>
      </c>
      <c r="B41" s="31" t="s">
        <v>23</v>
      </c>
      <c r="C41" s="31"/>
      <c r="D41" s="32"/>
      <c r="E41" s="32"/>
      <c r="F41" s="33"/>
      <c r="G41" s="33"/>
      <c r="H41" s="34"/>
      <c r="I41" s="34"/>
      <c r="J41" s="36">
        <v>5740523.0838063397</v>
      </c>
      <c r="K41" s="54"/>
    </row>
    <row r="42" spans="1:12" ht="16.5" customHeight="1" x14ac:dyDescent="0.3">
      <c r="A42" s="39"/>
      <c r="B42" s="31"/>
      <c r="C42" s="31" t="s">
        <v>40</v>
      </c>
      <c r="D42" s="32"/>
      <c r="E42" s="32"/>
      <c r="F42" s="33"/>
      <c r="G42" s="33"/>
      <c r="H42" s="34"/>
      <c r="I42" s="34"/>
      <c r="J42" s="54"/>
      <c r="K42" s="36">
        <v>5740523.0838063397</v>
      </c>
    </row>
    <row r="43" spans="1:12" ht="16.5" customHeight="1" x14ac:dyDescent="0.3">
      <c r="A43" s="39"/>
      <c r="B43" s="22" t="s">
        <v>41</v>
      </c>
      <c r="C43" s="26"/>
      <c r="D43" s="26"/>
      <c r="E43" s="26"/>
      <c r="F43" s="27"/>
      <c r="G43" s="27"/>
      <c r="H43" s="28"/>
      <c r="I43" s="28"/>
      <c r="J43" s="46">
        <f>SUM(J39:J42)</f>
        <v>5740523.0838063397</v>
      </c>
      <c r="K43" s="46">
        <f>SUM(K39:K42)</f>
        <v>5740523.0838063397</v>
      </c>
      <c r="L43" s="47" t="str">
        <f>IF(J43=K43,"&lt;- Debits and Credits equal each other.","&lt;- Debits and Credits do not equal each other.")</f>
        <v>&lt;- Debits and Credits equal each other.</v>
      </c>
    </row>
    <row r="44" spans="1:12" ht="16.5" customHeight="1" x14ac:dyDescent="0.3">
      <c r="A44" s="48"/>
      <c r="C44" s="49"/>
      <c r="D44" s="43"/>
      <c r="E44" s="43"/>
      <c r="F44" s="50"/>
      <c r="G44" s="50"/>
      <c r="H44" s="45"/>
      <c r="I44" s="45"/>
      <c r="J44" s="51"/>
      <c r="K44" s="51"/>
      <c r="L44" s="47"/>
    </row>
    <row r="45" spans="1:12" ht="16.5" customHeight="1" x14ac:dyDescent="0.3">
      <c r="A45" s="48"/>
      <c r="B45" s="22"/>
      <c r="C45" s="49"/>
      <c r="D45" s="43"/>
      <c r="E45" s="43"/>
      <c r="F45" s="50"/>
      <c r="G45" s="50"/>
      <c r="H45" s="45"/>
      <c r="I45" s="45"/>
      <c r="J45" s="51"/>
      <c r="K45" s="51"/>
      <c r="L45" s="47"/>
    </row>
    <row r="46" spans="1:12" s="19" customFormat="1" ht="16.5" customHeight="1" x14ac:dyDescent="0.35">
      <c r="A46" s="17">
        <v>3</v>
      </c>
      <c r="B46" s="18" t="s">
        <v>42</v>
      </c>
      <c r="C46" s="20"/>
      <c r="D46" s="20"/>
      <c r="E46" s="20"/>
      <c r="F46" s="21"/>
      <c r="G46" s="21"/>
      <c r="H46" s="22"/>
      <c r="I46" s="22"/>
      <c r="J46" s="23"/>
      <c r="K46" s="23"/>
    </row>
    <row r="47" spans="1:12" ht="16.5" customHeight="1" x14ac:dyDescent="0.3">
      <c r="B47" s="31" t="s">
        <v>43</v>
      </c>
      <c r="C47" s="31"/>
      <c r="D47" s="32"/>
      <c r="E47" s="32"/>
      <c r="F47" s="33"/>
      <c r="G47" s="33"/>
      <c r="H47" s="34"/>
      <c r="I47" s="34"/>
      <c r="J47" s="36">
        <v>5740523.0838063397</v>
      </c>
      <c r="K47" s="54"/>
    </row>
    <row r="48" spans="1:12" ht="16.5" customHeight="1" x14ac:dyDescent="0.3">
      <c r="A48" s="42" t="s">
        <v>29</v>
      </c>
      <c r="B48" s="31"/>
      <c r="C48" s="31" t="s">
        <v>30</v>
      </c>
      <c r="D48" s="32"/>
      <c r="E48" s="32"/>
      <c r="F48" s="33"/>
      <c r="G48" s="33"/>
      <c r="H48" s="34"/>
      <c r="I48" s="34"/>
      <c r="J48" s="54"/>
      <c r="K48" s="36">
        <v>5740523.0838063397</v>
      </c>
    </row>
    <row r="49" spans="1:16" ht="16.5" customHeight="1" x14ac:dyDescent="0.3">
      <c r="A49" s="39"/>
      <c r="C49" s="26"/>
      <c r="D49" s="26"/>
      <c r="E49" s="26"/>
      <c r="F49" s="27"/>
      <c r="G49" s="27"/>
      <c r="H49" s="28"/>
      <c r="I49" s="28"/>
      <c r="J49" s="46">
        <f>SUM(J47:J48)</f>
        <v>5740523.0838063397</v>
      </c>
      <c r="K49" s="46">
        <f>SUM(K47:K48)</f>
        <v>5740523.0838063397</v>
      </c>
      <c r="L49" s="47" t="str">
        <f>IF(J49=K49,"&lt;- Debits and Credits equal each other.","&lt;- Debits and Credits do not equal each other.")</f>
        <v>&lt;- Debits and Credits equal each other.</v>
      </c>
    </row>
    <row r="50" spans="1:16" ht="16.5" customHeight="1" x14ac:dyDescent="0.3">
      <c r="A50" s="39"/>
      <c r="B50" s="52" t="s">
        <v>44</v>
      </c>
      <c r="C50" s="26"/>
      <c r="D50" s="26"/>
      <c r="E50" s="26"/>
      <c r="F50" s="27"/>
      <c r="G50" s="27"/>
      <c r="H50" s="28"/>
      <c r="I50" s="28"/>
      <c r="J50" s="46"/>
      <c r="K50" s="46"/>
      <c r="L50" s="47"/>
    </row>
    <row r="51" spans="1:16" ht="16.5" customHeight="1" x14ac:dyDescent="0.3">
      <c r="A51" s="39"/>
      <c r="B51" s="52"/>
      <c r="C51" s="26"/>
      <c r="D51" s="26"/>
      <c r="E51" s="26"/>
      <c r="F51" s="27"/>
      <c r="G51" s="27"/>
      <c r="H51" s="28"/>
      <c r="I51" s="28"/>
      <c r="J51" s="46"/>
      <c r="K51" s="46"/>
      <c r="L51" s="47"/>
    </row>
    <row r="52" spans="1:16" ht="16.5" customHeight="1" x14ac:dyDescent="0.3">
      <c r="A52" s="48"/>
      <c r="B52" s="26"/>
      <c r="C52" s="26"/>
      <c r="D52" s="26"/>
      <c r="E52" s="26"/>
      <c r="F52" s="27"/>
      <c r="G52" s="27"/>
      <c r="H52" s="28"/>
      <c r="I52" s="28"/>
      <c r="J52" s="51"/>
      <c r="K52" s="51"/>
      <c r="L52" s="47"/>
    </row>
    <row r="53" spans="1:16" s="16" customFormat="1" ht="21" customHeight="1" x14ac:dyDescent="0.4">
      <c r="A53" s="10" t="s">
        <v>45</v>
      </c>
      <c r="B53" s="11"/>
      <c r="C53" s="12"/>
      <c r="D53" s="12"/>
      <c r="E53" s="12"/>
      <c r="F53" s="13"/>
      <c r="G53" s="13"/>
      <c r="H53" s="14"/>
      <c r="I53" s="14"/>
      <c r="J53" s="13"/>
      <c r="K53" s="13"/>
      <c r="L53" s="5"/>
      <c r="M53" s="5"/>
      <c r="N53" s="15"/>
      <c r="O53" s="15"/>
      <c r="P53" s="15"/>
    </row>
    <row r="54" spans="1:16" s="19" customFormat="1" ht="16.5" customHeight="1" x14ac:dyDescent="0.35">
      <c r="A54" s="17">
        <v>4</v>
      </c>
      <c r="B54" s="18" t="s">
        <v>46</v>
      </c>
      <c r="C54" s="20"/>
      <c r="D54" s="20"/>
      <c r="E54" s="20"/>
      <c r="F54" s="21"/>
      <c r="G54" s="21"/>
      <c r="H54" s="22"/>
      <c r="I54" s="22"/>
      <c r="J54" s="23"/>
      <c r="K54" s="23"/>
    </row>
    <row r="55" spans="1:16" ht="16.5" customHeight="1" x14ac:dyDescent="0.3">
      <c r="B55" s="31" t="s">
        <v>47</v>
      </c>
      <c r="C55" s="56"/>
      <c r="D55" s="32"/>
      <c r="E55" s="32"/>
      <c r="F55" s="33"/>
      <c r="G55" s="33"/>
      <c r="H55" s="34"/>
      <c r="I55" s="34"/>
      <c r="J55" s="36">
        <v>1700646.1250138332</v>
      </c>
      <c r="K55" s="54"/>
    </row>
    <row r="56" spans="1:16" ht="16.5" customHeight="1" x14ac:dyDescent="0.3">
      <c r="A56" s="39"/>
      <c r="B56" s="56"/>
      <c r="C56" s="31" t="s">
        <v>26</v>
      </c>
      <c r="D56" s="32"/>
      <c r="E56" s="32"/>
      <c r="F56" s="33"/>
      <c r="G56" s="33"/>
      <c r="H56" s="34"/>
      <c r="I56" s="34"/>
      <c r="J56" s="57"/>
      <c r="K56" s="36"/>
    </row>
    <row r="57" spans="1:16" ht="16.5" customHeight="1" x14ac:dyDescent="0.3">
      <c r="A57" s="39"/>
      <c r="B57" s="56"/>
      <c r="C57" s="31" t="s">
        <v>27</v>
      </c>
      <c r="D57" s="32"/>
      <c r="E57" s="32"/>
      <c r="F57" s="33"/>
      <c r="G57" s="33"/>
      <c r="H57" s="34"/>
      <c r="I57" s="34"/>
      <c r="J57" s="57"/>
      <c r="K57" s="36"/>
    </row>
    <row r="58" spans="1:16" ht="16.5" customHeight="1" x14ac:dyDescent="0.3">
      <c r="A58" s="39"/>
      <c r="B58" s="31"/>
      <c r="C58" s="31" t="s">
        <v>28</v>
      </c>
      <c r="D58" s="32"/>
      <c r="E58" s="32"/>
      <c r="F58" s="33"/>
      <c r="G58" s="33"/>
      <c r="H58" s="34"/>
      <c r="I58" s="34"/>
      <c r="J58" s="54"/>
      <c r="K58" s="36">
        <v>1700646.1250138332</v>
      </c>
    </row>
    <row r="59" spans="1:16" ht="16.5" customHeight="1" x14ac:dyDescent="0.3">
      <c r="A59" s="39"/>
      <c r="C59" s="26"/>
      <c r="D59" s="26"/>
      <c r="E59" s="26"/>
      <c r="F59" s="27"/>
      <c r="G59" s="27"/>
      <c r="H59" s="28"/>
      <c r="I59" s="28"/>
      <c r="J59" s="46">
        <f>SUM(J55:J58)</f>
        <v>1700646.1250138332</v>
      </c>
      <c r="K59" s="46">
        <f>SUM(K55:K58)</f>
        <v>1700646.1250138332</v>
      </c>
      <c r="L59" s="47" t="str">
        <f>IF(J59=K59,"&lt;- Debits and Credits equal each other.","&lt;- Debits and Credits do not equal each other.")</f>
        <v>&lt;- Debits and Credits equal each other.</v>
      </c>
    </row>
    <row r="60" spans="1:16" ht="16.5" customHeight="1" x14ac:dyDescent="0.35">
      <c r="A60" s="39"/>
      <c r="B60" s="25"/>
      <c r="C60" s="43"/>
      <c r="D60" s="43"/>
      <c r="E60" s="43"/>
      <c r="F60" s="50"/>
      <c r="G60" s="50"/>
      <c r="H60" s="45"/>
      <c r="I60" s="45"/>
    </row>
    <row r="61" spans="1:16" s="19" customFormat="1" ht="16.5" customHeight="1" x14ac:dyDescent="0.35">
      <c r="A61" s="17">
        <v>5</v>
      </c>
      <c r="B61" s="18" t="s">
        <v>48</v>
      </c>
      <c r="C61" s="20"/>
      <c r="D61" s="20"/>
      <c r="E61" s="20"/>
      <c r="F61" s="21"/>
      <c r="G61" s="21"/>
      <c r="H61" s="22"/>
      <c r="I61" s="22"/>
      <c r="J61" s="23"/>
      <c r="K61" s="23"/>
    </row>
    <row r="62" spans="1:16" ht="16.5" customHeight="1" x14ac:dyDescent="0.3">
      <c r="B62" s="31" t="s">
        <v>49</v>
      </c>
      <c r="C62" s="31"/>
      <c r="D62" s="32"/>
      <c r="E62" s="32"/>
      <c r="F62" s="33"/>
      <c r="G62" s="33"/>
      <c r="H62" s="34"/>
      <c r="I62" s="34"/>
      <c r="J62" s="58">
        <v>1691776.9068458383</v>
      </c>
      <c r="K62" s="59"/>
    </row>
    <row r="63" spans="1:16" ht="16.5" customHeight="1" x14ac:dyDescent="0.3">
      <c r="A63" s="39"/>
      <c r="B63" s="31" t="str">
        <f>IF(F7="Governmental","Dr: Acct 0851 - DEBT SERVICE - INTEREST LEASES","Dr: Acct 0894 - INTEREST EXPENSE AND FISCAL CHARGES")</f>
        <v>Dr: Acct 0851 - DEBT SERVICE - INTEREST LEASES</v>
      </c>
      <c r="C63" s="31"/>
      <c r="D63" s="32"/>
      <c r="E63" s="32"/>
      <c r="F63" s="33"/>
      <c r="G63" s="33"/>
      <c r="H63" s="34"/>
      <c r="I63" s="34"/>
      <c r="J63" s="58">
        <v>9486.5731541614623</v>
      </c>
      <c r="K63" s="59"/>
    </row>
    <row r="64" spans="1:16" ht="16.5" customHeight="1" x14ac:dyDescent="0.3">
      <c r="A64" s="39"/>
      <c r="B64" s="31"/>
      <c r="C64" s="31" t="str">
        <f>IF($F$7="Proprietary","Cr: Acct 0870 - SERVICES &amp; CHARGES (MG ADJ)",VLOOKUP($F$9,'[2]Drop Down Menus'!$F$2:$G$10,2,FALSE))</f>
        <v>Cr: Acct 0830 - TRANSPORTATION (GAAP ADJ)</v>
      </c>
      <c r="D64" s="32"/>
      <c r="E64" s="32"/>
      <c r="F64" s="33"/>
      <c r="G64" s="33"/>
      <c r="H64" s="34"/>
      <c r="I64" s="34"/>
      <c r="J64" s="59"/>
      <c r="K64" s="36">
        <v>1701263.48</v>
      </c>
    </row>
    <row r="65" spans="1:12" ht="16.5" customHeight="1" x14ac:dyDescent="0.3">
      <c r="A65" s="39"/>
      <c r="C65" s="26"/>
      <c r="D65" s="26"/>
      <c r="E65" s="26"/>
      <c r="F65" s="27"/>
      <c r="G65" s="27"/>
      <c r="H65" s="28"/>
      <c r="I65" s="28"/>
      <c r="J65" s="46">
        <f>SUM(J62:J64)</f>
        <v>1701263.4799999997</v>
      </c>
      <c r="K65" s="46">
        <f>SUM(K62:K64)</f>
        <v>1701263.48</v>
      </c>
      <c r="L65" s="47" t="str">
        <f>IF(J65=K65,"&lt;- Debits and Credits equal each other.","&lt;- Debits and Credits do not equal each other.")</f>
        <v>&lt;- Debits and Credits equal each other.</v>
      </c>
    </row>
    <row r="66" spans="1:12" ht="16.5" customHeight="1" x14ac:dyDescent="0.35">
      <c r="A66" s="48"/>
      <c r="B66" s="25"/>
      <c r="C66" s="26"/>
      <c r="D66" s="26"/>
      <c r="E66" s="26"/>
      <c r="F66" s="27"/>
      <c r="G66" s="27"/>
      <c r="H66" s="28"/>
      <c r="I66" s="28"/>
      <c r="J66" s="51"/>
      <c r="K66" s="51"/>
      <c r="L66" s="47"/>
    </row>
    <row r="67" spans="1:12" s="19" customFormat="1" ht="16.5" customHeight="1" x14ac:dyDescent="0.35">
      <c r="A67" s="17">
        <v>6</v>
      </c>
      <c r="B67" s="18" t="s">
        <v>50</v>
      </c>
      <c r="C67" s="20"/>
      <c r="D67" s="20"/>
      <c r="E67" s="20"/>
      <c r="F67" s="21"/>
      <c r="G67" s="21"/>
      <c r="H67" s="22"/>
      <c r="I67" s="22"/>
      <c r="J67" s="23"/>
      <c r="K67" s="23"/>
    </row>
    <row r="68" spans="1:12" ht="16.5" customHeight="1" x14ac:dyDescent="0.3">
      <c r="A68" s="42" t="s">
        <v>29</v>
      </c>
      <c r="B68" s="31" t="s">
        <v>51</v>
      </c>
      <c r="C68" s="31"/>
      <c r="D68" s="32"/>
      <c r="E68" s="32"/>
      <c r="F68" s="33"/>
      <c r="G68" s="33"/>
      <c r="H68" s="34"/>
      <c r="I68" s="34"/>
      <c r="J68" s="36">
        <v>1691776.9068458383</v>
      </c>
      <c r="K68" s="54"/>
    </row>
    <row r="69" spans="1:12" ht="16.5" customHeight="1" x14ac:dyDescent="0.3">
      <c r="A69" s="39"/>
      <c r="B69" s="31"/>
      <c r="C69" s="31" t="s">
        <v>52</v>
      </c>
      <c r="D69" s="32"/>
      <c r="E69" s="32"/>
      <c r="F69" s="33"/>
      <c r="G69" s="33"/>
      <c r="H69" s="34"/>
      <c r="I69" s="34"/>
      <c r="J69" s="54"/>
      <c r="K69" s="36">
        <v>1691776.9068458383</v>
      </c>
    </row>
    <row r="70" spans="1:12" ht="16.5" customHeight="1" x14ac:dyDescent="0.3">
      <c r="A70" s="39"/>
      <c r="C70" s="26"/>
      <c r="D70" s="26"/>
      <c r="E70" s="26"/>
      <c r="F70" s="27"/>
      <c r="G70" s="27"/>
      <c r="H70" s="28"/>
      <c r="I70" s="28"/>
      <c r="J70" s="46">
        <f>SUM(J68:J69)</f>
        <v>1691776.9068458383</v>
      </c>
      <c r="K70" s="46">
        <f>SUM(K68:K69)</f>
        <v>1691776.9068458383</v>
      </c>
      <c r="L70" s="47" t="str">
        <f>IF(J70=K70,"&lt;- Debits and Credits equal each other.","&lt;- Debits and Credits do not equal each other.")</f>
        <v>&lt;- Debits and Credits equal each other.</v>
      </c>
    </row>
    <row r="71" spans="1:12" ht="16.5" customHeight="1" x14ac:dyDescent="0.3">
      <c r="A71" s="39"/>
      <c r="B71" s="52" t="s">
        <v>53</v>
      </c>
      <c r="C71" s="26"/>
      <c r="D71" s="26"/>
      <c r="E71" s="26"/>
      <c r="F71" s="27"/>
      <c r="G71" s="27"/>
      <c r="H71" s="28"/>
      <c r="I71" s="28"/>
    </row>
    <row r="72" spans="1:12" ht="16.5" customHeight="1" x14ac:dyDescent="0.3">
      <c r="A72" s="39"/>
      <c r="B72" s="52"/>
      <c r="C72" s="26"/>
      <c r="D72" s="26"/>
      <c r="E72" s="26"/>
      <c r="F72" s="27"/>
      <c r="G72" s="27"/>
      <c r="H72" s="28"/>
      <c r="I72" s="28"/>
    </row>
    <row r="73" spans="1:12" ht="16.5" customHeight="1" x14ac:dyDescent="0.3">
      <c r="A73" s="39"/>
      <c r="B73" s="52"/>
      <c r="C73" s="26"/>
      <c r="D73" s="26"/>
      <c r="E73" s="26"/>
      <c r="F73" s="27"/>
      <c r="G73" s="27"/>
      <c r="H73" s="28"/>
      <c r="I73" s="28"/>
    </row>
    <row r="74" spans="1:12" s="19" customFormat="1" ht="16.5" customHeight="1" x14ac:dyDescent="0.35">
      <c r="A74" s="17">
        <v>7</v>
      </c>
      <c r="B74" s="18" t="s">
        <v>54</v>
      </c>
      <c r="C74" s="20"/>
      <c r="D74" s="20"/>
      <c r="E74" s="20"/>
      <c r="F74" s="21"/>
      <c r="G74" s="21"/>
      <c r="H74" s="22"/>
      <c r="I74" s="22"/>
      <c r="J74" s="23"/>
      <c r="K74" s="23"/>
    </row>
    <row r="75" spans="1:12" ht="16.5" customHeight="1" x14ac:dyDescent="0.3">
      <c r="A75" s="42" t="s">
        <v>29</v>
      </c>
      <c r="B75" s="31" t="s">
        <v>51</v>
      </c>
      <c r="C75" s="31"/>
      <c r="D75" s="32"/>
      <c r="E75" s="32"/>
      <c r="F75" s="33"/>
      <c r="G75" s="33"/>
      <c r="H75" s="34"/>
      <c r="I75" s="34"/>
      <c r="J75" s="36">
        <v>2393111.4180960148</v>
      </c>
      <c r="K75" s="54"/>
    </row>
    <row r="76" spans="1:12" ht="16.5" customHeight="1" x14ac:dyDescent="0.3">
      <c r="A76" s="39"/>
      <c r="B76" s="31"/>
      <c r="C76" s="31" t="s">
        <v>55</v>
      </c>
      <c r="D76" s="32"/>
      <c r="E76" s="32"/>
      <c r="F76" s="33"/>
      <c r="G76" s="33"/>
      <c r="H76" s="34"/>
      <c r="I76" s="34"/>
      <c r="J76" s="54"/>
      <c r="K76" s="36">
        <v>2393111.4180960148</v>
      </c>
    </row>
    <row r="77" spans="1:12" ht="16.5" customHeight="1" x14ac:dyDescent="0.25">
      <c r="A77" s="39"/>
      <c r="B77" s="233" t="s">
        <v>56</v>
      </c>
      <c r="C77" s="233"/>
      <c r="D77" s="233"/>
      <c r="E77" s="233"/>
      <c r="F77" s="233"/>
      <c r="G77" s="233"/>
      <c r="H77" s="233"/>
      <c r="I77" s="233"/>
      <c r="J77" s="46">
        <f>SUM(J75:J76)</f>
        <v>2393111.4180960148</v>
      </c>
      <c r="K77" s="46">
        <f>SUM(K75:K76)</f>
        <v>2393111.4180960148</v>
      </c>
      <c r="L77" s="47" t="str">
        <f>IF(J77=K77,"&lt;- Debits and Credits equal each other.","&lt;- Debits and Credits do not equal each other.")</f>
        <v>&lt;- Debits and Credits equal each other.</v>
      </c>
    </row>
    <row r="78" spans="1:12" ht="16.5" customHeight="1" x14ac:dyDescent="0.25">
      <c r="A78" s="39"/>
      <c r="B78" s="233"/>
      <c r="C78" s="233"/>
      <c r="D78" s="233"/>
      <c r="E78" s="233"/>
      <c r="F78" s="233"/>
      <c r="G78" s="233"/>
      <c r="H78" s="233"/>
      <c r="I78" s="233"/>
      <c r="J78" s="46"/>
      <c r="K78" s="46"/>
      <c r="L78" s="47"/>
    </row>
    <row r="79" spans="1:12" ht="24.6" customHeight="1" x14ac:dyDescent="0.25">
      <c r="A79" s="39"/>
      <c r="B79" s="233"/>
      <c r="C79" s="233"/>
      <c r="D79" s="233"/>
      <c r="E79" s="233"/>
      <c r="F79" s="233"/>
      <c r="G79" s="233"/>
      <c r="H79" s="233"/>
      <c r="I79" s="233"/>
      <c r="J79" s="46"/>
      <c r="K79" s="46"/>
      <c r="L79" s="47"/>
    </row>
    <row r="80" spans="1:12" ht="16.5" customHeight="1" x14ac:dyDescent="0.3">
      <c r="A80" s="48"/>
      <c r="B80" s="52" t="s">
        <v>57</v>
      </c>
      <c r="C80" s="26"/>
      <c r="D80" s="26"/>
      <c r="E80" s="26"/>
      <c r="F80" s="27"/>
      <c r="G80" s="27"/>
      <c r="H80" s="28"/>
      <c r="I80" s="28"/>
      <c r="J80" s="51"/>
      <c r="K80" s="51"/>
      <c r="L80" s="47"/>
    </row>
    <row r="81" spans="1:16" ht="16.5" customHeight="1" x14ac:dyDescent="0.3">
      <c r="A81" s="48"/>
      <c r="B81" s="52"/>
      <c r="C81" s="26"/>
      <c r="D81" s="26"/>
      <c r="E81" s="26"/>
      <c r="F81" s="27"/>
      <c r="G81" s="27"/>
      <c r="H81" s="28"/>
      <c r="I81" s="28"/>
      <c r="J81" s="51"/>
      <c r="K81" s="51"/>
      <c r="L81" s="47"/>
    </row>
    <row r="82" spans="1:16" ht="16.5" customHeight="1" x14ac:dyDescent="0.35">
      <c r="A82" s="48"/>
      <c r="B82" s="25"/>
      <c r="C82" s="26"/>
      <c r="D82" s="26"/>
      <c r="E82" s="26"/>
      <c r="F82" s="27"/>
      <c r="G82" s="27"/>
      <c r="H82" s="28"/>
      <c r="I82" s="28"/>
      <c r="J82" s="51"/>
      <c r="K82" s="51"/>
      <c r="L82" s="47"/>
    </row>
    <row r="83" spans="1:16" s="16" customFormat="1" ht="21" customHeight="1" x14ac:dyDescent="0.4">
      <c r="A83" s="10" t="s">
        <v>58</v>
      </c>
      <c r="B83" s="11"/>
      <c r="C83" s="12"/>
      <c r="D83" s="12"/>
      <c r="E83" s="12"/>
      <c r="F83" s="13"/>
      <c r="G83" s="13"/>
      <c r="H83" s="14"/>
      <c r="I83" s="14"/>
      <c r="J83" s="13"/>
      <c r="K83" s="13"/>
      <c r="L83" s="5"/>
      <c r="M83" s="5"/>
      <c r="N83" s="15"/>
      <c r="O83" s="15"/>
      <c r="P83" s="15"/>
    </row>
    <row r="84" spans="1:16" s="19" customFormat="1" ht="16.5" customHeight="1" x14ac:dyDescent="0.35">
      <c r="A84" s="17">
        <v>8</v>
      </c>
      <c r="B84" s="18" t="s">
        <v>59</v>
      </c>
      <c r="H84" s="60"/>
    </row>
    <row r="85" spans="1:16" ht="16.5" customHeight="1" x14ac:dyDescent="0.3">
      <c r="B85" s="31" t="s">
        <v>60</v>
      </c>
      <c r="C85" s="31"/>
      <c r="D85" s="32"/>
      <c r="E85" s="32"/>
      <c r="F85" s="33"/>
      <c r="G85" s="33"/>
      <c r="H85" s="34"/>
      <c r="I85" s="34"/>
      <c r="J85" s="36"/>
      <c r="K85" s="54"/>
      <c r="L85" s="47"/>
    </row>
    <row r="86" spans="1:16" ht="16.5" customHeight="1" x14ac:dyDescent="0.25">
      <c r="A86" s="39"/>
      <c r="B86" s="31" t="s">
        <v>61</v>
      </c>
      <c r="C86" s="56"/>
      <c r="D86" s="56"/>
      <c r="E86" s="56"/>
      <c r="F86" s="56"/>
      <c r="G86" s="56"/>
      <c r="H86" s="56"/>
      <c r="I86" s="56"/>
      <c r="J86" s="36"/>
      <c r="K86" s="61"/>
    </row>
    <row r="87" spans="1:16" ht="16.5" customHeight="1" x14ac:dyDescent="0.25">
      <c r="A87" s="39"/>
      <c r="B87" s="31" t="s">
        <v>62</v>
      </c>
      <c r="C87" s="56"/>
      <c r="D87" s="56"/>
      <c r="E87" s="56"/>
      <c r="F87" s="56"/>
      <c r="G87" s="56"/>
      <c r="H87" s="56"/>
      <c r="I87" s="56"/>
      <c r="J87" s="36">
        <v>281672.31</v>
      </c>
      <c r="K87" s="61"/>
    </row>
    <row r="88" spans="1:16" ht="16.5" customHeight="1" x14ac:dyDescent="0.25">
      <c r="A88" s="30" t="s">
        <v>20</v>
      </c>
      <c r="B88" s="56"/>
      <c r="C88" s="31" t="s">
        <v>63</v>
      </c>
      <c r="D88" s="56"/>
      <c r="E88" s="56"/>
      <c r="F88" s="56"/>
      <c r="G88" s="56"/>
      <c r="H88" s="56"/>
      <c r="I88" s="56"/>
      <c r="J88" s="61"/>
      <c r="K88" s="36"/>
    </row>
    <row r="89" spans="1:16" ht="16.5" customHeight="1" x14ac:dyDescent="0.25">
      <c r="A89" s="30" t="s">
        <v>20</v>
      </c>
      <c r="B89" s="56"/>
      <c r="C89" s="31" t="s">
        <v>64</v>
      </c>
      <c r="D89" s="56"/>
      <c r="E89" s="56"/>
      <c r="F89" s="56"/>
      <c r="G89" s="56"/>
      <c r="H89" s="56"/>
      <c r="I89" s="56"/>
      <c r="J89" s="61"/>
      <c r="K89" s="36"/>
    </row>
    <row r="90" spans="1:16" ht="16.5" customHeight="1" x14ac:dyDescent="0.25">
      <c r="A90" s="30" t="s">
        <v>20</v>
      </c>
      <c r="B90" s="56"/>
      <c r="C90" s="31" t="s">
        <v>65</v>
      </c>
      <c r="D90" s="56"/>
      <c r="E90" s="56"/>
      <c r="F90" s="56"/>
      <c r="G90" s="56"/>
      <c r="H90" s="56"/>
      <c r="I90" s="56"/>
      <c r="J90" s="61"/>
      <c r="K90" s="36">
        <v>281672.31</v>
      </c>
    </row>
    <row r="91" spans="1:16" ht="16.5" customHeight="1" x14ac:dyDescent="0.3">
      <c r="B91" s="22" t="s">
        <v>66</v>
      </c>
      <c r="H91" s="2"/>
      <c r="J91" s="62">
        <f>SUM(J85:J90)</f>
        <v>281672.31</v>
      </c>
      <c r="K91" s="62">
        <f>SUM(K85:K90)</f>
        <v>281672.31</v>
      </c>
      <c r="L91" s="47" t="str">
        <f>IF(J91=K91,"&lt;- Debits and Credits equal each other.","&lt;- Debits and Credits do not equal each other.")</f>
        <v>&lt;- Debits and Credits equal each other.</v>
      </c>
    </row>
    <row r="92" spans="1:16" ht="16.5" customHeight="1" x14ac:dyDescent="0.3">
      <c r="H92" s="2"/>
    </row>
    <row r="93" spans="1:16" ht="16.5" customHeight="1" x14ac:dyDescent="0.3">
      <c r="H93" s="2"/>
    </row>
    <row r="94" spans="1:16" s="16" customFormat="1" ht="21" customHeight="1" x14ac:dyDescent="0.4">
      <c r="A94" s="10" t="s">
        <v>67</v>
      </c>
      <c r="B94" s="11"/>
      <c r="C94" s="12"/>
      <c r="D94" s="12"/>
      <c r="E94" s="12"/>
      <c r="F94" s="13"/>
      <c r="G94" s="13"/>
      <c r="H94" s="14"/>
      <c r="I94" s="14"/>
      <c r="J94" s="13"/>
      <c r="K94" s="13"/>
      <c r="L94" s="5"/>
      <c r="M94" s="5"/>
      <c r="N94" s="15"/>
      <c r="O94" s="15"/>
      <c r="P94" s="15"/>
    </row>
    <row r="95" spans="1:16" s="19" customFormat="1" ht="16.5" customHeight="1" x14ac:dyDescent="0.35">
      <c r="A95" s="63">
        <v>9</v>
      </c>
      <c r="B95" s="18" t="s">
        <v>68</v>
      </c>
      <c r="C95" s="64"/>
      <c r="D95" s="64"/>
      <c r="E95" s="64"/>
      <c r="F95" s="64"/>
      <c r="G95" s="64"/>
      <c r="H95" s="64"/>
      <c r="I95" s="64"/>
      <c r="J95" s="65"/>
      <c r="K95" s="65"/>
    </row>
    <row r="96" spans="1:16" ht="16.5" customHeight="1" x14ac:dyDescent="0.25">
      <c r="A96" s="42" t="s">
        <v>29</v>
      </c>
      <c r="B96" s="31" t="s">
        <v>51</v>
      </c>
      <c r="C96" s="31"/>
      <c r="D96" s="66"/>
      <c r="E96" s="66"/>
      <c r="F96" s="66"/>
      <c r="G96" s="66"/>
      <c r="H96" s="66"/>
      <c r="I96" s="66"/>
      <c r="J96" s="36"/>
      <c r="K96" s="67"/>
    </row>
    <row r="97" spans="1:12" ht="16.5" customHeight="1" x14ac:dyDescent="0.25">
      <c r="B97" s="31" t="s">
        <v>60</v>
      </c>
      <c r="C97" s="56"/>
      <c r="D97" s="56"/>
      <c r="E97" s="56"/>
      <c r="F97" s="56"/>
      <c r="G97" s="56"/>
      <c r="H97" s="56"/>
      <c r="I97" s="56"/>
      <c r="J97" s="36"/>
      <c r="K97" s="56"/>
    </row>
    <row r="98" spans="1:12" ht="16.5" customHeight="1" x14ac:dyDescent="0.25">
      <c r="B98" s="31" t="s">
        <v>61</v>
      </c>
      <c r="C98" s="56"/>
      <c r="D98" s="56"/>
      <c r="E98" s="56"/>
      <c r="F98" s="56"/>
      <c r="G98" s="56"/>
      <c r="H98" s="56"/>
      <c r="I98" s="56"/>
      <c r="J98" s="36"/>
      <c r="K98" s="56"/>
    </row>
    <row r="99" spans="1:12" ht="16.5" customHeight="1" x14ac:dyDescent="0.25">
      <c r="B99" s="31" t="s">
        <v>62</v>
      </c>
      <c r="C99" s="56"/>
      <c r="D99" s="56"/>
      <c r="E99" s="56"/>
      <c r="F99" s="56"/>
      <c r="G99" s="56"/>
      <c r="H99" s="56"/>
      <c r="I99" s="56"/>
      <c r="J99" s="36"/>
      <c r="K99" s="56"/>
    </row>
    <row r="100" spans="1:12" ht="16.5" customHeight="1" x14ac:dyDescent="0.25">
      <c r="B100" s="31" t="str">
        <f>IF($F$7="Proprietary","Dr: Acct 0870 - SERVICES &amp; CHARGES (MG ADJ)",VLOOKUP($F$9,'[2]Drop Down Menus'!$F$2:$H$10,3,FALSE))</f>
        <v>Dr: Acct 0830 - TRANSPORTATION (GAAP ADJ)</v>
      </c>
      <c r="C100" s="56"/>
      <c r="D100" s="56"/>
      <c r="E100" s="56"/>
      <c r="F100" s="56"/>
      <c r="G100" s="56"/>
      <c r="H100" s="56"/>
      <c r="I100" s="56"/>
      <c r="J100" s="36"/>
      <c r="K100" s="56"/>
    </row>
    <row r="101" spans="1:12" ht="16.5" customHeight="1" x14ac:dyDescent="0.25">
      <c r="A101" s="30" t="s">
        <v>20</v>
      </c>
      <c r="B101" s="56"/>
      <c r="C101" s="31" t="s">
        <v>63</v>
      </c>
      <c r="D101" s="56"/>
      <c r="E101" s="56"/>
      <c r="F101" s="56"/>
      <c r="G101" s="56"/>
      <c r="H101" s="56"/>
      <c r="I101" s="56"/>
      <c r="J101" s="56"/>
      <c r="K101" s="36"/>
    </row>
    <row r="102" spans="1:12" ht="16.5" customHeight="1" x14ac:dyDescent="0.25">
      <c r="A102" s="30" t="s">
        <v>20</v>
      </c>
      <c r="B102" s="56"/>
      <c r="C102" s="31" t="s">
        <v>64</v>
      </c>
      <c r="D102" s="56"/>
      <c r="E102" s="56"/>
      <c r="F102" s="56"/>
      <c r="G102" s="56"/>
      <c r="H102" s="56"/>
      <c r="I102" s="56"/>
      <c r="J102" s="56"/>
      <c r="K102" s="36"/>
    </row>
    <row r="103" spans="1:12" ht="16.5" customHeight="1" x14ac:dyDescent="0.25">
      <c r="A103" s="30" t="s">
        <v>20</v>
      </c>
      <c r="B103" s="56"/>
      <c r="C103" s="31" t="s">
        <v>65</v>
      </c>
      <c r="D103" s="56"/>
      <c r="E103" s="56"/>
      <c r="F103" s="56"/>
      <c r="G103" s="56"/>
      <c r="H103" s="56"/>
      <c r="I103" s="56"/>
      <c r="J103" s="56"/>
      <c r="K103" s="36"/>
    </row>
    <row r="104" spans="1:12" ht="16.5" customHeight="1" x14ac:dyDescent="0.25">
      <c r="B104" s="56"/>
      <c r="C104" s="31" t="str">
        <f>IF($F$7="Proprietary","Dr: Acct 0870 - SERVICES &amp; CHARGES (MG ADJ)",VLOOKUP($F$9,'[2]Drop Down Menus'!$F$2:$G$10,2,FALSE))</f>
        <v>Cr: Acct 0830 - TRANSPORTATION (GAAP ADJ)</v>
      </c>
      <c r="D104" s="56"/>
      <c r="E104" s="56"/>
      <c r="F104" s="56"/>
      <c r="G104" s="56"/>
      <c r="H104" s="56"/>
      <c r="I104" s="56"/>
      <c r="J104" s="56"/>
      <c r="K104" s="36"/>
    </row>
    <row r="105" spans="1:12" ht="16.5" customHeight="1" x14ac:dyDescent="0.3">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3">
      <c r="B106" s="52" t="s">
        <v>53</v>
      </c>
      <c r="H106" s="2"/>
      <c r="J106" s="62"/>
      <c r="K106" s="62"/>
      <c r="L106" s="47"/>
    </row>
    <row r="107" spans="1:12" ht="16.5" customHeight="1" x14ac:dyDescent="0.3">
      <c r="H107" s="2"/>
    </row>
    <row r="108" spans="1:12" ht="16.5" customHeight="1" x14ac:dyDescent="0.3">
      <c r="H108" s="2"/>
    </row>
    <row r="109" spans="1:12" s="19" customFormat="1" ht="16.5" customHeight="1" x14ac:dyDescent="0.35">
      <c r="A109" s="63">
        <v>10</v>
      </c>
      <c r="B109" s="18" t="s">
        <v>69</v>
      </c>
      <c r="C109" s="64"/>
      <c r="D109" s="64"/>
    </row>
    <row r="110" spans="1:12" ht="16.5" customHeight="1" x14ac:dyDescent="0.25">
      <c r="A110" s="30" t="s">
        <v>20</v>
      </c>
      <c r="B110" s="31" t="s">
        <v>21</v>
      </c>
      <c r="C110" s="31"/>
      <c r="D110" s="66"/>
      <c r="E110" s="56"/>
      <c r="F110" s="56"/>
      <c r="G110" s="56"/>
      <c r="H110" s="56"/>
      <c r="I110" s="56"/>
      <c r="J110" s="36"/>
      <c r="K110" s="56"/>
    </row>
    <row r="111" spans="1:12" ht="16.5" customHeight="1" x14ac:dyDescent="0.25">
      <c r="A111" s="30" t="s">
        <v>20</v>
      </c>
      <c r="B111" s="31" t="s">
        <v>22</v>
      </c>
      <c r="C111" s="31"/>
      <c r="D111" s="66"/>
      <c r="E111" s="56"/>
      <c r="F111" s="56"/>
      <c r="G111" s="56"/>
      <c r="H111" s="56"/>
      <c r="I111" s="56"/>
      <c r="J111" s="36"/>
      <c r="K111" s="56"/>
    </row>
    <row r="112" spans="1:12" ht="16.5" customHeight="1" x14ac:dyDescent="0.25">
      <c r="A112" s="30" t="s">
        <v>20</v>
      </c>
      <c r="B112" s="31" t="s">
        <v>23</v>
      </c>
      <c r="C112" s="31"/>
      <c r="D112" s="66"/>
      <c r="E112" s="56"/>
      <c r="F112" s="56"/>
      <c r="G112" s="56"/>
      <c r="H112" s="56"/>
      <c r="I112" s="56"/>
      <c r="J112" s="36"/>
      <c r="K112" s="56"/>
    </row>
    <row r="113" spans="1:12" ht="16.5" customHeight="1" x14ac:dyDescent="0.25">
      <c r="A113" s="42" t="s">
        <v>29</v>
      </c>
      <c r="B113" s="31"/>
      <c r="C113" s="31" t="s">
        <v>30</v>
      </c>
      <c r="D113" s="66"/>
      <c r="E113" s="56"/>
      <c r="F113" s="56"/>
      <c r="G113" s="56"/>
      <c r="H113" s="56"/>
      <c r="I113" s="56"/>
      <c r="J113" s="56"/>
      <c r="K113" s="36"/>
    </row>
    <row r="114" spans="1:12" ht="16.5" customHeight="1" x14ac:dyDescent="0.3">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3">
      <c r="A115" s="68"/>
      <c r="B115" s="52" t="s">
        <v>44</v>
      </c>
      <c r="C115" s="69"/>
      <c r="D115" s="69"/>
      <c r="H115" s="2"/>
      <c r="J115" s="62"/>
      <c r="K115" s="62"/>
      <c r="L115" s="47"/>
    </row>
    <row r="116" spans="1:12" ht="16.5" customHeight="1" x14ac:dyDescent="0.3">
      <c r="H116" s="2"/>
    </row>
    <row r="117" spans="1:12" ht="16.5" customHeight="1" x14ac:dyDescent="0.3">
      <c r="H117" s="2"/>
    </row>
    <row r="118" spans="1:12" ht="16.5" customHeight="1" x14ac:dyDescent="0.3">
      <c r="H118" s="2"/>
    </row>
    <row r="119" spans="1:12" ht="16.5" customHeight="1" x14ac:dyDescent="0.3">
      <c r="H119" s="2"/>
    </row>
    <row r="120" spans="1:12" ht="21" x14ac:dyDescent="0.4">
      <c r="D120" s="70" t="s">
        <v>70</v>
      </c>
      <c r="E120" s="71"/>
      <c r="F120" s="72"/>
      <c r="G120" s="72"/>
      <c r="H120" s="72"/>
      <c r="I120" s="73"/>
      <c r="J120" s="73"/>
      <c r="K120" s="74"/>
    </row>
    <row r="121" spans="1:12" ht="16.5" customHeight="1" x14ac:dyDescent="0.3">
      <c r="H121" s="2"/>
      <c r="K121" s="75" t="s">
        <v>71</v>
      </c>
    </row>
    <row r="122" spans="1:12" ht="16.5" customHeight="1" x14ac:dyDescent="0.3">
      <c r="D122" s="32" t="s">
        <v>72</v>
      </c>
      <c r="H122" s="2"/>
      <c r="K122" s="76">
        <f>J15+J39-K88-K101+J110</f>
        <v>0</v>
      </c>
    </row>
    <row r="123" spans="1:12" ht="16.5" customHeight="1" x14ac:dyDescent="0.3">
      <c r="D123" s="32" t="s">
        <v>73</v>
      </c>
      <c r="H123" s="2"/>
      <c r="K123" s="76">
        <f>J16+J40-K89-K102+J111</f>
        <v>0</v>
      </c>
    </row>
    <row r="124" spans="1:12" ht="16.5" customHeight="1" x14ac:dyDescent="0.3">
      <c r="D124" s="32" t="s">
        <v>74</v>
      </c>
      <c r="H124" s="2"/>
      <c r="K124" s="76">
        <f>J17+J41-K90-K103+J112</f>
        <v>9654615.9080914985</v>
      </c>
    </row>
    <row r="125" spans="1:12" ht="16.5" customHeight="1" x14ac:dyDescent="0.3">
      <c r="D125" s="32" t="s">
        <v>75</v>
      </c>
      <c r="H125" s="2"/>
      <c r="K125" s="76">
        <f>-K20-K56+J85+J97</f>
        <v>0</v>
      </c>
    </row>
    <row r="126" spans="1:12" ht="16.5" customHeight="1" x14ac:dyDescent="0.3">
      <c r="D126" s="32" t="s">
        <v>76</v>
      </c>
      <c r="H126" s="2"/>
      <c r="K126" s="76">
        <f>-K21-K57+J86+J98</f>
        <v>0</v>
      </c>
    </row>
    <row r="127" spans="1:12" ht="16.5" customHeight="1" x14ac:dyDescent="0.3">
      <c r="D127" s="32" t="s">
        <v>77</v>
      </c>
      <c r="H127" s="2"/>
      <c r="K127" s="76">
        <f>-K22-K58+J87+J99</f>
        <v>-2606165.714288481</v>
      </c>
    </row>
    <row r="128" spans="1:12" ht="16.5" customHeight="1" x14ac:dyDescent="0.3">
      <c r="D128" s="32" t="s">
        <v>78</v>
      </c>
      <c r="H128" s="2"/>
      <c r="K128" s="76">
        <f>-K23-K48+J68+J75+J96-K113</f>
        <v>-4682104.8954098709</v>
      </c>
    </row>
    <row r="129" spans="4:11" ht="16.5" customHeight="1" x14ac:dyDescent="0.3">
      <c r="D129" s="32" t="s">
        <v>79</v>
      </c>
      <c r="H129" s="2"/>
      <c r="K129" s="76">
        <f>-K76</f>
        <v>-2393111.4180960148</v>
      </c>
    </row>
    <row r="130" spans="4:11" ht="16.5" customHeight="1" x14ac:dyDescent="0.3">
      <c r="H130" s="2"/>
    </row>
    <row r="131" spans="4:11" ht="16.5" customHeight="1" x14ac:dyDescent="0.3">
      <c r="H131" s="2"/>
    </row>
    <row r="132" spans="4:11" x14ac:dyDescent="0.3">
      <c r="H132" s="2"/>
    </row>
    <row r="133" spans="4:11" ht="16.5" customHeight="1" x14ac:dyDescent="0.3">
      <c r="H133" s="2"/>
    </row>
    <row r="134" spans="4:11" ht="16.5" customHeight="1" x14ac:dyDescent="0.3">
      <c r="H134" s="2"/>
    </row>
    <row r="135" spans="4:11" ht="16.5" customHeight="1" x14ac:dyDescent="0.3">
      <c r="H135" s="2"/>
    </row>
    <row r="136" spans="4:11" ht="16.5" customHeight="1" x14ac:dyDescent="0.3">
      <c r="H136" s="2"/>
    </row>
    <row r="137" spans="4:11" ht="16.5" customHeight="1" x14ac:dyDescent="0.3">
      <c r="H137" s="2"/>
    </row>
    <row r="138" spans="4:11" s="56" customFormat="1" ht="16.5" customHeight="1" x14ac:dyDescent="0.3"/>
    <row r="139" spans="4:11" ht="16.5" customHeight="1" x14ac:dyDescent="0.3">
      <c r="H139" s="2"/>
    </row>
    <row r="140" spans="4:11" ht="16.5" customHeight="1" x14ac:dyDescent="0.3">
      <c r="H140" s="2"/>
    </row>
    <row r="141" spans="4:11" x14ac:dyDescent="0.3">
      <c r="H141" s="2"/>
    </row>
    <row r="142" spans="4:11" ht="16.5" customHeight="1" x14ac:dyDescent="0.3">
      <c r="H142" s="2"/>
    </row>
    <row r="143" spans="4:11" ht="16.5" customHeight="1" x14ac:dyDescent="0.3">
      <c r="H143" s="2"/>
    </row>
    <row r="144" spans="4:11" ht="16.5" customHeight="1" x14ac:dyDescent="0.3">
      <c r="H144" s="2"/>
    </row>
    <row r="145" spans="8:8" ht="16.5" customHeight="1" x14ac:dyDescent="0.3">
      <c r="H145" s="2"/>
    </row>
    <row r="146" spans="8:8" ht="16.5" customHeight="1" x14ac:dyDescent="0.3">
      <c r="H146" s="2"/>
    </row>
    <row r="147" spans="8:8" ht="16.5" customHeight="1" x14ac:dyDescent="0.3">
      <c r="H147" s="2"/>
    </row>
    <row r="148" spans="8:8" ht="16.5" customHeight="1" x14ac:dyDescent="0.3">
      <c r="H148" s="2"/>
    </row>
    <row r="149" spans="8:8" ht="16.5" customHeight="1" x14ac:dyDescent="0.3">
      <c r="H149" s="2"/>
    </row>
    <row r="150" spans="8:8" ht="16.5" customHeight="1" x14ac:dyDescent="0.3">
      <c r="H150" s="2"/>
    </row>
    <row r="151" spans="8:8" ht="16.5" customHeight="1" x14ac:dyDescent="0.3">
      <c r="H151" s="2"/>
    </row>
    <row r="152" spans="8:8" ht="16.5" customHeight="1" x14ac:dyDescent="0.3">
      <c r="H152" s="2"/>
    </row>
    <row r="153" spans="8:8" ht="16.5" customHeight="1" x14ac:dyDescent="0.3">
      <c r="H153" s="2"/>
    </row>
    <row r="154" spans="8:8" ht="16.5" customHeight="1" x14ac:dyDescent="0.3">
      <c r="H154" s="2"/>
    </row>
    <row r="155" spans="8:8" ht="16.5" customHeight="1" x14ac:dyDescent="0.3">
      <c r="H155" s="2"/>
    </row>
    <row r="156" spans="8:8" ht="16.5" customHeight="1" x14ac:dyDescent="0.3">
      <c r="H156" s="2"/>
    </row>
    <row r="157" spans="8:8" ht="16.5" customHeight="1" x14ac:dyDescent="0.3">
      <c r="H157" s="2"/>
    </row>
    <row r="158" spans="8:8" ht="16.5" customHeight="1" x14ac:dyDescent="0.3">
      <c r="H158" s="2"/>
    </row>
    <row r="159" spans="8:8" ht="16.5" customHeight="1" x14ac:dyDescent="0.3">
      <c r="H159" s="2"/>
    </row>
    <row r="160" spans="8:8" ht="16.5" customHeight="1" x14ac:dyDescent="0.3">
      <c r="H160" s="2"/>
    </row>
    <row r="161" spans="8:8" ht="16.5" customHeight="1" x14ac:dyDescent="0.3">
      <c r="H161" s="2"/>
    </row>
    <row r="162" spans="8:8" ht="16.5" customHeight="1" x14ac:dyDescent="0.3">
      <c r="H162" s="2"/>
    </row>
    <row r="163" spans="8:8" ht="16.5" customHeight="1" x14ac:dyDescent="0.3">
      <c r="H163" s="2"/>
    </row>
    <row r="164" spans="8:8" ht="16.5" customHeight="1" x14ac:dyDescent="0.3">
      <c r="H164" s="2"/>
    </row>
    <row r="165" spans="8:8" ht="16.5" customHeight="1" x14ac:dyDescent="0.3">
      <c r="H165" s="2"/>
    </row>
    <row r="166" spans="8:8" ht="16.5" customHeight="1" x14ac:dyDescent="0.3">
      <c r="H166" s="2"/>
    </row>
    <row r="167" spans="8:8" ht="16.5" customHeight="1" x14ac:dyDescent="0.3">
      <c r="H167" s="2"/>
    </row>
    <row r="168" spans="8:8" x14ac:dyDescent="0.3">
      <c r="H168" s="2"/>
    </row>
    <row r="169" spans="8:8" ht="16.5" customHeight="1" x14ac:dyDescent="0.3">
      <c r="H169" s="2"/>
    </row>
    <row r="170" spans="8:8" ht="16.5" customHeight="1" x14ac:dyDescent="0.3">
      <c r="H170" s="2"/>
    </row>
    <row r="171" spans="8:8" ht="16.5" customHeight="1" x14ac:dyDescent="0.3">
      <c r="H171" s="2"/>
    </row>
    <row r="172" spans="8:8" s="56" customFormat="1" ht="16.5" customHeight="1" x14ac:dyDescent="0.3"/>
    <row r="173" spans="8:8" ht="16.5" customHeight="1" x14ac:dyDescent="0.3">
      <c r="H173" s="2"/>
    </row>
    <row r="174" spans="8:8" ht="16.5" customHeight="1" x14ac:dyDescent="0.3">
      <c r="H174" s="2"/>
    </row>
    <row r="175" spans="8:8" x14ac:dyDescent="0.3">
      <c r="H175" s="2"/>
    </row>
    <row r="176" spans="8:8" ht="16.5" customHeight="1" x14ac:dyDescent="0.3">
      <c r="H176" s="2"/>
    </row>
    <row r="177" spans="8:8" ht="16.5" customHeight="1" x14ac:dyDescent="0.3">
      <c r="H177" s="2"/>
    </row>
    <row r="178" spans="8:8" ht="16.5" customHeight="1" x14ac:dyDescent="0.3">
      <c r="H178" s="2"/>
    </row>
    <row r="179" spans="8:8" ht="16.5" customHeight="1" x14ac:dyDescent="0.3">
      <c r="H179" s="2"/>
    </row>
    <row r="180" spans="8:8" ht="16.5" customHeight="1" x14ac:dyDescent="0.3">
      <c r="H180" s="2"/>
    </row>
    <row r="181" spans="8:8" ht="16.5" customHeight="1" x14ac:dyDescent="0.3">
      <c r="H181" s="2"/>
    </row>
    <row r="182" spans="8:8" s="56" customFormat="1" ht="16.5" customHeight="1" x14ac:dyDescent="0.3"/>
    <row r="183" spans="8:8" ht="16.5" customHeight="1" x14ac:dyDescent="0.3">
      <c r="H183" s="2"/>
    </row>
    <row r="184" spans="8:8" ht="34.5" customHeight="1" x14ac:dyDescent="0.3">
      <c r="H184" s="2"/>
    </row>
    <row r="185" spans="8:8" ht="16.5" customHeight="1" x14ac:dyDescent="0.3">
      <c r="H185" s="2"/>
    </row>
    <row r="186" spans="8:8" ht="16.5" customHeight="1" x14ac:dyDescent="0.3">
      <c r="H186" s="2"/>
    </row>
    <row r="187" spans="8:8" ht="16.5" customHeight="1" x14ac:dyDescent="0.3">
      <c r="H187" s="2"/>
    </row>
    <row r="188" spans="8:8" ht="16.5" customHeight="1" x14ac:dyDescent="0.3">
      <c r="H188" s="2"/>
    </row>
    <row r="189" spans="8:8" ht="16.5" customHeight="1" x14ac:dyDescent="0.3">
      <c r="H189" s="2"/>
    </row>
    <row r="190" spans="8:8" ht="16.5" customHeight="1" x14ac:dyDescent="0.3">
      <c r="H190" s="2"/>
    </row>
    <row r="191" spans="8:8" ht="16.5" customHeight="1" x14ac:dyDescent="0.3">
      <c r="H191" s="2"/>
    </row>
    <row r="192" spans="8:8" ht="16.5" customHeight="1" x14ac:dyDescent="0.3">
      <c r="H192" s="2"/>
    </row>
    <row r="193" spans="8:8" ht="16.5" customHeight="1" x14ac:dyDescent="0.3">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5281888-41E9-44CD-A9A1-3E4A9C5CD6D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4A6EF8E-30CD-44F9-BCF7-7EA927A13CA8}">
      <formula1>0</formula1>
    </dataValidation>
    <dataValidation operator="lessThan" allowBlank="1" showInputMessage="1" showErrorMessage="1" sqref="A3:A8" xr:uid="{56103FB3-DA97-4355-943A-DF3E9A01D256}"/>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607E2-0756-477A-B800-91489265155D}">
  <sheetPr>
    <tabColor theme="9" tint="0.59999389629810485"/>
    <pageSetUpPr fitToPage="1"/>
  </sheetPr>
  <dimension ref="A1:S193"/>
  <sheetViews>
    <sheetView topLeftCell="A48" zoomScale="70" zoomScaleNormal="70" workbookViewId="0">
      <selection activeCell="T25" sqref="T25"/>
    </sheetView>
  </sheetViews>
  <sheetFormatPr defaultColWidth="9.109375" defaultRowHeight="15" x14ac:dyDescent="0.3"/>
  <cols>
    <col min="1" max="1" width="13.33203125" style="2" customWidth="1"/>
    <col min="2" max="5" width="10.6640625" style="2" customWidth="1"/>
    <col min="6" max="7" width="15.33203125" style="2" customWidth="1"/>
    <col min="8" max="8" width="15.33203125" style="77" customWidth="1"/>
    <col min="9" max="9" width="15.33203125" style="2" customWidth="1"/>
    <col min="10" max="10" width="21.33203125" style="2" customWidth="1"/>
    <col min="11" max="11" width="19.109375" style="2" customWidth="1"/>
    <col min="12" max="12" width="4" style="2" customWidth="1"/>
    <col min="13" max="14" width="17.33203125" style="2" customWidth="1"/>
    <col min="15" max="15" width="4" style="2" customWidth="1"/>
    <col min="16" max="17" width="15.88671875" style="2" customWidth="1"/>
    <col min="18" max="18" width="4" style="2" customWidth="1"/>
    <col min="19" max="19" width="15.88671875" style="2" customWidth="1"/>
    <col min="20" max="16384" width="9.109375" style="2"/>
  </cols>
  <sheetData>
    <row r="1" spans="1:19" ht="45" customHeight="1" x14ac:dyDescent="0.3">
      <c r="A1" s="227" t="s">
        <v>0</v>
      </c>
      <c r="B1" s="227"/>
      <c r="C1" s="227"/>
      <c r="D1" s="227"/>
      <c r="E1" s="227"/>
      <c r="F1" s="227"/>
      <c r="G1" s="227"/>
      <c r="H1" s="227"/>
      <c r="I1" s="227"/>
      <c r="J1" s="227"/>
      <c r="K1" s="227"/>
      <c r="L1" s="1"/>
      <c r="M1" s="1"/>
      <c r="N1" s="1"/>
      <c r="O1" s="1"/>
    </row>
    <row r="2" spans="1:19" ht="16.5" customHeight="1" x14ac:dyDescent="0.3">
      <c r="A2" s="3" t="s">
        <v>1</v>
      </c>
      <c r="B2" s="4"/>
      <c r="C2" s="4"/>
      <c r="D2" s="4"/>
      <c r="E2" s="4"/>
      <c r="F2" s="4"/>
      <c r="G2" s="4"/>
      <c r="H2" s="4"/>
      <c r="I2" s="4"/>
      <c r="J2" s="4"/>
      <c r="K2" s="4"/>
      <c r="L2" s="4"/>
      <c r="M2" s="4"/>
      <c r="N2" s="4"/>
      <c r="O2" s="4"/>
    </row>
    <row r="3" spans="1:19" ht="16.5" customHeight="1" x14ac:dyDescent="0.3">
      <c r="A3" s="225" t="s">
        <v>2</v>
      </c>
      <c r="B3" s="225"/>
      <c r="C3" s="225"/>
      <c r="D3" s="225"/>
      <c r="E3" s="225"/>
      <c r="F3" s="228" t="s">
        <v>3</v>
      </c>
      <c r="G3" s="228"/>
      <c r="H3" s="228"/>
      <c r="I3" s="228"/>
    </row>
    <row r="4" spans="1:19" ht="16.5" customHeight="1" x14ac:dyDescent="0.25">
      <c r="A4" s="225" t="s">
        <v>4</v>
      </c>
      <c r="B4" s="225"/>
      <c r="C4" s="225"/>
      <c r="D4" s="225"/>
      <c r="E4" s="225"/>
      <c r="F4" s="226" t="s">
        <v>5</v>
      </c>
      <c r="G4" s="226"/>
      <c r="H4" s="226"/>
      <c r="I4" s="226"/>
    </row>
    <row r="5" spans="1:19" ht="16.5" customHeight="1" x14ac:dyDescent="0.25">
      <c r="A5" s="225" t="s">
        <v>6</v>
      </c>
      <c r="B5" s="225"/>
      <c r="C5" s="225"/>
      <c r="D5" s="225"/>
      <c r="E5" s="225"/>
      <c r="F5" s="226" t="s">
        <v>7</v>
      </c>
      <c r="G5" s="226"/>
      <c r="H5" s="226"/>
      <c r="I5" s="226"/>
      <c r="L5" s="5"/>
      <c r="M5" s="5"/>
      <c r="N5" s="5"/>
      <c r="O5" s="5"/>
      <c r="P5" s="5"/>
      <c r="Q5" s="5"/>
    </row>
    <row r="6" spans="1:19" ht="16.5" customHeight="1" x14ac:dyDescent="0.3">
      <c r="A6" s="225" t="s">
        <v>8</v>
      </c>
      <c r="B6" s="225"/>
      <c r="C6" s="225"/>
      <c r="D6" s="225"/>
      <c r="E6" s="225"/>
      <c r="F6" s="229">
        <v>3291</v>
      </c>
      <c r="G6" s="229"/>
      <c r="H6" s="229"/>
      <c r="I6" s="229"/>
      <c r="L6" s="6"/>
      <c r="M6" s="6"/>
      <c r="N6" s="6"/>
      <c r="O6" s="6"/>
      <c r="P6" s="5"/>
      <c r="Q6" s="5"/>
    </row>
    <row r="7" spans="1:19" ht="16.5" customHeight="1" x14ac:dyDescent="0.3">
      <c r="A7" s="225" t="s">
        <v>9</v>
      </c>
      <c r="B7" s="225"/>
      <c r="C7" s="225"/>
      <c r="D7" s="225"/>
      <c r="E7" s="225"/>
      <c r="F7" s="229" t="s">
        <v>10</v>
      </c>
      <c r="G7" s="229"/>
      <c r="H7" s="229"/>
      <c r="I7" s="229"/>
      <c r="K7" s="7"/>
      <c r="L7" s="6"/>
      <c r="M7" s="6"/>
      <c r="N7" s="6"/>
      <c r="O7" s="6"/>
      <c r="P7" s="5"/>
      <c r="Q7" s="5"/>
    </row>
    <row r="8" spans="1:19" ht="16.5" customHeight="1" x14ac:dyDescent="0.3">
      <c r="A8" s="225" t="s">
        <v>11</v>
      </c>
      <c r="B8" s="225"/>
      <c r="C8" s="225"/>
      <c r="D8" s="225"/>
      <c r="E8" s="225"/>
      <c r="F8" s="229" t="s">
        <v>12</v>
      </c>
      <c r="G8" s="229"/>
      <c r="H8" s="229"/>
      <c r="I8" s="229"/>
      <c r="K8" s="7"/>
      <c r="L8" s="6"/>
      <c r="M8" s="6"/>
      <c r="N8" s="6"/>
      <c r="O8" s="6"/>
      <c r="P8" s="5"/>
      <c r="Q8" s="5"/>
    </row>
    <row r="9" spans="1:19" ht="16.5" customHeight="1" x14ac:dyDescent="0.3">
      <c r="A9" s="225" t="s">
        <v>13</v>
      </c>
      <c r="B9" s="225"/>
      <c r="C9" s="225"/>
      <c r="D9" s="225"/>
      <c r="E9" s="225"/>
      <c r="F9" s="230" t="str">
        <f>IFERROR(IF(F7="Proprietary","Proprietary Fund",VLOOKUP(F5,[2]qryIndex02a!$A$2:$K$654,4,FALSE)),"Unidentified")</f>
        <v>TRANSPORTATION</v>
      </c>
      <c r="G9" s="230"/>
      <c r="H9" s="230"/>
      <c r="I9" s="230"/>
      <c r="K9" s="5"/>
      <c r="L9" s="5"/>
      <c r="M9" s="5"/>
      <c r="N9" s="5"/>
      <c r="O9" s="5"/>
      <c r="P9" s="5"/>
    </row>
    <row r="10" spans="1:19" ht="16.5" customHeight="1" x14ac:dyDescent="0.3">
      <c r="A10" s="8"/>
      <c r="B10" s="8"/>
      <c r="C10" s="8"/>
      <c r="D10" s="8"/>
      <c r="E10" s="6"/>
      <c r="F10" s="5"/>
      <c r="G10" s="5"/>
      <c r="H10" s="9"/>
      <c r="I10" s="5"/>
      <c r="J10" s="5"/>
      <c r="K10" s="5"/>
      <c r="L10" s="5"/>
      <c r="M10" s="5"/>
      <c r="N10" s="5"/>
      <c r="O10" s="5"/>
      <c r="P10" s="5"/>
    </row>
    <row r="11" spans="1:19" ht="16.5" customHeight="1" x14ac:dyDescent="0.3">
      <c r="A11" s="8"/>
      <c r="B11" s="8"/>
      <c r="C11" s="8"/>
      <c r="D11" s="8"/>
      <c r="E11" s="6"/>
      <c r="F11" s="5"/>
      <c r="G11" s="5"/>
      <c r="H11" s="9"/>
      <c r="I11" s="5"/>
      <c r="J11" s="5"/>
      <c r="K11" s="5"/>
      <c r="L11" s="5"/>
      <c r="M11" s="5"/>
      <c r="N11" s="5"/>
      <c r="O11" s="5"/>
      <c r="P11" s="5"/>
    </row>
    <row r="12" spans="1:19" s="16" customFormat="1" ht="21" customHeight="1" x14ac:dyDescent="0.4">
      <c r="A12" s="10" t="s">
        <v>14</v>
      </c>
      <c r="B12" s="11"/>
      <c r="C12" s="12"/>
      <c r="D12" s="12"/>
      <c r="E12" s="12"/>
      <c r="F12" s="13"/>
      <c r="G12" s="13"/>
      <c r="H12" s="14"/>
      <c r="I12" s="14"/>
      <c r="J12" s="13"/>
      <c r="K12" s="13"/>
      <c r="L12" s="5"/>
      <c r="M12" s="5"/>
      <c r="N12" s="15"/>
      <c r="O12" s="15"/>
      <c r="P12" s="15"/>
    </row>
    <row r="13" spans="1:19" s="19" customFormat="1" ht="16.5" customHeight="1" x14ac:dyDescent="0.35">
      <c r="A13" s="17" t="s">
        <v>15</v>
      </c>
      <c r="B13" s="18"/>
      <c r="D13" s="20"/>
      <c r="E13" s="20"/>
      <c r="F13" s="21"/>
      <c r="G13" s="21"/>
      <c r="H13" s="22"/>
      <c r="I13" s="22"/>
      <c r="J13" s="23"/>
      <c r="K13" s="23"/>
    </row>
    <row r="14" spans="1:19" ht="16.5" customHeight="1" x14ac:dyDescent="0.35">
      <c r="A14" s="24">
        <v>0</v>
      </c>
      <c r="B14" s="25" t="s">
        <v>16</v>
      </c>
      <c r="C14" s="26"/>
      <c r="D14" s="26"/>
      <c r="E14" s="26"/>
      <c r="F14" s="27"/>
      <c r="G14" s="27"/>
      <c r="H14" s="28"/>
      <c r="I14" s="28"/>
      <c r="J14" s="23"/>
      <c r="K14" s="23"/>
      <c r="L14" s="19"/>
      <c r="M14" s="231" t="s">
        <v>17</v>
      </c>
      <c r="N14" s="232"/>
      <c r="O14" s="19"/>
      <c r="P14" s="231" t="s">
        <v>18</v>
      </c>
      <c r="Q14" s="232"/>
      <c r="R14" s="19"/>
      <c r="S14" s="29" t="s">
        <v>19</v>
      </c>
    </row>
    <row r="15" spans="1:19" ht="16.5" customHeight="1" x14ac:dyDescent="0.3">
      <c r="A15" s="30" t="s">
        <v>20</v>
      </c>
      <c r="B15" s="31" t="s">
        <v>21</v>
      </c>
      <c r="C15" s="31"/>
      <c r="D15" s="31"/>
      <c r="E15" s="32"/>
      <c r="F15" s="33"/>
      <c r="G15" s="33"/>
      <c r="H15" s="34"/>
      <c r="I15" s="34"/>
      <c r="J15" s="35">
        <f>M15</f>
        <v>0</v>
      </c>
      <c r="M15" s="36"/>
      <c r="P15" s="36"/>
      <c r="Q15" s="37"/>
      <c r="S15" s="38">
        <f t="shared" ref="S15:S20" si="0">P15-M15</f>
        <v>0</v>
      </c>
    </row>
    <row r="16" spans="1:19" ht="16.5" customHeight="1" x14ac:dyDescent="0.3">
      <c r="A16" s="30" t="s">
        <v>20</v>
      </c>
      <c r="B16" s="31" t="s">
        <v>22</v>
      </c>
      <c r="C16" s="31"/>
      <c r="D16" s="31"/>
      <c r="E16" s="32"/>
      <c r="F16" s="33"/>
      <c r="G16" s="33"/>
      <c r="H16" s="34"/>
      <c r="I16" s="34"/>
      <c r="J16" s="35">
        <f>M16</f>
        <v>0</v>
      </c>
      <c r="M16" s="36"/>
      <c r="P16" s="36"/>
      <c r="Q16" s="37"/>
      <c r="S16" s="38">
        <f t="shared" si="0"/>
        <v>0</v>
      </c>
    </row>
    <row r="17" spans="1:19" ht="16.5" customHeight="1" x14ac:dyDescent="0.3">
      <c r="A17" s="30" t="s">
        <v>20</v>
      </c>
      <c r="B17" s="31" t="s">
        <v>23</v>
      </c>
      <c r="C17" s="31"/>
      <c r="D17" s="31"/>
      <c r="E17" s="32"/>
      <c r="F17" s="33"/>
      <c r="G17" s="33"/>
      <c r="H17" s="34"/>
      <c r="I17" s="34"/>
      <c r="J17" s="35">
        <f>M17</f>
        <v>83839</v>
      </c>
      <c r="M17" s="36">
        <v>83839</v>
      </c>
      <c r="P17" s="36">
        <v>83839</v>
      </c>
      <c r="Q17" s="37"/>
      <c r="S17" s="38">
        <f t="shared" si="0"/>
        <v>0</v>
      </c>
    </row>
    <row r="18" spans="1:19" ht="16.5" customHeight="1" x14ac:dyDescent="0.3">
      <c r="A18" s="39"/>
      <c r="B18" s="31" t="s">
        <v>24</v>
      </c>
      <c r="C18" s="31"/>
      <c r="D18" s="31"/>
      <c r="E18" s="32"/>
      <c r="F18" s="33"/>
      <c r="G18" s="33"/>
      <c r="H18" s="34"/>
      <c r="I18" s="34"/>
      <c r="J18" s="35">
        <f>P18</f>
        <v>151</v>
      </c>
      <c r="M18" s="36">
        <v>150</v>
      </c>
      <c r="P18" s="40">
        <f>IF(SUM($Q$21:$Q$23)&gt;SUM($P$15:$P$17),SUM($Q$21:$Q$23)-SUM($P$15:$P$17),0)</f>
        <v>151</v>
      </c>
      <c r="Q18" s="37"/>
      <c r="S18" s="38">
        <f t="shared" si="0"/>
        <v>1</v>
      </c>
    </row>
    <row r="19" spans="1:19" ht="16.5" customHeight="1" x14ac:dyDescent="0.3">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3">
      <c r="A20" s="39"/>
      <c r="B20" s="31"/>
      <c r="C20" s="31" t="s">
        <v>26</v>
      </c>
      <c r="D20" s="31"/>
      <c r="E20" s="32"/>
      <c r="F20" s="33"/>
      <c r="G20" s="33"/>
      <c r="H20" s="34"/>
      <c r="I20" s="34"/>
      <c r="J20" s="41"/>
      <c r="K20" s="35">
        <f>N20</f>
        <v>0</v>
      </c>
      <c r="N20" s="36"/>
      <c r="P20" s="37"/>
      <c r="Q20" s="36"/>
      <c r="S20" s="38">
        <f t="shared" si="0"/>
        <v>0</v>
      </c>
    </row>
    <row r="21" spans="1:19" ht="16.5" customHeight="1" x14ac:dyDescent="0.3">
      <c r="A21" s="39"/>
      <c r="B21" s="31"/>
      <c r="C21" s="31" t="s">
        <v>27</v>
      </c>
      <c r="D21" s="31"/>
      <c r="E21" s="32"/>
      <c r="F21" s="33"/>
      <c r="G21" s="33"/>
      <c r="H21" s="34"/>
      <c r="I21" s="34"/>
      <c r="J21" s="41"/>
      <c r="K21" s="35">
        <f>N21</f>
        <v>0</v>
      </c>
      <c r="N21" s="36"/>
      <c r="P21" s="37"/>
      <c r="Q21" s="36"/>
      <c r="S21" s="38">
        <f>Q21-N21</f>
        <v>0</v>
      </c>
    </row>
    <row r="22" spans="1:19" ht="16.5" customHeight="1" x14ac:dyDescent="0.3">
      <c r="A22" s="39"/>
      <c r="B22" s="31"/>
      <c r="C22" s="31" t="s">
        <v>28</v>
      </c>
      <c r="D22" s="31"/>
      <c r="E22" s="32"/>
      <c r="F22" s="33"/>
      <c r="G22" s="33"/>
      <c r="H22" s="34"/>
      <c r="I22" s="34"/>
      <c r="J22" s="41"/>
      <c r="K22" s="35">
        <f>N22</f>
        <v>4658</v>
      </c>
      <c r="N22" s="36">
        <v>4658</v>
      </c>
      <c r="P22" s="37"/>
      <c r="Q22" s="36">
        <v>4658</v>
      </c>
      <c r="S22" s="38">
        <f t="shared" ref="S22:S25" si="1">Q22-N22</f>
        <v>0</v>
      </c>
    </row>
    <row r="23" spans="1:19" ht="16.5" customHeight="1" x14ac:dyDescent="0.3">
      <c r="A23" s="42" t="s">
        <v>29</v>
      </c>
      <c r="B23" s="31"/>
      <c r="C23" s="31" t="s">
        <v>30</v>
      </c>
      <c r="D23" s="31"/>
      <c r="E23" s="32"/>
      <c r="F23" s="33"/>
      <c r="G23" s="33"/>
      <c r="H23" s="34"/>
      <c r="I23" s="34"/>
      <c r="J23" s="41"/>
      <c r="K23" s="35">
        <f>N23</f>
        <v>79332</v>
      </c>
      <c r="N23" s="36">
        <v>79332</v>
      </c>
      <c r="P23" s="37"/>
      <c r="Q23" s="36">
        <v>79332</v>
      </c>
      <c r="S23" s="38">
        <f t="shared" si="1"/>
        <v>0</v>
      </c>
    </row>
    <row r="24" spans="1:19" ht="16.5" customHeight="1" x14ac:dyDescent="0.3">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3">
      <c r="A25" s="39"/>
      <c r="B25" s="31"/>
      <c r="C25" s="31" t="s">
        <v>32</v>
      </c>
      <c r="D25" s="31"/>
      <c r="E25" s="32"/>
      <c r="F25" s="33"/>
      <c r="G25" s="33"/>
      <c r="H25" s="34"/>
      <c r="I25" s="34"/>
      <c r="J25" s="41"/>
      <c r="K25" s="35">
        <f>IF(SUM($K$21:$K$24)&lt;SUM($J$15:$J$18),-SUM($K$21:$K$24)+SUM($J$15:$J$18),0)</f>
        <v>0</v>
      </c>
      <c r="N25" s="36"/>
      <c r="P25" s="37"/>
      <c r="Q25" s="37"/>
      <c r="S25" s="38">
        <f t="shared" si="1"/>
        <v>0</v>
      </c>
    </row>
    <row r="26" spans="1:19" ht="16.5" customHeight="1" x14ac:dyDescent="0.3">
      <c r="A26" s="39"/>
      <c r="C26" s="43"/>
      <c r="D26" s="43"/>
      <c r="E26" s="43"/>
      <c r="F26" s="44"/>
      <c r="G26" s="44"/>
      <c r="H26" s="45"/>
      <c r="I26" s="45"/>
      <c r="J26" s="46">
        <f>SUM(J15:J25)</f>
        <v>83990</v>
      </c>
      <c r="K26" s="46">
        <f>SUM(K15:K25)</f>
        <v>83990</v>
      </c>
      <c r="L26" s="47" t="str">
        <f>IF(J26=K26,"&lt;- Debits and Credits equal each other.","&lt;- Debits and Credits do not equal each other.")</f>
        <v>&lt;- Debits and Credits equal each other.</v>
      </c>
    </row>
    <row r="27" spans="1:19" ht="16.5" customHeight="1" x14ac:dyDescent="0.3">
      <c r="A27" s="48"/>
      <c r="B27" s="22" t="s">
        <v>33</v>
      </c>
      <c r="C27" s="49"/>
      <c r="D27" s="43"/>
      <c r="E27" s="43"/>
      <c r="F27" s="50"/>
      <c r="G27" s="50"/>
      <c r="H27" s="45"/>
      <c r="I27" s="45"/>
      <c r="J27" s="51"/>
      <c r="K27" s="51"/>
      <c r="L27" s="47"/>
    </row>
    <row r="28" spans="1:19" ht="16.2" customHeight="1" x14ac:dyDescent="0.35">
      <c r="A28" s="48"/>
      <c r="B28" s="52" t="s">
        <v>34</v>
      </c>
      <c r="C28" s="53"/>
      <c r="D28" s="43"/>
      <c r="E28" s="43"/>
      <c r="F28" s="44"/>
      <c r="G28" s="44"/>
      <c r="H28" s="45"/>
      <c r="I28" s="45"/>
      <c r="J28" s="51"/>
      <c r="K28" s="51"/>
      <c r="L28" s="47"/>
    </row>
    <row r="29" spans="1:19" ht="16.2" customHeight="1" x14ac:dyDescent="0.35">
      <c r="A29" s="48"/>
      <c r="B29" s="52"/>
      <c r="C29" s="53"/>
      <c r="D29" s="43"/>
      <c r="E29" s="43"/>
      <c r="F29" s="44"/>
      <c r="G29" s="44"/>
      <c r="H29" s="45"/>
      <c r="I29" s="45"/>
      <c r="J29" s="51"/>
      <c r="K29" s="51"/>
      <c r="L29" s="47"/>
    </row>
    <row r="30" spans="1:19" ht="16.5" customHeight="1" x14ac:dyDescent="0.3">
      <c r="A30" s="39"/>
      <c r="C30" s="43"/>
      <c r="D30" s="43"/>
      <c r="E30" s="43"/>
      <c r="F30" s="44"/>
      <c r="G30" s="44"/>
      <c r="H30" s="45"/>
      <c r="I30" s="45"/>
      <c r="J30" s="46"/>
      <c r="K30" s="46"/>
      <c r="L30" s="47"/>
    </row>
    <row r="31" spans="1:19" s="16" customFormat="1" ht="21" customHeight="1" x14ac:dyDescent="0.4">
      <c r="A31" s="10" t="s">
        <v>35</v>
      </c>
      <c r="B31" s="11"/>
      <c r="C31" s="12"/>
      <c r="D31" s="12"/>
      <c r="E31" s="12"/>
      <c r="F31" s="13"/>
      <c r="G31" s="13"/>
      <c r="H31" s="14"/>
      <c r="I31" s="14"/>
      <c r="J31" s="13"/>
      <c r="K31" s="13"/>
      <c r="L31" s="5"/>
      <c r="M31" s="5"/>
      <c r="N31" s="15"/>
      <c r="O31" s="15"/>
      <c r="P31" s="15"/>
    </row>
    <row r="32" spans="1:19" s="19" customFormat="1" ht="16.5" customHeight="1" x14ac:dyDescent="0.35">
      <c r="A32" s="17">
        <v>1</v>
      </c>
      <c r="B32" s="18" t="s">
        <v>36</v>
      </c>
      <c r="D32" s="20"/>
      <c r="E32" s="20"/>
      <c r="F32" s="21"/>
      <c r="G32" s="21"/>
      <c r="H32" s="22"/>
      <c r="I32" s="22"/>
      <c r="J32" s="23"/>
      <c r="K32" s="23"/>
    </row>
    <row r="33" spans="1:12" ht="16.5" customHeight="1" x14ac:dyDescent="0.3">
      <c r="B33" s="31" t="s">
        <v>37</v>
      </c>
      <c r="C33" s="31"/>
      <c r="D33" s="32"/>
      <c r="E33" s="32"/>
      <c r="F33" s="33"/>
      <c r="G33" s="33"/>
      <c r="H33" s="34"/>
      <c r="I33" s="34"/>
      <c r="J33" s="36">
        <v>0</v>
      </c>
      <c r="K33" s="54"/>
    </row>
    <row r="34" spans="1:12" ht="16.5" customHeight="1" x14ac:dyDescent="0.3">
      <c r="A34" s="39"/>
      <c r="B34" s="31"/>
      <c r="C34" s="31" t="s">
        <v>38</v>
      </c>
      <c r="D34" s="32"/>
      <c r="E34" s="32"/>
      <c r="F34" s="33"/>
      <c r="G34" s="33"/>
      <c r="H34" s="34"/>
      <c r="I34" s="34"/>
      <c r="J34" s="54"/>
      <c r="K34" s="36">
        <v>0</v>
      </c>
    </row>
    <row r="35" spans="1:12" ht="16.5" customHeight="1" x14ac:dyDescent="0.3">
      <c r="A35" s="39"/>
      <c r="B35" s="31"/>
      <c r="C35" s="31" t="str">
        <f>IF($F$7="Proprietary","Cr: Acct 0870 - SERVICES &amp; CHARGES (MG ADJ)",VLOOKUP($F$9,'[2]Drop Down Menus'!$F$2:$G$10,2,FALSE))</f>
        <v>Cr: Acct 0830 - TRANSPORTATION (GAAP ADJ)</v>
      </c>
      <c r="D35" s="32"/>
      <c r="E35" s="32"/>
      <c r="F35" s="33"/>
      <c r="G35" s="33"/>
      <c r="H35" s="34"/>
      <c r="I35" s="34"/>
      <c r="J35" s="54"/>
      <c r="K35" s="36">
        <v>0</v>
      </c>
    </row>
    <row r="36" spans="1:12" ht="16.5" customHeight="1" x14ac:dyDescent="0.3">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3">
      <c r="A37" s="48"/>
      <c r="B37" s="55"/>
      <c r="C37" s="26"/>
      <c r="D37" s="26"/>
      <c r="E37" s="26"/>
      <c r="F37" s="27"/>
      <c r="G37" s="27"/>
      <c r="H37" s="28"/>
      <c r="I37" s="28"/>
      <c r="J37" s="51"/>
      <c r="K37" s="51"/>
      <c r="L37" s="47"/>
    </row>
    <row r="38" spans="1:12" ht="16.5" customHeight="1" x14ac:dyDescent="0.35">
      <c r="A38" s="24">
        <v>2</v>
      </c>
      <c r="B38" s="18" t="s">
        <v>39</v>
      </c>
      <c r="C38" s="26"/>
      <c r="D38" s="26"/>
      <c r="E38" s="26"/>
      <c r="F38" s="27"/>
      <c r="G38" s="27"/>
      <c r="H38" s="28"/>
      <c r="I38" s="28"/>
      <c r="J38" s="51"/>
      <c r="K38" s="51"/>
      <c r="L38" s="47"/>
    </row>
    <row r="39" spans="1:12" ht="16.5" customHeight="1" x14ac:dyDescent="0.3">
      <c r="A39" s="30" t="s">
        <v>20</v>
      </c>
      <c r="B39" s="31" t="s">
        <v>21</v>
      </c>
      <c r="C39" s="31"/>
      <c r="D39" s="32"/>
      <c r="E39" s="32"/>
      <c r="F39" s="33"/>
      <c r="G39" s="33"/>
      <c r="H39" s="34"/>
      <c r="I39" s="34"/>
      <c r="J39" s="36">
        <v>0</v>
      </c>
      <c r="K39" s="54"/>
    </row>
    <row r="40" spans="1:12" ht="16.5" customHeight="1" x14ac:dyDescent="0.3">
      <c r="A40" s="30" t="s">
        <v>20</v>
      </c>
      <c r="B40" s="31" t="s">
        <v>22</v>
      </c>
      <c r="C40" s="31"/>
      <c r="D40" s="32"/>
      <c r="E40" s="32"/>
      <c r="F40" s="33"/>
      <c r="G40" s="33"/>
      <c r="H40" s="34"/>
      <c r="I40" s="34"/>
      <c r="J40" s="36">
        <v>0</v>
      </c>
      <c r="K40" s="54"/>
    </row>
    <row r="41" spans="1:12" ht="16.5" customHeight="1" x14ac:dyDescent="0.3">
      <c r="A41" s="30" t="s">
        <v>20</v>
      </c>
      <c r="B41" s="31" t="s">
        <v>23</v>
      </c>
      <c r="C41" s="31"/>
      <c r="D41" s="32"/>
      <c r="E41" s="32"/>
      <c r="F41" s="33"/>
      <c r="G41" s="33"/>
      <c r="H41" s="34"/>
      <c r="I41" s="34"/>
      <c r="J41" s="36">
        <v>0</v>
      </c>
      <c r="K41" s="54"/>
    </row>
    <row r="42" spans="1:12" ht="16.5" customHeight="1" x14ac:dyDescent="0.3">
      <c r="A42" s="39"/>
      <c r="B42" s="31"/>
      <c r="C42" s="31" t="s">
        <v>40</v>
      </c>
      <c r="D42" s="32"/>
      <c r="E42" s="32"/>
      <c r="F42" s="33"/>
      <c r="G42" s="33"/>
      <c r="H42" s="34"/>
      <c r="I42" s="34"/>
      <c r="J42" s="54"/>
      <c r="K42" s="36">
        <v>0</v>
      </c>
    </row>
    <row r="43" spans="1:12" ht="16.5" customHeight="1" x14ac:dyDescent="0.3">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3">
      <c r="A44" s="48"/>
      <c r="C44" s="49"/>
      <c r="D44" s="43"/>
      <c r="E44" s="43"/>
      <c r="F44" s="50"/>
      <c r="G44" s="50"/>
      <c r="H44" s="45"/>
      <c r="I44" s="45"/>
      <c r="J44" s="51"/>
      <c r="K44" s="51"/>
      <c r="L44" s="47"/>
    </row>
    <row r="45" spans="1:12" ht="16.5" customHeight="1" x14ac:dyDescent="0.3">
      <c r="A45" s="48"/>
      <c r="B45" s="22"/>
      <c r="C45" s="49"/>
      <c r="D45" s="43"/>
      <c r="E45" s="43"/>
      <c r="F45" s="50"/>
      <c r="G45" s="50"/>
      <c r="H45" s="45"/>
      <c r="I45" s="45"/>
      <c r="J45" s="51"/>
      <c r="K45" s="51"/>
      <c r="L45" s="47"/>
    </row>
    <row r="46" spans="1:12" s="19" customFormat="1" ht="16.5" customHeight="1" x14ac:dyDescent="0.35">
      <c r="A46" s="17">
        <v>3</v>
      </c>
      <c r="B46" s="18" t="s">
        <v>42</v>
      </c>
      <c r="C46" s="20"/>
      <c r="D46" s="20"/>
      <c r="E46" s="20"/>
      <c r="F46" s="21"/>
      <c r="G46" s="21"/>
      <c r="H46" s="22"/>
      <c r="I46" s="22"/>
      <c r="J46" s="23"/>
      <c r="K46" s="23"/>
    </row>
    <row r="47" spans="1:12" ht="16.5" customHeight="1" x14ac:dyDescent="0.3">
      <c r="B47" s="31" t="s">
        <v>43</v>
      </c>
      <c r="C47" s="31"/>
      <c r="D47" s="32"/>
      <c r="E47" s="32"/>
      <c r="F47" s="33"/>
      <c r="G47" s="33"/>
      <c r="H47" s="34"/>
      <c r="I47" s="34"/>
      <c r="J47" s="36">
        <v>0</v>
      </c>
      <c r="K47" s="54"/>
    </row>
    <row r="48" spans="1:12" ht="16.5" customHeight="1" x14ac:dyDescent="0.3">
      <c r="A48" s="42" t="s">
        <v>29</v>
      </c>
      <c r="B48" s="31"/>
      <c r="C48" s="31" t="s">
        <v>30</v>
      </c>
      <c r="D48" s="32"/>
      <c r="E48" s="32"/>
      <c r="F48" s="33"/>
      <c r="G48" s="33"/>
      <c r="H48" s="34"/>
      <c r="I48" s="34"/>
      <c r="J48" s="54"/>
      <c r="K48" s="36">
        <v>0</v>
      </c>
    </row>
    <row r="49" spans="1:16" ht="16.5" customHeight="1" x14ac:dyDescent="0.3">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3">
      <c r="A50" s="39"/>
      <c r="B50" s="52" t="s">
        <v>44</v>
      </c>
      <c r="C50" s="26"/>
      <c r="D50" s="26"/>
      <c r="E50" s="26"/>
      <c r="F50" s="27"/>
      <c r="G50" s="27"/>
      <c r="H50" s="28"/>
      <c r="I50" s="28"/>
      <c r="J50" s="46"/>
      <c r="K50" s="46"/>
      <c r="L50" s="47"/>
    </row>
    <row r="51" spans="1:16" ht="16.5" customHeight="1" x14ac:dyDescent="0.3">
      <c r="A51" s="39"/>
      <c r="B51" s="52"/>
      <c r="C51" s="26"/>
      <c r="D51" s="26"/>
      <c r="E51" s="26"/>
      <c r="F51" s="27"/>
      <c r="G51" s="27"/>
      <c r="H51" s="28"/>
      <c r="I51" s="28"/>
      <c r="J51" s="46"/>
      <c r="K51" s="46"/>
      <c r="L51" s="47"/>
    </row>
    <row r="52" spans="1:16" ht="16.5" customHeight="1" x14ac:dyDescent="0.3">
      <c r="A52" s="48"/>
      <c r="B52" s="26"/>
      <c r="C52" s="26"/>
      <c r="D52" s="26"/>
      <c r="E52" s="26"/>
      <c r="F52" s="27"/>
      <c r="G52" s="27"/>
      <c r="H52" s="28"/>
      <c r="I52" s="28"/>
      <c r="J52" s="51"/>
      <c r="K52" s="51"/>
      <c r="L52" s="47"/>
    </row>
    <row r="53" spans="1:16" s="16" customFormat="1" ht="21" customHeight="1" x14ac:dyDescent="0.4">
      <c r="A53" s="10" t="s">
        <v>45</v>
      </c>
      <c r="B53" s="11"/>
      <c r="C53" s="12"/>
      <c r="D53" s="12"/>
      <c r="E53" s="12"/>
      <c r="F53" s="13"/>
      <c r="G53" s="13"/>
      <c r="H53" s="14"/>
      <c r="I53" s="14"/>
      <c r="J53" s="13"/>
      <c r="K53" s="13"/>
      <c r="L53" s="5"/>
      <c r="M53" s="5"/>
      <c r="N53" s="15"/>
      <c r="O53" s="15"/>
      <c r="P53" s="15"/>
    </row>
    <row r="54" spans="1:16" s="19" customFormat="1" ht="16.5" customHeight="1" x14ac:dyDescent="0.35">
      <c r="A54" s="17">
        <v>4</v>
      </c>
      <c r="B54" s="18" t="s">
        <v>46</v>
      </c>
      <c r="C54" s="20"/>
      <c r="D54" s="20"/>
      <c r="E54" s="20"/>
      <c r="F54" s="21"/>
      <c r="G54" s="21"/>
      <c r="H54" s="22"/>
      <c r="I54" s="22"/>
      <c r="J54" s="23"/>
      <c r="K54" s="23"/>
    </row>
    <row r="55" spans="1:16" ht="16.5" customHeight="1" x14ac:dyDescent="0.3">
      <c r="B55" s="31" t="s">
        <v>47</v>
      </c>
      <c r="C55" s="56"/>
      <c r="D55" s="32"/>
      <c r="E55" s="32"/>
      <c r="F55" s="33"/>
      <c r="G55" s="33"/>
      <c r="H55" s="34"/>
      <c r="I55" s="34"/>
      <c r="J55" s="36">
        <v>27946.443489849193</v>
      </c>
      <c r="K55" s="54"/>
    </row>
    <row r="56" spans="1:16" ht="16.5" customHeight="1" x14ac:dyDescent="0.3">
      <c r="A56" s="39"/>
      <c r="B56" s="56"/>
      <c r="C56" s="31" t="s">
        <v>26</v>
      </c>
      <c r="D56" s="32"/>
      <c r="E56" s="32"/>
      <c r="F56" s="33"/>
      <c r="G56" s="33"/>
      <c r="H56" s="34"/>
      <c r="I56" s="34"/>
      <c r="J56" s="57"/>
      <c r="K56" s="36"/>
    </row>
    <row r="57" spans="1:16" ht="16.5" customHeight="1" x14ac:dyDescent="0.3">
      <c r="A57" s="39"/>
      <c r="B57" s="56"/>
      <c r="C57" s="31" t="s">
        <v>27</v>
      </c>
      <c r="D57" s="32"/>
      <c r="E57" s="32"/>
      <c r="F57" s="33"/>
      <c r="G57" s="33"/>
      <c r="H57" s="34"/>
      <c r="I57" s="34"/>
      <c r="J57" s="57"/>
      <c r="K57" s="36"/>
    </row>
    <row r="58" spans="1:16" ht="16.5" customHeight="1" x14ac:dyDescent="0.3">
      <c r="A58" s="39"/>
      <c r="B58" s="31"/>
      <c r="C58" s="31" t="s">
        <v>28</v>
      </c>
      <c r="D58" s="32"/>
      <c r="E58" s="32"/>
      <c r="F58" s="33"/>
      <c r="G58" s="33"/>
      <c r="H58" s="34"/>
      <c r="I58" s="34"/>
      <c r="J58" s="54"/>
      <c r="K58" s="36">
        <v>27946.443489849193</v>
      </c>
    </row>
    <row r="59" spans="1:16" ht="16.5" customHeight="1" x14ac:dyDescent="0.3">
      <c r="A59" s="39"/>
      <c r="C59" s="26"/>
      <c r="D59" s="26"/>
      <c r="E59" s="26"/>
      <c r="F59" s="27"/>
      <c r="G59" s="27"/>
      <c r="H59" s="28"/>
      <c r="I59" s="28"/>
      <c r="J59" s="46">
        <f>SUM(J55:J58)</f>
        <v>27946.443489849193</v>
      </c>
      <c r="K59" s="46">
        <f>SUM(K55:K58)</f>
        <v>27946.443489849193</v>
      </c>
      <c r="L59" s="47" t="str">
        <f>IF(J59=K59,"&lt;- Debits and Credits equal each other.","&lt;- Debits and Credits do not equal each other.")</f>
        <v>&lt;- Debits and Credits equal each other.</v>
      </c>
    </row>
    <row r="60" spans="1:16" ht="16.5" customHeight="1" x14ac:dyDescent="0.35">
      <c r="A60" s="39"/>
      <c r="B60" s="25"/>
      <c r="C60" s="43"/>
      <c r="D60" s="43"/>
      <c r="E60" s="43"/>
      <c r="F60" s="50"/>
      <c r="G60" s="50"/>
      <c r="H60" s="45"/>
      <c r="I60" s="45"/>
    </row>
    <row r="61" spans="1:16" s="19" customFormat="1" ht="16.5" customHeight="1" x14ac:dyDescent="0.35">
      <c r="A61" s="17">
        <v>5</v>
      </c>
      <c r="B61" s="18" t="s">
        <v>48</v>
      </c>
      <c r="C61" s="20"/>
      <c r="D61" s="20"/>
      <c r="E61" s="20"/>
      <c r="F61" s="21"/>
      <c r="G61" s="21"/>
      <c r="H61" s="22"/>
      <c r="I61" s="22"/>
      <c r="J61" s="23"/>
      <c r="K61" s="23"/>
    </row>
    <row r="62" spans="1:16" ht="16.5" customHeight="1" x14ac:dyDescent="0.3">
      <c r="B62" s="31" t="s">
        <v>49</v>
      </c>
      <c r="C62" s="31"/>
      <c r="D62" s="32"/>
      <c r="E62" s="32"/>
      <c r="F62" s="33"/>
      <c r="G62" s="33"/>
      <c r="H62" s="34"/>
      <c r="I62" s="34"/>
      <c r="J62" s="58">
        <v>27211.597623002162</v>
      </c>
      <c r="K62" s="59"/>
    </row>
    <row r="63" spans="1:16" ht="16.5" customHeight="1" x14ac:dyDescent="0.3">
      <c r="A63" s="39"/>
      <c r="B63" s="31" t="str">
        <f>IF(F7="Governmental","Dr: Acct 0851 - DEBT SERVICE - INTEREST LEASES","Dr: Acct 0894 - INTEREST EXPENSE AND FISCAL CHARGES")</f>
        <v>Dr: Acct 0851 - DEBT SERVICE - INTEREST LEASES</v>
      </c>
      <c r="C63" s="31"/>
      <c r="D63" s="32"/>
      <c r="E63" s="32"/>
      <c r="F63" s="33"/>
      <c r="G63" s="33"/>
      <c r="H63" s="34"/>
      <c r="I63" s="34"/>
      <c r="J63" s="58">
        <v>133.84237699783355</v>
      </c>
      <c r="K63" s="59"/>
    </row>
    <row r="64" spans="1:16" ht="16.5" customHeight="1" x14ac:dyDescent="0.3">
      <c r="A64" s="39"/>
      <c r="B64" s="31"/>
      <c r="C64" s="31" t="str">
        <f>IF($F$7="Proprietary","Cr: Acct 0870 - SERVICES &amp; CHARGES (MG ADJ)",VLOOKUP($F$9,'[2]Drop Down Menus'!$F$2:$G$10,2,FALSE))</f>
        <v>Cr: Acct 0830 - TRANSPORTATION (GAAP ADJ)</v>
      </c>
      <c r="D64" s="32"/>
      <c r="E64" s="32"/>
      <c r="F64" s="33"/>
      <c r="G64" s="33"/>
      <c r="H64" s="34"/>
      <c r="I64" s="34"/>
      <c r="J64" s="59"/>
      <c r="K64" s="36">
        <v>27345.439999999995</v>
      </c>
    </row>
    <row r="65" spans="1:12" ht="16.5" customHeight="1" x14ac:dyDescent="0.3">
      <c r="A65" s="39"/>
      <c r="C65" s="26"/>
      <c r="D65" s="26"/>
      <c r="E65" s="26"/>
      <c r="F65" s="27"/>
      <c r="G65" s="27"/>
      <c r="H65" s="28"/>
      <c r="I65" s="28"/>
      <c r="J65" s="46">
        <f>SUM(J62:J64)</f>
        <v>27345.439999999995</v>
      </c>
      <c r="K65" s="46">
        <f>SUM(K62:K64)</f>
        <v>27345.439999999995</v>
      </c>
      <c r="L65" s="47" t="str">
        <f>IF(J65=K65,"&lt;- Debits and Credits equal each other.","&lt;- Debits and Credits do not equal each other.")</f>
        <v>&lt;- Debits and Credits equal each other.</v>
      </c>
    </row>
    <row r="66" spans="1:12" ht="16.5" customHeight="1" x14ac:dyDescent="0.35">
      <c r="A66" s="48"/>
      <c r="B66" s="25"/>
      <c r="C66" s="26"/>
      <c r="D66" s="26"/>
      <c r="E66" s="26"/>
      <c r="F66" s="27"/>
      <c r="G66" s="27"/>
      <c r="H66" s="28"/>
      <c r="I66" s="28"/>
      <c r="J66" s="51"/>
      <c r="K66" s="51"/>
      <c r="L66" s="47"/>
    </row>
    <row r="67" spans="1:12" s="19" customFormat="1" ht="16.5" customHeight="1" x14ac:dyDescent="0.35">
      <c r="A67" s="17">
        <v>6</v>
      </c>
      <c r="B67" s="18" t="s">
        <v>50</v>
      </c>
      <c r="C67" s="20"/>
      <c r="D67" s="20"/>
      <c r="E67" s="20"/>
      <c r="F67" s="21"/>
      <c r="G67" s="21"/>
      <c r="H67" s="22"/>
      <c r="I67" s="22"/>
      <c r="J67" s="23"/>
      <c r="K67" s="23"/>
    </row>
    <row r="68" spans="1:12" ht="16.5" customHeight="1" x14ac:dyDescent="0.3">
      <c r="A68" s="42" t="s">
        <v>29</v>
      </c>
      <c r="B68" s="31" t="s">
        <v>51</v>
      </c>
      <c r="C68" s="31"/>
      <c r="D68" s="32"/>
      <c r="E68" s="32"/>
      <c r="F68" s="33"/>
      <c r="G68" s="33"/>
      <c r="H68" s="34"/>
      <c r="I68" s="34"/>
      <c r="J68" s="36">
        <v>27211.597623002162</v>
      </c>
      <c r="K68" s="54"/>
    </row>
    <row r="69" spans="1:12" ht="16.5" customHeight="1" x14ac:dyDescent="0.3">
      <c r="A69" s="39"/>
      <c r="B69" s="31"/>
      <c r="C69" s="31" t="s">
        <v>52</v>
      </c>
      <c r="D69" s="32"/>
      <c r="E69" s="32"/>
      <c r="F69" s="33"/>
      <c r="G69" s="33"/>
      <c r="H69" s="34"/>
      <c r="I69" s="34"/>
      <c r="J69" s="54"/>
      <c r="K69" s="36">
        <v>27211.597623002162</v>
      </c>
    </row>
    <row r="70" spans="1:12" ht="16.5" customHeight="1" x14ac:dyDescent="0.3">
      <c r="A70" s="39"/>
      <c r="C70" s="26"/>
      <c r="D70" s="26"/>
      <c r="E70" s="26"/>
      <c r="F70" s="27"/>
      <c r="G70" s="27"/>
      <c r="H70" s="28"/>
      <c r="I70" s="28"/>
      <c r="J70" s="46">
        <f>SUM(J68:J69)</f>
        <v>27211.597623002162</v>
      </c>
      <c r="K70" s="46">
        <f>SUM(K68:K69)</f>
        <v>27211.597623002162</v>
      </c>
      <c r="L70" s="47" t="str">
        <f>IF(J70=K70,"&lt;- Debits and Credits equal each other.","&lt;- Debits and Credits do not equal each other.")</f>
        <v>&lt;- Debits and Credits equal each other.</v>
      </c>
    </row>
    <row r="71" spans="1:12" ht="16.5" customHeight="1" x14ac:dyDescent="0.3">
      <c r="A71" s="39"/>
      <c r="B71" s="52" t="s">
        <v>53</v>
      </c>
      <c r="C71" s="26"/>
      <c r="D71" s="26"/>
      <c r="E71" s="26"/>
      <c r="F71" s="27"/>
      <c r="G71" s="27"/>
      <c r="H71" s="28"/>
      <c r="I71" s="28"/>
    </row>
    <row r="72" spans="1:12" ht="16.5" customHeight="1" x14ac:dyDescent="0.3">
      <c r="A72" s="39"/>
      <c r="B72" s="52"/>
      <c r="C72" s="26"/>
      <c r="D72" s="26"/>
      <c r="E72" s="26"/>
      <c r="F72" s="27"/>
      <c r="G72" s="27"/>
      <c r="H72" s="28"/>
      <c r="I72" s="28"/>
    </row>
    <row r="73" spans="1:12" ht="16.5" customHeight="1" x14ac:dyDescent="0.3">
      <c r="A73" s="39"/>
      <c r="B73" s="52"/>
      <c r="C73" s="26"/>
      <c r="D73" s="26"/>
      <c r="E73" s="26"/>
      <c r="F73" s="27"/>
      <c r="G73" s="27"/>
      <c r="H73" s="28"/>
      <c r="I73" s="28"/>
    </row>
    <row r="74" spans="1:12" s="19" customFormat="1" ht="16.5" customHeight="1" x14ac:dyDescent="0.35">
      <c r="A74" s="17">
        <v>7</v>
      </c>
      <c r="B74" s="18" t="s">
        <v>54</v>
      </c>
      <c r="C74" s="20"/>
      <c r="D74" s="20"/>
      <c r="E74" s="20"/>
      <c r="F74" s="21"/>
      <c r="G74" s="21"/>
      <c r="H74" s="22"/>
      <c r="I74" s="22"/>
      <c r="J74" s="23"/>
      <c r="K74" s="23"/>
    </row>
    <row r="75" spans="1:12" ht="16.5" customHeight="1" x14ac:dyDescent="0.3">
      <c r="A75" s="42" t="s">
        <v>29</v>
      </c>
      <c r="B75" s="31" t="s">
        <v>51</v>
      </c>
      <c r="C75" s="31"/>
      <c r="D75" s="32"/>
      <c r="E75" s="32"/>
      <c r="F75" s="33"/>
      <c r="G75" s="33"/>
      <c r="H75" s="34"/>
      <c r="I75" s="34"/>
      <c r="J75" s="36">
        <v>28087.139709736759</v>
      </c>
      <c r="K75" s="54"/>
    </row>
    <row r="76" spans="1:12" ht="16.5" customHeight="1" x14ac:dyDescent="0.3">
      <c r="A76" s="39"/>
      <c r="B76" s="31"/>
      <c r="C76" s="31" t="s">
        <v>55</v>
      </c>
      <c r="D76" s="32"/>
      <c r="E76" s="32"/>
      <c r="F76" s="33"/>
      <c r="G76" s="33"/>
      <c r="H76" s="34"/>
      <c r="I76" s="34"/>
      <c r="J76" s="54"/>
      <c r="K76" s="36">
        <v>28087.139709736759</v>
      </c>
    </row>
    <row r="77" spans="1:12" ht="16.5" customHeight="1" x14ac:dyDescent="0.25">
      <c r="A77" s="39"/>
      <c r="B77" s="233" t="s">
        <v>56</v>
      </c>
      <c r="C77" s="233"/>
      <c r="D77" s="233"/>
      <c r="E77" s="233"/>
      <c r="F77" s="233"/>
      <c r="G77" s="233"/>
      <c r="H77" s="233"/>
      <c r="I77" s="233"/>
      <c r="J77" s="46">
        <f>SUM(J75:J76)</f>
        <v>28087.139709736759</v>
      </c>
      <c r="K77" s="46">
        <f>SUM(K75:K76)</f>
        <v>28087.139709736759</v>
      </c>
      <c r="L77" s="47" t="str">
        <f>IF(J77=K77,"&lt;- Debits and Credits equal each other.","&lt;- Debits and Credits do not equal each other.")</f>
        <v>&lt;- Debits and Credits equal each other.</v>
      </c>
    </row>
    <row r="78" spans="1:12" ht="16.5" customHeight="1" x14ac:dyDescent="0.25">
      <c r="A78" s="39"/>
      <c r="B78" s="233"/>
      <c r="C78" s="233"/>
      <c r="D78" s="233"/>
      <c r="E78" s="233"/>
      <c r="F78" s="233"/>
      <c r="G78" s="233"/>
      <c r="H78" s="233"/>
      <c r="I78" s="233"/>
      <c r="J78" s="46"/>
      <c r="K78" s="46"/>
      <c r="L78" s="47"/>
    </row>
    <row r="79" spans="1:12" ht="24.6" customHeight="1" x14ac:dyDescent="0.25">
      <c r="A79" s="39"/>
      <c r="B79" s="233"/>
      <c r="C79" s="233"/>
      <c r="D79" s="233"/>
      <c r="E79" s="233"/>
      <c r="F79" s="233"/>
      <c r="G79" s="233"/>
      <c r="H79" s="233"/>
      <c r="I79" s="233"/>
      <c r="J79" s="46"/>
      <c r="K79" s="46"/>
      <c r="L79" s="47"/>
    </row>
    <row r="80" spans="1:12" ht="16.5" customHeight="1" x14ac:dyDescent="0.3">
      <c r="A80" s="48"/>
      <c r="B80" s="52" t="s">
        <v>57</v>
      </c>
      <c r="C80" s="26"/>
      <c r="D80" s="26"/>
      <c r="E80" s="26"/>
      <c r="F80" s="27"/>
      <c r="G80" s="27"/>
      <c r="H80" s="28"/>
      <c r="I80" s="28"/>
      <c r="J80" s="51"/>
      <c r="K80" s="51"/>
      <c r="L80" s="47"/>
    </row>
    <row r="81" spans="1:16" ht="16.5" customHeight="1" x14ac:dyDescent="0.3">
      <c r="A81" s="48"/>
      <c r="B81" s="52"/>
      <c r="C81" s="26"/>
      <c r="D81" s="26"/>
      <c r="E81" s="26"/>
      <c r="F81" s="27"/>
      <c r="G81" s="27"/>
      <c r="H81" s="28"/>
      <c r="I81" s="28"/>
      <c r="J81" s="51"/>
      <c r="K81" s="51"/>
      <c r="L81" s="47"/>
    </row>
    <row r="82" spans="1:16" ht="16.5" customHeight="1" x14ac:dyDescent="0.35">
      <c r="A82" s="48"/>
      <c r="B82" s="25"/>
      <c r="C82" s="26"/>
      <c r="D82" s="26"/>
      <c r="E82" s="26"/>
      <c r="F82" s="27"/>
      <c r="G82" s="27"/>
      <c r="H82" s="28"/>
      <c r="I82" s="28"/>
      <c r="J82" s="51"/>
      <c r="K82" s="51"/>
      <c r="L82" s="47"/>
    </row>
    <row r="83" spans="1:16" s="16" customFormat="1" ht="21" customHeight="1" x14ac:dyDescent="0.4">
      <c r="A83" s="10" t="s">
        <v>58</v>
      </c>
      <c r="B83" s="11"/>
      <c r="C83" s="12"/>
      <c r="D83" s="12"/>
      <c r="E83" s="12"/>
      <c r="F83" s="13"/>
      <c r="G83" s="13"/>
      <c r="H83" s="14"/>
      <c r="I83" s="14"/>
      <c r="J83" s="13"/>
      <c r="K83" s="13"/>
      <c r="L83" s="5"/>
      <c r="M83" s="5"/>
      <c r="N83" s="15"/>
      <c r="O83" s="15"/>
      <c r="P83" s="15"/>
    </row>
    <row r="84" spans="1:16" s="19" customFormat="1" ht="16.5" customHeight="1" x14ac:dyDescent="0.35">
      <c r="A84" s="17">
        <v>8</v>
      </c>
      <c r="B84" s="18" t="s">
        <v>59</v>
      </c>
      <c r="H84" s="60"/>
    </row>
    <row r="85" spans="1:16" ht="16.5" customHeight="1" x14ac:dyDescent="0.3">
      <c r="B85" s="31" t="s">
        <v>60</v>
      </c>
      <c r="C85" s="31"/>
      <c r="D85" s="32"/>
      <c r="E85" s="32"/>
      <c r="F85" s="33"/>
      <c r="G85" s="33"/>
      <c r="H85" s="34"/>
      <c r="I85" s="34"/>
      <c r="J85" s="36"/>
      <c r="K85" s="54"/>
      <c r="L85" s="47"/>
    </row>
    <row r="86" spans="1:16" ht="16.5" customHeight="1" x14ac:dyDescent="0.25">
      <c r="A86" s="39"/>
      <c r="B86" s="31" t="s">
        <v>61</v>
      </c>
      <c r="C86" s="56"/>
      <c r="D86" s="56"/>
      <c r="E86" s="56"/>
      <c r="F86" s="56"/>
      <c r="G86" s="56"/>
      <c r="H86" s="56"/>
      <c r="I86" s="56"/>
      <c r="J86" s="36"/>
      <c r="K86" s="61"/>
    </row>
    <row r="87" spans="1:16" ht="16.5" customHeight="1" x14ac:dyDescent="0.25">
      <c r="A87" s="39"/>
      <c r="B87" s="31" t="s">
        <v>62</v>
      </c>
      <c r="C87" s="56"/>
      <c r="D87" s="56"/>
      <c r="E87" s="56"/>
      <c r="F87" s="56"/>
      <c r="G87" s="56"/>
      <c r="H87" s="56"/>
      <c r="I87" s="56"/>
      <c r="J87" s="36">
        <v>0</v>
      </c>
      <c r="K87" s="61"/>
    </row>
    <row r="88" spans="1:16" ht="16.5" customHeight="1" x14ac:dyDescent="0.25">
      <c r="A88" s="30" t="s">
        <v>20</v>
      </c>
      <c r="B88" s="56"/>
      <c r="C88" s="31" t="s">
        <v>63</v>
      </c>
      <c r="D88" s="56"/>
      <c r="E88" s="56"/>
      <c r="F88" s="56"/>
      <c r="G88" s="56"/>
      <c r="H88" s="56"/>
      <c r="I88" s="56"/>
      <c r="J88" s="61"/>
      <c r="K88" s="36"/>
    </row>
    <row r="89" spans="1:16" ht="16.5" customHeight="1" x14ac:dyDescent="0.25">
      <c r="A89" s="30" t="s">
        <v>20</v>
      </c>
      <c r="B89" s="56"/>
      <c r="C89" s="31" t="s">
        <v>64</v>
      </c>
      <c r="D89" s="56"/>
      <c r="E89" s="56"/>
      <c r="F89" s="56"/>
      <c r="G89" s="56"/>
      <c r="H89" s="56"/>
      <c r="I89" s="56"/>
      <c r="J89" s="61"/>
      <c r="K89" s="36"/>
    </row>
    <row r="90" spans="1:16" ht="16.5" customHeight="1" x14ac:dyDescent="0.25">
      <c r="A90" s="30" t="s">
        <v>20</v>
      </c>
      <c r="B90" s="56"/>
      <c r="C90" s="31" t="s">
        <v>65</v>
      </c>
      <c r="D90" s="56"/>
      <c r="E90" s="56"/>
      <c r="F90" s="56"/>
      <c r="G90" s="56"/>
      <c r="H90" s="56"/>
      <c r="I90" s="56"/>
      <c r="J90" s="61"/>
      <c r="K90" s="36">
        <v>0</v>
      </c>
    </row>
    <row r="91" spans="1:16" ht="16.5" customHeight="1" x14ac:dyDescent="0.3">
      <c r="B91" s="22" t="s">
        <v>66</v>
      </c>
      <c r="H91" s="2"/>
      <c r="J91" s="62">
        <f>SUM(J85:J90)</f>
        <v>0</v>
      </c>
      <c r="K91" s="62">
        <f>SUM(K85:K90)</f>
        <v>0</v>
      </c>
      <c r="L91" s="47" t="str">
        <f>IF(J91=K91,"&lt;- Debits and Credits equal each other.","&lt;- Debits and Credits do not equal each other.")</f>
        <v>&lt;- Debits and Credits equal each other.</v>
      </c>
    </row>
    <row r="92" spans="1:16" ht="16.5" customHeight="1" x14ac:dyDescent="0.3">
      <c r="H92" s="2"/>
    </row>
    <row r="93" spans="1:16" ht="16.5" customHeight="1" x14ac:dyDescent="0.3">
      <c r="H93" s="2"/>
    </row>
    <row r="94" spans="1:16" s="16" customFormat="1" ht="21" customHeight="1" x14ac:dyDescent="0.4">
      <c r="A94" s="10" t="s">
        <v>67</v>
      </c>
      <c r="B94" s="11"/>
      <c r="C94" s="12"/>
      <c r="D94" s="12"/>
      <c r="E94" s="12"/>
      <c r="F94" s="13"/>
      <c r="G94" s="13"/>
      <c r="H94" s="14"/>
      <c r="I94" s="14"/>
      <c r="J94" s="13"/>
      <c r="K94" s="13"/>
      <c r="L94" s="5"/>
      <c r="M94" s="5"/>
      <c r="N94" s="15"/>
      <c r="O94" s="15"/>
      <c r="P94" s="15"/>
    </row>
    <row r="95" spans="1:16" s="19" customFormat="1" ht="16.5" customHeight="1" x14ac:dyDescent="0.35">
      <c r="A95" s="63">
        <v>9</v>
      </c>
      <c r="B95" s="18" t="s">
        <v>68</v>
      </c>
      <c r="C95" s="64"/>
      <c r="D95" s="64"/>
      <c r="E95" s="64"/>
      <c r="F95" s="64"/>
      <c r="G95" s="64"/>
      <c r="H95" s="64"/>
      <c r="I95" s="64"/>
      <c r="J95" s="65"/>
      <c r="K95" s="65"/>
    </row>
    <row r="96" spans="1:16" ht="16.5" customHeight="1" x14ac:dyDescent="0.25">
      <c r="A96" s="42" t="s">
        <v>29</v>
      </c>
      <c r="B96" s="31" t="s">
        <v>51</v>
      </c>
      <c r="C96" s="31"/>
      <c r="D96" s="66"/>
      <c r="E96" s="66"/>
      <c r="F96" s="66"/>
      <c r="G96" s="66"/>
      <c r="H96" s="66"/>
      <c r="I96" s="66"/>
      <c r="J96" s="36"/>
      <c r="K96" s="67"/>
    </row>
    <row r="97" spans="1:12" ht="16.5" customHeight="1" x14ac:dyDescent="0.25">
      <c r="B97" s="31" t="s">
        <v>60</v>
      </c>
      <c r="C97" s="56"/>
      <c r="D97" s="56"/>
      <c r="E97" s="56"/>
      <c r="F97" s="56"/>
      <c r="G97" s="56"/>
      <c r="H97" s="56"/>
      <c r="I97" s="56"/>
      <c r="J97" s="36"/>
      <c r="K97" s="56"/>
    </row>
    <row r="98" spans="1:12" ht="16.5" customHeight="1" x14ac:dyDescent="0.25">
      <c r="B98" s="31" t="s">
        <v>61</v>
      </c>
      <c r="C98" s="56"/>
      <c r="D98" s="56"/>
      <c r="E98" s="56"/>
      <c r="F98" s="56"/>
      <c r="G98" s="56"/>
      <c r="H98" s="56"/>
      <c r="I98" s="56"/>
      <c r="J98" s="36"/>
      <c r="K98" s="56"/>
    </row>
    <row r="99" spans="1:12" ht="16.5" customHeight="1" x14ac:dyDescent="0.25">
      <c r="B99" s="31" t="s">
        <v>62</v>
      </c>
      <c r="C99" s="56"/>
      <c r="D99" s="56"/>
      <c r="E99" s="56"/>
      <c r="F99" s="56"/>
      <c r="G99" s="56"/>
      <c r="H99" s="56"/>
      <c r="I99" s="56"/>
      <c r="J99" s="36"/>
      <c r="K99" s="56"/>
    </row>
    <row r="100" spans="1:12" ht="16.5" customHeight="1" x14ac:dyDescent="0.25">
      <c r="B100" s="31" t="str">
        <f>IF($F$7="Proprietary","Dr: Acct 0870 - SERVICES &amp; CHARGES (MG ADJ)",VLOOKUP($F$9,'[2]Drop Down Menus'!$F$2:$H$10,3,FALSE))</f>
        <v>Dr: Acct 0830 - TRANSPORTATION (GAAP ADJ)</v>
      </c>
      <c r="C100" s="56"/>
      <c r="D100" s="56"/>
      <c r="E100" s="56"/>
      <c r="F100" s="56"/>
      <c r="G100" s="56"/>
      <c r="H100" s="56"/>
      <c r="I100" s="56"/>
      <c r="J100" s="36"/>
      <c r="K100" s="56"/>
    </row>
    <row r="101" spans="1:12" ht="16.5" customHeight="1" x14ac:dyDescent="0.25">
      <c r="A101" s="30" t="s">
        <v>20</v>
      </c>
      <c r="B101" s="56"/>
      <c r="C101" s="31" t="s">
        <v>63</v>
      </c>
      <c r="D101" s="56"/>
      <c r="E101" s="56"/>
      <c r="F101" s="56"/>
      <c r="G101" s="56"/>
      <c r="H101" s="56"/>
      <c r="I101" s="56"/>
      <c r="J101" s="56"/>
      <c r="K101" s="36"/>
    </row>
    <row r="102" spans="1:12" ht="16.5" customHeight="1" x14ac:dyDescent="0.25">
      <c r="A102" s="30" t="s">
        <v>20</v>
      </c>
      <c r="B102" s="56"/>
      <c r="C102" s="31" t="s">
        <v>64</v>
      </c>
      <c r="D102" s="56"/>
      <c r="E102" s="56"/>
      <c r="F102" s="56"/>
      <c r="G102" s="56"/>
      <c r="H102" s="56"/>
      <c r="I102" s="56"/>
      <c r="J102" s="56"/>
      <c r="K102" s="36"/>
    </row>
    <row r="103" spans="1:12" ht="16.5" customHeight="1" x14ac:dyDescent="0.25">
      <c r="A103" s="30" t="s">
        <v>20</v>
      </c>
      <c r="B103" s="56"/>
      <c r="C103" s="31" t="s">
        <v>65</v>
      </c>
      <c r="D103" s="56"/>
      <c r="E103" s="56"/>
      <c r="F103" s="56"/>
      <c r="G103" s="56"/>
      <c r="H103" s="56"/>
      <c r="I103" s="56"/>
      <c r="J103" s="56"/>
      <c r="K103" s="36"/>
    </row>
    <row r="104" spans="1:12" ht="16.5" customHeight="1" x14ac:dyDescent="0.25">
      <c r="B104" s="56"/>
      <c r="C104" s="31" t="str">
        <f>IF($F$7="Proprietary","Dr: Acct 0870 - SERVICES &amp; CHARGES (MG ADJ)",VLOOKUP($F$9,'[2]Drop Down Menus'!$F$2:$G$10,2,FALSE))</f>
        <v>Cr: Acct 0830 - TRANSPORTATION (GAAP ADJ)</v>
      </c>
      <c r="D104" s="56"/>
      <c r="E104" s="56"/>
      <c r="F104" s="56"/>
      <c r="G104" s="56"/>
      <c r="H104" s="56"/>
      <c r="I104" s="56"/>
      <c r="J104" s="56"/>
      <c r="K104" s="36"/>
    </row>
    <row r="105" spans="1:12" ht="16.5" customHeight="1" x14ac:dyDescent="0.3">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3">
      <c r="B106" s="52" t="s">
        <v>53</v>
      </c>
      <c r="H106" s="2"/>
      <c r="J106" s="62"/>
      <c r="K106" s="62"/>
      <c r="L106" s="47"/>
    </row>
    <row r="107" spans="1:12" ht="16.5" customHeight="1" x14ac:dyDescent="0.3">
      <c r="H107" s="2"/>
    </row>
    <row r="108" spans="1:12" ht="16.5" customHeight="1" x14ac:dyDescent="0.3">
      <c r="H108" s="2"/>
    </row>
    <row r="109" spans="1:12" s="19" customFormat="1" ht="16.5" customHeight="1" x14ac:dyDescent="0.35">
      <c r="A109" s="63">
        <v>10</v>
      </c>
      <c r="B109" s="18" t="s">
        <v>69</v>
      </c>
      <c r="C109" s="64"/>
      <c r="D109" s="64"/>
    </row>
    <row r="110" spans="1:12" ht="16.5" customHeight="1" x14ac:dyDescent="0.25">
      <c r="A110" s="30" t="s">
        <v>20</v>
      </c>
      <c r="B110" s="31" t="s">
        <v>21</v>
      </c>
      <c r="C110" s="31"/>
      <c r="D110" s="66"/>
      <c r="E110" s="56"/>
      <c r="F110" s="56"/>
      <c r="G110" s="56"/>
      <c r="H110" s="56"/>
      <c r="I110" s="56"/>
      <c r="J110" s="36"/>
      <c r="K110" s="56"/>
    </row>
    <row r="111" spans="1:12" ht="16.5" customHeight="1" x14ac:dyDescent="0.25">
      <c r="A111" s="30" t="s">
        <v>20</v>
      </c>
      <c r="B111" s="31" t="s">
        <v>22</v>
      </c>
      <c r="C111" s="31"/>
      <c r="D111" s="66"/>
      <c r="E111" s="56"/>
      <c r="F111" s="56"/>
      <c r="G111" s="56"/>
      <c r="H111" s="56"/>
      <c r="I111" s="56"/>
      <c r="J111" s="36"/>
      <c r="K111" s="56"/>
    </row>
    <row r="112" spans="1:12" ht="16.5" customHeight="1" x14ac:dyDescent="0.25">
      <c r="A112" s="30" t="s">
        <v>20</v>
      </c>
      <c r="B112" s="31" t="s">
        <v>23</v>
      </c>
      <c r="C112" s="31"/>
      <c r="D112" s="66"/>
      <c r="E112" s="56"/>
      <c r="F112" s="56"/>
      <c r="G112" s="56"/>
      <c r="H112" s="56"/>
      <c r="I112" s="56"/>
      <c r="J112" s="36"/>
      <c r="K112" s="56"/>
    </row>
    <row r="113" spans="1:12" ht="16.5" customHeight="1" x14ac:dyDescent="0.25">
      <c r="A113" s="42" t="s">
        <v>29</v>
      </c>
      <c r="B113" s="31"/>
      <c r="C113" s="31" t="s">
        <v>30</v>
      </c>
      <c r="D113" s="66"/>
      <c r="E113" s="56"/>
      <c r="F113" s="56"/>
      <c r="G113" s="56"/>
      <c r="H113" s="56"/>
      <c r="I113" s="56"/>
      <c r="J113" s="56"/>
      <c r="K113" s="36"/>
    </row>
    <row r="114" spans="1:12" ht="16.5" customHeight="1" x14ac:dyDescent="0.3">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3">
      <c r="A115" s="68"/>
      <c r="B115" s="52" t="s">
        <v>44</v>
      </c>
      <c r="C115" s="69"/>
      <c r="D115" s="69"/>
      <c r="H115" s="2"/>
      <c r="J115" s="62"/>
      <c r="K115" s="62"/>
      <c r="L115" s="47"/>
    </row>
    <row r="116" spans="1:12" ht="16.5" customHeight="1" x14ac:dyDescent="0.3">
      <c r="H116" s="2"/>
    </row>
    <row r="117" spans="1:12" ht="16.5" customHeight="1" x14ac:dyDescent="0.3">
      <c r="H117" s="2"/>
    </row>
    <row r="118" spans="1:12" ht="16.5" customHeight="1" x14ac:dyDescent="0.3">
      <c r="H118" s="2"/>
    </row>
    <row r="119" spans="1:12" ht="16.5" customHeight="1" x14ac:dyDescent="0.3">
      <c r="H119" s="2"/>
    </row>
    <row r="120" spans="1:12" ht="21" x14ac:dyDescent="0.4">
      <c r="D120" s="70" t="s">
        <v>70</v>
      </c>
      <c r="E120" s="71"/>
      <c r="F120" s="72"/>
      <c r="G120" s="72"/>
      <c r="H120" s="72"/>
      <c r="I120" s="73"/>
      <c r="J120" s="73"/>
      <c r="K120" s="74"/>
    </row>
    <row r="121" spans="1:12" ht="16.5" customHeight="1" x14ac:dyDescent="0.3">
      <c r="H121" s="2"/>
      <c r="K121" s="75" t="s">
        <v>71</v>
      </c>
    </row>
    <row r="122" spans="1:12" ht="16.5" customHeight="1" x14ac:dyDescent="0.3">
      <c r="D122" s="32" t="s">
        <v>72</v>
      </c>
      <c r="H122" s="2"/>
      <c r="K122" s="76">
        <f>J15+J39-K88-K101+J110</f>
        <v>0</v>
      </c>
    </row>
    <row r="123" spans="1:12" ht="16.5" customHeight="1" x14ac:dyDescent="0.3">
      <c r="D123" s="32" t="s">
        <v>73</v>
      </c>
      <c r="H123" s="2"/>
      <c r="K123" s="76">
        <f>J16+J40-K89-K102+J111</f>
        <v>0</v>
      </c>
    </row>
    <row r="124" spans="1:12" ht="16.5" customHeight="1" x14ac:dyDescent="0.3">
      <c r="D124" s="32" t="s">
        <v>74</v>
      </c>
      <c r="H124" s="2"/>
      <c r="K124" s="76">
        <f>J17+J41-K90-K103+J112</f>
        <v>83839</v>
      </c>
    </row>
    <row r="125" spans="1:12" ht="16.5" customHeight="1" x14ac:dyDescent="0.3">
      <c r="D125" s="32" t="s">
        <v>75</v>
      </c>
      <c r="H125" s="2"/>
      <c r="K125" s="76">
        <f>-K20-K56+J85+J97</f>
        <v>0</v>
      </c>
    </row>
    <row r="126" spans="1:12" ht="16.5" customHeight="1" x14ac:dyDescent="0.3">
      <c r="D126" s="32" t="s">
        <v>76</v>
      </c>
      <c r="H126" s="2"/>
      <c r="K126" s="76">
        <f>-K21-K57+J86+J98</f>
        <v>0</v>
      </c>
    </row>
    <row r="127" spans="1:12" ht="16.5" customHeight="1" x14ac:dyDescent="0.3">
      <c r="D127" s="32" t="s">
        <v>77</v>
      </c>
      <c r="H127" s="2"/>
      <c r="K127" s="76">
        <f>-K22-K58+J87+J99</f>
        <v>-32604.443489849193</v>
      </c>
    </row>
    <row r="128" spans="1:12" ht="16.5" customHeight="1" x14ac:dyDescent="0.3">
      <c r="D128" s="32" t="s">
        <v>78</v>
      </c>
      <c r="H128" s="2"/>
      <c r="K128" s="76">
        <f>-K23-K48+J68+J75+J96-K113</f>
        <v>-24033.262667261079</v>
      </c>
    </row>
    <row r="129" spans="4:11" ht="16.5" customHeight="1" x14ac:dyDescent="0.3">
      <c r="D129" s="32" t="s">
        <v>79</v>
      </c>
      <c r="H129" s="2"/>
      <c r="K129" s="76">
        <f>-K76</f>
        <v>-28087.139709736759</v>
      </c>
    </row>
    <row r="130" spans="4:11" ht="16.5" customHeight="1" x14ac:dyDescent="0.3">
      <c r="H130" s="2"/>
    </row>
    <row r="131" spans="4:11" ht="16.5" customHeight="1" x14ac:dyDescent="0.3">
      <c r="H131" s="2"/>
    </row>
    <row r="132" spans="4:11" x14ac:dyDescent="0.3">
      <c r="H132" s="2"/>
    </row>
    <row r="133" spans="4:11" ht="16.5" customHeight="1" x14ac:dyDescent="0.3">
      <c r="H133" s="2"/>
    </row>
    <row r="134" spans="4:11" ht="16.5" customHeight="1" x14ac:dyDescent="0.3">
      <c r="H134" s="2"/>
    </row>
    <row r="135" spans="4:11" ht="16.5" customHeight="1" x14ac:dyDescent="0.3">
      <c r="H135" s="2"/>
    </row>
    <row r="136" spans="4:11" ht="16.5" customHeight="1" x14ac:dyDescent="0.3">
      <c r="H136" s="2"/>
    </row>
    <row r="137" spans="4:11" ht="16.5" customHeight="1" x14ac:dyDescent="0.3">
      <c r="H137" s="2"/>
    </row>
    <row r="138" spans="4:11" s="56" customFormat="1" ht="16.5" customHeight="1" x14ac:dyDescent="0.3"/>
    <row r="139" spans="4:11" ht="16.5" customHeight="1" x14ac:dyDescent="0.3">
      <c r="H139" s="2"/>
    </row>
    <row r="140" spans="4:11" ht="16.5" customHeight="1" x14ac:dyDescent="0.3">
      <c r="H140" s="2"/>
    </row>
    <row r="141" spans="4:11" x14ac:dyDescent="0.3">
      <c r="H141" s="2"/>
    </row>
    <row r="142" spans="4:11" ht="16.5" customHeight="1" x14ac:dyDescent="0.3">
      <c r="H142" s="2"/>
    </row>
    <row r="143" spans="4:11" ht="16.5" customHeight="1" x14ac:dyDescent="0.3">
      <c r="H143" s="2"/>
    </row>
    <row r="144" spans="4:11" ht="16.5" customHeight="1" x14ac:dyDescent="0.3">
      <c r="H144" s="2"/>
    </row>
    <row r="145" spans="8:8" ht="16.5" customHeight="1" x14ac:dyDescent="0.3">
      <c r="H145" s="2"/>
    </row>
    <row r="146" spans="8:8" ht="16.5" customHeight="1" x14ac:dyDescent="0.3">
      <c r="H146" s="2"/>
    </row>
    <row r="147" spans="8:8" ht="16.5" customHeight="1" x14ac:dyDescent="0.3">
      <c r="H147" s="2"/>
    </row>
    <row r="148" spans="8:8" ht="16.5" customHeight="1" x14ac:dyDescent="0.3">
      <c r="H148" s="2"/>
    </row>
    <row r="149" spans="8:8" ht="16.5" customHeight="1" x14ac:dyDescent="0.3">
      <c r="H149" s="2"/>
    </row>
    <row r="150" spans="8:8" ht="16.5" customHeight="1" x14ac:dyDescent="0.3">
      <c r="H150" s="2"/>
    </row>
    <row r="151" spans="8:8" ht="16.5" customHeight="1" x14ac:dyDescent="0.3">
      <c r="H151" s="2"/>
    </row>
    <row r="152" spans="8:8" ht="16.5" customHeight="1" x14ac:dyDescent="0.3">
      <c r="H152" s="2"/>
    </row>
    <row r="153" spans="8:8" ht="16.5" customHeight="1" x14ac:dyDescent="0.3">
      <c r="H153" s="2"/>
    </row>
    <row r="154" spans="8:8" ht="16.5" customHeight="1" x14ac:dyDescent="0.3">
      <c r="H154" s="2"/>
    </row>
    <row r="155" spans="8:8" ht="16.5" customHeight="1" x14ac:dyDescent="0.3">
      <c r="H155" s="2"/>
    </row>
    <row r="156" spans="8:8" ht="16.5" customHeight="1" x14ac:dyDescent="0.3">
      <c r="H156" s="2"/>
    </row>
    <row r="157" spans="8:8" ht="16.5" customHeight="1" x14ac:dyDescent="0.3">
      <c r="H157" s="2"/>
    </row>
    <row r="158" spans="8:8" ht="16.5" customHeight="1" x14ac:dyDescent="0.3">
      <c r="H158" s="2"/>
    </row>
    <row r="159" spans="8:8" ht="16.5" customHeight="1" x14ac:dyDescent="0.3">
      <c r="H159" s="2"/>
    </row>
    <row r="160" spans="8:8" ht="16.5" customHeight="1" x14ac:dyDescent="0.3">
      <c r="H160" s="2"/>
    </row>
    <row r="161" spans="8:8" ht="16.5" customHeight="1" x14ac:dyDescent="0.3">
      <c r="H161" s="2"/>
    </row>
    <row r="162" spans="8:8" ht="16.5" customHeight="1" x14ac:dyDescent="0.3">
      <c r="H162" s="2"/>
    </row>
    <row r="163" spans="8:8" ht="16.5" customHeight="1" x14ac:dyDescent="0.3">
      <c r="H163" s="2"/>
    </row>
    <row r="164" spans="8:8" ht="16.5" customHeight="1" x14ac:dyDescent="0.3">
      <c r="H164" s="2"/>
    </row>
    <row r="165" spans="8:8" ht="16.5" customHeight="1" x14ac:dyDescent="0.3">
      <c r="H165" s="2"/>
    </row>
    <row r="166" spans="8:8" ht="16.5" customHeight="1" x14ac:dyDescent="0.3">
      <c r="H166" s="2"/>
    </row>
    <row r="167" spans="8:8" ht="16.5" customHeight="1" x14ac:dyDescent="0.3">
      <c r="H167" s="2"/>
    </row>
    <row r="168" spans="8:8" x14ac:dyDescent="0.3">
      <c r="H168" s="2"/>
    </row>
    <row r="169" spans="8:8" ht="16.5" customHeight="1" x14ac:dyDescent="0.3">
      <c r="H169" s="2"/>
    </row>
    <row r="170" spans="8:8" ht="16.5" customHeight="1" x14ac:dyDescent="0.3">
      <c r="H170" s="2"/>
    </row>
    <row r="171" spans="8:8" ht="16.5" customHeight="1" x14ac:dyDescent="0.3">
      <c r="H171" s="2"/>
    </row>
    <row r="172" spans="8:8" s="56" customFormat="1" ht="16.5" customHeight="1" x14ac:dyDescent="0.3"/>
    <row r="173" spans="8:8" ht="16.5" customHeight="1" x14ac:dyDescent="0.3">
      <c r="H173" s="2"/>
    </row>
    <row r="174" spans="8:8" ht="16.5" customHeight="1" x14ac:dyDescent="0.3">
      <c r="H174" s="2"/>
    </row>
    <row r="175" spans="8:8" x14ac:dyDescent="0.3">
      <c r="H175" s="2"/>
    </row>
    <row r="176" spans="8:8" ht="16.5" customHeight="1" x14ac:dyDescent="0.3">
      <c r="H176" s="2"/>
    </row>
    <row r="177" spans="8:8" ht="16.5" customHeight="1" x14ac:dyDescent="0.3">
      <c r="H177" s="2"/>
    </row>
    <row r="178" spans="8:8" ht="16.5" customHeight="1" x14ac:dyDescent="0.3">
      <c r="H178" s="2"/>
    </row>
    <row r="179" spans="8:8" ht="16.5" customHeight="1" x14ac:dyDescent="0.3">
      <c r="H179" s="2"/>
    </row>
    <row r="180" spans="8:8" ht="16.5" customHeight="1" x14ac:dyDescent="0.3">
      <c r="H180" s="2"/>
    </row>
    <row r="181" spans="8:8" ht="16.5" customHeight="1" x14ac:dyDescent="0.3">
      <c r="H181" s="2"/>
    </row>
    <row r="182" spans="8:8" s="56" customFormat="1" ht="16.5" customHeight="1" x14ac:dyDescent="0.3"/>
    <row r="183" spans="8:8" ht="16.5" customHeight="1" x14ac:dyDescent="0.3">
      <c r="H183" s="2"/>
    </row>
    <row r="184" spans="8:8" ht="34.5" customHeight="1" x14ac:dyDescent="0.3">
      <c r="H184" s="2"/>
    </row>
    <row r="185" spans="8:8" ht="16.5" customHeight="1" x14ac:dyDescent="0.3">
      <c r="H185" s="2"/>
    </row>
    <row r="186" spans="8:8" ht="16.5" customHeight="1" x14ac:dyDescent="0.3">
      <c r="H186" s="2"/>
    </row>
    <row r="187" spans="8:8" ht="16.5" customHeight="1" x14ac:dyDescent="0.3">
      <c r="H187" s="2"/>
    </row>
    <row r="188" spans="8:8" ht="16.5" customHeight="1" x14ac:dyDescent="0.3">
      <c r="H188" s="2"/>
    </row>
    <row r="189" spans="8:8" ht="16.5" customHeight="1" x14ac:dyDescent="0.3">
      <c r="H189" s="2"/>
    </row>
    <row r="190" spans="8:8" ht="16.5" customHeight="1" x14ac:dyDescent="0.3">
      <c r="H190" s="2"/>
    </row>
    <row r="191" spans="8:8" ht="16.5" customHeight="1" x14ac:dyDescent="0.3">
      <c r="H191" s="2"/>
    </row>
    <row r="192" spans="8:8" ht="16.5" customHeight="1" x14ac:dyDescent="0.3">
      <c r="H192" s="2"/>
    </row>
    <row r="193" spans="8:8" ht="16.5" customHeight="1" x14ac:dyDescent="0.3">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12130D00-2C5C-422E-B0D8-483F2BFCE41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F60F131-ECF2-4FED-AFC4-B1184E2E0E6D}">
      <formula1>0</formula1>
    </dataValidation>
    <dataValidation type="textLength" operator="equal" allowBlank="1" showInputMessage="1" showErrorMessage="1" errorTitle="4-Digit Org Code" error="Enter the Org Code/BU as 4 digits." sqref="F5" xr:uid="{4B134052-69E0-495E-B570-0D7FF5139C5C}">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2A09-FCAD-446A-B868-D2D482DFCE80}">
  <sheetPr>
    <tabColor theme="9" tint="0.59999389629810485"/>
    <pageSetUpPr fitToPage="1"/>
  </sheetPr>
  <dimension ref="A1:S193"/>
  <sheetViews>
    <sheetView zoomScale="70" zoomScaleNormal="70" workbookViewId="0">
      <selection activeCell="T25" sqref="T25"/>
    </sheetView>
  </sheetViews>
  <sheetFormatPr defaultColWidth="9.109375" defaultRowHeight="15" x14ac:dyDescent="0.3"/>
  <cols>
    <col min="1" max="1" width="13.33203125" style="2" customWidth="1"/>
    <col min="2" max="5" width="10.6640625" style="2" customWidth="1"/>
    <col min="6" max="7" width="15.33203125" style="2" customWidth="1"/>
    <col min="8" max="8" width="15.33203125" style="77" customWidth="1"/>
    <col min="9" max="9" width="15.33203125" style="2" customWidth="1"/>
    <col min="10" max="10" width="21.33203125" style="2" customWidth="1"/>
    <col min="11" max="11" width="19.109375" style="2" customWidth="1"/>
    <col min="12" max="12" width="4" style="2" customWidth="1"/>
    <col min="13" max="14" width="17.33203125" style="2" customWidth="1"/>
    <col min="15" max="15" width="4" style="2" customWidth="1"/>
    <col min="16" max="17" width="15.88671875" style="2" customWidth="1"/>
    <col min="18" max="18" width="4" style="2" customWidth="1"/>
    <col min="19" max="19" width="15.88671875" style="2" customWidth="1"/>
    <col min="20" max="16384" width="9.109375" style="2"/>
  </cols>
  <sheetData>
    <row r="1" spans="1:19" ht="45" customHeight="1" x14ac:dyDescent="0.3">
      <c r="A1" s="227" t="s">
        <v>0</v>
      </c>
      <c r="B1" s="227"/>
      <c r="C1" s="227"/>
      <c r="D1" s="227"/>
      <c r="E1" s="227"/>
      <c r="F1" s="227"/>
      <c r="G1" s="227"/>
      <c r="H1" s="227"/>
      <c r="I1" s="227"/>
      <c r="J1" s="227"/>
      <c r="K1" s="227"/>
      <c r="L1" s="1"/>
      <c r="M1" s="1"/>
      <c r="N1" s="1"/>
      <c r="O1" s="1"/>
    </row>
    <row r="2" spans="1:19" ht="16.5" customHeight="1" x14ac:dyDescent="0.3">
      <c r="A2" s="3" t="s">
        <v>1</v>
      </c>
      <c r="B2" s="4"/>
      <c r="C2" s="4"/>
      <c r="D2" s="4"/>
      <c r="E2" s="4"/>
      <c r="F2" s="4"/>
      <c r="G2" s="4"/>
      <c r="H2" s="4"/>
      <c r="I2" s="4"/>
      <c r="J2" s="4"/>
      <c r="K2" s="4"/>
      <c r="L2" s="4"/>
      <c r="M2" s="4"/>
      <c r="N2" s="4"/>
      <c r="O2" s="4"/>
    </row>
    <row r="3" spans="1:19" ht="16.5" customHeight="1" x14ac:dyDescent="0.3">
      <c r="A3" s="225" t="s">
        <v>2</v>
      </c>
      <c r="B3" s="225"/>
      <c r="C3" s="225"/>
      <c r="D3" s="225"/>
      <c r="E3" s="225"/>
      <c r="F3" s="228" t="s">
        <v>3</v>
      </c>
      <c r="G3" s="228"/>
      <c r="H3" s="228"/>
      <c r="I3" s="228"/>
    </row>
    <row r="4" spans="1:19" ht="16.5" customHeight="1" x14ac:dyDescent="0.25">
      <c r="A4" s="225" t="s">
        <v>4</v>
      </c>
      <c r="B4" s="225"/>
      <c r="C4" s="225"/>
      <c r="D4" s="225"/>
      <c r="E4" s="225"/>
      <c r="F4" s="226" t="s">
        <v>5</v>
      </c>
      <c r="G4" s="226"/>
      <c r="H4" s="226"/>
      <c r="I4" s="226"/>
    </row>
    <row r="5" spans="1:19" ht="16.5" customHeight="1" x14ac:dyDescent="0.25">
      <c r="A5" s="225" t="s">
        <v>6</v>
      </c>
      <c r="B5" s="225"/>
      <c r="C5" s="225"/>
      <c r="D5" s="225"/>
      <c r="E5" s="225"/>
      <c r="F5" s="226" t="s">
        <v>7</v>
      </c>
      <c r="G5" s="226"/>
      <c r="H5" s="226"/>
      <c r="I5" s="226"/>
      <c r="L5" s="5"/>
      <c r="M5" s="5"/>
      <c r="N5" s="5"/>
      <c r="O5" s="5"/>
      <c r="P5" s="5"/>
      <c r="Q5" s="5"/>
    </row>
    <row r="6" spans="1:19" ht="16.5" customHeight="1" x14ac:dyDescent="0.3">
      <c r="A6" s="225" t="s">
        <v>8</v>
      </c>
      <c r="B6" s="225"/>
      <c r="C6" s="225"/>
      <c r="D6" s="225"/>
      <c r="E6" s="225"/>
      <c r="F6" s="229">
        <v>6072</v>
      </c>
      <c r="G6" s="229"/>
      <c r="H6" s="229"/>
      <c r="I6" s="229"/>
      <c r="L6" s="6"/>
      <c r="M6" s="6"/>
      <c r="N6" s="6"/>
      <c r="O6" s="6"/>
      <c r="P6" s="5"/>
      <c r="Q6" s="5"/>
    </row>
    <row r="7" spans="1:19" ht="16.5" customHeight="1" x14ac:dyDescent="0.3">
      <c r="A7" s="225" t="s">
        <v>9</v>
      </c>
      <c r="B7" s="225"/>
      <c r="C7" s="225"/>
      <c r="D7" s="225"/>
      <c r="E7" s="225"/>
      <c r="F7" s="229" t="s">
        <v>10</v>
      </c>
      <c r="G7" s="229"/>
      <c r="H7" s="229"/>
      <c r="I7" s="229"/>
      <c r="K7" s="7"/>
      <c r="L7" s="6"/>
      <c r="M7" s="6"/>
      <c r="N7" s="6"/>
      <c r="O7" s="6"/>
      <c r="P7" s="5"/>
      <c r="Q7" s="5"/>
    </row>
    <row r="8" spans="1:19" ht="16.5" customHeight="1" x14ac:dyDescent="0.3">
      <c r="A8" s="225" t="s">
        <v>11</v>
      </c>
      <c r="B8" s="225"/>
      <c r="C8" s="225"/>
      <c r="D8" s="225"/>
      <c r="E8" s="225"/>
      <c r="F8" s="229" t="s">
        <v>12</v>
      </c>
      <c r="G8" s="229"/>
      <c r="H8" s="229"/>
      <c r="I8" s="229"/>
      <c r="K8" s="7"/>
      <c r="L8" s="6"/>
      <c r="M8" s="6"/>
      <c r="N8" s="6"/>
      <c r="O8" s="6"/>
      <c r="P8" s="5"/>
      <c r="Q8" s="5"/>
    </row>
    <row r="9" spans="1:19" ht="16.5" customHeight="1" x14ac:dyDescent="0.3">
      <c r="A9" s="225" t="s">
        <v>13</v>
      </c>
      <c r="B9" s="225"/>
      <c r="C9" s="225"/>
      <c r="D9" s="225"/>
      <c r="E9" s="225"/>
      <c r="F9" s="230" t="str">
        <f>IFERROR(IF(F7="Proprietary","Proprietary Fund",VLOOKUP(F5,[2]qryIndex02a!$A$2:$K$654,4,FALSE)),"Unidentified")</f>
        <v>TRANSPORTATION</v>
      </c>
      <c r="G9" s="230"/>
      <c r="H9" s="230"/>
      <c r="I9" s="230"/>
      <c r="K9" s="5"/>
      <c r="L9" s="5"/>
      <c r="M9" s="5"/>
      <c r="N9" s="5"/>
      <c r="O9" s="5"/>
      <c r="P9" s="5"/>
    </row>
    <row r="10" spans="1:19" ht="16.5" customHeight="1" x14ac:dyDescent="0.3">
      <c r="A10" s="8"/>
      <c r="B10" s="8"/>
      <c r="C10" s="8"/>
      <c r="D10" s="8"/>
      <c r="E10" s="6"/>
      <c r="F10" s="5"/>
      <c r="G10" s="5"/>
      <c r="H10" s="9"/>
      <c r="I10" s="5"/>
      <c r="J10" s="5"/>
      <c r="K10" s="5"/>
      <c r="L10" s="5"/>
      <c r="M10" s="5"/>
      <c r="N10" s="5"/>
      <c r="O10" s="5"/>
      <c r="P10" s="5"/>
    </row>
    <row r="11" spans="1:19" ht="16.5" customHeight="1" x14ac:dyDescent="0.3">
      <c r="A11" s="8"/>
      <c r="B11" s="8"/>
      <c r="C11" s="8"/>
      <c r="D11" s="8"/>
      <c r="E11" s="6"/>
      <c r="F11" s="5"/>
      <c r="G11" s="5"/>
      <c r="H11" s="9"/>
      <c r="I11" s="5"/>
      <c r="J11" s="5"/>
      <c r="K11" s="5"/>
      <c r="L11" s="5"/>
      <c r="M11" s="5"/>
      <c r="N11" s="5"/>
      <c r="O11" s="5"/>
      <c r="P11" s="5"/>
    </row>
    <row r="12" spans="1:19" s="16" customFormat="1" ht="21" customHeight="1" x14ac:dyDescent="0.4">
      <c r="A12" s="10" t="s">
        <v>14</v>
      </c>
      <c r="B12" s="11"/>
      <c r="C12" s="12"/>
      <c r="D12" s="12"/>
      <c r="E12" s="12"/>
      <c r="F12" s="13"/>
      <c r="G12" s="13"/>
      <c r="H12" s="14"/>
      <c r="I12" s="14"/>
      <c r="J12" s="13"/>
      <c r="K12" s="13"/>
      <c r="L12" s="5"/>
      <c r="M12" s="5"/>
      <c r="N12" s="15"/>
      <c r="O12" s="15"/>
      <c r="P12" s="15"/>
    </row>
    <row r="13" spans="1:19" s="19" customFormat="1" ht="16.5" customHeight="1" x14ac:dyDescent="0.35">
      <c r="A13" s="17" t="s">
        <v>15</v>
      </c>
      <c r="B13" s="18"/>
      <c r="D13" s="20"/>
      <c r="E13" s="20"/>
      <c r="F13" s="21"/>
      <c r="G13" s="21"/>
      <c r="H13" s="22"/>
      <c r="I13" s="22"/>
      <c r="J13" s="23"/>
      <c r="K13" s="23"/>
    </row>
    <row r="14" spans="1:19" ht="16.5" customHeight="1" x14ac:dyDescent="0.35">
      <c r="A14" s="24">
        <v>0</v>
      </c>
      <c r="B14" s="25" t="s">
        <v>16</v>
      </c>
      <c r="C14" s="26"/>
      <c r="D14" s="26"/>
      <c r="E14" s="26"/>
      <c r="F14" s="27"/>
      <c r="G14" s="27"/>
      <c r="H14" s="28"/>
      <c r="I14" s="28"/>
      <c r="J14" s="23"/>
      <c r="K14" s="23"/>
      <c r="L14" s="19"/>
      <c r="M14" s="231" t="s">
        <v>17</v>
      </c>
      <c r="N14" s="232"/>
      <c r="O14" s="19"/>
      <c r="P14" s="231" t="s">
        <v>18</v>
      </c>
      <c r="Q14" s="232"/>
      <c r="R14" s="19"/>
      <c r="S14" s="29" t="s">
        <v>19</v>
      </c>
    </row>
    <row r="15" spans="1:19" ht="16.5" customHeight="1" x14ac:dyDescent="0.3">
      <c r="A15" s="30" t="s">
        <v>20</v>
      </c>
      <c r="B15" s="31" t="s">
        <v>21</v>
      </c>
      <c r="C15" s="31"/>
      <c r="D15" s="31"/>
      <c r="E15" s="32"/>
      <c r="F15" s="33"/>
      <c r="G15" s="33"/>
      <c r="H15" s="34"/>
      <c r="I15" s="34"/>
      <c r="J15" s="35">
        <f>M15</f>
        <v>0</v>
      </c>
      <c r="M15" s="36"/>
      <c r="P15" s="36">
        <v>0</v>
      </c>
      <c r="Q15" s="37"/>
      <c r="S15" s="38">
        <f t="shared" ref="S15:S20" si="0">P15-M15</f>
        <v>0</v>
      </c>
    </row>
    <row r="16" spans="1:19" ht="16.5" customHeight="1" x14ac:dyDescent="0.3">
      <c r="A16" s="30" t="s">
        <v>20</v>
      </c>
      <c r="B16" s="31" t="s">
        <v>22</v>
      </c>
      <c r="C16" s="31"/>
      <c r="D16" s="31"/>
      <c r="E16" s="32"/>
      <c r="F16" s="33"/>
      <c r="G16" s="33"/>
      <c r="H16" s="34"/>
      <c r="I16" s="34"/>
      <c r="J16" s="35">
        <f>M16</f>
        <v>0</v>
      </c>
      <c r="M16" s="36"/>
      <c r="P16" s="36">
        <v>0</v>
      </c>
      <c r="Q16" s="37"/>
      <c r="S16" s="38">
        <f t="shared" si="0"/>
        <v>0</v>
      </c>
    </row>
    <row r="17" spans="1:19" ht="16.5" customHeight="1" x14ac:dyDescent="0.3">
      <c r="A17" s="30" t="s">
        <v>20</v>
      </c>
      <c r="B17" s="31" t="s">
        <v>23</v>
      </c>
      <c r="C17" s="31"/>
      <c r="D17" s="31"/>
      <c r="E17" s="32"/>
      <c r="F17" s="33"/>
      <c r="G17" s="33"/>
      <c r="H17" s="34"/>
      <c r="I17" s="34"/>
      <c r="J17" s="35">
        <f>M17</f>
        <v>127178</v>
      </c>
      <c r="M17" s="36">
        <v>127178</v>
      </c>
      <c r="P17" s="36">
        <v>127178</v>
      </c>
      <c r="Q17" s="37"/>
      <c r="S17" s="38">
        <f t="shared" si="0"/>
        <v>0</v>
      </c>
    </row>
    <row r="18" spans="1:19" ht="16.5" customHeight="1" x14ac:dyDescent="0.3">
      <c r="A18" s="39"/>
      <c r="B18" s="31" t="s">
        <v>24</v>
      </c>
      <c r="C18" s="31"/>
      <c r="D18" s="31"/>
      <c r="E18" s="32"/>
      <c r="F18" s="33"/>
      <c r="G18" s="33"/>
      <c r="H18" s="34"/>
      <c r="I18" s="34"/>
      <c r="J18" s="35">
        <f>P18</f>
        <v>32</v>
      </c>
      <c r="M18" s="36">
        <v>32</v>
      </c>
      <c r="P18" s="40">
        <f>IF(SUM($Q$21:$Q$23)&gt;SUM($P$15:$P$17),SUM($Q$21:$Q$23)-SUM($P$15:$P$17),0)</f>
        <v>32</v>
      </c>
      <c r="Q18" s="37"/>
      <c r="S18" s="38">
        <f t="shared" si="0"/>
        <v>0</v>
      </c>
    </row>
    <row r="19" spans="1:19" ht="16.5" customHeight="1" x14ac:dyDescent="0.3">
      <c r="A19" s="39"/>
      <c r="B19" s="31" t="s">
        <v>25</v>
      </c>
      <c r="C19" s="31"/>
      <c r="D19" s="31"/>
      <c r="E19" s="32"/>
      <c r="F19" s="33"/>
      <c r="G19" s="33"/>
      <c r="H19" s="34"/>
      <c r="I19" s="34"/>
      <c r="J19" s="35">
        <f>IF(SUM($K$21:$K$24)&gt;SUM($J$15:$J$18),SUM($K$21:$K$24)-SUM($J$15:$J$18),0)</f>
        <v>0</v>
      </c>
      <c r="M19" s="36"/>
      <c r="P19" s="37"/>
      <c r="Q19" s="37"/>
      <c r="S19" s="38">
        <f t="shared" si="0"/>
        <v>0</v>
      </c>
    </row>
    <row r="20" spans="1:19" ht="16.5" customHeight="1" x14ac:dyDescent="0.3">
      <c r="A20" s="39"/>
      <c r="B20" s="31"/>
      <c r="C20" s="31" t="s">
        <v>26</v>
      </c>
      <c r="D20" s="31"/>
      <c r="E20" s="32"/>
      <c r="F20" s="33"/>
      <c r="G20" s="33"/>
      <c r="H20" s="34"/>
      <c r="I20" s="34"/>
      <c r="J20" s="41"/>
      <c r="K20" s="35">
        <f>N20</f>
        <v>0</v>
      </c>
      <c r="N20" s="36"/>
      <c r="P20" s="37"/>
      <c r="Q20" s="36"/>
      <c r="S20" s="38">
        <f t="shared" si="0"/>
        <v>0</v>
      </c>
    </row>
    <row r="21" spans="1:19" ht="16.5" customHeight="1" x14ac:dyDescent="0.3">
      <c r="A21" s="39"/>
      <c r="B21" s="31"/>
      <c r="C21" s="31" t="s">
        <v>27</v>
      </c>
      <c r="D21" s="31"/>
      <c r="E21" s="32"/>
      <c r="F21" s="33"/>
      <c r="G21" s="33"/>
      <c r="H21" s="34"/>
      <c r="I21" s="34"/>
      <c r="J21" s="41"/>
      <c r="K21" s="35">
        <f>N21</f>
        <v>0</v>
      </c>
      <c r="N21" s="36"/>
      <c r="P21" s="37"/>
      <c r="Q21" s="36"/>
      <c r="S21" s="38">
        <f>Q21-N21</f>
        <v>0</v>
      </c>
    </row>
    <row r="22" spans="1:19" ht="16.5" customHeight="1" x14ac:dyDescent="0.3">
      <c r="A22" s="39"/>
      <c r="B22" s="31"/>
      <c r="C22" s="31" t="s">
        <v>28</v>
      </c>
      <c r="D22" s="31"/>
      <c r="E22" s="32"/>
      <c r="F22" s="33"/>
      <c r="G22" s="33"/>
      <c r="H22" s="34"/>
      <c r="I22" s="34"/>
      <c r="J22" s="41"/>
      <c r="K22" s="35">
        <f>N22</f>
        <v>95383</v>
      </c>
      <c r="N22" s="36">
        <v>95383</v>
      </c>
      <c r="P22" s="37"/>
      <c r="Q22" s="36">
        <v>95383</v>
      </c>
      <c r="S22" s="38">
        <f t="shared" ref="S22:S25" si="1">Q22-N22</f>
        <v>0</v>
      </c>
    </row>
    <row r="23" spans="1:19" ht="16.5" customHeight="1" x14ac:dyDescent="0.3">
      <c r="A23" s="42" t="s">
        <v>29</v>
      </c>
      <c r="B23" s="31"/>
      <c r="C23" s="31" t="s">
        <v>30</v>
      </c>
      <c r="D23" s="31"/>
      <c r="E23" s="32"/>
      <c r="F23" s="33"/>
      <c r="G23" s="33"/>
      <c r="H23" s="34"/>
      <c r="I23" s="34"/>
      <c r="J23" s="41"/>
      <c r="K23" s="35">
        <f>N23</f>
        <v>31826</v>
      </c>
      <c r="N23" s="36">
        <v>31826</v>
      </c>
      <c r="P23" s="37"/>
      <c r="Q23" s="36">
        <v>31827</v>
      </c>
      <c r="S23" s="38">
        <f t="shared" si="1"/>
        <v>1</v>
      </c>
    </row>
    <row r="24" spans="1:19" ht="16.5" customHeight="1" x14ac:dyDescent="0.3">
      <c r="A24" s="39"/>
      <c r="B24" s="31"/>
      <c r="C24" s="31" t="s">
        <v>31</v>
      </c>
      <c r="D24" s="31"/>
      <c r="E24" s="32"/>
      <c r="F24" s="33"/>
      <c r="G24" s="33"/>
      <c r="H24" s="34"/>
      <c r="I24" s="34"/>
      <c r="J24" s="41"/>
      <c r="K24" s="35">
        <f>Q24</f>
        <v>0</v>
      </c>
      <c r="N24" s="36"/>
      <c r="P24" s="37"/>
      <c r="Q24" s="40">
        <f>IF(SUM($Q$39:$Q$41)&lt;SUM($P$33:$P$35),-SUM($Q$39:$Q$41)+SUM($P$33:$P$35),0)</f>
        <v>0</v>
      </c>
      <c r="S24" s="38">
        <f t="shared" si="1"/>
        <v>0</v>
      </c>
    </row>
    <row r="25" spans="1:19" ht="16.5" customHeight="1" x14ac:dyDescent="0.3">
      <c r="A25" s="39"/>
      <c r="B25" s="31"/>
      <c r="C25" s="31" t="s">
        <v>32</v>
      </c>
      <c r="D25" s="31"/>
      <c r="E25" s="32"/>
      <c r="F25" s="33"/>
      <c r="G25" s="33"/>
      <c r="H25" s="34"/>
      <c r="I25" s="34"/>
      <c r="J25" s="41"/>
      <c r="K25" s="35">
        <f>IF(SUM($K$21:$K$24)&lt;SUM($J$15:$J$18),-SUM($K$21:$K$24)+SUM($J$15:$J$18),0)</f>
        <v>1</v>
      </c>
      <c r="N25" s="36"/>
      <c r="P25" s="37"/>
      <c r="Q25" s="37"/>
      <c r="S25" s="38">
        <f t="shared" si="1"/>
        <v>0</v>
      </c>
    </row>
    <row r="26" spans="1:19" ht="16.5" customHeight="1" x14ac:dyDescent="0.3">
      <c r="A26" s="39"/>
      <c r="C26" s="43"/>
      <c r="D26" s="43"/>
      <c r="E26" s="43"/>
      <c r="F26" s="44"/>
      <c r="G26" s="44"/>
      <c r="H26" s="45"/>
      <c r="I26" s="45"/>
      <c r="J26" s="46">
        <f>SUM(J15:J25)</f>
        <v>127210</v>
      </c>
      <c r="K26" s="46">
        <f>SUM(K15:K25)</f>
        <v>127210</v>
      </c>
      <c r="L26" s="47" t="str">
        <f>IF(J26=K26,"&lt;- Debits and Credits equal each other.","&lt;- Debits and Credits do not equal each other.")</f>
        <v>&lt;- Debits and Credits equal each other.</v>
      </c>
    </row>
    <row r="27" spans="1:19" ht="16.5" customHeight="1" x14ac:dyDescent="0.3">
      <c r="A27" s="48"/>
      <c r="B27" s="22" t="s">
        <v>33</v>
      </c>
      <c r="C27" s="49"/>
      <c r="D27" s="43"/>
      <c r="E27" s="43"/>
      <c r="F27" s="50"/>
      <c r="G27" s="50"/>
      <c r="H27" s="45"/>
      <c r="I27" s="45"/>
      <c r="J27" s="51"/>
      <c r="K27" s="51"/>
      <c r="L27" s="47"/>
    </row>
    <row r="28" spans="1:19" ht="16.2" customHeight="1" x14ac:dyDescent="0.35">
      <c r="A28" s="48"/>
      <c r="B28" s="52" t="s">
        <v>34</v>
      </c>
      <c r="C28" s="53"/>
      <c r="D28" s="43"/>
      <c r="E28" s="43"/>
      <c r="F28" s="44"/>
      <c r="G28" s="44"/>
      <c r="H28" s="45"/>
      <c r="I28" s="45"/>
      <c r="J28" s="51"/>
      <c r="K28" s="51"/>
      <c r="L28" s="47"/>
    </row>
    <row r="29" spans="1:19" ht="16.2" customHeight="1" x14ac:dyDescent="0.35">
      <c r="A29" s="48"/>
      <c r="B29" s="52"/>
      <c r="C29" s="53"/>
      <c r="D29" s="43"/>
      <c r="E29" s="43"/>
      <c r="F29" s="44"/>
      <c r="G29" s="44"/>
      <c r="H29" s="45"/>
      <c r="I29" s="45"/>
      <c r="J29" s="51"/>
      <c r="K29" s="51"/>
      <c r="L29" s="47"/>
    </row>
    <row r="30" spans="1:19" ht="16.5" customHeight="1" x14ac:dyDescent="0.3">
      <c r="A30" s="39"/>
      <c r="C30" s="43"/>
      <c r="D30" s="43"/>
      <c r="E30" s="43"/>
      <c r="F30" s="44"/>
      <c r="G30" s="44"/>
      <c r="H30" s="45"/>
      <c r="I30" s="45"/>
      <c r="J30" s="46"/>
      <c r="K30" s="46"/>
      <c r="L30" s="47"/>
    </row>
    <row r="31" spans="1:19" s="16" customFormat="1" ht="21" customHeight="1" x14ac:dyDescent="0.4">
      <c r="A31" s="10" t="s">
        <v>35</v>
      </c>
      <c r="B31" s="11"/>
      <c r="C31" s="12"/>
      <c r="D31" s="12"/>
      <c r="E31" s="12"/>
      <c r="F31" s="13"/>
      <c r="G31" s="13"/>
      <c r="H31" s="14"/>
      <c r="I31" s="14"/>
      <c r="J31" s="13"/>
      <c r="K31" s="13"/>
      <c r="L31" s="5"/>
      <c r="M31" s="5"/>
      <c r="N31" s="15"/>
      <c r="O31" s="15"/>
      <c r="P31" s="15"/>
    </row>
    <row r="32" spans="1:19" s="19" customFormat="1" ht="16.5" customHeight="1" x14ac:dyDescent="0.35">
      <c r="A32" s="17">
        <v>1</v>
      </c>
      <c r="B32" s="18" t="s">
        <v>36</v>
      </c>
      <c r="D32" s="20"/>
      <c r="E32" s="20"/>
      <c r="F32" s="21"/>
      <c r="G32" s="21"/>
      <c r="H32" s="22"/>
      <c r="I32" s="22"/>
      <c r="J32" s="23"/>
      <c r="K32" s="23"/>
    </row>
    <row r="33" spans="1:12" ht="16.5" customHeight="1" x14ac:dyDescent="0.3">
      <c r="B33" s="31" t="s">
        <v>37</v>
      </c>
      <c r="C33" s="31"/>
      <c r="D33" s="32"/>
      <c r="E33" s="32"/>
      <c r="F33" s="33"/>
      <c r="G33" s="33"/>
      <c r="H33" s="34"/>
      <c r="I33" s="34"/>
      <c r="J33" s="36">
        <v>0</v>
      </c>
      <c r="K33" s="54"/>
    </row>
    <row r="34" spans="1:12" ht="16.5" customHeight="1" x14ac:dyDescent="0.3">
      <c r="A34" s="39"/>
      <c r="B34" s="31"/>
      <c r="C34" s="31" t="s">
        <v>38</v>
      </c>
      <c r="D34" s="32"/>
      <c r="E34" s="32"/>
      <c r="F34" s="33"/>
      <c r="G34" s="33"/>
      <c r="H34" s="34"/>
      <c r="I34" s="34"/>
      <c r="J34" s="54"/>
      <c r="K34" s="36">
        <v>0</v>
      </c>
    </row>
    <row r="35" spans="1:12" ht="16.5" customHeight="1" x14ac:dyDescent="0.3">
      <c r="A35" s="39"/>
      <c r="B35" s="31"/>
      <c r="C35" s="31" t="str">
        <f>IF($F$7="Proprietary","Cr: Acct 0870 - SERVICES &amp; CHARGES (MG ADJ)",VLOOKUP($F$9,'[2]Drop Down Menus'!$F$2:$G$10,2,FALSE))</f>
        <v>Cr: Acct 0830 - TRANSPORTATION (GAAP ADJ)</v>
      </c>
      <c r="D35" s="32"/>
      <c r="E35" s="32"/>
      <c r="F35" s="33"/>
      <c r="G35" s="33"/>
      <c r="H35" s="34"/>
      <c r="I35" s="34"/>
      <c r="J35" s="54"/>
      <c r="K35" s="36">
        <v>0</v>
      </c>
    </row>
    <row r="36" spans="1:12" ht="16.5" customHeight="1" x14ac:dyDescent="0.3">
      <c r="A36" s="39"/>
      <c r="C36" s="26"/>
      <c r="D36" s="26"/>
      <c r="E36" s="26"/>
      <c r="F36" s="27"/>
      <c r="G36" s="27"/>
      <c r="H36" s="28"/>
      <c r="I36" s="28"/>
      <c r="J36" s="46">
        <f>SUM(J33:J35)</f>
        <v>0</v>
      </c>
      <c r="K36" s="46">
        <f>SUM(K33:K35)</f>
        <v>0</v>
      </c>
      <c r="L36" s="47" t="str">
        <f>IF(J36=K36,"&lt;- Debits and Credits equal each other.","&lt;- Debits and Credits do not equal each other.")</f>
        <v>&lt;- Debits and Credits equal each other.</v>
      </c>
    </row>
    <row r="37" spans="1:12" ht="16.5" customHeight="1" x14ac:dyDescent="0.3">
      <c r="A37" s="48"/>
      <c r="B37" s="55"/>
      <c r="C37" s="26"/>
      <c r="D37" s="26"/>
      <c r="E37" s="26"/>
      <c r="F37" s="27"/>
      <c r="G37" s="27"/>
      <c r="H37" s="28"/>
      <c r="I37" s="28"/>
      <c r="J37" s="51"/>
      <c r="K37" s="51"/>
      <c r="L37" s="47"/>
    </row>
    <row r="38" spans="1:12" ht="16.5" customHeight="1" x14ac:dyDescent="0.35">
      <c r="A38" s="24">
        <v>2</v>
      </c>
      <c r="B38" s="18" t="s">
        <v>39</v>
      </c>
      <c r="C38" s="26"/>
      <c r="D38" s="26"/>
      <c r="E38" s="26"/>
      <c r="F38" s="27"/>
      <c r="G38" s="27"/>
      <c r="H38" s="28"/>
      <c r="I38" s="28"/>
      <c r="J38" s="51"/>
      <c r="K38" s="51"/>
      <c r="L38" s="47"/>
    </row>
    <row r="39" spans="1:12" ht="16.5" customHeight="1" x14ac:dyDescent="0.3">
      <c r="A39" s="30" t="s">
        <v>20</v>
      </c>
      <c r="B39" s="31" t="s">
        <v>21</v>
      </c>
      <c r="C39" s="31"/>
      <c r="D39" s="32"/>
      <c r="E39" s="32"/>
      <c r="F39" s="33"/>
      <c r="G39" s="33"/>
      <c r="H39" s="34"/>
      <c r="I39" s="34"/>
      <c r="J39" s="36">
        <v>0</v>
      </c>
      <c r="K39" s="54"/>
    </row>
    <row r="40" spans="1:12" ht="16.5" customHeight="1" x14ac:dyDescent="0.3">
      <c r="A40" s="30" t="s">
        <v>20</v>
      </c>
      <c r="B40" s="31" t="s">
        <v>22</v>
      </c>
      <c r="C40" s="31"/>
      <c r="D40" s="32"/>
      <c r="E40" s="32"/>
      <c r="F40" s="33"/>
      <c r="G40" s="33"/>
      <c r="H40" s="34"/>
      <c r="I40" s="34"/>
      <c r="J40" s="36">
        <v>0</v>
      </c>
      <c r="K40" s="54"/>
    </row>
    <row r="41" spans="1:12" ht="16.5" customHeight="1" x14ac:dyDescent="0.3">
      <c r="A41" s="30" t="s">
        <v>20</v>
      </c>
      <c r="B41" s="31" t="s">
        <v>23</v>
      </c>
      <c r="C41" s="31"/>
      <c r="D41" s="32"/>
      <c r="E41" s="32"/>
      <c r="F41" s="33"/>
      <c r="G41" s="33"/>
      <c r="H41" s="34"/>
      <c r="I41" s="34"/>
      <c r="J41" s="36">
        <v>0</v>
      </c>
      <c r="K41" s="54"/>
    </row>
    <row r="42" spans="1:12" ht="16.5" customHeight="1" x14ac:dyDescent="0.3">
      <c r="A42" s="39"/>
      <c r="B42" s="31"/>
      <c r="C42" s="31" t="s">
        <v>40</v>
      </c>
      <c r="D42" s="32"/>
      <c r="E42" s="32"/>
      <c r="F42" s="33"/>
      <c r="G42" s="33"/>
      <c r="H42" s="34"/>
      <c r="I42" s="34"/>
      <c r="J42" s="54"/>
      <c r="K42" s="36">
        <v>0</v>
      </c>
    </row>
    <row r="43" spans="1:12" ht="16.5" customHeight="1" x14ac:dyDescent="0.3">
      <c r="A43" s="39"/>
      <c r="B43" s="22" t="s">
        <v>41</v>
      </c>
      <c r="C43" s="26"/>
      <c r="D43" s="26"/>
      <c r="E43" s="26"/>
      <c r="F43" s="27"/>
      <c r="G43" s="27"/>
      <c r="H43" s="28"/>
      <c r="I43" s="28"/>
      <c r="J43" s="46">
        <f>SUM(J39:J42)</f>
        <v>0</v>
      </c>
      <c r="K43" s="46">
        <f>SUM(K39:K42)</f>
        <v>0</v>
      </c>
      <c r="L43" s="47" t="str">
        <f>IF(J43=K43,"&lt;- Debits and Credits equal each other.","&lt;- Debits and Credits do not equal each other.")</f>
        <v>&lt;- Debits and Credits equal each other.</v>
      </c>
    </row>
    <row r="44" spans="1:12" ht="16.5" customHeight="1" x14ac:dyDescent="0.3">
      <c r="A44" s="48"/>
      <c r="C44" s="49"/>
      <c r="D44" s="43"/>
      <c r="E44" s="43"/>
      <c r="F44" s="50"/>
      <c r="G44" s="50"/>
      <c r="H44" s="45"/>
      <c r="I44" s="45"/>
      <c r="J44" s="51"/>
      <c r="K44" s="51"/>
      <c r="L44" s="47"/>
    </row>
    <row r="45" spans="1:12" ht="16.5" customHeight="1" x14ac:dyDescent="0.3">
      <c r="A45" s="48"/>
      <c r="B45" s="22"/>
      <c r="C45" s="49"/>
      <c r="D45" s="43"/>
      <c r="E45" s="43"/>
      <c r="F45" s="50"/>
      <c r="G45" s="50"/>
      <c r="H45" s="45"/>
      <c r="I45" s="45"/>
      <c r="J45" s="51"/>
      <c r="K45" s="51"/>
      <c r="L45" s="47"/>
    </row>
    <row r="46" spans="1:12" s="19" customFormat="1" ht="16.5" customHeight="1" x14ac:dyDescent="0.35">
      <c r="A46" s="17">
        <v>3</v>
      </c>
      <c r="B46" s="18" t="s">
        <v>42</v>
      </c>
      <c r="C46" s="20"/>
      <c r="D46" s="20"/>
      <c r="E46" s="20"/>
      <c r="F46" s="21"/>
      <c r="G46" s="21"/>
      <c r="H46" s="22"/>
      <c r="I46" s="22"/>
      <c r="J46" s="23"/>
      <c r="K46" s="23"/>
    </row>
    <row r="47" spans="1:12" ht="16.5" customHeight="1" x14ac:dyDescent="0.3">
      <c r="B47" s="31" t="s">
        <v>43</v>
      </c>
      <c r="C47" s="31"/>
      <c r="D47" s="32"/>
      <c r="E47" s="32"/>
      <c r="F47" s="33"/>
      <c r="G47" s="33"/>
      <c r="H47" s="34"/>
      <c r="I47" s="34"/>
      <c r="J47" s="36">
        <v>0</v>
      </c>
      <c r="K47" s="54"/>
    </row>
    <row r="48" spans="1:12" ht="16.5" customHeight="1" x14ac:dyDescent="0.3">
      <c r="A48" s="42" t="s">
        <v>29</v>
      </c>
      <c r="B48" s="31"/>
      <c r="C48" s="31" t="s">
        <v>30</v>
      </c>
      <c r="D48" s="32"/>
      <c r="E48" s="32"/>
      <c r="F48" s="33"/>
      <c r="G48" s="33"/>
      <c r="H48" s="34"/>
      <c r="I48" s="34"/>
      <c r="J48" s="54"/>
      <c r="K48" s="36">
        <v>0</v>
      </c>
    </row>
    <row r="49" spans="1:16" ht="16.5" customHeight="1" x14ac:dyDescent="0.3">
      <c r="A49" s="39"/>
      <c r="C49" s="26"/>
      <c r="D49" s="26"/>
      <c r="E49" s="26"/>
      <c r="F49" s="27"/>
      <c r="G49" s="27"/>
      <c r="H49" s="28"/>
      <c r="I49" s="28"/>
      <c r="J49" s="46">
        <f>SUM(J47:J48)</f>
        <v>0</v>
      </c>
      <c r="K49" s="46">
        <f>SUM(K47:K48)</f>
        <v>0</v>
      </c>
      <c r="L49" s="47" t="str">
        <f>IF(J49=K49,"&lt;- Debits and Credits equal each other.","&lt;- Debits and Credits do not equal each other.")</f>
        <v>&lt;- Debits and Credits equal each other.</v>
      </c>
    </row>
    <row r="50" spans="1:16" ht="16.5" customHeight="1" x14ac:dyDescent="0.3">
      <c r="A50" s="39"/>
      <c r="B50" s="52" t="s">
        <v>44</v>
      </c>
      <c r="C50" s="26"/>
      <c r="D50" s="26"/>
      <c r="E50" s="26"/>
      <c r="F50" s="27"/>
      <c r="G50" s="27"/>
      <c r="H50" s="28"/>
      <c r="I50" s="28"/>
      <c r="J50" s="46"/>
      <c r="K50" s="46"/>
      <c r="L50" s="47"/>
    </row>
    <row r="51" spans="1:16" ht="16.5" customHeight="1" x14ac:dyDescent="0.3">
      <c r="A51" s="39"/>
      <c r="B51" s="52"/>
      <c r="C51" s="26"/>
      <c r="D51" s="26"/>
      <c r="E51" s="26"/>
      <c r="F51" s="27"/>
      <c r="G51" s="27"/>
      <c r="H51" s="28"/>
      <c r="I51" s="28"/>
      <c r="J51" s="46"/>
      <c r="K51" s="46"/>
      <c r="L51" s="47"/>
    </row>
    <row r="52" spans="1:16" ht="16.5" customHeight="1" x14ac:dyDescent="0.3">
      <c r="A52" s="48"/>
      <c r="B52" s="26"/>
      <c r="C52" s="26"/>
      <c r="D52" s="26"/>
      <c r="E52" s="26"/>
      <c r="F52" s="27"/>
      <c r="G52" s="27"/>
      <c r="H52" s="28"/>
      <c r="I52" s="28"/>
      <c r="J52" s="51"/>
      <c r="K52" s="51"/>
      <c r="L52" s="47"/>
    </row>
    <row r="53" spans="1:16" s="16" customFormat="1" ht="21" customHeight="1" x14ac:dyDescent="0.4">
      <c r="A53" s="10" t="s">
        <v>45</v>
      </c>
      <c r="B53" s="11"/>
      <c r="C53" s="12"/>
      <c r="D53" s="12"/>
      <c r="E53" s="12"/>
      <c r="F53" s="13"/>
      <c r="G53" s="13"/>
      <c r="H53" s="14"/>
      <c r="I53" s="14"/>
      <c r="J53" s="13"/>
      <c r="K53" s="13"/>
      <c r="L53" s="5"/>
      <c r="M53" s="5"/>
      <c r="N53" s="15"/>
      <c r="O53" s="15"/>
      <c r="P53" s="15"/>
    </row>
    <row r="54" spans="1:16" s="19" customFormat="1" ht="16.5" customHeight="1" x14ac:dyDescent="0.35">
      <c r="A54" s="17">
        <v>4</v>
      </c>
      <c r="B54" s="18" t="s">
        <v>46</v>
      </c>
      <c r="C54" s="20"/>
      <c r="D54" s="20"/>
      <c r="E54" s="20"/>
      <c r="F54" s="21"/>
      <c r="G54" s="21"/>
      <c r="H54" s="22"/>
      <c r="I54" s="22"/>
      <c r="J54" s="23"/>
      <c r="K54" s="23"/>
    </row>
    <row r="55" spans="1:16" ht="16.5" customHeight="1" x14ac:dyDescent="0.3">
      <c r="B55" s="31" t="s">
        <v>47</v>
      </c>
      <c r="C55" s="56"/>
      <c r="D55" s="32"/>
      <c r="E55" s="32"/>
      <c r="F55" s="33"/>
      <c r="G55" s="33"/>
      <c r="H55" s="34"/>
      <c r="I55" s="34"/>
      <c r="J55" s="36">
        <v>31794</v>
      </c>
      <c r="K55" s="54"/>
    </row>
    <row r="56" spans="1:16" ht="16.5" customHeight="1" x14ac:dyDescent="0.3">
      <c r="A56" s="39"/>
      <c r="B56" s="56"/>
      <c r="C56" s="31" t="s">
        <v>26</v>
      </c>
      <c r="D56" s="32"/>
      <c r="E56" s="32"/>
      <c r="F56" s="33"/>
      <c r="G56" s="33"/>
      <c r="H56" s="34"/>
      <c r="I56" s="34"/>
      <c r="J56" s="57"/>
      <c r="K56" s="36"/>
    </row>
    <row r="57" spans="1:16" ht="16.5" customHeight="1" x14ac:dyDescent="0.3">
      <c r="A57" s="39"/>
      <c r="B57" s="56"/>
      <c r="C57" s="31" t="s">
        <v>27</v>
      </c>
      <c r="D57" s="32"/>
      <c r="E57" s="32"/>
      <c r="F57" s="33"/>
      <c r="G57" s="33"/>
      <c r="H57" s="34"/>
      <c r="I57" s="34"/>
      <c r="J57" s="57"/>
      <c r="K57" s="36"/>
    </row>
    <row r="58" spans="1:16" ht="16.5" customHeight="1" x14ac:dyDescent="0.3">
      <c r="A58" s="39"/>
      <c r="B58" s="31"/>
      <c r="C58" s="31" t="s">
        <v>28</v>
      </c>
      <c r="D58" s="32"/>
      <c r="E58" s="32"/>
      <c r="F58" s="33"/>
      <c r="G58" s="33"/>
      <c r="H58" s="34"/>
      <c r="I58" s="34"/>
      <c r="J58" s="54"/>
      <c r="K58" s="36">
        <v>31794</v>
      </c>
    </row>
    <row r="59" spans="1:16" ht="16.5" customHeight="1" x14ac:dyDescent="0.3">
      <c r="A59" s="39"/>
      <c r="C59" s="26"/>
      <c r="D59" s="26"/>
      <c r="E59" s="26"/>
      <c r="F59" s="27"/>
      <c r="G59" s="27"/>
      <c r="H59" s="28"/>
      <c r="I59" s="28"/>
      <c r="J59" s="46">
        <f>SUM(J55:J58)</f>
        <v>31794</v>
      </c>
      <c r="K59" s="46">
        <f>SUM(K55:K58)</f>
        <v>31794</v>
      </c>
      <c r="L59" s="47" t="str">
        <f>IF(J59=K59,"&lt;- Debits and Credits equal each other.","&lt;- Debits and Credits do not equal each other.")</f>
        <v>&lt;- Debits and Credits equal each other.</v>
      </c>
    </row>
    <row r="60" spans="1:16" ht="16.5" customHeight="1" x14ac:dyDescent="0.35">
      <c r="A60" s="39"/>
      <c r="B60" s="25"/>
      <c r="C60" s="43"/>
      <c r="D60" s="43"/>
      <c r="E60" s="43"/>
      <c r="F60" s="50"/>
      <c r="G60" s="50"/>
      <c r="H60" s="45"/>
      <c r="I60" s="45"/>
    </row>
    <row r="61" spans="1:16" s="19" customFormat="1" ht="16.5" customHeight="1" x14ac:dyDescent="0.35">
      <c r="A61" s="17">
        <v>5</v>
      </c>
      <c r="B61" s="18" t="s">
        <v>48</v>
      </c>
      <c r="C61" s="20"/>
      <c r="D61" s="20"/>
      <c r="E61" s="20"/>
      <c r="F61" s="21"/>
      <c r="G61" s="21"/>
      <c r="H61" s="22"/>
      <c r="I61" s="22"/>
      <c r="J61" s="23"/>
      <c r="K61" s="23"/>
    </row>
    <row r="62" spans="1:16" ht="16.5" customHeight="1" x14ac:dyDescent="0.3">
      <c r="B62" s="31" t="s">
        <v>49</v>
      </c>
      <c r="C62" s="31"/>
      <c r="D62" s="32"/>
      <c r="E62" s="32"/>
      <c r="F62" s="33"/>
      <c r="G62" s="33"/>
      <c r="H62" s="34"/>
      <c r="I62" s="34"/>
      <c r="J62" s="58">
        <v>31826</v>
      </c>
      <c r="K62" s="59"/>
    </row>
    <row r="63" spans="1:16" ht="16.5" customHeight="1" x14ac:dyDescent="0.3">
      <c r="A63" s="39"/>
      <c r="B63" s="31" t="str">
        <f>IF(F7="Governmental","Dr: Acct 0851 - DEBT SERVICE - INTEREST LEASES","Dr: Acct 0894 - INTEREST EXPENSE AND FISCAL CHARGES")</f>
        <v>Dr: Acct 0851 - DEBT SERVICE - INTEREST LEASES</v>
      </c>
      <c r="C63" s="31"/>
      <c r="D63" s="32"/>
      <c r="E63" s="32"/>
      <c r="F63" s="33"/>
      <c r="G63" s="33"/>
      <c r="H63" s="34"/>
      <c r="I63" s="34"/>
      <c r="J63" s="58">
        <v>13</v>
      </c>
      <c r="K63" s="59"/>
    </row>
    <row r="64" spans="1:16" ht="16.5" customHeight="1" x14ac:dyDescent="0.3">
      <c r="A64" s="39"/>
      <c r="B64" s="31"/>
      <c r="C64" s="31" t="str">
        <f>IF($F$7="Proprietary","Cr: Acct 0870 - SERVICES &amp; CHARGES (MG ADJ)",VLOOKUP($F$9,'[2]Drop Down Menus'!$F$2:$G$10,2,FALSE))</f>
        <v>Cr: Acct 0830 - TRANSPORTATION (GAAP ADJ)</v>
      </c>
      <c r="D64" s="32"/>
      <c r="E64" s="32"/>
      <c r="F64" s="33"/>
      <c r="G64" s="33"/>
      <c r="H64" s="34"/>
      <c r="I64" s="34"/>
      <c r="J64" s="59"/>
      <c r="K64" s="36">
        <v>31839</v>
      </c>
    </row>
    <row r="65" spans="1:12" ht="16.5" customHeight="1" x14ac:dyDescent="0.3">
      <c r="A65" s="39"/>
      <c r="C65" s="26"/>
      <c r="D65" s="26"/>
      <c r="E65" s="26"/>
      <c r="F65" s="27"/>
      <c r="G65" s="27"/>
      <c r="H65" s="28"/>
      <c r="I65" s="28"/>
      <c r="J65" s="46">
        <f>SUM(J62:J64)</f>
        <v>31839</v>
      </c>
      <c r="K65" s="46">
        <f>SUM(K62:K64)</f>
        <v>31839</v>
      </c>
      <c r="L65" s="47" t="str">
        <f>IF(J65=K65,"&lt;- Debits and Credits equal each other.","&lt;- Debits and Credits do not equal each other.")</f>
        <v>&lt;- Debits and Credits equal each other.</v>
      </c>
    </row>
    <row r="66" spans="1:12" ht="16.5" customHeight="1" x14ac:dyDescent="0.35">
      <c r="A66" s="48"/>
      <c r="B66" s="25"/>
      <c r="C66" s="26"/>
      <c r="D66" s="26"/>
      <c r="E66" s="26"/>
      <c r="F66" s="27"/>
      <c r="G66" s="27"/>
      <c r="H66" s="28"/>
      <c r="I66" s="28"/>
      <c r="J66" s="51"/>
      <c r="K66" s="51"/>
      <c r="L66" s="47"/>
    </row>
    <row r="67" spans="1:12" s="19" customFormat="1" ht="16.5" customHeight="1" x14ac:dyDescent="0.35">
      <c r="A67" s="17">
        <v>6</v>
      </c>
      <c r="B67" s="18" t="s">
        <v>50</v>
      </c>
      <c r="C67" s="20"/>
      <c r="D67" s="20"/>
      <c r="E67" s="20"/>
      <c r="F67" s="21"/>
      <c r="G67" s="21"/>
      <c r="H67" s="22"/>
      <c r="I67" s="22"/>
      <c r="J67" s="23"/>
      <c r="K67" s="23"/>
    </row>
    <row r="68" spans="1:12" ht="16.5" customHeight="1" x14ac:dyDescent="0.3">
      <c r="A68" s="42" t="s">
        <v>29</v>
      </c>
      <c r="B68" s="31" t="s">
        <v>51</v>
      </c>
      <c r="C68" s="31"/>
      <c r="D68" s="32"/>
      <c r="E68" s="32"/>
      <c r="F68" s="33"/>
      <c r="G68" s="33"/>
      <c r="H68" s="34"/>
      <c r="I68" s="34"/>
      <c r="J68" s="36">
        <v>31826</v>
      </c>
      <c r="K68" s="54"/>
    </row>
    <row r="69" spans="1:12" ht="16.5" customHeight="1" x14ac:dyDescent="0.3">
      <c r="A69" s="39"/>
      <c r="B69" s="31"/>
      <c r="C69" s="31" t="s">
        <v>52</v>
      </c>
      <c r="D69" s="32"/>
      <c r="E69" s="32"/>
      <c r="F69" s="33"/>
      <c r="G69" s="33"/>
      <c r="H69" s="34"/>
      <c r="I69" s="34"/>
      <c r="J69" s="54"/>
      <c r="K69" s="36">
        <v>31826</v>
      </c>
    </row>
    <row r="70" spans="1:12" ht="16.5" customHeight="1" x14ac:dyDescent="0.3">
      <c r="A70" s="39"/>
      <c r="C70" s="26"/>
      <c r="D70" s="26"/>
      <c r="E70" s="26"/>
      <c r="F70" s="27"/>
      <c r="G70" s="27"/>
      <c r="H70" s="28"/>
      <c r="I70" s="28"/>
      <c r="J70" s="46">
        <f>SUM(J68:J69)</f>
        <v>31826</v>
      </c>
      <c r="K70" s="46">
        <f>SUM(K68:K69)</f>
        <v>31826</v>
      </c>
      <c r="L70" s="47" t="str">
        <f>IF(J70=K70,"&lt;- Debits and Credits equal each other.","&lt;- Debits and Credits do not equal each other.")</f>
        <v>&lt;- Debits and Credits equal each other.</v>
      </c>
    </row>
    <row r="71" spans="1:12" ht="16.5" customHeight="1" x14ac:dyDescent="0.3">
      <c r="A71" s="39"/>
      <c r="B71" s="52" t="s">
        <v>53</v>
      </c>
      <c r="C71" s="26"/>
      <c r="D71" s="26"/>
      <c r="E71" s="26"/>
      <c r="F71" s="27"/>
      <c r="G71" s="27"/>
      <c r="H71" s="28"/>
      <c r="I71" s="28"/>
    </row>
    <row r="72" spans="1:12" ht="16.5" customHeight="1" x14ac:dyDescent="0.3">
      <c r="A72" s="39"/>
      <c r="B72" s="52"/>
      <c r="C72" s="26"/>
      <c r="D72" s="26"/>
      <c r="E72" s="26"/>
      <c r="F72" s="27"/>
      <c r="G72" s="27"/>
      <c r="H72" s="28"/>
      <c r="I72" s="28"/>
    </row>
    <row r="73" spans="1:12" ht="16.5" customHeight="1" x14ac:dyDescent="0.3">
      <c r="A73" s="39"/>
      <c r="B73" s="52"/>
      <c r="C73" s="26"/>
      <c r="D73" s="26"/>
      <c r="E73" s="26"/>
      <c r="F73" s="27"/>
      <c r="G73" s="27"/>
      <c r="H73" s="28"/>
      <c r="I73" s="28"/>
    </row>
    <row r="74" spans="1:12" s="19" customFormat="1" ht="16.5" customHeight="1" x14ac:dyDescent="0.35">
      <c r="A74" s="17">
        <v>7</v>
      </c>
      <c r="B74" s="18" t="s">
        <v>54</v>
      </c>
      <c r="C74" s="20"/>
      <c r="D74" s="20"/>
      <c r="E74" s="20"/>
      <c r="F74" s="21"/>
      <c r="G74" s="21"/>
      <c r="H74" s="22"/>
      <c r="I74" s="22"/>
      <c r="J74" s="23"/>
      <c r="K74" s="23"/>
    </row>
    <row r="75" spans="1:12" ht="16.5" customHeight="1" x14ac:dyDescent="0.3">
      <c r="A75" s="42" t="s">
        <v>29</v>
      </c>
      <c r="B75" s="31" t="s">
        <v>51</v>
      </c>
      <c r="C75" s="31"/>
      <c r="D75" s="32"/>
      <c r="E75" s="32"/>
      <c r="F75" s="33"/>
      <c r="G75" s="33"/>
      <c r="H75" s="34"/>
      <c r="I75" s="34"/>
      <c r="J75" s="36">
        <v>0</v>
      </c>
      <c r="K75" s="54"/>
    </row>
    <row r="76" spans="1:12" ht="16.5" customHeight="1" x14ac:dyDescent="0.3">
      <c r="A76" s="39"/>
      <c r="B76" s="31"/>
      <c r="C76" s="31" t="s">
        <v>55</v>
      </c>
      <c r="D76" s="32"/>
      <c r="E76" s="32"/>
      <c r="F76" s="33"/>
      <c r="G76" s="33"/>
      <c r="H76" s="34"/>
      <c r="I76" s="34"/>
      <c r="J76" s="54"/>
      <c r="K76" s="36">
        <v>0</v>
      </c>
    </row>
    <row r="77" spans="1:12" ht="16.5" customHeight="1" x14ac:dyDescent="0.25">
      <c r="A77" s="39"/>
      <c r="B77" s="233" t="s">
        <v>56</v>
      </c>
      <c r="C77" s="233"/>
      <c r="D77" s="233"/>
      <c r="E77" s="233"/>
      <c r="F77" s="233"/>
      <c r="G77" s="233"/>
      <c r="H77" s="233"/>
      <c r="I77" s="233"/>
      <c r="J77" s="46">
        <f>SUM(J75:J76)</f>
        <v>0</v>
      </c>
      <c r="K77" s="46">
        <f>SUM(K75:K76)</f>
        <v>0</v>
      </c>
      <c r="L77" s="47" t="str">
        <f>IF(J77=K77,"&lt;- Debits and Credits equal each other.","&lt;- Debits and Credits do not equal each other.")</f>
        <v>&lt;- Debits and Credits equal each other.</v>
      </c>
    </row>
    <row r="78" spans="1:12" ht="16.5" customHeight="1" x14ac:dyDescent="0.25">
      <c r="A78" s="39"/>
      <c r="B78" s="233"/>
      <c r="C78" s="233"/>
      <c r="D78" s="233"/>
      <c r="E78" s="233"/>
      <c r="F78" s="233"/>
      <c r="G78" s="233"/>
      <c r="H78" s="233"/>
      <c r="I78" s="233"/>
      <c r="J78" s="46"/>
      <c r="K78" s="46"/>
      <c r="L78" s="47"/>
    </row>
    <row r="79" spans="1:12" ht="24.6" customHeight="1" x14ac:dyDescent="0.25">
      <c r="A79" s="39"/>
      <c r="B79" s="233"/>
      <c r="C79" s="233"/>
      <c r="D79" s="233"/>
      <c r="E79" s="233"/>
      <c r="F79" s="233"/>
      <c r="G79" s="233"/>
      <c r="H79" s="233"/>
      <c r="I79" s="233"/>
      <c r="J79" s="46"/>
      <c r="K79" s="46"/>
      <c r="L79" s="47"/>
    </row>
    <row r="80" spans="1:12" ht="16.5" customHeight="1" x14ac:dyDescent="0.3">
      <c r="A80" s="48"/>
      <c r="B80" s="52" t="s">
        <v>57</v>
      </c>
      <c r="C80" s="26"/>
      <c r="D80" s="26"/>
      <c r="E80" s="26"/>
      <c r="F80" s="27"/>
      <c r="G80" s="27"/>
      <c r="H80" s="28"/>
      <c r="I80" s="28"/>
      <c r="J80" s="51"/>
      <c r="K80" s="51"/>
      <c r="L80" s="47"/>
    </row>
    <row r="81" spans="1:16" ht="16.5" customHeight="1" x14ac:dyDescent="0.3">
      <c r="A81" s="48"/>
      <c r="B81" s="52"/>
      <c r="C81" s="26"/>
      <c r="D81" s="26"/>
      <c r="E81" s="26"/>
      <c r="F81" s="27"/>
      <c r="G81" s="27"/>
      <c r="H81" s="28"/>
      <c r="I81" s="28"/>
      <c r="J81" s="51"/>
      <c r="K81" s="51"/>
      <c r="L81" s="47"/>
    </row>
    <row r="82" spans="1:16" ht="16.5" customHeight="1" x14ac:dyDescent="0.35">
      <c r="A82" s="48"/>
      <c r="B82" s="25"/>
      <c r="C82" s="26"/>
      <c r="D82" s="26"/>
      <c r="E82" s="26"/>
      <c r="F82" s="27"/>
      <c r="G82" s="27"/>
      <c r="H82" s="28"/>
      <c r="I82" s="28"/>
      <c r="J82" s="51"/>
      <c r="K82" s="51"/>
      <c r="L82" s="47"/>
    </row>
    <row r="83" spans="1:16" s="16" customFormat="1" ht="21" customHeight="1" x14ac:dyDescent="0.4">
      <c r="A83" s="10" t="s">
        <v>58</v>
      </c>
      <c r="B83" s="11"/>
      <c r="C83" s="12"/>
      <c r="D83" s="12"/>
      <c r="E83" s="12"/>
      <c r="F83" s="13"/>
      <c r="G83" s="13"/>
      <c r="H83" s="14"/>
      <c r="I83" s="14"/>
      <c r="J83" s="13"/>
      <c r="K83" s="13"/>
      <c r="L83" s="5"/>
      <c r="M83" s="5"/>
      <c r="N83" s="15"/>
      <c r="O83" s="15"/>
      <c r="P83" s="15"/>
    </row>
    <row r="84" spans="1:16" s="19" customFormat="1" ht="16.5" customHeight="1" x14ac:dyDescent="0.35">
      <c r="A84" s="17">
        <v>8</v>
      </c>
      <c r="B84" s="18" t="s">
        <v>59</v>
      </c>
      <c r="H84" s="60"/>
    </row>
    <row r="85" spans="1:16" ht="16.5" customHeight="1" x14ac:dyDescent="0.3">
      <c r="B85" s="31" t="s">
        <v>60</v>
      </c>
      <c r="C85" s="31"/>
      <c r="D85" s="32"/>
      <c r="E85" s="32"/>
      <c r="F85" s="33"/>
      <c r="G85" s="33"/>
      <c r="H85" s="34"/>
      <c r="I85" s="34"/>
      <c r="J85" s="36"/>
      <c r="K85" s="54"/>
      <c r="L85" s="47"/>
    </row>
    <row r="86" spans="1:16" ht="16.5" customHeight="1" x14ac:dyDescent="0.25">
      <c r="A86" s="39"/>
      <c r="B86" s="31" t="s">
        <v>61</v>
      </c>
      <c r="C86" s="56"/>
      <c r="D86" s="56"/>
      <c r="E86" s="56"/>
      <c r="F86" s="56"/>
      <c r="G86" s="56"/>
      <c r="H86" s="56"/>
      <c r="I86" s="56"/>
      <c r="J86" s="36"/>
      <c r="K86" s="61"/>
    </row>
    <row r="87" spans="1:16" ht="16.5" customHeight="1" x14ac:dyDescent="0.25">
      <c r="A87" s="39"/>
      <c r="B87" s="31" t="s">
        <v>62</v>
      </c>
      <c r="C87" s="56"/>
      <c r="D87" s="56"/>
      <c r="E87" s="56"/>
      <c r="F87" s="56"/>
      <c r="G87" s="56"/>
      <c r="H87" s="56"/>
      <c r="I87" s="56"/>
      <c r="J87" s="36">
        <v>127178</v>
      </c>
      <c r="K87" s="61"/>
    </row>
    <row r="88" spans="1:16" ht="16.5" customHeight="1" x14ac:dyDescent="0.25">
      <c r="A88" s="30" t="s">
        <v>20</v>
      </c>
      <c r="B88" s="56"/>
      <c r="C88" s="31" t="s">
        <v>63</v>
      </c>
      <c r="D88" s="56"/>
      <c r="E88" s="56"/>
      <c r="F88" s="56"/>
      <c r="G88" s="56"/>
      <c r="H88" s="56"/>
      <c r="I88" s="56"/>
      <c r="J88" s="61"/>
      <c r="K88" s="36"/>
    </row>
    <row r="89" spans="1:16" ht="16.5" customHeight="1" x14ac:dyDescent="0.25">
      <c r="A89" s="30" t="s">
        <v>20</v>
      </c>
      <c r="B89" s="56"/>
      <c r="C89" s="31" t="s">
        <v>64</v>
      </c>
      <c r="D89" s="56"/>
      <c r="E89" s="56"/>
      <c r="F89" s="56"/>
      <c r="G89" s="56"/>
      <c r="H89" s="56"/>
      <c r="I89" s="56"/>
      <c r="J89" s="61"/>
      <c r="K89" s="36"/>
    </row>
    <row r="90" spans="1:16" ht="16.5" customHeight="1" x14ac:dyDescent="0.25">
      <c r="A90" s="30" t="s">
        <v>20</v>
      </c>
      <c r="B90" s="56"/>
      <c r="C90" s="31" t="s">
        <v>65</v>
      </c>
      <c r="D90" s="56"/>
      <c r="E90" s="56"/>
      <c r="F90" s="56"/>
      <c r="G90" s="56"/>
      <c r="H90" s="56"/>
      <c r="I90" s="56"/>
      <c r="J90" s="61"/>
      <c r="K90" s="36">
        <v>127178</v>
      </c>
    </row>
    <row r="91" spans="1:16" ht="16.5" customHeight="1" x14ac:dyDescent="0.3">
      <c r="B91" s="22" t="s">
        <v>66</v>
      </c>
      <c r="H91" s="2"/>
      <c r="J91" s="62">
        <f>SUM(J85:J90)</f>
        <v>127178</v>
      </c>
      <c r="K91" s="62">
        <f>SUM(K85:K90)</f>
        <v>127178</v>
      </c>
      <c r="L91" s="47" t="str">
        <f>IF(J91=K91,"&lt;- Debits and Credits equal each other.","&lt;- Debits and Credits do not equal each other.")</f>
        <v>&lt;- Debits and Credits equal each other.</v>
      </c>
    </row>
    <row r="92" spans="1:16" ht="16.5" customHeight="1" x14ac:dyDescent="0.3">
      <c r="H92" s="2"/>
    </row>
    <row r="93" spans="1:16" ht="16.5" customHeight="1" x14ac:dyDescent="0.3">
      <c r="H93" s="2"/>
    </row>
    <row r="94" spans="1:16" s="16" customFormat="1" ht="21" customHeight="1" x14ac:dyDescent="0.4">
      <c r="A94" s="10" t="s">
        <v>67</v>
      </c>
      <c r="B94" s="11"/>
      <c r="C94" s="12"/>
      <c r="D94" s="12"/>
      <c r="E94" s="12"/>
      <c r="F94" s="13"/>
      <c r="G94" s="13"/>
      <c r="H94" s="14"/>
      <c r="I94" s="14"/>
      <c r="J94" s="13"/>
      <c r="K94" s="13"/>
      <c r="L94" s="5"/>
      <c r="M94" s="5"/>
      <c r="N94" s="15"/>
      <c r="O94" s="15"/>
      <c r="P94" s="15"/>
    </row>
    <row r="95" spans="1:16" s="19" customFormat="1" ht="16.5" customHeight="1" x14ac:dyDescent="0.35">
      <c r="A95" s="63">
        <v>9</v>
      </c>
      <c r="B95" s="18" t="s">
        <v>68</v>
      </c>
      <c r="C95" s="64"/>
      <c r="D95" s="64"/>
      <c r="E95" s="64"/>
      <c r="F95" s="64"/>
      <c r="G95" s="64"/>
      <c r="H95" s="64"/>
      <c r="I95" s="64"/>
      <c r="J95" s="65"/>
      <c r="K95" s="65"/>
    </row>
    <row r="96" spans="1:16" ht="16.5" customHeight="1" x14ac:dyDescent="0.25">
      <c r="A96" s="42" t="s">
        <v>29</v>
      </c>
      <c r="B96" s="31" t="s">
        <v>51</v>
      </c>
      <c r="C96" s="31"/>
      <c r="D96" s="66"/>
      <c r="E96" s="66"/>
      <c r="F96" s="66"/>
      <c r="G96" s="66"/>
      <c r="H96" s="66"/>
      <c r="I96" s="66"/>
      <c r="J96" s="36"/>
      <c r="K96" s="67"/>
    </row>
    <row r="97" spans="1:12" ht="16.5" customHeight="1" x14ac:dyDescent="0.25">
      <c r="B97" s="31" t="s">
        <v>60</v>
      </c>
      <c r="C97" s="56"/>
      <c r="D97" s="56"/>
      <c r="E97" s="56"/>
      <c r="F97" s="56"/>
      <c r="G97" s="56"/>
      <c r="H97" s="56"/>
      <c r="I97" s="56"/>
      <c r="J97" s="36"/>
      <c r="K97" s="56"/>
    </row>
    <row r="98" spans="1:12" ht="16.5" customHeight="1" x14ac:dyDescent="0.25">
      <c r="B98" s="31" t="s">
        <v>61</v>
      </c>
      <c r="C98" s="56"/>
      <c r="D98" s="56"/>
      <c r="E98" s="56"/>
      <c r="F98" s="56"/>
      <c r="G98" s="56"/>
      <c r="H98" s="56"/>
      <c r="I98" s="56"/>
      <c r="J98" s="36"/>
      <c r="K98" s="56"/>
    </row>
    <row r="99" spans="1:12" ht="16.5" customHeight="1" x14ac:dyDescent="0.25">
      <c r="B99" s="31" t="s">
        <v>62</v>
      </c>
      <c r="C99" s="56"/>
      <c r="D99" s="56"/>
      <c r="E99" s="56"/>
      <c r="F99" s="56"/>
      <c r="G99" s="56"/>
      <c r="H99" s="56"/>
      <c r="I99" s="56"/>
      <c r="J99" s="36"/>
      <c r="K99" s="56"/>
    </row>
    <row r="100" spans="1:12" ht="16.5" customHeight="1" x14ac:dyDescent="0.25">
      <c r="B100" s="31" t="str">
        <f>IF($F$7="Proprietary","Dr: Acct 0870 - SERVICES &amp; CHARGES (MG ADJ)",VLOOKUP($F$9,'[2]Drop Down Menus'!$F$2:$H$10,3,FALSE))</f>
        <v>Dr: Acct 0830 - TRANSPORTATION (GAAP ADJ)</v>
      </c>
      <c r="C100" s="56"/>
      <c r="D100" s="56"/>
      <c r="E100" s="56"/>
      <c r="F100" s="56"/>
      <c r="G100" s="56"/>
      <c r="H100" s="56"/>
      <c r="I100" s="56"/>
      <c r="J100" s="36"/>
      <c r="K100" s="56"/>
    </row>
    <row r="101" spans="1:12" ht="16.5" customHeight="1" x14ac:dyDescent="0.25">
      <c r="A101" s="30" t="s">
        <v>20</v>
      </c>
      <c r="B101" s="56"/>
      <c r="C101" s="31" t="s">
        <v>63</v>
      </c>
      <c r="D101" s="56"/>
      <c r="E101" s="56"/>
      <c r="F101" s="56"/>
      <c r="G101" s="56"/>
      <c r="H101" s="56"/>
      <c r="I101" s="56"/>
      <c r="J101" s="56"/>
      <c r="K101" s="36"/>
    </row>
    <row r="102" spans="1:12" ht="16.5" customHeight="1" x14ac:dyDescent="0.25">
      <c r="A102" s="30" t="s">
        <v>20</v>
      </c>
      <c r="B102" s="56"/>
      <c r="C102" s="31" t="s">
        <v>64</v>
      </c>
      <c r="D102" s="56"/>
      <c r="E102" s="56"/>
      <c r="F102" s="56"/>
      <c r="G102" s="56"/>
      <c r="H102" s="56"/>
      <c r="I102" s="56"/>
      <c r="J102" s="56"/>
      <c r="K102" s="36"/>
    </row>
    <row r="103" spans="1:12" ht="16.5" customHeight="1" x14ac:dyDescent="0.25">
      <c r="A103" s="30" t="s">
        <v>20</v>
      </c>
      <c r="B103" s="56"/>
      <c r="C103" s="31" t="s">
        <v>65</v>
      </c>
      <c r="D103" s="56"/>
      <c r="E103" s="56"/>
      <c r="F103" s="56"/>
      <c r="G103" s="56"/>
      <c r="H103" s="56"/>
      <c r="I103" s="56"/>
      <c r="J103" s="56"/>
      <c r="K103" s="36"/>
    </row>
    <row r="104" spans="1:12" ht="16.5" customHeight="1" x14ac:dyDescent="0.25">
      <c r="B104" s="56"/>
      <c r="C104" s="31" t="str">
        <f>IF($F$7="Proprietary","Dr: Acct 0870 - SERVICES &amp; CHARGES (MG ADJ)",VLOOKUP($F$9,'[2]Drop Down Menus'!$F$2:$G$10,2,FALSE))</f>
        <v>Cr: Acct 0830 - TRANSPORTATION (GAAP ADJ)</v>
      </c>
      <c r="D104" s="56"/>
      <c r="E104" s="56"/>
      <c r="F104" s="56"/>
      <c r="G104" s="56"/>
      <c r="H104" s="56"/>
      <c r="I104" s="56"/>
      <c r="J104" s="56"/>
      <c r="K104" s="36"/>
    </row>
    <row r="105" spans="1:12" ht="16.5" customHeight="1" x14ac:dyDescent="0.3">
      <c r="B105" s="22" t="s">
        <v>66</v>
      </c>
      <c r="H105" s="2"/>
      <c r="J105" s="62">
        <f>SUM(J96:J104)</f>
        <v>0</v>
      </c>
      <c r="K105" s="62">
        <f>SUM(K96:K104)</f>
        <v>0</v>
      </c>
      <c r="L105" s="47" t="str">
        <f>IF(J105=K105,"&lt;- Debits and Credits equal each other.","&lt;- Debits and Credits do not equal each other.")</f>
        <v>&lt;- Debits and Credits equal each other.</v>
      </c>
    </row>
    <row r="106" spans="1:12" ht="16.5" customHeight="1" x14ac:dyDescent="0.3">
      <c r="B106" s="52" t="s">
        <v>53</v>
      </c>
      <c r="H106" s="2"/>
      <c r="J106" s="62"/>
      <c r="K106" s="62"/>
      <c r="L106" s="47"/>
    </row>
    <row r="107" spans="1:12" ht="16.5" customHeight="1" x14ac:dyDescent="0.3">
      <c r="H107" s="2"/>
    </row>
    <row r="108" spans="1:12" ht="16.5" customHeight="1" x14ac:dyDescent="0.3">
      <c r="H108" s="2"/>
    </row>
    <row r="109" spans="1:12" s="19" customFormat="1" ht="16.5" customHeight="1" x14ac:dyDescent="0.35">
      <c r="A109" s="63">
        <v>10</v>
      </c>
      <c r="B109" s="18" t="s">
        <v>69</v>
      </c>
      <c r="C109" s="64"/>
      <c r="D109" s="64"/>
    </row>
    <row r="110" spans="1:12" ht="16.5" customHeight="1" x14ac:dyDescent="0.25">
      <c r="A110" s="30" t="s">
        <v>20</v>
      </c>
      <c r="B110" s="31" t="s">
        <v>21</v>
      </c>
      <c r="C110" s="31"/>
      <c r="D110" s="66"/>
      <c r="E110" s="56"/>
      <c r="F110" s="56"/>
      <c r="G110" s="56"/>
      <c r="H110" s="56"/>
      <c r="I110" s="56"/>
      <c r="J110" s="36"/>
      <c r="K110" s="56"/>
    </row>
    <row r="111" spans="1:12" ht="16.5" customHeight="1" x14ac:dyDescent="0.25">
      <c r="A111" s="30" t="s">
        <v>20</v>
      </c>
      <c r="B111" s="31" t="s">
        <v>22</v>
      </c>
      <c r="C111" s="31"/>
      <c r="D111" s="66"/>
      <c r="E111" s="56"/>
      <c r="F111" s="56"/>
      <c r="G111" s="56"/>
      <c r="H111" s="56"/>
      <c r="I111" s="56"/>
      <c r="J111" s="36"/>
      <c r="K111" s="56"/>
    </row>
    <row r="112" spans="1:12" ht="16.5" customHeight="1" x14ac:dyDescent="0.25">
      <c r="A112" s="30" t="s">
        <v>20</v>
      </c>
      <c r="B112" s="31" t="s">
        <v>23</v>
      </c>
      <c r="C112" s="31"/>
      <c r="D112" s="66"/>
      <c r="E112" s="56"/>
      <c r="F112" s="56"/>
      <c r="G112" s="56"/>
      <c r="H112" s="56"/>
      <c r="I112" s="56"/>
      <c r="J112" s="36"/>
      <c r="K112" s="56"/>
    </row>
    <row r="113" spans="1:12" ht="16.5" customHeight="1" x14ac:dyDescent="0.25">
      <c r="A113" s="42" t="s">
        <v>29</v>
      </c>
      <c r="B113" s="31"/>
      <c r="C113" s="31" t="s">
        <v>30</v>
      </c>
      <c r="D113" s="66"/>
      <c r="E113" s="56"/>
      <c r="F113" s="56"/>
      <c r="G113" s="56"/>
      <c r="H113" s="56"/>
      <c r="I113" s="56"/>
      <c r="J113" s="56"/>
      <c r="K113" s="36"/>
    </row>
    <row r="114" spans="1:12" ht="16.5" customHeight="1" x14ac:dyDescent="0.3">
      <c r="A114" s="68"/>
      <c r="B114" s="22" t="s">
        <v>41</v>
      </c>
      <c r="C114" s="69"/>
      <c r="D114" s="69"/>
      <c r="H114" s="2"/>
      <c r="J114" s="62">
        <f>SUM(J110:J113)</f>
        <v>0</v>
      </c>
      <c r="K114" s="62">
        <f>SUM(K110:K113)</f>
        <v>0</v>
      </c>
      <c r="L114" s="47" t="str">
        <f>IF(J114=K114,"&lt;- Debits and Credits equal each other.","&lt;- Debits and Credits do not equal each other.")</f>
        <v>&lt;- Debits and Credits equal each other.</v>
      </c>
    </row>
    <row r="115" spans="1:12" ht="16.5" customHeight="1" x14ac:dyDescent="0.3">
      <c r="A115" s="68"/>
      <c r="B115" s="52" t="s">
        <v>44</v>
      </c>
      <c r="C115" s="69"/>
      <c r="D115" s="69"/>
      <c r="H115" s="2"/>
      <c r="J115" s="62"/>
      <c r="K115" s="62"/>
      <c r="L115" s="47"/>
    </row>
    <row r="116" spans="1:12" ht="16.5" customHeight="1" x14ac:dyDescent="0.3">
      <c r="H116" s="2"/>
    </row>
    <row r="117" spans="1:12" ht="16.5" customHeight="1" x14ac:dyDescent="0.3">
      <c r="H117" s="2"/>
    </row>
    <row r="118" spans="1:12" ht="16.5" customHeight="1" x14ac:dyDescent="0.3">
      <c r="H118" s="2"/>
    </row>
    <row r="119" spans="1:12" ht="16.5" customHeight="1" x14ac:dyDescent="0.3">
      <c r="H119" s="2"/>
    </row>
    <row r="120" spans="1:12" ht="21" x14ac:dyDescent="0.4">
      <c r="D120" s="70" t="s">
        <v>70</v>
      </c>
      <c r="E120" s="71"/>
      <c r="F120" s="72"/>
      <c r="G120" s="72"/>
      <c r="H120" s="72"/>
      <c r="I120" s="73"/>
      <c r="J120" s="73"/>
      <c r="K120" s="74"/>
    </row>
    <row r="121" spans="1:12" ht="16.5" customHeight="1" x14ac:dyDescent="0.3">
      <c r="H121" s="2"/>
      <c r="K121" s="75" t="s">
        <v>71</v>
      </c>
    </row>
    <row r="122" spans="1:12" ht="16.5" customHeight="1" x14ac:dyDescent="0.3">
      <c r="D122" s="32" t="s">
        <v>72</v>
      </c>
      <c r="H122" s="2"/>
      <c r="K122" s="76">
        <f>J15+J39-K88-K101+J110</f>
        <v>0</v>
      </c>
    </row>
    <row r="123" spans="1:12" ht="16.5" customHeight="1" x14ac:dyDescent="0.3">
      <c r="D123" s="32" t="s">
        <v>73</v>
      </c>
      <c r="H123" s="2"/>
      <c r="K123" s="76">
        <f>J16+J40-K89-K102+J111</f>
        <v>0</v>
      </c>
    </row>
    <row r="124" spans="1:12" ht="16.5" customHeight="1" x14ac:dyDescent="0.3">
      <c r="D124" s="32" t="s">
        <v>74</v>
      </c>
      <c r="H124" s="2"/>
      <c r="K124" s="76">
        <f>J17+J41-K90-K103+J112</f>
        <v>0</v>
      </c>
    </row>
    <row r="125" spans="1:12" ht="16.5" customHeight="1" x14ac:dyDescent="0.3">
      <c r="D125" s="32" t="s">
        <v>75</v>
      </c>
      <c r="H125" s="2"/>
      <c r="K125" s="76">
        <f>-K20-K56+J85+J97</f>
        <v>0</v>
      </c>
    </row>
    <row r="126" spans="1:12" ht="16.5" customHeight="1" x14ac:dyDescent="0.3">
      <c r="D126" s="32" t="s">
        <v>76</v>
      </c>
      <c r="H126" s="2"/>
      <c r="K126" s="76">
        <f>-K21-K57+J86+J98</f>
        <v>0</v>
      </c>
    </row>
    <row r="127" spans="1:12" ht="16.5" customHeight="1" x14ac:dyDescent="0.3">
      <c r="D127" s="32" t="s">
        <v>77</v>
      </c>
      <c r="H127" s="2"/>
      <c r="K127" s="76">
        <f>-K22-K58+J87+J99</f>
        <v>1</v>
      </c>
    </row>
    <row r="128" spans="1:12" ht="16.5" customHeight="1" x14ac:dyDescent="0.3">
      <c r="D128" s="32" t="s">
        <v>78</v>
      </c>
      <c r="H128" s="2"/>
      <c r="K128" s="76">
        <f>-K23-K48+J68+J75+J96-K113</f>
        <v>0</v>
      </c>
    </row>
    <row r="129" spans="4:11" ht="16.5" customHeight="1" x14ac:dyDescent="0.3">
      <c r="D129" s="32" t="s">
        <v>79</v>
      </c>
      <c r="H129" s="2"/>
      <c r="K129" s="76">
        <f>-K76</f>
        <v>0</v>
      </c>
    </row>
    <row r="130" spans="4:11" ht="16.5" customHeight="1" x14ac:dyDescent="0.3">
      <c r="H130" s="2"/>
    </row>
    <row r="131" spans="4:11" ht="16.5" customHeight="1" x14ac:dyDescent="0.3">
      <c r="H131" s="2"/>
    </row>
    <row r="132" spans="4:11" x14ac:dyDescent="0.3">
      <c r="H132" s="2"/>
    </row>
    <row r="133" spans="4:11" ht="16.5" customHeight="1" x14ac:dyDescent="0.3">
      <c r="H133" s="2"/>
    </row>
    <row r="134" spans="4:11" ht="16.5" customHeight="1" x14ac:dyDescent="0.3">
      <c r="H134" s="2"/>
    </row>
    <row r="135" spans="4:11" ht="16.5" customHeight="1" x14ac:dyDescent="0.3">
      <c r="H135" s="2"/>
    </row>
    <row r="136" spans="4:11" ht="16.5" customHeight="1" x14ac:dyDescent="0.3">
      <c r="H136" s="2"/>
    </row>
    <row r="137" spans="4:11" ht="16.5" customHeight="1" x14ac:dyDescent="0.3">
      <c r="H137" s="2"/>
    </row>
    <row r="138" spans="4:11" s="56" customFormat="1" ht="16.5" customHeight="1" x14ac:dyDescent="0.3"/>
    <row r="139" spans="4:11" ht="16.5" customHeight="1" x14ac:dyDescent="0.3">
      <c r="H139" s="2"/>
    </row>
    <row r="140" spans="4:11" ht="16.5" customHeight="1" x14ac:dyDescent="0.3">
      <c r="H140" s="2"/>
    </row>
    <row r="141" spans="4:11" x14ac:dyDescent="0.3">
      <c r="H141" s="2"/>
    </row>
    <row r="142" spans="4:11" ht="16.5" customHeight="1" x14ac:dyDescent="0.3">
      <c r="H142" s="2"/>
    </row>
    <row r="143" spans="4:11" ht="16.5" customHeight="1" x14ac:dyDescent="0.3">
      <c r="H143" s="2"/>
    </row>
    <row r="144" spans="4:11" ht="16.5" customHeight="1" x14ac:dyDescent="0.3">
      <c r="H144" s="2"/>
    </row>
    <row r="145" spans="8:8" ht="16.5" customHeight="1" x14ac:dyDescent="0.3">
      <c r="H145" s="2"/>
    </row>
    <row r="146" spans="8:8" ht="16.5" customHeight="1" x14ac:dyDescent="0.3">
      <c r="H146" s="2"/>
    </row>
    <row r="147" spans="8:8" ht="16.5" customHeight="1" x14ac:dyDescent="0.3">
      <c r="H147" s="2"/>
    </row>
    <row r="148" spans="8:8" ht="16.5" customHeight="1" x14ac:dyDescent="0.3">
      <c r="H148" s="2"/>
    </row>
    <row r="149" spans="8:8" ht="16.5" customHeight="1" x14ac:dyDescent="0.3">
      <c r="H149" s="2"/>
    </row>
    <row r="150" spans="8:8" ht="16.5" customHeight="1" x14ac:dyDescent="0.3">
      <c r="H150" s="2"/>
    </row>
    <row r="151" spans="8:8" ht="16.5" customHeight="1" x14ac:dyDescent="0.3">
      <c r="H151" s="2"/>
    </row>
    <row r="152" spans="8:8" ht="16.5" customHeight="1" x14ac:dyDescent="0.3">
      <c r="H152" s="2"/>
    </row>
    <row r="153" spans="8:8" ht="16.5" customHeight="1" x14ac:dyDescent="0.3">
      <c r="H153" s="2"/>
    </row>
    <row r="154" spans="8:8" ht="16.5" customHeight="1" x14ac:dyDescent="0.3">
      <c r="H154" s="2"/>
    </row>
    <row r="155" spans="8:8" ht="16.5" customHeight="1" x14ac:dyDescent="0.3">
      <c r="H155" s="2"/>
    </row>
    <row r="156" spans="8:8" ht="16.5" customHeight="1" x14ac:dyDescent="0.3">
      <c r="H156" s="2"/>
    </row>
    <row r="157" spans="8:8" ht="16.5" customHeight="1" x14ac:dyDescent="0.3">
      <c r="H157" s="2"/>
    </row>
    <row r="158" spans="8:8" ht="16.5" customHeight="1" x14ac:dyDescent="0.3">
      <c r="H158" s="2"/>
    </row>
    <row r="159" spans="8:8" ht="16.5" customHeight="1" x14ac:dyDescent="0.3">
      <c r="H159" s="2"/>
    </row>
    <row r="160" spans="8:8" ht="16.5" customHeight="1" x14ac:dyDescent="0.3">
      <c r="H160" s="2"/>
    </row>
    <row r="161" spans="8:8" ht="16.5" customHeight="1" x14ac:dyDescent="0.3">
      <c r="H161" s="2"/>
    </row>
    <row r="162" spans="8:8" ht="16.5" customHeight="1" x14ac:dyDescent="0.3">
      <c r="H162" s="2"/>
    </row>
    <row r="163" spans="8:8" ht="16.5" customHeight="1" x14ac:dyDescent="0.3">
      <c r="H163" s="2"/>
    </row>
    <row r="164" spans="8:8" ht="16.5" customHeight="1" x14ac:dyDescent="0.3">
      <c r="H164" s="2"/>
    </row>
    <row r="165" spans="8:8" ht="16.5" customHeight="1" x14ac:dyDescent="0.3">
      <c r="H165" s="2"/>
    </row>
    <row r="166" spans="8:8" ht="16.5" customHeight="1" x14ac:dyDescent="0.3">
      <c r="H166" s="2"/>
    </row>
    <row r="167" spans="8:8" ht="16.5" customHeight="1" x14ac:dyDescent="0.3">
      <c r="H167" s="2"/>
    </row>
    <row r="168" spans="8:8" x14ac:dyDescent="0.3">
      <c r="H168" s="2"/>
    </row>
    <row r="169" spans="8:8" ht="16.5" customHeight="1" x14ac:dyDescent="0.3">
      <c r="H169" s="2"/>
    </row>
    <row r="170" spans="8:8" ht="16.5" customHeight="1" x14ac:dyDescent="0.3">
      <c r="H170" s="2"/>
    </row>
    <row r="171" spans="8:8" ht="16.5" customHeight="1" x14ac:dyDescent="0.3">
      <c r="H171" s="2"/>
    </row>
    <row r="172" spans="8:8" s="56" customFormat="1" ht="16.5" customHeight="1" x14ac:dyDescent="0.3"/>
    <row r="173" spans="8:8" ht="16.5" customHeight="1" x14ac:dyDescent="0.3">
      <c r="H173" s="2"/>
    </row>
    <row r="174" spans="8:8" ht="16.5" customHeight="1" x14ac:dyDescent="0.3">
      <c r="H174" s="2"/>
    </row>
    <row r="175" spans="8:8" x14ac:dyDescent="0.3">
      <c r="H175" s="2"/>
    </row>
    <row r="176" spans="8:8" ht="16.5" customHeight="1" x14ac:dyDescent="0.3">
      <c r="H176" s="2"/>
    </row>
    <row r="177" spans="8:8" ht="16.5" customHeight="1" x14ac:dyDescent="0.3">
      <c r="H177" s="2"/>
    </row>
    <row r="178" spans="8:8" ht="16.5" customHeight="1" x14ac:dyDescent="0.3">
      <c r="H178" s="2"/>
    </row>
    <row r="179" spans="8:8" ht="16.5" customHeight="1" x14ac:dyDescent="0.3">
      <c r="H179" s="2"/>
    </row>
    <row r="180" spans="8:8" ht="16.5" customHeight="1" x14ac:dyDescent="0.3">
      <c r="H180" s="2"/>
    </row>
    <row r="181" spans="8:8" ht="16.5" customHeight="1" x14ac:dyDescent="0.3">
      <c r="H181" s="2"/>
    </row>
    <row r="182" spans="8:8" s="56" customFormat="1" ht="16.5" customHeight="1" x14ac:dyDescent="0.3"/>
    <row r="183" spans="8:8" ht="16.5" customHeight="1" x14ac:dyDescent="0.3">
      <c r="H183" s="2"/>
    </row>
    <row r="184" spans="8:8" ht="34.5" customHeight="1" x14ac:dyDescent="0.3">
      <c r="H184" s="2"/>
    </row>
    <row r="185" spans="8:8" ht="16.5" customHeight="1" x14ac:dyDescent="0.3">
      <c r="H185" s="2"/>
    </row>
    <row r="186" spans="8:8" ht="16.5" customHeight="1" x14ac:dyDescent="0.3">
      <c r="H186" s="2"/>
    </row>
    <row r="187" spans="8:8" ht="16.5" customHeight="1" x14ac:dyDescent="0.3">
      <c r="H187" s="2"/>
    </row>
    <row r="188" spans="8:8" ht="16.5" customHeight="1" x14ac:dyDescent="0.3">
      <c r="H188" s="2"/>
    </row>
    <row r="189" spans="8:8" ht="16.5" customHeight="1" x14ac:dyDescent="0.3">
      <c r="H189" s="2"/>
    </row>
    <row r="190" spans="8:8" ht="16.5" customHeight="1" x14ac:dyDescent="0.3">
      <c r="H190" s="2"/>
    </row>
    <row r="191" spans="8:8" ht="16.5" customHeight="1" x14ac:dyDescent="0.3">
      <c r="H191" s="2"/>
    </row>
    <row r="192" spans="8:8" ht="16.5" customHeight="1" x14ac:dyDescent="0.3">
      <c r="H192" s="2"/>
    </row>
    <row r="193" spans="8:8" ht="16.5" customHeight="1" x14ac:dyDescent="0.3">
      <c r="H193" s="2"/>
    </row>
  </sheetData>
  <sheetProtection algorithmName="SHA-512" hashValue="SicG6YaybumFzfi6v3XP89GeSZsJfNBDTIxipxQcqfdaUlen4iSK9q9axGMNvBR2vw8HAwZT268ptxKKUMNzGg==" saltValue="oBOHdXwFO0+HxgeepZxJY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0AA0B42-7874-437E-901E-D3045736C281}">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387408F-21F8-4059-B66B-5A95D6C68B51}">
      <formula1>0</formula1>
    </dataValidation>
    <dataValidation operator="lessThan" allowBlank="1" showInputMessage="1" showErrorMessage="1" sqref="A3:A8" xr:uid="{EAF887CC-E5D4-4526-9D4D-B6C5E3687CA1}"/>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24EA1-0B3B-4739-A187-9D1D43940747}">
  <sheetPr>
    <tabColor theme="9" tint="0.59999389629810485"/>
  </sheetPr>
  <dimension ref="A1:M98"/>
  <sheetViews>
    <sheetView topLeftCell="A12" zoomScale="70" zoomScaleNormal="70" workbookViewId="0">
      <selection activeCell="T25" sqref="T25"/>
    </sheetView>
  </sheetViews>
  <sheetFormatPr defaultColWidth="9.109375" defaultRowHeight="15" x14ac:dyDescent="0.25"/>
  <cols>
    <col min="1" max="1" width="37.44140625" style="48" customWidth="1"/>
    <col min="2" max="3" width="33.33203125" style="48" customWidth="1"/>
    <col min="4" max="4" width="86.88671875" style="48" customWidth="1"/>
    <col min="5" max="5" width="9.109375" style="48"/>
    <col min="6" max="6" width="19.33203125" style="48" customWidth="1"/>
    <col min="7" max="16384" width="9.109375" style="48"/>
  </cols>
  <sheetData>
    <row r="1" spans="1:13" ht="30" customHeight="1" x14ac:dyDescent="0.3">
      <c r="A1" s="235" t="s">
        <v>80</v>
      </c>
      <c r="B1" s="235"/>
      <c r="C1" s="235"/>
      <c r="D1" s="235"/>
      <c r="E1" s="235"/>
      <c r="F1" s="235"/>
      <c r="G1" s="78"/>
      <c r="H1" s="78"/>
      <c r="I1" s="78"/>
      <c r="J1" s="78"/>
      <c r="K1" s="78"/>
      <c r="L1" s="78"/>
      <c r="M1" s="78"/>
    </row>
    <row r="2" spans="1:13" ht="64.2" customHeight="1" x14ac:dyDescent="0.3">
      <c r="A2" s="236" t="s">
        <v>81</v>
      </c>
      <c r="B2" s="236"/>
      <c r="C2" s="236"/>
      <c r="D2" s="236"/>
      <c r="E2" s="236"/>
      <c r="F2" s="236"/>
      <c r="G2" s="78"/>
      <c r="H2" s="78"/>
      <c r="I2" s="78"/>
      <c r="J2" s="78"/>
      <c r="K2" s="78"/>
      <c r="L2" s="78"/>
      <c r="M2" s="78"/>
    </row>
    <row r="3" spans="1:13" ht="31.95" customHeight="1" x14ac:dyDescent="0.3">
      <c r="A3" s="237" t="s">
        <v>82</v>
      </c>
      <c r="B3" s="237"/>
      <c r="C3" s="237"/>
      <c r="D3" s="79"/>
      <c r="E3" s="78"/>
      <c r="F3" s="78"/>
      <c r="G3" s="78"/>
      <c r="H3" s="78"/>
      <c r="I3" s="78"/>
      <c r="J3" s="78"/>
      <c r="K3" s="78"/>
      <c r="L3" s="78"/>
      <c r="M3" s="78"/>
    </row>
    <row r="4" spans="1:13" ht="31.2" customHeight="1" x14ac:dyDescent="0.3">
      <c r="A4" s="238" t="s">
        <v>83</v>
      </c>
      <c r="B4" s="238"/>
      <c r="C4" s="238"/>
      <c r="D4" s="79"/>
      <c r="E4" s="78"/>
      <c r="F4" s="78"/>
      <c r="G4" s="78"/>
      <c r="H4" s="78"/>
      <c r="I4" s="78"/>
      <c r="J4" s="78"/>
      <c r="K4" s="78"/>
      <c r="L4" s="78"/>
      <c r="M4" s="78"/>
    </row>
    <row r="5" spans="1:13" ht="31.2" customHeight="1" x14ac:dyDescent="0.3">
      <c r="A5" s="238" t="s">
        <v>84</v>
      </c>
      <c r="B5" s="238"/>
      <c r="C5" s="238"/>
      <c r="D5" s="79"/>
      <c r="E5" s="78"/>
      <c r="F5" s="78"/>
      <c r="G5" s="78"/>
      <c r="H5" s="78"/>
      <c r="I5" s="78"/>
      <c r="J5" s="78"/>
      <c r="K5" s="78"/>
      <c r="L5" s="78"/>
      <c r="M5" s="78"/>
    </row>
    <row r="6" spans="1:13" ht="15.6" x14ac:dyDescent="0.3">
      <c r="A6" s="79"/>
      <c r="B6" s="79"/>
      <c r="C6" s="79"/>
      <c r="D6" s="79"/>
      <c r="E6" s="78"/>
      <c r="F6" s="78"/>
      <c r="G6" s="78"/>
      <c r="H6" s="78"/>
      <c r="I6" s="78"/>
      <c r="J6" s="78"/>
      <c r="K6" s="78"/>
      <c r="L6" s="78"/>
      <c r="M6" s="78"/>
    </row>
    <row r="7" spans="1:13" ht="21" x14ac:dyDescent="0.4">
      <c r="A7" s="80" t="s">
        <v>85</v>
      </c>
      <c r="B7" s="78"/>
      <c r="C7" s="78"/>
      <c r="D7" s="78"/>
      <c r="E7" s="78"/>
      <c r="F7" s="78"/>
      <c r="G7" s="78"/>
      <c r="H7" s="78"/>
      <c r="I7" s="78"/>
      <c r="J7" s="78"/>
      <c r="K7" s="78"/>
      <c r="L7" s="78"/>
      <c r="M7" s="78"/>
    </row>
    <row r="8" spans="1:13" ht="15.6" x14ac:dyDescent="0.3">
      <c r="A8" s="81" t="s">
        <v>2</v>
      </c>
      <c r="B8" s="234" t="s">
        <v>3</v>
      </c>
      <c r="C8" s="234"/>
      <c r="D8" s="78"/>
      <c r="E8" s="78"/>
      <c r="F8" s="78"/>
    </row>
    <row r="9" spans="1:13" ht="15.6" x14ac:dyDescent="0.3">
      <c r="A9" s="81" t="s">
        <v>86</v>
      </c>
      <c r="B9" s="240">
        <v>2660</v>
      </c>
      <c r="C9" s="240"/>
      <c r="D9" s="78"/>
      <c r="E9" s="78"/>
      <c r="F9" s="78"/>
    </row>
    <row r="10" spans="1:13" ht="15.6" x14ac:dyDescent="0.3">
      <c r="A10" s="81" t="s">
        <v>4</v>
      </c>
      <c r="B10" s="241" t="s">
        <v>5</v>
      </c>
      <c r="C10" s="241"/>
      <c r="D10" s="78"/>
      <c r="E10" s="78"/>
      <c r="F10" s="78"/>
      <c r="G10" s="82"/>
      <c r="H10" s="82"/>
      <c r="I10" s="82"/>
      <c r="J10" s="82"/>
      <c r="K10" s="82"/>
      <c r="L10" s="82"/>
      <c r="M10" s="82"/>
    </row>
    <row r="11" spans="1:13" ht="32.25" customHeight="1" x14ac:dyDescent="0.3">
      <c r="A11" s="242" t="s">
        <v>87</v>
      </c>
      <c r="B11" s="242"/>
      <c r="C11" s="242"/>
      <c r="D11" s="78"/>
      <c r="E11" s="78"/>
      <c r="F11" s="78"/>
      <c r="G11" s="83"/>
      <c r="H11" s="83"/>
      <c r="I11" s="83"/>
      <c r="J11" s="83"/>
      <c r="K11" s="83"/>
      <c r="L11" s="83"/>
      <c r="M11" s="83"/>
    </row>
    <row r="12" spans="1:13" ht="15" customHeight="1" x14ac:dyDescent="0.3">
      <c r="A12" s="84"/>
      <c r="B12" s="85" t="s">
        <v>88</v>
      </c>
      <c r="C12" s="85" t="s">
        <v>89</v>
      </c>
      <c r="D12" s="243" t="str">
        <f>"All of the below questions are for Fiscal Year "&amp;$B$8&amp;":"</f>
        <v>All of the below questions are for Fiscal Year 2022–2023:</v>
      </c>
      <c r="E12" s="243"/>
      <c r="F12" s="243"/>
      <c r="G12" s="83"/>
      <c r="H12" s="83"/>
      <c r="I12" s="83"/>
      <c r="J12" s="83"/>
      <c r="K12" s="83"/>
      <c r="L12" s="83"/>
      <c r="M12" s="83"/>
    </row>
    <row r="13" spans="1:13" ht="15.6" customHeight="1" x14ac:dyDescent="0.3">
      <c r="A13" s="84" t="str">
        <f>RIGHT(B8,4)&amp;"–"&amp;RIGHT(B8,4)+1</f>
        <v>2023–2024</v>
      </c>
      <c r="B13" s="86">
        <v>33463895.337537799</v>
      </c>
      <c r="C13" s="86">
        <v>205805.74246220227</v>
      </c>
      <c r="D13" s="244" t="s">
        <v>90</v>
      </c>
      <c r="E13" s="245"/>
      <c r="F13" s="245"/>
      <c r="G13" s="83"/>
      <c r="H13" s="83"/>
      <c r="I13" s="83"/>
      <c r="J13" s="83"/>
      <c r="K13" s="83"/>
      <c r="L13" s="83"/>
      <c r="M13" s="83"/>
    </row>
    <row r="14" spans="1:13" x14ac:dyDescent="0.25">
      <c r="A14" s="84" t="str">
        <f>LEFT(A13,4)+1&amp;"–"&amp;RIGHT(A13,4)+1</f>
        <v>2024–2025</v>
      </c>
      <c r="B14" s="86">
        <v>21928739.489370372</v>
      </c>
      <c r="C14" s="86">
        <v>117696.78062962885</v>
      </c>
      <c r="D14" s="244"/>
      <c r="E14" s="245"/>
      <c r="F14" s="245"/>
    </row>
    <row r="15" spans="1:13" ht="15.6" x14ac:dyDescent="0.25">
      <c r="A15" s="84" t="str">
        <f>LEFT(A14,4)+1&amp;"–"&amp;RIGHT(A14,4)+1</f>
        <v>2025–2026</v>
      </c>
      <c r="B15" s="86">
        <v>15979934.955845447</v>
      </c>
      <c r="C15" s="86">
        <v>60153.574154550013</v>
      </c>
      <c r="D15" s="239" t="s">
        <v>91</v>
      </c>
      <c r="E15" s="239"/>
      <c r="F15" s="239"/>
      <c r="G15" s="87"/>
      <c r="H15" s="87"/>
      <c r="I15" s="87"/>
      <c r="J15" s="87"/>
      <c r="K15" s="87"/>
      <c r="L15" s="87"/>
      <c r="M15" s="87"/>
    </row>
    <row r="16" spans="1:13" x14ac:dyDescent="0.25">
      <c r="A16" s="84" t="str">
        <f>LEFT(A15,4)+1&amp;"–"&amp;RIGHT(A15,4)+1</f>
        <v>2026–2027</v>
      </c>
      <c r="B16" s="86">
        <v>4063073.9799121972</v>
      </c>
      <c r="C16" s="86">
        <v>19847.100087803552</v>
      </c>
      <c r="D16" s="246" t="str">
        <f>"If yes, record the dollar amount of variable payments below for fiscal year "&amp;$B$8&amp;":"</f>
        <v>If yes, record the dollar amount of variable payments below for fiscal year 2022–2023:</v>
      </c>
      <c r="E16" s="246"/>
      <c r="F16" s="246"/>
      <c r="G16" s="88"/>
      <c r="H16" s="88"/>
      <c r="I16" s="88"/>
      <c r="J16" s="88"/>
      <c r="K16" s="88"/>
    </row>
    <row r="17" spans="1:13" ht="15" customHeight="1" x14ac:dyDescent="0.25">
      <c r="A17" s="84" t="str">
        <f>LEFT(A16,4)+1&amp;"–"&amp;RIGHT(A16,4)+1</f>
        <v>2027–2028</v>
      </c>
      <c r="B17" s="86">
        <v>983007.94003898464</v>
      </c>
      <c r="C17" s="86">
        <v>6986.8999610153924</v>
      </c>
      <c r="D17" s="239"/>
      <c r="E17" s="239"/>
      <c r="F17" s="239"/>
      <c r="G17" s="88"/>
      <c r="H17" s="88"/>
      <c r="I17" s="88"/>
      <c r="J17" s="88"/>
      <c r="K17" s="88"/>
    </row>
    <row r="18" spans="1:13" ht="15" customHeight="1" x14ac:dyDescent="0.3">
      <c r="A18" s="84" t="str">
        <f>LEFT(A17,4)+1&amp;"–"&amp;RIGHT(A17,4)+5</f>
        <v>2028–2033</v>
      </c>
      <c r="B18" s="86">
        <v>0</v>
      </c>
      <c r="C18" s="86">
        <v>0</v>
      </c>
      <c r="D18" s="244" t="s">
        <v>92</v>
      </c>
      <c r="E18" s="245"/>
      <c r="F18" s="245"/>
      <c r="G18" s="83"/>
      <c r="H18" s="83"/>
      <c r="I18" s="83"/>
      <c r="J18" s="83"/>
      <c r="K18" s="83"/>
      <c r="L18" s="83"/>
      <c r="M18" s="83"/>
    </row>
    <row r="19" spans="1:13" x14ac:dyDescent="0.25">
      <c r="A19" s="84" t="str">
        <f t="shared" ref="A19:A32" si="0">LEFT(A18,4)+5&amp;"–"&amp;RIGHT(A18,4)+5</f>
        <v>2033–2038</v>
      </c>
      <c r="B19" s="86">
        <v>0</v>
      </c>
      <c r="C19" s="86">
        <v>0</v>
      </c>
      <c r="D19" s="244"/>
      <c r="E19" s="245"/>
      <c r="F19" s="245"/>
    </row>
    <row r="20" spans="1:13" ht="15.6" x14ac:dyDescent="0.25">
      <c r="A20" s="84" t="str">
        <f t="shared" si="0"/>
        <v>2038–2043</v>
      </c>
      <c r="B20" s="86">
        <v>0</v>
      </c>
      <c r="C20" s="86">
        <v>0</v>
      </c>
      <c r="D20" s="239" t="s">
        <v>91</v>
      </c>
      <c r="E20" s="239"/>
      <c r="F20" s="239"/>
      <c r="G20" s="87"/>
      <c r="H20" s="87"/>
      <c r="I20" s="87"/>
      <c r="J20" s="87"/>
      <c r="K20" s="87"/>
      <c r="L20" s="87"/>
      <c r="M20" s="87"/>
    </row>
    <row r="21" spans="1:13" ht="15" customHeight="1" x14ac:dyDescent="0.25">
      <c r="A21" s="84" t="str">
        <f t="shared" si="0"/>
        <v>2043–2048</v>
      </c>
      <c r="B21" s="86"/>
      <c r="C21" s="86"/>
      <c r="D21" s="247" t="str">
        <f>"If yes, record the dollar amount of any payments made for residual value guarantees below for fiscal year "&amp;$B$8&amp;":"</f>
        <v>If yes, record the dollar amount of any payments made for residual value guarantees below for fiscal year 2022–2023:</v>
      </c>
      <c r="E21" s="246"/>
      <c r="F21" s="246"/>
    </row>
    <row r="22" spans="1:13" x14ac:dyDescent="0.25">
      <c r="A22" s="84" t="str">
        <f t="shared" si="0"/>
        <v>2048–2053</v>
      </c>
      <c r="B22" s="86"/>
      <c r="C22" s="86"/>
      <c r="D22" s="247"/>
      <c r="E22" s="246"/>
      <c r="F22" s="246"/>
    </row>
    <row r="23" spans="1:13" x14ac:dyDescent="0.25">
      <c r="A23" s="84" t="str">
        <f t="shared" si="0"/>
        <v>2053–2058</v>
      </c>
      <c r="B23" s="86"/>
      <c r="C23" s="86"/>
      <c r="D23" s="239"/>
      <c r="E23" s="239"/>
      <c r="F23" s="239"/>
    </row>
    <row r="24" spans="1:13" x14ac:dyDescent="0.25">
      <c r="A24" s="84" t="str">
        <f t="shared" si="0"/>
        <v>2058–2063</v>
      </c>
      <c r="B24" s="86"/>
      <c r="C24" s="86"/>
      <c r="D24" s="24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46"/>
      <c r="F24" s="246"/>
    </row>
    <row r="25" spans="1:13" ht="15" customHeight="1" x14ac:dyDescent="0.25">
      <c r="A25" s="84" t="str">
        <f t="shared" si="0"/>
        <v>2063–2068</v>
      </c>
      <c r="B25" s="86"/>
      <c r="C25" s="86"/>
      <c r="D25" s="247"/>
      <c r="E25" s="246"/>
      <c r="F25" s="246"/>
    </row>
    <row r="26" spans="1:13" x14ac:dyDescent="0.25">
      <c r="A26" s="84" t="str">
        <f t="shared" si="0"/>
        <v>2068–2073</v>
      </c>
      <c r="B26" s="86"/>
      <c r="C26" s="86"/>
      <c r="D26" s="239">
        <v>0</v>
      </c>
      <c r="E26" s="239"/>
      <c r="F26" s="239"/>
    </row>
    <row r="27" spans="1:13" ht="15" customHeight="1" x14ac:dyDescent="0.25">
      <c r="A27" s="84" t="str">
        <f t="shared" si="0"/>
        <v>2073–2078</v>
      </c>
      <c r="B27" s="86"/>
      <c r="C27" s="86"/>
      <c r="D27" s="24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45"/>
      <c r="F27" s="245"/>
    </row>
    <row r="28" spans="1:13" ht="15.6" x14ac:dyDescent="0.25">
      <c r="A28" s="84" t="str">
        <f t="shared" si="0"/>
        <v>2078–2083</v>
      </c>
      <c r="B28" s="86"/>
      <c r="C28" s="86"/>
      <c r="D28" s="244"/>
      <c r="E28" s="245"/>
      <c r="F28" s="245"/>
      <c r="G28" s="89"/>
      <c r="H28" s="89"/>
      <c r="I28" s="89"/>
      <c r="J28" s="89"/>
      <c r="K28" s="89"/>
      <c r="L28" s="89"/>
      <c r="M28" s="89"/>
    </row>
    <row r="29" spans="1:13" ht="15.6" x14ac:dyDescent="0.25">
      <c r="A29" s="84" t="str">
        <f t="shared" si="0"/>
        <v>2083–2088</v>
      </c>
      <c r="B29" s="86"/>
      <c r="C29" s="86"/>
      <c r="D29" s="239" t="s">
        <v>91</v>
      </c>
      <c r="E29" s="239"/>
      <c r="F29" s="239"/>
      <c r="G29" s="89"/>
      <c r="H29" s="89"/>
      <c r="I29" s="89"/>
      <c r="J29" s="89"/>
      <c r="K29" s="89"/>
      <c r="L29" s="89"/>
      <c r="M29" s="89"/>
    </row>
    <row r="30" spans="1:13" ht="15.6" x14ac:dyDescent="0.25">
      <c r="A30" s="84" t="str">
        <f t="shared" si="0"/>
        <v>2088–2093</v>
      </c>
      <c r="B30" s="86"/>
      <c r="C30" s="86"/>
      <c r="D30" s="48" t="str">
        <f>CONCATENATE("5. Are there any lease commitments known that have yet to commence as of June 30, ",RIGHT(B8,4),"?")</f>
        <v>5. Are there any lease commitments known that have yet to commence as of June 30, 2023?</v>
      </c>
      <c r="E30" s="90"/>
      <c r="F30" s="90"/>
      <c r="G30" s="89"/>
      <c r="H30" s="89"/>
      <c r="I30" s="89"/>
      <c r="J30" s="89"/>
      <c r="K30" s="89"/>
      <c r="L30" s="89"/>
      <c r="M30" s="89"/>
    </row>
    <row r="31" spans="1:13" ht="15" customHeight="1" x14ac:dyDescent="0.25">
      <c r="A31" s="84" t="str">
        <f t="shared" si="0"/>
        <v>2093–2098</v>
      </c>
      <c r="B31" s="86"/>
      <c r="C31" s="86"/>
      <c r="D31" s="239" t="s">
        <v>91</v>
      </c>
      <c r="E31" s="239"/>
      <c r="F31" s="239"/>
    </row>
    <row r="32" spans="1:13" x14ac:dyDescent="0.25">
      <c r="A32" s="84" t="str">
        <f t="shared" si="0"/>
        <v>2098–2103</v>
      </c>
      <c r="B32" s="86"/>
      <c r="C32" s="86"/>
      <c r="D32" s="91" t="str">
        <f>"If yes, record the dollar amount of any lease commitments not commenced below for fiscal year "&amp;A13&amp;"."</f>
        <v>If yes, record the dollar amount of any lease commitments not commenced below for fiscal year 2023–2024.</v>
      </c>
      <c r="E32" s="92"/>
      <c r="F32" s="92"/>
    </row>
    <row r="33" spans="1:13" x14ac:dyDescent="0.25">
      <c r="A33" s="84" t="str">
        <f>LEFT(A32,4)+5&amp;"–"&amp;RIGHT(A32,4)+5</f>
        <v>2103–2108</v>
      </c>
      <c r="B33" s="86"/>
      <c r="C33" s="86"/>
      <c r="D33" s="239"/>
      <c r="E33" s="239"/>
      <c r="F33" s="239"/>
    </row>
    <row r="34" spans="1:13" ht="15" customHeight="1" x14ac:dyDescent="0.25">
      <c r="A34" s="84" t="str">
        <f>LEFT(A33,4)+5&amp;"–"&amp;RIGHT(A33,4)+5</f>
        <v>2108–2113</v>
      </c>
      <c r="B34" s="86"/>
      <c r="C34" s="86"/>
      <c r="G34" s="82"/>
      <c r="H34" s="82"/>
      <c r="I34" s="82"/>
      <c r="J34" s="82"/>
      <c r="K34" s="82"/>
      <c r="L34" s="82"/>
      <c r="M34" s="82"/>
    </row>
    <row r="35" spans="1:13" ht="16.5" customHeight="1" x14ac:dyDescent="0.25">
      <c r="A35" s="84" t="str">
        <f>LEFT(A34,4)+5&amp;"–"&amp;RIGHT(A34,4)+5</f>
        <v>2113–2118</v>
      </c>
      <c r="B35" s="86"/>
      <c r="C35" s="86"/>
      <c r="G35" s="93"/>
      <c r="H35" s="93"/>
      <c r="I35" s="93"/>
      <c r="J35" s="93"/>
      <c r="K35" s="93"/>
      <c r="L35" s="93"/>
      <c r="M35" s="93"/>
    </row>
    <row r="36" spans="1:13" ht="15" customHeight="1" x14ac:dyDescent="0.25">
      <c r="A36" s="84" t="str">
        <f>LEFT(A35,4)+5&amp;"–"&amp;RIGHT(A35,4)+5</f>
        <v>2118–2123</v>
      </c>
      <c r="B36" s="86"/>
      <c r="C36" s="86"/>
      <c r="G36" s="93"/>
      <c r="H36" s="93"/>
      <c r="I36" s="93"/>
      <c r="J36" s="93"/>
      <c r="K36" s="93"/>
      <c r="L36" s="93"/>
      <c r="M36" s="93"/>
    </row>
    <row r="37" spans="1:13" ht="15.6" x14ac:dyDescent="0.25">
      <c r="B37" s="94"/>
      <c r="C37" s="94"/>
      <c r="F37" s="89"/>
    </row>
    <row r="38" spans="1:13" ht="21" x14ac:dyDescent="0.4">
      <c r="A38" s="80" t="s">
        <v>93</v>
      </c>
      <c r="F38" s="89"/>
    </row>
    <row r="39" spans="1:13" ht="15.6" x14ac:dyDescent="0.3">
      <c r="A39" s="81" t="s">
        <v>2</v>
      </c>
      <c r="B39" s="248" t="str">
        <f>B8</f>
        <v>2022–2023</v>
      </c>
      <c r="C39" s="248"/>
      <c r="E39" s="90"/>
    </row>
    <row r="40" spans="1:13" ht="15.6" customHeight="1" x14ac:dyDescent="0.3">
      <c r="A40" s="81" t="s">
        <v>86</v>
      </c>
      <c r="B40" s="249">
        <f>B9</f>
        <v>2660</v>
      </c>
      <c r="C40" s="249"/>
      <c r="E40" s="90"/>
    </row>
    <row r="41" spans="1:13" ht="15.6" x14ac:dyDescent="0.3">
      <c r="A41" s="81" t="s">
        <v>4</v>
      </c>
      <c r="B41" s="248" t="str">
        <f>B10</f>
        <v>Department of Transportation</v>
      </c>
      <c r="C41" s="248"/>
      <c r="E41" s="90"/>
    </row>
    <row r="42" spans="1:13" ht="32.25" customHeight="1" x14ac:dyDescent="0.3">
      <c r="A42" s="242" t="s">
        <v>87</v>
      </c>
      <c r="B42" s="242"/>
      <c r="C42" s="242"/>
      <c r="D42" s="78"/>
      <c r="E42" s="78"/>
      <c r="F42" s="78"/>
      <c r="G42" s="83"/>
      <c r="H42" s="83"/>
      <c r="I42" s="83"/>
      <c r="J42" s="83"/>
      <c r="K42" s="83"/>
      <c r="L42" s="83"/>
      <c r="M42" s="83"/>
    </row>
    <row r="43" spans="1:13" ht="15" customHeight="1" x14ac:dyDescent="0.3">
      <c r="A43" s="84"/>
      <c r="B43" s="85" t="s">
        <v>88</v>
      </c>
      <c r="C43" s="85" t="s">
        <v>89</v>
      </c>
      <c r="D43" s="243" t="str">
        <f>"All of the below questions are for Fiscal Year "&amp;$B$8&amp;":"</f>
        <v>All of the below questions are for Fiscal Year 2022–2023:</v>
      </c>
      <c r="E43" s="243"/>
      <c r="F43" s="243"/>
    </row>
    <row r="44" spans="1:13" ht="15" customHeight="1" x14ac:dyDescent="0.25">
      <c r="A44" s="84" t="str">
        <f>RIGHT(B39,4)&amp;"–"&amp;RIGHT(B39,4)+1</f>
        <v>2023–2024</v>
      </c>
      <c r="B44" s="86"/>
      <c r="C44" s="86"/>
      <c r="D44" s="244" t="s">
        <v>90</v>
      </c>
      <c r="E44" s="245"/>
      <c r="F44" s="245"/>
    </row>
    <row r="45" spans="1:13" ht="15" customHeight="1" x14ac:dyDescent="0.25">
      <c r="A45" s="84" t="str">
        <f>LEFT(A44,4)+1&amp;"–"&amp;RIGHT(A44,4)+1</f>
        <v>2024–2025</v>
      </c>
      <c r="B45" s="86"/>
      <c r="C45" s="86"/>
      <c r="D45" s="244"/>
      <c r="E45" s="245"/>
      <c r="F45" s="245"/>
    </row>
    <row r="46" spans="1:13" x14ac:dyDescent="0.25">
      <c r="A46" s="84" t="str">
        <f>LEFT(A45,4)+1&amp;"–"&amp;RIGHT(A45,4)+1</f>
        <v>2025–2026</v>
      </c>
      <c r="B46" s="86"/>
      <c r="C46" s="86"/>
      <c r="D46" s="239"/>
      <c r="E46" s="239"/>
      <c r="F46" s="239"/>
    </row>
    <row r="47" spans="1:13" ht="15" customHeight="1" x14ac:dyDescent="0.25">
      <c r="A47" s="84" t="str">
        <f>LEFT(A46,4)+1&amp;"–"&amp;RIGHT(A46,4)+1</f>
        <v>2026–2027</v>
      </c>
      <c r="B47" s="86"/>
      <c r="C47" s="86"/>
      <c r="D47" s="246" t="str">
        <f>"If yes, record the dollar amount of variable payments below for fiscal year "&amp;$B$8&amp;":"</f>
        <v>If yes, record the dollar amount of variable payments below for fiscal year 2022–2023:</v>
      </c>
      <c r="E47" s="246"/>
      <c r="F47" s="246"/>
    </row>
    <row r="48" spans="1:13" ht="15" customHeight="1" x14ac:dyDescent="0.25">
      <c r="A48" s="84" t="str">
        <f>LEFT(A47,4)+1&amp;"–"&amp;RIGHT(A47,4)+1</f>
        <v>2027–2028</v>
      </c>
      <c r="B48" s="86"/>
      <c r="C48" s="86"/>
      <c r="D48" s="239"/>
      <c r="E48" s="239"/>
      <c r="F48" s="239"/>
    </row>
    <row r="49" spans="1:6" ht="15" customHeight="1" x14ac:dyDescent="0.25">
      <c r="A49" s="84" t="str">
        <f>LEFT(A48,4)+1&amp;"–"&amp;RIGHT(A48,4)+5</f>
        <v>2028–2033</v>
      </c>
      <c r="B49" s="86"/>
      <c r="C49" s="86"/>
      <c r="D49" s="244" t="s">
        <v>92</v>
      </c>
      <c r="E49" s="245"/>
      <c r="F49" s="245"/>
    </row>
    <row r="50" spans="1:6" x14ac:dyDescent="0.25">
      <c r="A50" s="84" t="str">
        <f t="shared" ref="A50:A63" si="1">LEFT(A49,4)+5&amp;"–"&amp;RIGHT(A49,4)+5</f>
        <v>2033–2038</v>
      </c>
      <c r="B50" s="86"/>
      <c r="C50" s="86"/>
      <c r="D50" s="244"/>
      <c r="E50" s="245"/>
      <c r="F50" s="245"/>
    </row>
    <row r="51" spans="1:6" ht="15" customHeight="1" x14ac:dyDescent="0.25">
      <c r="A51" s="84" t="str">
        <f t="shared" si="1"/>
        <v>2038–2043</v>
      </c>
      <c r="B51" s="86"/>
      <c r="C51" s="86"/>
      <c r="D51" s="239"/>
      <c r="E51" s="239"/>
      <c r="F51" s="239"/>
    </row>
    <row r="52" spans="1:6" ht="15" customHeight="1" x14ac:dyDescent="0.25">
      <c r="A52" s="84" t="str">
        <f t="shared" si="1"/>
        <v>2043–2048</v>
      </c>
      <c r="B52" s="86"/>
      <c r="C52" s="86"/>
      <c r="D52" s="247" t="str">
        <f>"If yes, record the dollar amount of any payments made for residual value guarantees below for fiscal year "&amp;$B$8&amp;":"</f>
        <v>If yes, record the dollar amount of any payments made for residual value guarantees below for fiscal year 2022–2023:</v>
      </c>
      <c r="E52" s="246"/>
      <c r="F52" s="246"/>
    </row>
    <row r="53" spans="1:6" x14ac:dyDescent="0.25">
      <c r="A53" s="84" t="str">
        <f t="shared" si="1"/>
        <v>2048–2053</v>
      </c>
      <c r="B53" s="86"/>
      <c r="C53" s="86"/>
      <c r="D53" s="247"/>
      <c r="E53" s="246"/>
      <c r="F53" s="246"/>
    </row>
    <row r="54" spans="1:6" x14ac:dyDescent="0.25">
      <c r="A54" s="84" t="str">
        <f t="shared" si="1"/>
        <v>2053–2058</v>
      </c>
      <c r="B54" s="86"/>
      <c r="C54" s="86"/>
      <c r="D54" s="239"/>
      <c r="E54" s="239"/>
      <c r="F54" s="239"/>
    </row>
    <row r="55" spans="1:6" ht="15" customHeight="1" x14ac:dyDescent="0.25">
      <c r="A55" s="84" t="str">
        <f t="shared" si="1"/>
        <v>2058–2063</v>
      </c>
      <c r="B55" s="86"/>
      <c r="C55" s="86"/>
      <c r="D55" s="24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46"/>
      <c r="F55" s="246"/>
    </row>
    <row r="56" spans="1:6" ht="15" customHeight="1" x14ac:dyDescent="0.25">
      <c r="A56" s="84" t="str">
        <f t="shared" si="1"/>
        <v>2063–2068</v>
      </c>
      <c r="B56" s="86"/>
      <c r="C56" s="86"/>
      <c r="D56" s="247"/>
      <c r="E56" s="246"/>
      <c r="F56" s="246"/>
    </row>
    <row r="57" spans="1:6" x14ac:dyDescent="0.25">
      <c r="A57" s="84" t="str">
        <f t="shared" si="1"/>
        <v>2068–2073</v>
      </c>
      <c r="B57" s="86"/>
      <c r="C57" s="86"/>
      <c r="D57" s="239"/>
      <c r="E57" s="239"/>
      <c r="F57" s="239"/>
    </row>
    <row r="58" spans="1:6" x14ac:dyDescent="0.25">
      <c r="A58" s="84" t="str">
        <f t="shared" si="1"/>
        <v>2073–2078</v>
      </c>
      <c r="B58" s="86"/>
      <c r="C58" s="86"/>
      <c r="D58" s="24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45"/>
      <c r="F58" s="245"/>
    </row>
    <row r="59" spans="1:6" x14ac:dyDescent="0.25">
      <c r="A59" s="84" t="str">
        <f t="shared" si="1"/>
        <v>2078–2083</v>
      </c>
      <c r="B59" s="86"/>
      <c r="C59" s="86"/>
      <c r="D59" s="244"/>
      <c r="E59" s="245"/>
      <c r="F59" s="245"/>
    </row>
    <row r="60" spans="1:6" ht="15" customHeight="1" x14ac:dyDescent="0.25">
      <c r="A60" s="84" t="str">
        <f t="shared" si="1"/>
        <v>2083–2088</v>
      </c>
      <c r="B60" s="86"/>
      <c r="C60" s="86"/>
      <c r="D60" s="239"/>
      <c r="E60" s="239"/>
      <c r="F60" s="239"/>
    </row>
    <row r="61" spans="1:6" x14ac:dyDescent="0.25">
      <c r="A61" s="84" t="str">
        <f t="shared" si="1"/>
        <v>2088–2093</v>
      </c>
      <c r="B61" s="86"/>
      <c r="C61" s="86"/>
      <c r="D61" s="48" t="str">
        <f>CONCATENATE("5. Are there any lease commitments known that have yet to commence as of June 30, ",RIGHT(B39,4),"?")</f>
        <v>5. Are there any lease commitments known that have yet to commence as of June 30, 2023?</v>
      </c>
      <c r="E61" s="90"/>
      <c r="F61" s="90"/>
    </row>
    <row r="62" spans="1:6" x14ac:dyDescent="0.25">
      <c r="A62" s="84" t="str">
        <f t="shared" si="1"/>
        <v>2093–2098</v>
      </c>
      <c r="B62" s="86"/>
      <c r="C62" s="86"/>
      <c r="D62" s="239"/>
      <c r="E62" s="239"/>
      <c r="F62" s="239"/>
    </row>
    <row r="63" spans="1:6" x14ac:dyDescent="0.25">
      <c r="A63" s="84" t="str">
        <f t="shared" si="1"/>
        <v>2098–2103</v>
      </c>
      <c r="B63" s="86"/>
      <c r="C63" s="86"/>
      <c r="D63" s="91" t="str">
        <f>"If yes, record the dollar amount of any lease commitments not commenced below for fiscal year "&amp;A44&amp;"."</f>
        <v>If yes, record the dollar amount of any lease commitments not commenced below for fiscal year 2023–2024.</v>
      </c>
      <c r="E63" s="92"/>
      <c r="F63" s="92"/>
    </row>
    <row r="64" spans="1:6" x14ac:dyDescent="0.25">
      <c r="A64" s="84" t="str">
        <f>LEFT(A63,4)+5&amp;"–"&amp;RIGHT(A63,4)+5</f>
        <v>2103–2108</v>
      </c>
      <c r="B64" s="86"/>
      <c r="C64" s="86"/>
      <c r="D64" s="239"/>
      <c r="E64" s="239"/>
      <c r="F64" s="239"/>
    </row>
    <row r="65" spans="1:13" x14ac:dyDescent="0.25">
      <c r="A65" s="84" t="str">
        <f>LEFT(A64,4)+5&amp;"–"&amp;RIGHT(A64,4)+5</f>
        <v>2108–2113</v>
      </c>
      <c r="B65" s="86"/>
      <c r="C65" s="86"/>
    </row>
    <row r="66" spans="1:13" x14ac:dyDescent="0.25">
      <c r="A66" s="84" t="str">
        <f>LEFT(A65,4)+5&amp;"–"&amp;RIGHT(A65,4)+5</f>
        <v>2113–2118</v>
      </c>
      <c r="B66" s="86"/>
      <c r="C66" s="86"/>
    </row>
    <row r="67" spans="1:13" x14ac:dyDescent="0.25">
      <c r="A67" s="84" t="str">
        <f>LEFT(A66,4)+5&amp;"–"&amp;RIGHT(A66,4)+5</f>
        <v>2118–2123</v>
      </c>
      <c r="B67" s="86"/>
      <c r="C67" s="86"/>
    </row>
    <row r="69" spans="1:13" ht="21" x14ac:dyDescent="0.4">
      <c r="A69" s="80" t="s">
        <v>94</v>
      </c>
    </row>
    <row r="70" spans="1:13" ht="15.6" x14ac:dyDescent="0.3">
      <c r="A70" s="81" t="s">
        <v>2</v>
      </c>
      <c r="B70" s="248" t="str">
        <f>B8</f>
        <v>2022–2023</v>
      </c>
      <c r="C70" s="248"/>
    </row>
    <row r="71" spans="1:13" ht="15.6" x14ac:dyDescent="0.3">
      <c r="A71" s="81" t="s">
        <v>86</v>
      </c>
      <c r="B71" s="249">
        <f>B9</f>
        <v>2660</v>
      </c>
      <c r="C71" s="249"/>
    </row>
    <row r="72" spans="1:13" ht="15.6" x14ac:dyDescent="0.3">
      <c r="A72" s="81" t="s">
        <v>4</v>
      </c>
      <c r="B72" s="248" t="str">
        <f>B10</f>
        <v>Department of Transportation</v>
      </c>
      <c r="C72" s="248"/>
    </row>
    <row r="73" spans="1:13" ht="32.25" customHeight="1" x14ac:dyDescent="0.3">
      <c r="A73" s="242" t="s">
        <v>87</v>
      </c>
      <c r="B73" s="242"/>
      <c r="C73" s="242"/>
      <c r="D73" s="78"/>
      <c r="E73" s="78"/>
      <c r="F73" s="78"/>
      <c r="G73" s="83"/>
      <c r="H73" s="83"/>
      <c r="I73" s="83"/>
      <c r="J73" s="83"/>
      <c r="K73" s="83"/>
      <c r="L73" s="83"/>
      <c r="M73" s="83"/>
    </row>
    <row r="74" spans="1:13" ht="15.6" x14ac:dyDescent="0.3">
      <c r="A74" s="84"/>
      <c r="B74" s="85" t="s">
        <v>88</v>
      </c>
      <c r="C74" s="85" t="s">
        <v>89</v>
      </c>
      <c r="D74" s="243" t="str">
        <f>"All of the below questions are for Fiscal Year "&amp;$B$8&amp;":"</f>
        <v>All of the below questions are for Fiscal Year 2022–2023:</v>
      </c>
      <c r="E74" s="243"/>
      <c r="F74" s="243"/>
    </row>
    <row r="75" spans="1:13" ht="15" customHeight="1" x14ac:dyDescent="0.25">
      <c r="A75" s="84" t="str">
        <f>RIGHT(B70,4)&amp;"–"&amp;RIGHT(B70,4)+1</f>
        <v>2023–2024</v>
      </c>
      <c r="B75" s="86"/>
      <c r="C75" s="86"/>
      <c r="D75" s="244" t="s">
        <v>90</v>
      </c>
      <c r="E75" s="245"/>
      <c r="F75" s="245"/>
    </row>
    <row r="76" spans="1:13" x14ac:dyDescent="0.25">
      <c r="A76" s="84" t="str">
        <f>LEFT(A75,4)+1&amp;"–"&amp;RIGHT(A75,4)+1</f>
        <v>2024–2025</v>
      </c>
      <c r="B76" s="86"/>
      <c r="C76" s="86"/>
      <c r="D76" s="244"/>
      <c r="E76" s="245"/>
      <c r="F76" s="245"/>
    </row>
    <row r="77" spans="1:13" x14ac:dyDescent="0.25">
      <c r="A77" s="84" t="str">
        <f>LEFT(A76,4)+1&amp;"–"&amp;RIGHT(A76,4)+1</f>
        <v>2025–2026</v>
      </c>
      <c r="B77" s="86"/>
      <c r="C77" s="86"/>
      <c r="D77" s="239"/>
      <c r="E77" s="239"/>
      <c r="F77" s="239"/>
    </row>
    <row r="78" spans="1:13" ht="15" customHeight="1" x14ac:dyDescent="0.25">
      <c r="A78" s="84" t="str">
        <f>LEFT(A77,4)+1&amp;"–"&amp;RIGHT(A77,4)+1</f>
        <v>2026–2027</v>
      </c>
      <c r="B78" s="86"/>
      <c r="C78" s="86"/>
      <c r="D78" s="246" t="str">
        <f>"If yes, record the dollar amount of variable payments below for fiscal year "&amp;$B$8&amp;":"</f>
        <v>If yes, record the dollar amount of variable payments below for fiscal year 2022–2023:</v>
      </c>
      <c r="E78" s="246"/>
      <c r="F78" s="246"/>
    </row>
    <row r="79" spans="1:13" x14ac:dyDescent="0.25">
      <c r="A79" s="84" t="str">
        <f>LEFT(A78,4)+1&amp;"–"&amp;RIGHT(A78,4)+1</f>
        <v>2027–2028</v>
      </c>
      <c r="B79" s="86"/>
      <c r="C79" s="86"/>
      <c r="D79" s="239"/>
      <c r="E79" s="239"/>
      <c r="F79" s="239"/>
    </row>
    <row r="80" spans="1:13" ht="15" customHeight="1" x14ac:dyDescent="0.25">
      <c r="A80" s="84" t="str">
        <f>LEFT(A79,4)+1&amp;"–"&amp;RIGHT(A79,4)+5</f>
        <v>2028–2033</v>
      </c>
      <c r="B80" s="86"/>
      <c r="C80" s="86"/>
      <c r="D80" s="244" t="s">
        <v>92</v>
      </c>
      <c r="E80" s="245"/>
      <c r="F80" s="245"/>
    </row>
    <row r="81" spans="1:6" x14ac:dyDescent="0.25">
      <c r="A81" s="84" t="str">
        <f t="shared" ref="A81:A94" si="2">LEFT(A80,4)+5&amp;"–"&amp;RIGHT(A80,4)+5</f>
        <v>2033–2038</v>
      </c>
      <c r="B81" s="86"/>
      <c r="C81" s="86"/>
      <c r="D81" s="244"/>
      <c r="E81" s="245"/>
      <c r="F81" s="245"/>
    </row>
    <row r="82" spans="1:6" x14ac:dyDescent="0.25">
      <c r="A82" s="84" t="str">
        <f t="shared" si="2"/>
        <v>2038–2043</v>
      </c>
      <c r="B82" s="86"/>
      <c r="C82" s="86"/>
      <c r="D82" s="239"/>
      <c r="E82" s="239"/>
      <c r="F82" s="239"/>
    </row>
    <row r="83" spans="1:6" ht="15" customHeight="1" x14ac:dyDescent="0.25">
      <c r="A83" s="84" t="str">
        <f t="shared" si="2"/>
        <v>2043–2048</v>
      </c>
      <c r="B83" s="86"/>
      <c r="C83" s="86"/>
      <c r="D83" s="247" t="str">
        <f>"If yes, record the dollar amount of any payments made for residual value guarantees below for fiscal year "&amp;$B$8&amp;":"</f>
        <v>If yes, record the dollar amount of any payments made for residual value guarantees below for fiscal year 2022–2023:</v>
      </c>
      <c r="E83" s="246"/>
      <c r="F83" s="246"/>
    </row>
    <row r="84" spans="1:6" x14ac:dyDescent="0.25">
      <c r="A84" s="84" t="str">
        <f t="shared" si="2"/>
        <v>2048–2053</v>
      </c>
      <c r="B84" s="86"/>
      <c r="C84" s="86"/>
      <c r="D84" s="247"/>
      <c r="E84" s="246"/>
      <c r="F84" s="246"/>
    </row>
    <row r="85" spans="1:6" x14ac:dyDescent="0.25">
      <c r="A85" s="84" t="str">
        <f t="shared" si="2"/>
        <v>2053–2058</v>
      </c>
      <c r="B85" s="86"/>
      <c r="C85" s="86"/>
      <c r="D85" s="239"/>
      <c r="E85" s="239"/>
      <c r="F85" s="239"/>
    </row>
    <row r="86" spans="1:6" ht="15" customHeight="1" x14ac:dyDescent="0.25">
      <c r="A86" s="84" t="str">
        <f t="shared" si="2"/>
        <v>2058–2063</v>
      </c>
      <c r="B86" s="86"/>
      <c r="C86" s="86"/>
      <c r="D86" s="247"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46"/>
      <c r="F86" s="246"/>
    </row>
    <row r="87" spans="1:6" x14ac:dyDescent="0.25">
      <c r="A87" s="84" t="str">
        <f t="shared" si="2"/>
        <v>2063–2068</v>
      </c>
      <c r="B87" s="86"/>
      <c r="C87" s="86"/>
      <c r="D87" s="247"/>
      <c r="E87" s="246"/>
      <c r="F87" s="246"/>
    </row>
    <row r="88" spans="1:6" x14ac:dyDescent="0.25">
      <c r="A88" s="84" t="str">
        <f t="shared" si="2"/>
        <v>2068–2073</v>
      </c>
      <c r="B88" s="86"/>
      <c r="C88" s="86"/>
      <c r="D88" s="239"/>
      <c r="E88" s="239"/>
      <c r="F88" s="239"/>
    </row>
    <row r="89" spans="1:6" x14ac:dyDescent="0.25">
      <c r="A89" s="84" t="str">
        <f t="shared" si="2"/>
        <v>2073–2078</v>
      </c>
      <c r="B89" s="86"/>
      <c r="C89" s="86"/>
      <c r="D89" s="24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45"/>
      <c r="F89" s="245"/>
    </row>
    <row r="90" spans="1:6" x14ac:dyDescent="0.25">
      <c r="A90" s="84" t="str">
        <f t="shared" si="2"/>
        <v>2078–2083</v>
      </c>
      <c r="B90" s="86"/>
      <c r="C90" s="86"/>
      <c r="D90" s="244"/>
      <c r="E90" s="245"/>
      <c r="F90" s="245"/>
    </row>
    <row r="91" spans="1:6" ht="15" customHeight="1" x14ac:dyDescent="0.25">
      <c r="A91" s="84" t="str">
        <f t="shared" si="2"/>
        <v>2083–2088</v>
      </c>
      <c r="B91" s="86"/>
      <c r="C91" s="86"/>
      <c r="D91" s="239"/>
      <c r="E91" s="239"/>
      <c r="F91" s="239"/>
    </row>
    <row r="92" spans="1:6" x14ac:dyDescent="0.25">
      <c r="A92" s="84" t="str">
        <f t="shared" si="2"/>
        <v>2088–2093</v>
      </c>
      <c r="B92" s="86"/>
      <c r="C92" s="86"/>
      <c r="D92" s="48" t="str">
        <f>CONCATENATE("5. Are there any lease commitments known that have yet to commence as of June 30, ",RIGHT(B70,4),"?")</f>
        <v>5. Are there any lease commitments known that have yet to commence as of June 30, 2023?</v>
      </c>
      <c r="E92" s="90"/>
      <c r="F92" s="90"/>
    </row>
    <row r="93" spans="1:6" x14ac:dyDescent="0.25">
      <c r="A93" s="84" t="str">
        <f t="shared" si="2"/>
        <v>2093–2098</v>
      </c>
      <c r="B93" s="86"/>
      <c r="C93" s="86"/>
      <c r="D93" s="239"/>
      <c r="E93" s="239"/>
      <c r="F93" s="239"/>
    </row>
    <row r="94" spans="1:6" x14ac:dyDescent="0.25">
      <c r="A94" s="84" t="str">
        <f t="shared" si="2"/>
        <v>2098–2103</v>
      </c>
      <c r="B94" s="86"/>
      <c r="C94" s="86"/>
      <c r="D94" s="91" t="str">
        <f>"If yes, record the dollar amount of any lease commitments not commenced below for fiscal year "&amp;A75&amp;"."</f>
        <v>If yes, record the dollar amount of any lease commitments not commenced below for fiscal year 2023–2024.</v>
      </c>
      <c r="E94" s="92"/>
      <c r="F94" s="92"/>
    </row>
    <row r="95" spans="1:6" x14ac:dyDescent="0.25">
      <c r="A95" s="84" t="str">
        <f>LEFT(A94,4)+5&amp;"–"&amp;RIGHT(A94,4)+5</f>
        <v>2103–2108</v>
      </c>
      <c r="B95" s="86"/>
      <c r="C95" s="86"/>
      <c r="D95" s="239"/>
      <c r="E95" s="239"/>
      <c r="F95" s="239"/>
    </row>
    <row r="96" spans="1:6" x14ac:dyDescent="0.25">
      <c r="A96" s="84" t="str">
        <f>LEFT(A95,4)+5&amp;"–"&amp;RIGHT(A95,4)+5</f>
        <v>2108–2113</v>
      </c>
      <c r="B96" s="86"/>
      <c r="C96" s="86"/>
    </row>
    <row r="97" spans="1:3" x14ac:dyDescent="0.25">
      <c r="A97" s="84" t="str">
        <f>LEFT(A96,4)+5&amp;"–"&amp;RIGHT(A96,4)+5</f>
        <v>2113–2118</v>
      </c>
      <c r="B97" s="86"/>
      <c r="C97" s="86"/>
    </row>
    <row r="98" spans="1:3" x14ac:dyDescent="0.25">
      <c r="A98" s="84" t="str">
        <f>LEFT(A97,4)+5&amp;"–"&amp;RIGHT(A97,4)+5</f>
        <v>2118–2123</v>
      </c>
      <c r="B98" s="86"/>
      <c r="C98" s="86"/>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83:F84"/>
    <mergeCell ref="D85:F85"/>
    <mergeCell ref="D86:F87"/>
    <mergeCell ref="D88:F88"/>
    <mergeCell ref="D89:F90"/>
    <mergeCell ref="D91:F91"/>
    <mergeCell ref="D82:F82"/>
    <mergeCell ref="D64:F64"/>
    <mergeCell ref="B70:C70"/>
    <mergeCell ref="B71:C71"/>
    <mergeCell ref="B72:C72"/>
    <mergeCell ref="A73:C73"/>
    <mergeCell ref="D74:F74"/>
    <mergeCell ref="D75:F76"/>
    <mergeCell ref="D77:F77"/>
    <mergeCell ref="D78:F78"/>
    <mergeCell ref="D79:F79"/>
    <mergeCell ref="D80:F81"/>
    <mergeCell ref="D62:F62"/>
    <mergeCell ref="D46:F46"/>
    <mergeCell ref="D47:F47"/>
    <mergeCell ref="D48:F48"/>
    <mergeCell ref="D49:F50"/>
    <mergeCell ref="D51:F51"/>
    <mergeCell ref="D52:F53"/>
    <mergeCell ref="D54:F54"/>
    <mergeCell ref="D55:F56"/>
    <mergeCell ref="D57:F57"/>
    <mergeCell ref="D58:F59"/>
    <mergeCell ref="D60:F60"/>
    <mergeCell ref="B39:C39"/>
    <mergeCell ref="B40:C40"/>
    <mergeCell ref="B41:C41"/>
    <mergeCell ref="A42:C42"/>
    <mergeCell ref="D43:F43"/>
    <mergeCell ref="D44:F45"/>
    <mergeCell ref="D24:F25"/>
    <mergeCell ref="D26:F26"/>
    <mergeCell ref="D27:F28"/>
    <mergeCell ref="D29:F29"/>
    <mergeCell ref="D31:F31"/>
    <mergeCell ref="D33:F33"/>
    <mergeCell ref="D23:F23"/>
    <mergeCell ref="B9:C9"/>
    <mergeCell ref="B10:C10"/>
    <mergeCell ref="A11:C11"/>
    <mergeCell ref="D12:F12"/>
    <mergeCell ref="D13:F14"/>
    <mergeCell ref="D15:F15"/>
    <mergeCell ref="D16:F16"/>
    <mergeCell ref="D17:F17"/>
    <mergeCell ref="D18:F19"/>
    <mergeCell ref="D20:F20"/>
    <mergeCell ref="D21:F22"/>
    <mergeCell ref="B8:C8"/>
    <mergeCell ref="A1:F1"/>
    <mergeCell ref="A2:F2"/>
    <mergeCell ref="A3:C3"/>
    <mergeCell ref="A4:C4"/>
    <mergeCell ref="A5:C5"/>
  </mergeCells>
  <dataValidations count="1">
    <dataValidation type="whole" operator="greaterThanOrEqual" allowBlank="1" showErrorMessage="1" errorTitle="Whole Number Only" error="Enter amounts as whole numbers only." sqref="B13:C36 B44:C67 B75:C98" xr:uid="{9D675EEE-CBBD-4593-A727-231032DFE59A}">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2412A-4569-4E78-A740-A4B21C399EB6}">
  <sheetPr>
    <tabColor theme="9" tint="0.59999389629810485"/>
  </sheetPr>
  <dimension ref="B1:Q20"/>
  <sheetViews>
    <sheetView zoomScale="90" zoomScaleNormal="90" workbookViewId="0">
      <selection activeCell="T25" sqref="T25"/>
    </sheetView>
  </sheetViews>
  <sheetFormatPr defaultColWidth="9.109375" defaultRowHeight="18" x14ac:dyDescent="0.35"/>
  <cols>
    <col min="1" max="1" width="9.109375" style="95"/>
    <col min="2" max="3" width="3.6640625" style="95" customWidth="1"/>
    <col min="4" max="4" width="35.6640625" style="95" customWidth="1"/>
    <col min="5" max="5" width="3.6640625" style="95" customWidth="1"/>
    <col min="6" max="6" width="16.88671875" style="96" customWidth="1"/>
    <col min="7" max="7" width="3.6640625" style="95" customWidth="1"/>
    <col min="8" max="8" width="16.88671875" style="96" customWidth="1"/>
    <col min="9" max="9" width="3.6640625" style="95" customWidth="1"/>
    <col min="10" max="10" width="16.88671875" style="96" customWidth="1"/>
    <col min="11" max="11" width="3.6640625" style="95" customWidth="1"/>
    <col min="12" max="12" width="16.88671875" style="96" customWidth="1"/>
    <col min="13" max="13" width="3.6640625" style="95" customWidth="1"/>
    <col min="14" max="14" width="16.88671875" style="96" customWidth="1"/>
    <col min="15" max="15" width="3.6640625" style="95" customWidth="1"/>
    <col min="16" max="16" width="17.6640625" style="96" bestFit="1" customWidth="1"/>
    <col min="17" max="17" width="3.6640625" style="95" customWidth="1"/>
    <col min="18" max="16384" width="9.109375" style="95"/>
  </cols>
  <sheetData>
    <row r="1" spans="2:17" ht="18.600000000000001" thickBot="1" x14ac:dyDescent="0.4"/>
    <row r="2" spans="2:17" x14ac:dyDescent="0.35">
      <c r="B2" s="97"/>
      <c r="C2" s="98"/>
      <c r="D2" s="98"/>
      <c r="E2" s="98"/>
      <c r="F2" s="99"/>
      <c r="G2" s="98"/>
      <c r="H2" s="99"/>
      <c r="I2" s="98"/>
      <c r="J2" s="99"/>
      <c r="K2" s="98"/>
      <c r="L2" s="99"/>
      <c r="M2" s="98"/>
      <c r="N2" s="99"/>
      <c r="O2" s="98"/>
      <c r="P2" s="99"/>
      <c r="Q2" s="100"/>
    </row>
    <row r="3" spans="2:17" ht="20.399999999999999" x14ac:dyDescent="0.35">
      <c r="B3" s="101"/>
      <c r="D3" s="102"/>
      <c r="E3" s="102"/>
      <c r="F3" s="102"/>
      <c r="G3" s="102"/>
      <c r="H3" s="102"/>
      <c r="I3" s="102"/>
      <c r="J3" s="103" t="s">
        <v>95</v>
      </c>
      <c r="K3" s="102"/>
      <c r="L3" s="102"/>
      <c r="M3" s="102"/>
      <c r="N3" s="102"/>
      <c r="O3" s="102"/>
      <c r="P3" s="102"/>
      <c r="Q3" s="104"/>
    </row>
    <row r="4" spans="2:17" ht="20.399999999999999" x14ac:dyDescent="0.35">
      <c r="B4" s="101"/>
      <c r="D4" s="102"/>
      <c r="E4" s="102"/>
      <c r="F4" s="102"/>
      <c r="G4" s="102"/>
      <c r="H4" s="102"/>
      <c r="I4" s="102"/>
      <c r="J4" s="103" t="str">
        <f>CONCATENATE("FY ",'LS-Fund 0042 Journal Entries'!F3)</f>
        <v>FY 2022–2023</v>
      </c>
      <c r="K4" s="102"/>
      <c r="L4" s="102"/>
      <c r="M4" s="102"/>
      <c r="N4" s="102"/>
      <c r="O4" s="102"/>
      <c r="P4" s="102"/>
      <c r="Q4" s="104"/>
    </row>
    <row r="5" spans="2:17" ht="20.399999999999999" x14ac:dyDescent="0.35">
      <c r="B5" s="101"/>
      <c r="D5" s="102"/>
      <c r="E5" s="102"/>
      <c r="F5" s="102"/>
      <c r="G5" s="102"/>
      <c r="H5" s="102"/>
      <c r="I5" s="102"/>
      <c r="J5" s="105" t="str">
        <f>CONCATENATE("Business Unit ",'LS-Department Note Disclosure'!B9," - ",'LS-Department Note Disclosure'!B10)</f>
        <v>Business Unit 2660 - Department of Transportation</v>
      </c>
      <c r="K5" s="102"/>
      <c r="L5" s="102"/>
      <c r="M5" s="102"/>
      <c r="N5" s="102"/>
      <c r="O5" s="102"/>
      <c r="P5" s="102"/>
      <c r="Q5" s="104"/>
    </row>
    <row r="6" spans="2:17" x14ac:dyDescent="0.35">
      <c r="B6" s="101"/>
      <c r="Q6" s="104"/>
    </row>
    <row r="7" spans="2:17" ht="36.6" thickBot="1" x14ac:dyDescent="0.4">
      <c r="B7" s="101"/>
      <c r="F7" s="106" t="str">
        <f>CONCATENATE("Balance          July 1, ",MID(J4,4,4))</f>
        <v>Balance          July 1, 2022</v>
      </c>
      <c r="G7" s="107"/>
      <c r="H7" s="108" t="s">
        <v>96</v>
      </c>
      <c r="I7" s="107"/>
      <c r="J7" s="108" t="s">
        <v>97</v>
      </c>
      <c r="K7" s="107"/>
      <c r="L7" s="106" t="str">
        <f>CONCATENATE("Balance        June 30, ",RIGHT(J4,4))</f>
        <v>Balance        June 30, 2023</v>
      </c>
      <c r="M7" s="107"/>
      <c r="N7" s="106" t="s">
        <v>98</v>
      </c>
      <c r="O7" s="107"/>
      <c r="P7" s="106" t="s">
        <v>99</v>
      </c>
      <c r="Q7" s="104"/>
    </row>
    <row r="8" spans="2:17" x14ac:dyDescent="0.35">
      <c r="B8" s="101"/>
      <c r="F8" s="109" t="s">
        <v>100</v>
      </c>
      <c r="G8" s="107"/>
      <c r="H8" s="110" t="s">
        <v>101</v>
      </c>
      <c r="I8" s="107"/>
      <c r="J8" s="110" t="s">
        <v>102</v>
      </c>
      <c r="K8" s="107"/>
      <c r="L8" s="110"/>
      <c r="M8" s="107"/>
      <c r="N8" s="110" t="s">
        <v>103</v>
      </c>
      <c r="O8" s="107"/>
      <c r="P8" s="111"/>
      <c r="Q8" s="104"/>
    </row>
    <row r="9" spans="2:17" x14ac:dyDescent="0.35">
      <c r="B9" s="101"/>
      <c r="C9" s="107" t="s">
        <v>104</v>
      </c>
      <c r="Q9" s="104"/>
    </row>
    <row r="10" spans="2:17" ht="18.600000000000001" thickBot="1" x14ac:dyDescent="0.4">
      <c r="B10" s="101"/>
      <c r="D10" s="95" t="s">
        <v>105</v>
      </c>
      <c r="F10" s="112">
        <v>72734702.680363342</v>
      </c>
      <c r="G10" s="113"/>
      <c r="H10" s="112">
        <v>27063636.310731642</v>
      </c>
      <c r="I10" s="113"/>
      <c r="J10" s="112">
        <v>23379686.885006547</v>
      </c>
      <c r="K10" s="113"/>
      <c r="L10" s="114">
        <f>SUM(F10+H10-J10)</f>
        <v>76418652.10608843</v>
      </c>
      <c r="M10" s="113"/>
      <c r="N10" s="112">
        <v>33463895.337537799</v>
      </c>
      <c r="O10" s="113"/>
      <c r="P10" s="114">
        <f>L10-N10</f>
        <v>42954756.768550634</v>
      </c>
      <c r="Q10" s="104"/>
    </row>
    <row r="11" spans="2:17" ht="19.2" thickTop="1" thickBot="1" x14ac:dyDescent="0.4">
      <c r="B11" s="101"/>
      <c r="C11" s="107" t="s">
        <v>106</v>
      </c>
      <c r="F11" s="115">
        <f>SUM(F10:F10)</f>
        <v>72734702.680363342</v>
      </c>
      <c r="G11" s="113"/>
      <c r="H11" s="115">
        <f>SUM(H10:H10)</f>
        <v>27063636.310731642</v>
      </c>
      <c r="I11" s="113"/>
      <c r="J11" s="115">
        <f>SUM(J10:J10)</f>
        <v>23379686.885006547</v>
      </c>
      <c r="K11" s="113"/>
      <c r="L11" s="115">
        <f>SUM(L10:L10)</f>
        <v>76418652.10608843</v>
      </c>
      <c r="M11" s="113"/>
      <c r="N11" s="115">
        <f>SUM(N10:N10)</f>
        <v>33463895.337537799</v>
      </c>
      <c r="O11" s="113"/>
      <c r="P11" s="115">
        <f>SUM(P10:P10)</f>
        <v>42954756.768550634</v>
      </c>
      <c r="Q11" s="104"/>
    </row>
    <row r="12" spans="2:17" ht="18.600000000000001" thickTop="1" x14ac:dyDescent="0.35">
      <c r="B12" s="101"/>
      <c r="F12" s="113"/>
      <c r="G12" s="116"/>
      <c r="H12" s="113"/>
      <c r="I12" s="113"/>
      <c r="J12" s="113"/>
      <c r="K12" s="113"/>
      <c r="L12" s="113"/>
      <c r="M12" s="113"/>
      <c r="N12" s="113"/>
      <c r="O12" s="113"/>
      <c r="P12" s="113"/>
      <c r="Q12" s="104"/>
    </row>
    <row r="13" spans="2:17" x14ac:dyDescent="0.35">
      <c r="B13" s="101"/>
      <c r="C13" s="107" t="s">
        <v>107</v>
      </c>
      <c r="F13" s="113"/>
      <c r="G13" s="113"/>
      <c r="H13" s="113"/>
      <c r="I13" s="113"/>
      <c r="J13" s="113"/>
      <c r="K13" s="113"/>
      <c r="L13" s="113"/>
      <c r="M13" s="113"/>
      <c r="N13" s="113"/>
      <c r="O13" s="113"/>
      <c r="P13" s="113"/>
      <c r="Q13" s="104"/>
    </row>
    <row r="14" spans="2:17" ht="18.600000000000001" thickBot="1" x14ac:dyDescent="0.4">
      <c r="B14" s="101"/>
      <c r="D14" s="95" t="s">
        <v>105</v>
      </c>
      <c r="F14" s="112"/>
      <c r="G14" s="113"/>
      <c r="H14" s="112"/>
      <c r="I14" s="113"/>
      <c r="J14" s="112"/>
      <c r="K14" s="113"/>
      <c r="L14" s="114">
        <f>SUM(F14+H14-J14)</f>
        <v>0</v>
      </c>
      <c r="M14" s="113"/>
      <c r="N14" s="112"/>
      <c r="O14" s="113"/>
      <c r="P14" s="114">
        <f>L14-N14</f>
        <v>0</v>
      </c>
      <c r="Q14" s="104"/>
    </row>
    <row r="15" spans="2:17" ht="19.2" thickTop="1" thickBot="1" x14ac:dyDescent="0.4">
      <c r="B15" s="101"/>
      <c r="C15" s="107" t="s">
        <v>108</v>
      </c>
      <c r="F15" s="115">
        <f>SUM(F14:F14)</f>
        <v>0</v>
      </c>
      <c r="G15" s="113"/>
      <c r="H15" s="115">
        <f>SUM(H14:H14)</f>
        <v>0</v>
      </c>
      <c r="I15" s="113"/>
      <c r="J15" s="115">
        <f>SUM(J14:J14)</f>
        <v>0</v>
      </c>
      <c r="K15" s="113"/>
      <c r="L15" s="115">
        <f>SUM(L14:L14)</f>
        <v>0</v>
      </c>
      <c r="M15" s="113"/>
      <c r="N15" s="115">
        <f>SUM(N14:N14)</f>
        <v>0</v>
      </c>
      <c r="O15" s="113"/>
      <c r="P15" s="115">
        <f>SUM(P14:P14)</f>
        <v>0</v>
      </c>
      <c r="Q15" s="104"/>
    </row>
    <row r="16" spans="2:17" ht="18.600000000000001" thickTop="1" x14ac:dyDescent="0.35">
      <c r="B16" s="101"/>
      <c r="C16" s="107"/>
      <c r="F16" s="117"/>
      <c r="G16" s="113"/>
      <c r="H16" s="117"/>
      <c r="I16" s="113"/>
      <c r="J16" s="117"/>
      <c r="K16" s="113"/>
      <c r="L16" s="117"/>
      <c r="M16" s="113"/>
      <c r="N16" s="117"/>
      <c r="O16" s="113"/>
      <c r="P16" s="117"/>
      <c r="Q16" s="104"/>
    </row>
    <row r="17" spans="2:17" x14ac:dyDescent="0.35">
      <c r="B17" s="101"/>
      <c r="C17" s="107" t="s">
        <v>109</v>
      </c>
      <c r="F17" s="113"/>
      <c r="G17" s="113"/>
      <c r="H17" s="113"/>
      <c r="I17" s="113"/>
      <c r="J17" s="113"/>
      <c r="K17" s="113"/>
      <c r="L17" s="113"/>
      <c r="M17" s="113"/>
      <c r="N17" s="113"/>
      <c r="O17" s="113"/>
      <c r="P17" s="113"/>
      <c r="Q17" s="104"/>
    </row>
    <row r="18" spans="2:17" ht="18.600000000000001" thickBot="1" x14ac:dyDescent="0.4">
      <c r="B18" s="101"/>
      <c r="D18" s="95" t="s">
        <v>105</v>
      </c>
      <c r="F18" s="112"/>
      <c r="G18" s="113"/>
      <c r="H18" s="112"/>
      <c r="I18" s="113"/>
      <c r="J18" s="112"/>
      <c r="K18" s="113"/>
      <c r="L18" s="114">
        <f>SUM(F18+H18-J18)</f>
        <v>0</v>
      </c>
      <c r="M18" s="113"/>
      <c r="N18" s="112"/>
      <c r="O18" s="113"/>
      <c r="P18" s="114">
        <f>L18-N18</f>
        <v>0</v>
      </c>
      <c r="Q18" s="104"/>
    </row>
    <row r="19" spans="2:17" ht="19.2" thickTop="1" thickBot="1" x14ac:dyDescent="0.4">
      <c r="B19" s="101"/>
      <c r="C19" s="107" t="s">
        <v>110</v>
      </c>
      <c r="F19" s="115">
        <f>SUM(F18:F18)</f>
        <v>0</v>
      </c>
      <c r="G19" s="113"/>
      <c r="H19" s="115">
        <f>SUM(H18:H18)</f>
        <v>0</v>
      </c>
      <c r="I19" s="113"/>
      <c r="J19" s="115">
        <f>SUM(J18:J18)</f>
        <v>0</v>
      </c>
      <c r="K19" s="113"/>
      <c r="L19" s="115">
        <f>SUM(L18:L18)</f>
        <v>0</v>
      </c>
      <c r="M19" s="113"/>
      <c r="N19" s="115">
        <f>SUM(N18:N18)</f>
        <v>0</v>
      </c>
      <c r="O19" s="113"/>
      <c r="P19" s="115">
        <f>SUM(P18:P18)</f>
        <v>0</v>
      </c>
      <c r="Q19" s="104"/>
    </row>
    <row r="20" spans="2:17" ht="19.2" thickTop="1" thickBot="1" x14ac:dyDescent="0.4">
      <c r="B20" s="118"/>
      <c r="C20" s="119"/>
      <c r="D20" s="119"/>
      <c r="E20" s="119"/>
      <c r="F20" s="120"/>
      <c r="G20" s="119"/>
      <c r="H20" s="120"/>
      <c r="I20" s="119"/>
      <c r="J20" s="120"/>
      <c r="K20" s="119"/>
      <c r="L20" s="120"/>
      <c r="M20" s="119"/>
      <c r="N20" s="120"/>
      <c r="O20" s="119"/>
      <c r="P20" s="120"/>
      <c r="Q20" s="12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EF78F6F1-4C9D-4161-B611-8A06F3BA8313}">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CF2DF-678C-4D27-84CB-BEA539DC0849}">
  <sheetPr>
    <tabColor theme="9" tint="0.59999389629810485"/>
    <pageSetUpPr fitToPage="1"/>
  </sheetPr>
  <dimension ref="A1:S577"/>
  <sheetViews>
    <sheetView showGridLines="0" zoomScale="90" zoomScaleNormal="90" workbookViewId="0">
      <selection activeCell="T25" sqref="T25"/>
    </sheetView>
  </sheetViews>
  <sheetFormatPr defaultColWidth="0" defaultRowHeight="14.4" zeroHeight="1" x14ac:dyDescent="0.3"/>
  <cols>
    <col min="1" max="1" width="2.88671875" style="132" customWidth="1"/>
    <col min="2" max="2" width="13.88671875" style="132" customWidth="1"/>
    <col min="3" max="3" width="2.88671875" style="161" customWidth="1"/>
    <col min="4" max="4" width="13.88671875" style="132" customWidth="1"/>
    <col min="5" max="5" width="2.88671875" style="161" customWidth="1"/>
    <col min="6" max="6" width="13.88671875" style="132" customWidth="1"/>
    <col min="7" max="7" width="2.88671875" style="132" customWidth="1"/>
    <col min="8" max="8" width="13.88671875" style="132" customWidth="1"/>
    <col min="9" max="9" width="2.88671875" style="132" customWidth="1"/>
    <col min="10" max="10" width="13.88671875" style="132" customWidth="1"/>
    <col min="11" max="11" width="2.88671875" style="161" customWidth="1"/>
    <col min="12" max="12" width="19.109375" style="132" customWidth="1"/>
    <col min="13" max="13" width="2.88671875" style="161" customWidth="1"/>
    <col min="14" max="14" width="25.88671875" style="132" customWidth="1"/>
    <col min="15" max="15" width="2.88671875" style="132" customWidth="1"/>
    <col min="16" max="16" width="13.88671875" style="132" customWidth="1"/>
    <col min="17" max="17" width="2.88671875" style="132" customWidth="1"/>
    <col min="18" max="19" width="0" style="132" hidden="1" customWidth="1"/>
    <col min="20" max="16384" width="9.109375" style="132" hidden="1"/>
  </cols>
  <sheetData>
    <row r="1" spans="1:17" s="127" customFormat="1" ht="15.6" x14ac:dyDescent="0.3">
      <c r="A1" s="122" t="s">
        <v>111</v>
      </c>
      <c r="B1" s="123"/>
      <c r="C1" s="124"/>
      <c r="D1" s="123"/>
      <c r="E1" s="124"/>
      <c r="F1" s="125"/>
      <c r="G1" s="125"/>
      <c r="H1" s="125"/>
      <c r="I1" s="125"/>
      <c r="J1" s="125"/>
      <c r="K1" s="126"/>
      <c r="L1" s="125"/>
      <c r="M1" s="126"/>
      <c r="N1" s="123"/>
      <c r="O1" s="123"/>
      <c r="P1" s="123"/>
      <c r="Q1" s="123"/>
    </row>
    <row r="2" spans="1:17" s="127" customFormat="1" ht="15.6" x14ac:dyDescent="0.3">
      <c r="A2" s="122" t="s">
        <v>112</v>
      </c>
      <c r="B2" s="123"/>
      <c r="C2" s="124"/>
      <c r="D2" s="123"/>
      <c r="E2" s="124"/>
      <c r="F2" s="123"/>
      <c r="G2" s="123"/>
      <c r="H2" s="123"/>
      <c r="I2" s="123"/>
      <c r="J2" s="123"/>
      <c r="K2" s="124"/>
      <c r="L2" s="123"/>
      <c r="M2" s="124"/>
      <c r="N2" s="123"/>
      <c r="O2" s="123"/>
      <c r="P2" s="123"/>
      <c r="Q2" s="123"/>
    </row>
    <row r="3" spans="1:17" s="127" customFormat="1" ht="15.6" x14ac:dyDescent="0.3">
      <c r="C3" s="128"/>
      <c r="E3" s="128"/>
      <c r="K3" s="128"/>
      <c r="M3" s="128"/>
    </row>
    <row r="4" spans="1:17" x14ac:dyDescent="0.3">
      <c r="A4" s="129" t="s">
        <v>113</v>
      </c>
      <c r="B4" s="130"/>
      <c r="C4" s="131"/>
      <c r="D4" s="130"/>
      <c r="E4" s="131"/>
      <c r="F4" s="130"/>
      <c r="G4" s="130"/>
      <c r="H4" s="130"/>
      <c r="I4" s="130"/>
      <c r="J4" s="130"/>
      <c r="K4" s="131"/>
      <c r="L4" s="130"/>
      <c r="M4" s="131"/>
      <c r="N4" s="130"/>
      <c r="O4" s="130"/>
      <c r="P4" s="130"/>
      <c r="Q4" s="130"/>
    </row>
    <row r="5" spans="1:17" ht="15" customHeight="1" x14ac:dyDescent="0.3">
      <c r="A5" s="251" t="s">
        <v>114</v>
      </c>
      <c r="B5" s="251"/>
      <c r="C5" s="251"/>
      <c r="D5" s="251"/>
      <c r="E5" s="251"/>
      <c r="F5" s="251"/>
      <c r="G5" s="251"/>
      <c r="H5" s="251"/>
      <c r="I5" s="251"/>
      <c r="J5" s="251"/>
      <c r="K5" s="251"/>
      <c r="L5" s="251"/>
      <c r="M5" s="251"/>
      <c r="N5" s="251"/>
      <c r="O5" s="251"/>
      <c r="P5" s="251"/>
      <c r="Q5" s="251"/>
    </row>
    <row r="6" spans="1:17" ht="15" customHeight="1" x14ac:dyDescent="0.3">
      <c r="A6" s="251"/>
      <c r="B6" s="251"/>
      <c r="C6" s="251"/>
      <c r="D6" s="251"/>
      <c r="E6" s="251"/>
      <c r="F6" s="251"/>
      <c r="G6" s="251"/>
      <c r="H6" s="251"/>
      <c r="I6" s="251"/>
      <c r="J6" s="251"/>
      <c r="K6" s="251"/>
      <c r="L6" s="251"/>
      <c r="M6" s="251"/>
      <c r="N6" s="251"/>
      <c r="O6" s="251"/>
      <c r="P6" s="251"/>
      <c r="Q6" s="251"/>
    </row>
    <row r="7" spans="1:17" x14ac:dyDescent="0.3">
      <c r="A7" s="251"/>
      <c r="B7" s="251"/>
      <c r="C7" s="251"/>
      <c r="D7" s="251"/>
      <c r="E7" s="251"/>
      <c r="F7" s="251"/>
      <c r="G7" s="251"/>
      <c r="H7" s="251"/>
      <c r="I7" s="251"/>
      <c r="J7" s="251"/>
      <c r="K7" s="251"/>
      <c r="L7" s="251"/>
      <c r="M7" s="251"/>
      <c r="N7" s="251"/>
      <c r="O7" s="251"/>
      <c r="P7" s="251"/>
      <c r="Q7" s="251"/>
    </row>
    <row r="8" spans="1:17" ht="15" customHeight="1" x14ac:dyDescent="0.3">
      <c r="A8" s="252" t="s">
        <v>115</v>
      </c>
      <c r="B8" s="252"/>
      <c r="C8" s="252"/>
      <c r="D8" s="252"/>
      <c r="E8" s="252"/>
      <c r="F8" s="252"/>
      <c r="G8" s="252"/>
      <c r="H8" s="252"/>
      <c r="I8" s="252"/>
      <c r="J8" s="252"/>
      <c r="K8" s="252"/>
      <c r="L8" s="252"/>
      <c r="M8" s="252"/>
      <c r="N8" s="252"/>
      <c r="O8" s="252"/>
      <c r="P8" s="252"/>
      <c r="Q8" s="252"/>
    </row>
    <row r="9" spans="1:17" x14ac:dyDescent="0.3">
      <c r="A9" s="252"/>
      <c r="B9" s="252"/>
      <c r="C9" s="252"/>
      <c r="D9" s="252"/>
      <c r="E9" s="252"/>
      <c r="F9" s="252"/>
      <c r="G9" s="252"/>
      <c r="H9" s="252"/>
      <c r="I9" s="252"/>
      <c r="J9" s="252"/>
      <c r="K9" s="252"/>
      <c r="L9" s="252"/>
      <c r="M9" s="252"/>
      <c r="N9" s="252"/>
      <c r="O9" s="252"/>
      <c r="P9" s="252"/>
      <c r="Q9" s="252"/>
    </row>
    <row r="10" spans="1:17" x14ac:dyDescent="0.3">
      <c r="A10" s="129" t="s">
        <v>116</v>
      </c>
      <c r="B10" s="130"/>
      <c r="C10" s="131"/>
      <c r="D10" s="130"/>
      <c r="E10" s="131"/>
      <c r="F10" s="130"/>
      <c r="G10" s="130"/>
      <c r="H10" s="130"/>
      <c r="I10" s="130"/>
      <c r="J10" s="130"/>
      <c r="K10" s="131"/>
      <c r="L10" s="130"/>
      <c r="M10" s="131"/>
      <c r="N10" s="130"/>
      <c r="O10" s="130"/>
      <c r="P10" s="130"/>
      <c r="Q10" s="130"/>
    </row>
    <row r="11" spans="1:17" x14ac:dyDescent="0.3">
      <c r="A11" s="133"/>
      <c r="B11" s="134" t="s">
        <v>117</v>
      </c>
      <c r="C11" s="134"/>
      <c r="D11" s="133"/>
      <c r="E11" s="135"/>
      <c r="F11" s="133"/>
      <c r="G11" s="133"/>
      <c r="H11" s="133"/>
      <c r="I11" s="133"/>
      <c r="J11" s="133"/>
      <c r="K11" s="135"/>
      <c r="L11" s="133"/>
      <c r="M11" s="135"/>
      <c r="N11" s="133"/>
      <c r="O11" s="133"/>
      <c r="P11" s="133"/>
      <c r="Q11" s="133"/>
    </row>
    <row r="12" spans="1:17" ht="6.75" customHeight="1" x14ac:dyDescent="0.3">
      <c r="A12" s="133"/>
      <c r="B12" s="133"/>
      <c r="C12" s="135"/>
      <c r="D12" s="133"/>
      <c r="E12" s="135"/>
      <c r="F12" s="133"/>
      <c r="G12" s="133"/>
      <c r="H12" s="133"/>
      <c r="I12" s="133"/>
      <c r="J12" s="133"/>
      <c r="K12" s="135"/>
      <c r="L12" s="133"/>
      <c r="M12" s="135"/>
      <c r="N12" s="133"/>
      <c r="O12" s="133"/>
      <c r="P12" s="133"/>
      <c r="Q12" s="133"/>
    </row>
    <row r="13" spans="1:17" ht="15" customHeight="1" x14ac:dyDescent="0.3">
      <c r="A13" s="133"/>
      <c r="B13" s="250" t="s">
        <v>118</v>
      </c>
      <c r="C13" s="250"/>
      <c r="D13" s="250"/>
      <c r="E13" s="250"/>
      <c r="F13" s="250"/>
      <c r="G13" s="250"/>
      <c r="H13" s="250"/>
      <c r="I13" s="250"/>
      <c r="J13" s="250"/>
      <c r="K13" s="250"/>
      <c r="L13" s="250"/>
      <c r="M13" s="135"/>
      <c r="N13" s="136" t="s">
        <v>119</v>
      </c>
      <c r="O13" s="137"/>
      <c r="P13" s="137"/>
      <c r="Q13" s="133"/>
    </row>
    <row r="14" spans="1:17" ht="15" customHeight="1" x14ac:dyDescent="0.3">
      <c r="A14" s="133"/>
      <c r="B14" s="138" t="s">
        <v>120</v>
      </c>
      <c r="C14" s="138"/>
      <c r="D14" s="138" t="s">
        <v>96</v>
      </c>
      <c r="E14" s="138"/>
      <c r="F14" s="138" t="s">
        <v>97</v>
      </c>
      <c r="G14" s="138"/>
      <c r="H14" s="138" t="s">
        <v>121</v>
      </c>
      <c r="I14" s="138"/>
      <c r="J14" s="138" t="s">
        <v>122</v>
      </c>
      <c r="K14" s="138"/>
      <c r="L14" s="138"/>
      <c r="M14" s="135"/>
      <c r="N14" s="139"/>
      <c r="O14" s="137"/>
      <c r="P14" s="137"/>
      <c r="Q14" s="133"/>
    </row>
    <row r="15" spans="1:17" ht="15" customHeight="1" x14ac:dyDescent="0.3">
      <c r="A15" s="133"/>
      <c r="B15" s="140" t="s">
        <v>123</v>
      </c>
      <c r="C15" s="141" t="s">
        <v>124</v>
      </c>
      <c r="D15" s="140" t="s">
        <v>125</v>
      </c>
      <c r="E15" s="140" t="s">
        <v>126</v>
      </c>
      <c r="F15" s="140" t="s">
        <v>127</v>
      </c>
      <c r="G15" s="140" t="s">
        <v>126</v>
      </c>
      <c r="H15" s="140" t="s">
        <v>128</v>
      </c>
      <c r="I15" s="140" t="s">
        <v>124</v>
      </c>
      <c r="J15" s="140" t="s">
        <v>129</v>
      </c>
      <c r="K15" s="141"/>
      <c r="L15" s="140"/>
      <c r="M15" s="141"/>
      <c r="N15" s="142" t="s">
        <v>130</v>
      </c>
      <c r="O15" s="137"/>
      <c r="P15" s="139" t="s">
        <v>131</v>
      </c>
      <c r="Q15" s="133"/>
    </row>
    <row r="16" spans="1:17" ht="15" customHeight="1" x14ac:dyDescent="0.3">
      <c r="A16" s="143"/>
      <c r="B16" s="144">
        <v>72734702.680363342</v>
      </c>
      <c r="C16" s="145" t="s">
        <v>124</v>
      </c>
      <c r="D16" s="144">
        <v>27063636.310731642</v>
      </c>
      <c r="E16" s="146" t="s">
        <v>126</v>
      </c>
      <c r="F16" s="144">
        <v>23379687</v>
      </c>
      <c r="G16" s="147" t="s">
        <v>126</v>
      </c>
      <c r="H16" s="144">
        <v>0</v>
      </c>
      <c r="I16" s="147" t="s">
        <v>124</v>
      </c>
      <c r="J16" s="144">
        <v>0</v>
      </c>
      <c r="K16" s="146" t="s">
        <v>132</v>
      </c>
      <c r="L16" s="148">
        <f>+B16+D16-F16-H16+J16</f>
        <v>76418651.991094977</v>
      </c>
      <c r="M16" s="149"/>
      <c r="N16" s="150">
        <f>SUM('LS-Department Note Disclosure'!B13:B36)</f>
        <v>76418651.702704787</v>
      </c>
      <c r="O16" s="151"/>
      <c r="P16" s="152">
        <f>L16-N16</f>
        <v>0.28839018940925598</v>
      </c>
      <c r="Q16" s="133"/>
    </row>
    <row r="17" spans="1:17" ht="6" customHeight="1" x14ac:dyDescent="0.3">
      <c r="A17" s="143"/>
      <c r="B17" s="143"/>
      <c r="C17" s="153"/>
      <c r="D17" s="143"/>
      <c r="E17" s="153"/>
      <c r="F17" s="143"/>
      <c r="G17" s="143"/>
      <c r="H17" s="143"/>
      <c r="I17" s="143"/>
      <c r="J17" s="143"/>
      <c r="K17" s="153"/>
      <c r="L17" s="143"/>
      <c r="M17" s="153"/>
      <c r="N17" s="143"/>
      <c r="O17" s="143"/>
      <c r="P17" s="143"/>
      <c r="Q17" s="133"/>
    </row>
    <row r="18" spans="1:17" ht="15" customHeight="1" x14ac:dyDescent="0.3">
      <c r="A18" s="143"/>
      <c r="B18" s="143"/>
      <c r="C18" s="153"/>
      <c r="D18" s="154" t="str">
        <f>IF(OR(P16&gt;0, (P16&lt;0)), "Please review and correct the variance.","")</f>
        <v>Please review and correct the variance.</v>
      </c>
      <c r="E18" s="153"/>
      <c r="F18" s="143"/>
      <c r="G18" s="143"/>
      <c r="H18" s="143"/>
      <c r="I18" s="143"/>
      <c r="J18" s="143"/>
      <c r="K18" s="153"/>
      <c r="L18" s="143"/>
      <c r="M18" s="153"/>
      <c r="N18" s="143"/>
      <c r="O18" s="143"/>
      <c r="P18" s="143"/>
      <c r="Q18" s="133"/>
    </row>
    <row r="19" spans="1:17" x14ac:dyDescent="0.3">
      <c r="A19" s="133"/>
      <c r="B19" s="134" t="s">
        <v>133</v>
      </c>
      <c r="C19" s="134"/>
      <c r="D19" s="133"/>
      <c r="E19" s="135"/>
      <c r="F19" s="133"/>
      <c r="G19" s="133"/>
      <c r="H19" s="133"/>
      <c r="I19" s="133"/>
      <c r="J19" s="133"/>
      <c r="K19" s="135"/>
      <c r="L19" s="133"/>
      <c r="M19" s="135"/>
      <c r="N19" s="133"/>
      <c r="O19" s="133"/>
      <c r="P19" s="133"/>
      <c r="Q19" s="133"/>
    </row>
    <row r="20" spans="1:17" ht="6" customHeight="1" x14ac:dyDescent="0.3">
      <c r="A20" s="133"/>
      <c r="B20" s="133"/>
      <c r="C20" s="135"/>
      <c r="D20" s="133"/>
      <c r="E20" s="135"/>
      <c r="F20" s="133"/>
      <c r="G20" s="133"/>
      <c r="H20" s="133"/>
      <c r="I20" s="133"/>
      <c r="J20" s="133"/>
      <c r="K20" s="135"/>
      <c r="L20" s="133"/>
      <c r="M20" s="135"/>
      <c r="N20" s="133"/>
      <c r="O20" s="133"/>
      <c r="P20" s="133"/>
      <c r="Q20" s="133"/>
    </row>
    <row r="21" spans="1:17" ht="15" customHeight="1" x14ac:dyDescent="0.3">
      <c r="A21" s="133"/>
      <c r="B21" s="250" t="s">
        <v>118</v>
      </c>
      <c r="C21" s="250"/>
      <c r="D21" s="250"/>
      <c r="E21" s="250"/>
      <c r="F21" s="250"/>
      <c r="G21" s="250"/>
      <c r="H21" s="250"/>
      <c r="I21" s="250"/>
      <c r="J21" s="250"/>
      <c r="K21" s="250"/>
      <c r="L21" s="250"/>
      <c r="M21" s="135"/>
      <c r="N21" s="136" t="s">
        <v>119</v>
      </c>
      <c r="O21" s="137"/>
      <c r="P21" s="137"/>
      <c r="Q21" s="133"/>
    </row>
    <row r="22" spans="1:17" ht="15" customHeight="1" x14ac:dyDescent="0.3">
      <c r="A22" s="133"/>
      <c r="B22" s="138" t="s">
        <v>120</v>
      </c>
      <c r="C22" s="138"/>
      <c r="D22" s="138" t="s">
        <v>96</v>
      </c>
      <c r="E22" s="138"/>
      <c r="F22" s="138" t="s">
        <v>97</v>
      </c>
      <c r="G22" s="138"/>
      <c r="H22" s="138" t="s">
        <v>121</v>
      </c>
      <c r="I22" s="138"/>
      <c r="J22" s="138" t="s">
        <v>122</v>
      </c>
      <c r="K22" s="138"/>
      <c r="L22" s="138"/>
      <c r="M22" s="135"/>
      <c r="N22" s="139"/>
      <c r="O22" s="137"/>
      <c r="P22" s="137"/>
      <c r="Q22" s="133"/>
    </row>
    <row r="23" spans="1:17" ht="15" customHeight="1" x14ac:dyDescent="0.3">
      <c r="A23" s="133"/>
      <c r="B23" s="140" t="s">
        <v>123</v>
      </c>
      <c r="C23" s="141" t="s">
        <v>124</v>
      </c>
      <c r="D23" s="140" t="s">
        <v>125</v>
      </c>
      <c r="E23" s="140" t="s">
        <v>126</v>
      </c>
      <c r="F23" s="140" t="s">
        <v>127</v>
      </c>
      <c r="G23" s="140" t="s">
        <v>126</v>
      </c>
      <c r="H23" s="140" t="s">
        <v>128</v>
      </c>
      <c r="I23" s="140" t="s">
        <v>124</v>
      </c>
      <c r="J23" s="140" t="s">
        <v>129</v>
      </c>
      <c r="K23" s="141"/>
      <c r="L23" s="140"/>
      <c r="M23" s="141"/>
      <c r="N23" s="142" t="s">
        <v>130</v>
      </c>
      <c r="O23" s="137"/>
      <c r="P23" s="139" t="s">
        <v>131</v>
      </c>
      <c r="Q23" s="133"/>
    </row>
    <row r="24" spans="1:17" ht="15" customHeight="1" x14ac:dyDescent="0.3">
      <c r="A24" s="143"/>
      <c r="B24" s="144">
        <f>IF('LS-Fund 0042 Journal Entries'!$F$8="Proprietary - Internal Service Fund",'LS-Fund 0042 Journal Entries'!$K$23,0)</f>
        <v>0</v>
      </c>
      <c r="C24" s="145" t="s">
        <v>124</v>
      </c>
      <c r="D24" s="144">
        <f>IF('LS-Fund 0042 Journal Entries'!$F$8="Proprietary - Internal Service Fund",'LS-Fund 0042 Journal Entries'!$K$48,0)</f>
        <v>0</v>
      </c>
      <c r="E24" s="146" t="s">
        <v>126</v>
      </c>
      <c r="F24" s="144">
        <f>IF('LS-Fund 0042 Journal Entries'!$F$8="Proprietary - Internal Service Fund",'LS-Fund 0042 Journal Entries'!$J$68,0)</f>
        <v>0</v>
      </c>
      <c r="G24" s="147" t="s">
        <v>126</v>
      </c>
      <c r="H24" s="144">
        <f>IF('LS-Fund 0042 Journal Entries'!$F$8="Proprietary - Internal Service Fund",'LS-Fund 0042 Journal Entries'!$J$96,0)</f>
        <v>0</v>
      </c>
      <c r="I24" s="147" t="s">
        <v>124</v>
      </c>
      <c r="J24" s="144">
        <f>IF('LS-Fund 0042 Journal Entries'!$F$8="Proprietary - Internal Service Fund",'LS-Fund 0042 Journal Entries'!$K$113,0)</f>
        <v>0</v>
      </c>
      <c r="K24" s="146" t="s">
        <v>132</v>
      </c>
      <c r="L24" s="148">
        <f>+B24+D24-F24-H24+J24</f>
        <v>0</v>
      </c>
      <c r="M24" s="149"/>
      <c r="N24" s="150">
        <f>SUM('LS-Department Note Disclosure'!B44:B67)</f>
        <v>0</v>
      </c>
      <c r="O24" s="151"/>
      <c r="P24" s="152">
        <f>L24-N24</f>
        <v>0</v>
      </c>
      <c r="Q24" s="133"/>
    </row>
    <row r="25" spans="1:17" ht="6" customHeight="1" x14ac:dyDescent="0.3">
      <c r="A25" s="143"/>
      <c r="B25" s="143"/>
      <c r="C25" s="153"/>
      <c r="D25" s="143"/>
      <c r="E25" s="153"/>
      <c r="F25" s="143"/>
      <c r="G25" s="143"/>
      <c r="H25" s="143"/>
      <c r="I25" s="143"/>
      <c r="J25" s="143"/>
      <c r="K25" s="153"/>
      <c r="L25" s="143"/>
      <c r="M25" s="153"/>
      <c r="N25" s="143"/>
      <c r="O25" s="143"/>
      <c r="P25" s="143"/>
      <c r="Q25" s="133"/>
    </row>
    <row r="26" spans="1:17" ht="15" customHeight="1" x14ac:dyDescent="0.3">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3">
      <c r="A27" s="133"/>
      <c r="B27" s="155"/>
      <c r="C27" s="135"/>
      <c r="D27" s="155"/>
      <c r="E27" s="135"/>
      <c r="F27" s="155"/>
      <c r="G27" s="155"/>
      <c r="H27" s="155"/>
      <c r="I27" s="155"/>
      <c r="J27" s="155"/>
      <c r="K27" s="135"/>
      <c r="L27" s="155"/>
      <c r="M27" s="135"/>
      <c r="N27" s="155"/>
      <c r="O27" s="155"/>
      <c r="P27" s="155"/>
      <c r="Q27" s="133"/>
    </row>
    <row r="28" spans="1:17" x14ac:dyDescent="0.3">
      <c r="A28" s="133"/>
      <c r="B28" s="134" t="s">
        <v>134</v>
      </c>
      <c r="C28" s="134"/>
      <c r="D28" s="133"/>
      <c r="E28" s="135"/>
      <c r="F28" s="133"/>
      <c r="G28" s="133"/>
      <c r="H28" s="133"/>
      <c r="I28" s="133"/>
      <c r="J28" s="133"/>
      <c r="K28" s="135"/>
      <c r="L28" s="133"/>
      <c r="M28" s="135"/>
      <c r="N28" s="133"/>
      <c r="O28" s="133"/>
      <c r="P28" s="133"/>
      <c r="Q28" s="133"/>
    </row>
    <row r="29" spans="1:17" ht="6" customHeight="1" x14ac:dyDescent="0.3">
      <c r="A29" s="133"/>
      <c r="B29" s="133"/>
      <c r="C29" s="135"/>
      <c r="D29" s="133"/>
      <c r="E29" s="135"/>
      <c r="F29" s="133"/>
      <c r="G29" s="133"/>
      <c r="H29" s="133"/>
      <c r="I29" s="133"/>
      <c r="J29" s="133"/>
      <c r="K29" s="135"/>
      <c r="L29" s="133"/>
      <c r="M29" s="135"/>
      <c r="N29" s="133"/>
      <c r="O29" s="133"/>
      <c r="P29" s="133"/>
      <c r="Q29" s="133"/>
    </row>
    <row r="30" spans="1:17" ht="15" customHeight="1" x14ac:dyDescent="0.3">
      <c r="A30" s="133"/>
      <c r="B30" s="250" t="s">
        <v>118</v>
      </c>
      <c r="C30" s="250"/>
      <c r="D30" s="250"/>
      <c r="E30" s="250"/>
      <c r="F30" s="250"/>
      <c r="G30" s="250"/>
      <c r="H30" s="250"/>
      <c r="I30" s="250"/>
      <c r="J30" s="250"/>
      <c r="K30" s="250"/>
      <c r="L30" s="250"/>
      <c r="M30" s="135"/>
      <c r="N30" s="136" t="s">
        <v>119</v>
      </c>
      <c r="O30" s="137"/>
      <c r="P30" s="137"/>
      <c r="Q30" s="133"/>
    </row>
    <row r="31" spans="1:17" ht="15" customHeight="1" x14ac:dyDescent="0.3">
      <c r="A31" s="133"/>
      <c r="B31" s="138" t="s">
        <v>120</v>
      </c>
      <c r="C31" s="138"/>
      <c r="D31" s="138" t="s">
        <v>96</v>
      </c>
      <c r="E31" s="138"/>
      <c r="F31" s="138" t="s">
        <v>97</v>
      </c>
      <c r="G31" s="138"/>
      <c r="H31" s="138" t="s">
        <v>121</v>
      </c>
      <c r="I31" s="138"/>
      <c r="J31" s="138" t="s">
        <v>122</v>
      </c>
      <c r="K31" s="138"/>
      <c r="L31" s="138"/>
      <c r="M31" s="135"/>
      <c r="N31" s="139"/>
      <c r="O31" s="137"/>
      <c r="P31" s="137"/>
      <c r="Q31" s="133"/>
    </row>
    <row r="32" spans="1:17" ht="15" customHeight="1" x14ac:dyDescent="0.3">
      <c r="A32" s="133"/>
      <c r="B32" s="140" t="s">
        <v>123</v>
      </c>
      <c r="C32" s="141" t="s">
        <v>124</v>
      </c>
      <c r="D32" s="140" t="s">
        <v>125</v>
      </c>
      <c r="E32" s="140" t="s">
        <v>126</v>
      </c>
      <c r="F32" s="140" t="s">
        <v>127</v>
      </c>
      <c r="G32" s="140" t="s">
        <v>126</v>
      </c>
      <c r="H32" s="140" t="s">
        <v>128</v>
      </c>
      <c r="I32" s="140" t="s">
        <v>124</v>
      </c>
      <c r="J32" s="140" t="s">
        <v>129</v>
      </c>
      <c r="K32" s="141"/>
      <c r="L32" s="140"/>
      <c r="M32" s="141"/>
      <c r="N32" s="142" t="s">
        <v>130</v>
      </c>
      <c r="O32" s="137"/>
      <c r="P32" s="139" t="s">
        <v>131</v>
      </c>
      <c r="Q32" s="133"/>
    </row>
    <row r="33" spans="1:17" ht="15" customHeight="1" x14ac:dyDescent="0.3">
      <c r="A33" s="143"/>
      <c r="B33" s="144">
        <f>IF('LS-Fund 0042 Journal Entries'!$F$8="Proprietary - Enterprise Fund",'LS-Fund 0042 Journal Entries'!$K$23,0)</f>
        <v>0</v>
      </c>
      <c r="C33" s="145" t="s">
        <v>124</v>
      </c>
      <c r="D33" s="144">
        <f>IF('LS-Fund 0042 Journal Entries'!$F$8="Proprietary - Enterprise Fund",'LS-Fund 0042 Journal Entries'!$K$48,0)</f>
        <v>0</v>
      </c>
      <c r="E33" s="146" t="s">
        <v>126</v>
      </c>
      <c r="F33" s="144">
        <f>IF('LS-Fund 0042 Journal Entries'!$F$8="Proprietary - Enterprise Fund",'LS-Fund 0042 Journal Entries'!$J$68,0)</f>
        <v>0</v>
      </c>
      <c r="G33" s="147" t="s">
        <v>126</v>
      </c>
      <c r="H33" s="144">
        <f>IF('LS-Fund 0042 Journal Entries'!$F$8="Proprietary - Enterprise Fund",'LS-Fund 0042 Journal Entries'!$J$96,0)</f>
        <v>0</v>
      </c>
      <c r="I33" s="147" t="s">
        <v>124</v>
      </c>
      <c r="J33" s="144">
        <f>IF('LS-Fund 0042 Journal Entries'!$F$8="Proprietary - Enterprise Fund",'LS-Fund 0042 Journal Entries'!$K$113,0)</f>
        <v>0</v>
      </c>
      <c r="K33" s="146" t="s">
        <v>132</v>
      </c>
      <c r="L33" s="148">
        <f>+B33+D33-F33-H33+J33</f>
        <v>0</v>
      </c>
      <c r="M33" s="149"/>
      <c r="N33" s="150">
        <f>SUM('LS-Department Note Disclosure'!B75:B98)</f>
        <v>0</v>
      </c>
      <c r="O33" s="151"/>
      <c r="P33" s="152">
        <f>L33-N33</f>
        <v>0</v>
      </c>
      <c r="Q33" s="133"/>
    </row>
    <row r="34" spans="1:17" ht="6" customHeight="1" x14ac:dyDescent="0.3">
      <c r="A34" s="143"/>
      <c r="B34" s="143"/>
      <c r="C34" s="153"/>
      <c r="D34" s="143"/>
      <c r="E34" s="153"/>
      <c r="F34" s="143"/>
      <c r="G34" s="143"/>
      <c r="H34" s="143"/>
      <c r="I34" s="143"/>
      <c r="J34" s="143"/>
      <c r="K34" s="153"/>
      <c r="L34" s="143"/>
      <c r="M34" s="153"/>
      <c r="N34" s="143"/>
      <c r="O34" s="143"/>
      <c r="P34" s="143"/>
      <c r="Q34" s="133"/>
    </row>
    <row r="35" spans="1:17" ht="15" customHeight="1" x14ac:dyDescent="0.3">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3">
      <c r="A36" s="133"/>
      <c r="B36" s="155"/>
      <c r="C36" s="135"/>
      <c r="D36" s="155"/>
      <c r="E36" s="135"/>
      <c r="F36" s="155"/>
      <c r="G36" s="155"/>
      <c r="H36" s="155"/>
      <c r="I36" s="155"/>
      <c r="J36" s="155"/>
      <c r="K36" s="135"/>
      <c r="L36" s="155"/>
      <c r="M36" s="135"/>
      <c r="N36" s="155"/>
      <c r="O36" s="155"/>
      <c r="P36" s="155"/>
      <c r="Q36" s="133"/>
    </row>
    <row r="37" spans="1:17" x14ac:dyDescent="0.3">
      <c r="A37" s="129" t="s">
        <v>135</v>
      </c>
      <c r="B37" s="130"/>
      <c r="C37" s="131"/>
      <c r="D37" s="130"/>
      <c r="E37" s="131"/>
      <c r="F37" s="130"/>
      <c r="G37" s="130"/>
      <c r="H37" s="130"/>
      <c r="I37" s="130"/>
      <c r="J37" s="130"/>
      <c r="K37" s="131"/>
      <c r="L37" s="130"/>
      <c r="M37" s="131"/>
      <c r="N37" s="130"/>
      <c r="O37" s="130"/>
      <c r="P37" s="130"/>
      <c r="Q37" s="130"/>
    </row>
    <row r="38" spans="1:17" ht="15" customHeight="1" x14ac:dyDescent="0.3">
      <c r="A38" s="133"/>
      <c r="B38" s="134" t="s">
        <v>117</v>
      </c>
      <c r="C38" s="134"/>
      <c r="D38" s="133"/>
      <c r="E38" s="135"/>
      <c r="F38" s="133"/>
      <c r="G38" s="133"/>
      <c r="H38" s="133"/>
      <c r="I38" s="133"/>
      <c r="J38" s="133"/>
      <c r="K38" s="135"/>
      <c r="L38" s="133"/>
      <c r="M38" s="135"/>
      <c r="N38" s="133"/>
      <c r="O38" s="133"/>
      <c r="P38" s="133"/>
      <c r="Q38" s="133"/>
    </row>
    <row r="39" spans="1:17" ht="6" customHeight="1" x14ac:dyDescent="0.3">
      <c r="A39" s="133"/>
      <c r="B39" s="133"/>
      <c r="C39" s="135"/>
      <c r="D39" s="133"/>
      <c r="E39" s="135"/>
      <c r="F39" s="133"/>
      <c r="G39" s="133"/>
      <c r="H39" s="133"/>
      <c r="I39" s="133"/>
      <c r="J39" s="133"/>
      <c r="K39" s="135"/>
      <c r="L39" s="133"/>
      <c r="M39" s="135"/>
      <c r="N39" s="133"/>
      <c r="O39" s="133"/>
      <c r="P39" s="133"/>
      <c r="Q39" s="133"/>
    </row>
    <row r="40" spans="1:17" ht="15" customHeight="1" x14ac:dyDescent="0.3">
      <c r="A40" s="133"/>
      <c r="B40" s="250" t="s">
        <v>118</v>
      </c>
      <c r="C40" s="250"/>
      <c r="D40" s="250"/>
      <c r="E40" s="134"/>
      <c r="F40" s="134"/>
      <c r="G40" s="134"/>
      <c r="H40" s="134"/>
      <c r="I40" s="134"/>
      <c r="J40" s="134"/>
      <c r="K40" s="134"/>
      <c r="L40" s="134"/>
      <c r="M40" s="135"/>
      <c r="N40" s="136" t="s">
        <v>119</v>
      </c>
      <c r="O40" s="137"/>
      <c r="P40" s="137"/>
      <c r="Q40" s="133"/>
    </row>
    <row r="41" spans="1:17" ht="15" customHeight="1" x14ac:dyDescent="0.3">
      <c r="A41" s="133"/>
      <c r="B41" s="140" t="s">
        <v>136</v>
      </c>
      <c r="C41" s="156" t="s">
        <v>137</v>
      </c>
      <c r="E41" s="133"/>
      <c r="G41" s="140"/>
      <c r="H41" s="140"/>
      <c r="I41" s="140"/>
      <c r="J41" s="140"/>
      <c r="K41" s="133"/>
      <c r="L41" s="133"/>
      <c r="M41" s="141"/>
      <c r="N41" s="142" t="str">
        <f>CONCATENATE('LS-Department Note Disclosure'!$A$13," Principal Payments")</f>
        <v>2023–2024 Principal Payments</v>
      </c>
      <c r="O41" s="137"/>
      <c r="P41" s="139" t="s">
        <v>131</v>
      </c>
      <c r="Q41" s="133"/>
    </row>
    <row r="42" spans="1:17" ht="15" customHeight="1" x14ac:dyDescent="0.3">
      <c r="A42" s="133"/>
      <c r="B42" s="144">
        <v>33463895.337537799</v>
      </c>
      <c r="C42" s="155"/>
      <c r="E42" s="155"/>
      <c r="G42" s="157"/>
      <c r="H42" s="157"/>
      <c r="I42" s="157"/>
      <c r="J42" s="157"/>
      <c r="K42" s="155"/>
      <c r="L42" s="155"/>
      <c r="M42" s="158"/>
      <c r="N42" s="150">
        <f>'LS-Department Note Disclosure'!B13</f>
        <v>33463895.337537799</v>
      </c>
      <c r="O42" s="159"/>
      <c r="P42" s="152">
        <f>B42-N42</f>
        <v>0</v>
      </c>
      <c r="Q42" s="133"/>
    </row>
    <row r="43" spans="1:17" ht="6" customHeight="1" x14ac:dyDescent="0.3">
      <c r="A43" s="133"/>
      <c r="B43" s="143"/>
      <c r="C43" s="153"/>
      <c r="D43" s="143"/>
      <c r="E43" s="153"/>
      <c r="F43" s="143"/>
      <c r="G43" s="143"/>
      <c r="H43" s="143"/>
      <c r="I43" s="143"/>
      <c r="J43" s="143"/>
      <c r="K43" s="153"/>
      <c r="L43" s="143"/>
      <c r="M43" s="153"/>
      <c r="N43" s="143"/>
      <c r="O43" s="143"/>
      <c r="P43" s="143"/>
      <c r="Q43" s="133"/>
    </row>
    <row r="44" spans="1:17" ht="17.399999999999999" x14ac:dyDescent="0.3">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3">
      <c r="A45" s="133"/>
      <c r="B45" s="134" t="s">
        <v>133</v>
      </c>
      <c r="C45" s="134"/>
      <c r="D45" s="133"/>
      <c r="E45" s="135"/>
      <c r="F45" s="133"/>
      <c r="G45" s="133"/>
      <c r="H45" s="133"/>
      <c r="I45" s="133"/>
      <c r="J45" s="133"/>
      <c r="K45" s="135"/>
      <c r="L45" s="133"/>
      <c r="M45" s="135"/>
      <c r="N45" s="133"/>
      <c r="O45" s="133"/>
      <c r="P45" s="133"/>
      <c r="Q45" s="133"/>
    </row>
    <row r="46" spans="1:17" ht="6" customHeight="1" x14ac:dyDescent="0.3">
      <c r="A46" s="133"/>
      <c r="B46" s="133"/>
      <c r="C46" s="135"/>
      <c r="D46" s="133"/>
      <c r="E46" s="135"/>
      <c r="F46" s="133"/>
      <c r="G46" s="133"/>
      <c r="H46" s="133"/>
      <c r="I46" s="133"/>
      <c r="J46" s="133"/>
      <c r="K46" s="135"/>
      <c r="L46" s="133"/>
      <c r="M46" s="135"/>
      <c r="N46" s="133"/>
      <c r="O46" s="133"/>
      <c r="P46" s="133"/>
      <c r="Q46" s="133"/>
    </row>
    <row r="47" spans="1:17" ht="15" customHeight="1" x14ac:dyDescent="0.3">
      <c r="A47" s="133"/>
      <c r="B47" s="250" t="s">
        <v>118</v>
      </c>
      <c r="C47" s="250"/>
      <c r="D47" s="250"/>
      <c r="E47" s="134"/>
      <c r="F47" s="134"/>
      <c r="G47" s="134"/>
      <c r="H47" s="134"/>
      <c r="I47" s="134"/>
      <c r="J47" s="134"/>
      <c r="K47" s="134"/>
      <c r="L47" s="134"/>
      <c r="M47" s="135"/>
      <c r="N47" s="136" t="s">
        <v>119</v>
      </c>
      <c r="O47" s="137"/>
      <c r="P47" s="137"/>
      <c r="Q47" s="133"/>
    </row>
    <row r="48" spans="1:17" ht="15" customHeight="1" x14ac:dyDescent="0.3">
      <c r="A48" s="133"/>
      <c r="B48" s="140" t="s">
        <v>136</v>
      </c>
      <c r="C48" s="156" t="s">
        <v>137</v>
      </c>
      <c r="E48" s="133"/>
      <c r="G48" s="140"/>
      <c r="H48" s="140"/>
      <c r="I48" s="140"/>
      <c r="J48" s="140"/>
      <c r="K48" s="133"/>
      <c r="L48" s="133"/>
      <c r="M48" s="141"/>
      <c r="N48" s="142" t="str">
        <f>CONCATENATE('LS-Department Note Disclosure'!$A$44," Principal Payments")</f>
        <v>2023–2024 Principal Payments</v>
      </c>
      <c r="O48" s="137"/>
      <c r="P48" s="139" t="s">
        <v>131</v>
      </c>
      <c r="Q48" s="133"/>
    </row>
    <row r="49" spans="1:17" x14ac:dyDescent="0.3">
      <c r="A49" s="133"/>
      <c r="B49" s="144">
        <f>IF('LS-Fund 0042 Journal Entries'!$F$8="Proprietary - Internal Service Fund",'LS-Fund 0042 Journal Entries'!$K$76,0)</f>
        <v>0</v>
      </c>
      <c r="C49" s="155"/>
      <c r="E49" s="155"/>
      <c r="G49" s="157"/>
      <c r="H49" s="157"/>
      <c r="I49" s="157"/>
      <c r="J49" s="157"/>
      <c r="K49" s="155"/>
      <c r="L49" s="155"/>
      <c r="M49" s="158"/>
      <c r="N49" s="150">
        <f>'LS-Department Note Disclosure'!B44</f>
        <v>0</v>
      </c>
      <c r="O49" s="159"/>
      <c r="P49" s="152">
        <f>B49-N49</f>
        <v>0</v>
      </c>
      <c r="Q49" s="133"/>
    </row>
    <row r="50" spans="1:17" ht="6" customHeight="1" x14ac:dyDescent="0.3">
      <c r="A50" s="133"/>
      <c r="B50" s="143"/>
      <c r="C50" s="153"/>
      <c r="D50" s="143"/>
      <c r="E50" s="153"/>
      <c r="F50" s="143"/>
      <c r="G50" s="143"/>
      <c r="H50" s="143"/>
      <c r="I50" s="143"/>
      <c r="J50" s="143"/>
      <c r="K50" s="153"/>
      <c r="L50" s="143"/>
      <c r="M50" s="153"/>
      <c r="N50" s="143"/>
      <c r="O50" s="143"/>
      <c r="P50" s="143"/>
      <c r="Q50" s="133"/>
    </row>
    <row r="51" spans="1:17" ht="17.399999999999999" x14ac:dyDescent="0.3">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3">
      <c r="A52" s="133"/>
      <c r="B52" s="155"/>
      <c r="C52" s="135"/>
      <c r="D52" s="155"/>
      <c r="E52" s="135"/>
      <c r="F52" s="155"/>
      <c r="G52" s="155"/>
      <c r="H52" s="155"/>
      <c r="I52" s="155"/>
      <c r="J52" s="155"/>
      <c r="K52" s="135"/>
      <c r="L52" s="155"/>
      <c r="M52" s="135"/>
      <c r="N52" s="155"/>
      <c r="O52" s="155"/>
      <c r="P52" s="155"/>
      <c r="Q52" s="133"/>
    </row>
    <row r="53" spans="1:17" x14ac:dyDescent="0.3">
      <c r="A53" s="133"/>
      <c r="B53" s="134" t="s">
        <v>134</v>
      </c>
      <c r="C53" s="134"/>
      <c r="D53" s="133"/>
      <c r="E53" s="135"/>
      <c r="F53" s="133"/>
      <c r="G53" s="133"/>
      <c r="H53" s="133"/>
      <c r="I53" s="133"/>
      <c r="J53" s="133"/>
      <c r="K53" s="135"/>
      <c r="L53" s="133"/>
      <c r="M53" s="135"/>
      <c r="N53" s="133"/>
      <c r="O53" s="133"/>
      <c r="P53" s="133"/>
      <c r="Q53" s="133"/>
    </row>
    <row r="54" spans="1:17" ht="6" customHeight="1" x14ac:dyDescent="0.3">
      <c r="A54" s="133"/>
      <c r="B54" s="133"/>
      <c r="C54" s="135"/>
      <c r="D54" s="133"/>
      <c r="E54" s="135"/>
      <c r="F54" s="133"/>
      <c r="G54" s="133"/>
      <c r="H54" s="133"/>
      <c r="I54" s="133"/>
      <c r="J54" s="133"/>
      <c r="K54" s="135"/>
      <c r="L54" s="133"/>
      <c r="M54" s="135"/>
      <c r="N54" s="133"/>
      <c r="O54" s="133"/>
      <c r="P54" s="133"/>
      <c r="Q54" s="133"/>
    </row>
    <row r="55" spans="1:17" ht="15" customHeight="1" x14ac:dyDescent="0.3">
      <c r="A55" s="133"/>
      <c r="B55" s="250" t="s">
        <v>118</v>
      </c>
      <c r="C55" s="250"/>
      <c r="D55" s="250"/>
      <c r="E55" s="134"/>
      <c r="F55" s="134"/>
      <c r="G55" s="134"/>
      <c r="H55" s="134"/>
      <c r="I55" s="134"/>
      <c r="J55" s="134"/>
      <c r="K55" s="134"/>
      <c r="L55" s="134"/>
      <c r="M55" s="135"/>
      <c r="N55" s="136" t="s">
        <v>119</v>
      </c>
      <c r="O55" s="137"/>
      <c r="P55" s="137"/>
      <c r="Q55" s="133"/>
    </row>
    <row r="56" spans="1:17" ht="15" customHeight="1" x14ac:dyDescent="0.3">
      <c r="A56" s="133"/>
      <c r="B56" s="140" t="s">
        <v>136</v>
      </c>
      <c r="C56" s="156" t="s">
        <v>137</v>
      </c>
      <c r="E56" s="133"/>
      <c r="G56" s="140"/>
      <c r="H56" s="140"/>
      <c r="I56" s="140"/>
      <c r="J56" s="140"/>
      <c r="K56" s="133"/>
      <c r="L56" s="133"/>
      <c r="M56" s="141"/>
      <c r="N56" s="142" t="str">
        <f>CONCATENATE('LS-Department Note Disclosure'!$A$75," Principal Payments")</f>
        <v>2023–2024 Principal Payments</v>
      </c>
      <c r="O56" s="137"/>
      <c r="P56" s="139" t="s">
        <v>131</v>
      </c>
      <c r="Q56" s="133"/>
    </row>
    <row r="57" spans="1:17" x14ac:dyDescent="0.3">
      <c r="A57" s="133"/>
      <c r="B57" s="144">
        <f>IF('LS-Fund 0042 Journal Entries'!$F$8="Proprietary - Enterprise Fund",'LS-Fund 0042 Journal Entries'!$K$76,0)</f>
        <v>0</v>
      </c>
      <c r="C57" s="155"/>
      <c r="E57" s="155"/>
      <c r="G57" s="157"/>
      <c r="H57" s="157"/>
      <c r="I57" s="157"/>
      <c r="J57" s="157"/>
      <c r="K57" s="155"/>
      <c r="L57" s="155"/>
      <c r="M57" s="158"/>
      <c r="N57" s="150">
        <f>'LS-Department Note Disclosure'!B75</f>
        <v>0</v>
      </c>
      <c r="O57" s="159"/>
      <c r="P57" s="152">
        <f>B57-N57</f>
        <v>0</v>
      </c>
      <c r="Q57" s="133"/>
    </row>
    <row r="58" spans="1:17" ht="6" customHeight="1" x14ac:dyDescent="0.3">
      <c r="A58" s="133"/>
      <c r="B58" s="143"/>
      <c r="C58" s="153"/>
      <c r="D58" s="143"/>
      <c r="E58" s="153"/>
      <c r="F58" s="143"/>
      <c r="G58" s="143"/>
      <c r="H58" s="143"/>
      <c r="I58" s="143"/>
      <c r="J58" s="143"/>
      <c r="K58" s="153"/>
      <c r="L58" s="143"/>
      <c r="M58" s="153"/>
      <c r="N58" s="143"/>
      <c r="O58" s="143"/>
      <c r="P58" s="143"/>
      <c r="Q58" s="133"/>
    </row>
    <row r="59" spans="1:17" ht="17.399999999999999" x14ac:dyDescent="0.3">
      <c r="A59" s="133"/>
      <c r="B59" s="133"/>
      <c r="C59" s="133"/>
      <c r="D59" s="154" t="str">
        <f>IF(OR(P57&gt;0, (P57&lt;0)), "Please review and correct the variance.","")</f>
        <v/>
      </c>
      <c r="E59" s="133"/>
      <c r="F59" s="133"/>
      <c r="G59" s="133"/>
      <c r="H59" s="133"/>
      <c r="I59" s="133"/>
      <c r="J59" s="133"/>
      <c r="K59" s="133"/>
      <c r="L59" s="133"/>
      <c r="M59" s="133"/>
      <c r="N59" s="133"/>
      <c r="O59" s="133"/>
      <c r="P59" s="133"/>
      <c r="Q59" s="133"/>
    </row>
    <row r="60" spans="1:17" ht="6" customHeight="1" x14ac:dyDescent="0.3">
      <c r="A60" s="133"/>
      <c r="B60" s="155"/>
      <c r="C60" s="135"/>
      <c r="D60" s="155"/>
      <c r="E60" s="135"/>
      <c r="F60" s="155"/>
      <c r="G60" s="155"/>
      <c r="H60" s="155"/>
      <c r="I60" s="155"/>
      <c r="J60" s="155"/>
      <c r="K60" s="135"/>
      <c r="L60" s="155"/>
      <c r="M60" s="135"/>
      <c r="N60" s="155"/>
      <c r="O60" s="155"/>
      <c r="P60" s="155"/>
      <c r="Q60" s="133"/>
    </row>
    <row r="61" spans="1:17" x14ac:dyDescent="0.3">
      <c r="A61" s="129" t="s">
        <v>138</v>
      </c>
      <c r="B61" s="130"/>
      <c r="C61" s="131"/>
      <c r="D61" s="130"/>
      <c r="E61" s="131"/>
      <c r="F61" s="130"/>
      <c r="G61" s="130"/>
      <c r="H61" s="130"/>
      <c r="I61" s="130"/>
      <c r="J61" s="130"/>
      <c r="K61" s="131"/>
      <c r="L61" s="130"/>
      <c r="M61" s="131"/>
      <c r="N61" s="130"/>
      <c r="O61" s="130"/>
      <c r="P61" s="130"/>
      <c r="Q61" s="130"/>
    </row>
    <row r="62" spans="1:17" ht="15" customHeight="1" x14ac:dyDescent="0.3">
      <c r="A62" s="133"/>
      <c r="B62" s="134" t="s">
        <v>117</v>
      </c>
      <c r="C62" s="134"/>
      <c r="D62" s="137"/>
      <c r="E62" s="137"/>
      <c r="F62" s="137"/>
      <c r="G62" s="137"/>
      <c r="H62" s="137"/>
      <c r="I62" s="137"/>
      <c r="J62" s="137"/>
      <c r="K62" s="137"/>
      <c r="L62" s="137"/>
      <c r="M62" s="137"/>
      <c r="N62" s="137"/>
      <c r="O62" s="137"/>
      <c r="P62" s="137"/>
      <c r="Q62" s="133"/>
    </row>
    <row r="63" spans="1:17" x14ac:dyDescent="0.3">
      <c r="A63" s="133"/>
      <c r="B63" s="160"/>
      <c r="C63" s="160"/>
      <c r="D63" s="160"/>
      <c r="E63" s="160"/>
      <c r="F63" s="160"/>
      <c r="G63" s="160"/>
      <c r="H63" s="160"/>
      <c r="I63" s="160"/>
      <c r="J63" s="160"/>
      <c r="K63" s="160"/>
      <c r="L63" s="160"/>
      <c r="M63" s="160"/>
      <c r="N63" s="160"/>
      <c r="O63" s="160"/>
      <c r="P63" s="160"/>
      <c r="Q63" s="133"/>
    </row>
    <row r="64" spans="1:17" ht="15" customHeight="1" x14ac:dyDescent="0.3">
      <c r="A64" s="133"/>
      <c r="B64" s="253" t="s">
        <v>118</v>
      </c>
      <c r="C64" s="253"/>
      <c r="D64" s="253"/>
      <c r="E64" s="253"/>
      <c r="F64" s="253"/>
      <c r="G64" s="253"/>
      <c r="H64" s="253"/>
      <c r="I64" s="160"/>
      <c r="J64" s="136" t="s">
        <v>139</v>
      </c>
      <c r="K64" s="160"/>
      <c r="L64" s="253" t="s">
        <v>95</v>
      </c>
      <c r="M64" s="253"/>
      <c r="N64" s="253"/>
      <c r="O64" s="160"/>
      <c r="P64" s="160"/>
      <c r="Q64" s="133"/>
    </row>
    <row r="65" spans="1:17" x14ac:dyDescent="0.3">
      <c r="A65" s="133"/>
      <c r="B65" s="133"/>
      <c r="C65" s="133"/>
      <c r="D65" s="133"/>
      <c r="E65" s="133"/>
      <c r="F65" s="133"/>
      <c r="G65" s="133"/>
      <c r="H65" s="133"/>
      <c r="I65" s="133"/>
      <c r="J65" s="133"/>
      <c r="K65" s="133"/>
      <c r="L65" s="133"/>
      <c r="M65" s="133"/>
      <c r="N65" s="133"/>
      <c r="O65" s="133"/>
      <c r="P65" s="139" t="s">
        <v>131</v>
      </c>
      <c r="Q65" s="133"/>
    </row>
    <row r="66" spans="1:17" x14ac:dyDescent="0.3">
      <c r="B66" s="140" t="s">
        <v>123</v>
      </c>
      <c r="D66" s="162">
        <f>$B$16</f>
        <v>72734702.680363342</v>
      </c>
      <c r="J66" s="162">
        <f>SUM(D66)</f>
        <v>72734702.680363342</v>
      </c>
      <c r="L66" s="163" t="str">
        <f>CONCATENATE("Balance July 1, ",LEFT('LS-Department Note Disclosure'!$B$8,4))</f>
        <v>Balance July 1, 2022</v>
      </c>
      <c r="N66" s="162">
        <f>'LS-Lease Liabilities'!F10</f>
        <v>72734702.680363342</v>
      </c>
      <c r="P66" s="152">
        <f>J66-N66</f>
        <v>0</v>
      </c>
    </row>
    <row r="67" spans="1:17" x14ac:dyDescent="0.3">
      <c r="B67" s="140" t="s">
        <v>125</v>
      </c>
      <c r="D67" s="162">
        <f>$D$16</f>
        <v>27063636.310731642</v>
      </c>
      <c r="E67" s="164" t="s">
        <v>124</v>
      </c>
      <c r="F67" s="140" t="s">
        <v>129</v>
      </c>
      <c r="H67" s="162">
        <f>$J$16</f>
        <v>0</v>
      </c>
      <c r="J67" s="162">
        <f>SUM(D67,H67)</f>
        <v>27063636.310731642</v>
      </c>
      <c r="L67" s="163" t="s">
        <v>96</v>
      </c>
      <c r="N67" s="162">
        <f>'LS-Lease Liabilities'!H10</f>
        <v>27063636.310731642</v>
      </c>
      <c r="P67" s="152">
        <f t="shared" ref="P67:P69" si="0">J67-N67</f>
        <v>0</v>
      </c>
    </row>
    <row r="68" spans="1:17" x14ac:dyDescent="0.3">
      <c r="B68" s="140" t="s">
        <v>127</v>
      </c>
      <c r="D68" s="162">
        <f>$F$16</f>
        <v>23379687</v>
      </c>
      <c r="E68" s="164" t="s">
        <v>124</v>
      </c>
      <c r="F68" s="140" t="s">
        <v>128</v>
      </c>
      <c r="H68" s="162">
        <f>$H$16</f>
        <v>0</v>
      </c>
      <c r="J68" s="162">
        <f>SUM(D68,H68)</f>
        <v>23379687</v>
      </c>
      <c r="L68" s="163" t="s">
        <v>97</v>
      </c>
      <c r="N68" s="162">
        <f>'LS-Lease Liabilities'!J10</f>
        <v>23379686.885006547</v>
      </c>
      <c r="P68" s="152">
        <f t="shared" si="0"/>
        <v>0.11499345302581787</v>
      </c>
    </row>
    <row r="69" spans="1:17" x14ac:dyDescent="0.3">
      <c r="B69" s="140" t="s">
        <v>136</v>
      </c>
      <c r="D69" s="162">
        <f>$B$42</f>
        <v>33463895.337537799</v>
      </c>
      <c r="J69" s="162">
        <f>SUM(D69)</f>
        <v>33463895.337537799</v>
      </c>
      <c r="L69" s="163" t="s">
        <v>98</v>
      </c>
      <c r="N69" s="162">
        <f>'LS-Lease Liabilities'!N10</f>
        <v>33463895.337537799</v>
      </c>
      <c r="P69" s="152">
        <f t="shared" si="0"/>
        <v>0</v>
      </c>
    </row>
    <row r="70" spans="1:17" x14ac:dyDescent="0.3">
      <c r="D70" s="165"/>
    </row>
    <row r="71" spans="1:17" ht="15.9" customHeight="1" x14ac:dyDescent="0.3">
      <c r="D71" s="154" t="str">
        <f>IF(OR(P66&gt;0, (P66&lt;0),P67&gt;0,P67&lt;0,P68&gt;0,P68&lt;0,P69&gt;0,P69&lt;0), "Please review and correct the variance.","")</f>
        <v>Please review and correct the variance.</v>
      </c>
    </row>
    <row r="72" spans="1:17" ht="6" customHeight="1" x14ac:dyDescent="0.3">
      <c r="D72" s="165"/>
    </row>
    <row r="73" spans="1:17" x14ac:dyDescent="0.3">
      <c r="B73" s="166" t="s">
        <v>133</v>
      </c>
      <c r="C73" s="166"/>
    </row>
    <row r="74" spans="1:17" x14ac:dyDescent="0.3">
      <c r="B74" s="166"/>
    </row>
    <row r="75" spans="1:17" ht="15" customHeight="1" x14ac:dyDescent="0.3">
      <c r="B75" s="253" t="s">
        <v>118</v>
      </c>
      <c r="C75" s="253"/>
      <c r="D75" s="253"/>
      <c r="E75" s="253"/>
      <c r="F75" s="253"/>
      <c r="G75" s="253"/>
      <c r="H75" s="253"/>
      <c r="I75" s="160"/>
      <c r="J75" s="136" t="s">
        <v>139</v>
      </c>
      <c r="K75" s="160"/>
      <c r="L75" s="253" t="s">
        <v>95</v>
      </c>
      <c r="M75" s="253"/>
      <c r="N75" s="253"/>
    </row>
    <row r="76" spans="1:17" x14ac:dyDescent="0.3">
      <c r="L76" s="133"/>
      <c r="M76" s="133"/>
      <c r="N76" s="133"/>
      <c r="O76" s="133"/>
      <c r="P76" s="139" t="s">
        <v>131</v>
      </c>
    </row>
    <row r="77" spans="1:17" x14ac:dyDescent="0.3">
      <c r="B77" s="140" t="s">
        <v>123</v>
      </c>
      <c r="D77" s="162">
        <f>B24</f>
        <v>0</v>
      </c>
      <c r="J77" s="162">
        <f>SUM(D77)</f>
        <v>0</v>
      </c>
      <c r="L77" s="163" t="str">
        <f>CONCATENATE("Balance July 1, ",LEFT('LS-Department Note Disclosure'!$B$8,4))</f>
        <v>Balance July 1, 2022</v>
      </c>
      <c r="N77" s="162">
        <f>'LS-Lease Liabilities'!F14</f>
        <v>0</v>
      </c>
      <c r="P77" s="152">
        <f>J77-N77</f>
        <v>0</v>
      </c>
    </row>
    <row r="78" spans="1:17" x14ac:dyDescent="0.3">
      <c r="B78" s="140" t="s">
        <v>125</v>
      </c>
      <c r="D78" s="162">
        <f>D24</f>
        <v>0</v>
      </c>
      <c r="E78" s="164" t="s">
        <v>124</v>
      </c>
      <c r="F78" s="140" t="s">
        <v>129</v>
      </c>
      <c r="H78" s="162">
        <f>$J$24</f>
        <v>0</v>
      </c>
      <c r="J78" s="162">
        <f>SUM(D78,H78)</f>
        <v>0</v>
      </c>
      <c r="L78" s="163" t="s">
        <v>96</v>
      </c>
      <c r="N78" s="162">
        <f>'LS-Lease Liabilities'!H14</f>
        <v>0</v>
      </c>
      <c r="P78" s="152">
        <f t="shared" ref="P78:P80" si="1">J78-N78</f>
        <v>0</v>
      </c>
    </row>
    <row r="79" spans="1:17" x14ac:dyDescent="0.3">
      <c r="B79" s="140" t="s">
        <v>127</v>
      </c>
      <c r="D79" s="162">
        <f>F24</f>
        <v>0</v>
      </c>
      <c r="E79" s="164" t="s">
        <v>124</v>
      </c>
      <c r="F79" s="140" t="s">
        <v>128</v>
      </c>
      <c r="H79" s="162">
        <f>$H$24</f>
        <v>0</v>
      </c>
      <c r="J79" s="162">
        <f>SUM(D79,H79)</f>
        <v>0</v>
      </c>
      <c r="L79" s="163" t="s">
        <v>97</v>
      </c>
      <c r="N79" s="162">
        <f>'LS-Lease Liabilities'!J14</f>
        <v>0</v>
      </c>
      <c r="P79" s="152">
        <f t="shared" si="1"/>
        <v>0</v>
      </c>
    </row>
    <row r="80" spans="1:17" x14ac:dyDescent="0.3">
      <c r="B80" s="140" t="s">
        <v>136</v>
      </c>
      <c r="D80" s="162">
        <f>B49</f>
        <v>0</v>
      </c>
      <c r="J80" s="162">
        <f>SUM(D80)</f>
        <v>0</v>
      </c>
      <c r="L80" s="163" t="s">
        <v>98</v>
      </c>
      <c r="N80" s="162">
        <f>'LS-Lease Liabilities'!N14</f>
        <v>0</v>
      </c>
      <c r="P80" s="152">
        <f t="shared" si="1"/>
        <v>0</v>
      </c>
    </row>
    <row r="81" spans="2:16" x14ac:dyDescent="0.3"/>
    <row r="82" spans="2:16" x14ac:dyDescent="0.3"/>
    <row r="83" spans="2:16" ht="4.95" customHeight="1" x14ac:dyDescent="0.3"/>
    <row r="84" spans="2:16" x14ac:dyDescent="0.3">
      <c r="B84" s="166" t="s">
        <v>134</v>
      </c>
      <c r="C84" s="166"/>
    </row>
    <row r="85" spans="2:16" x14ac:dyDescent="0.3">
      <c r="B85" s="166"/>
    </row>
    <row r="86" spans="2:16" ht="15" customHeight="1" x14ac:dyDescent="0.3">
      <c r="B86" s="253" t="s">
        <v>118</v>
      </c>
      <c r="C86" s="253"/>
      <c r="D86" s="253"/>
      <c r="E86" s="253"/>
      <c r="F86" s="253"/>
      <c r="G86" s="253"/>
      <c r="H86" s="253"/>
      <c r="I86" s="160"/>
      <c r="J86" s="136" t="s">
        <v>139</v>
      </c>
      <c r="K86" s="160"/>
      <c r="L86" s="253" t="s">
        <v>95</v>
      </c>
      <c r="M86" s="253"/>
      <c r="N86" s="253"/>
    </row>
    <row r="87" spans="2:16" x14ac:dyDescent="0.3">
      <c r="L87" s="133"/>
      <c r="M87" s="133"/>
      <c r="N87" s="133"/>
      <c r="O87" s="133"/>
      <c r="P87" s="139" t="s">
        <v>131</v>
      </c>
    </row>
    <row r="88" spans="2:16" x14ac:dyDescent="0.3">
      <c r="B88" s="140" t="s">
        <v>123</v>
      </c>
      <c r="D88" s="162">
        <f>B33</f>
        <v>0</v>
      </c>
      <c r="J88" s="162">
        <f>SUM(D88)</f>
        <v>0</v>
      </c>
      <c r="L88" s="163" t="str">
        <f>CONCATENATE("Balance July 1, ",LEFT('LS-Department Note Disclosure'!$B$8,4))</f>
        <v>Balance July 1, 2022</v>
      </c>
      <c r="N88" s="162">
        <f>'LS-Lease Liabilities'!F18</f>
        <v>0</v>
      </c>
      <c r="P88" s="152">
        <f>J88-N88</f>
        <v>0</v>
      </c>
    </row>
    <row r="89" spans="2:16" x14ac:dyDescent="0.3">
      <c r="B89" s="140" t="s">
        <v>125</v>
      </c>
      <c r="D89" s="162">
        <f>D33</f>
        <v>0</v>
      </c>
      <c r="E89" s="164" t="s">
        <v>124</v>
      </c>
      <c r="F89" s="140" t="s">
        <v>129</v>
      </c>
      <c r="H89" s="162">
        <f>$J$33</f>
        <v>0</v>
      </c>
      <c r="J89" s="162">
        <f>SUM(D89,H89)</f>
        <v>0</v>
      </c>
      <c r="L89" s="163" t="s">
        <v>96</v>
      </c>
      <c r="N89" s="162">
        <f>'LS-Lease Liabilities'!H18</f>
        <v>0</v>
      </c>
      <c r="P89" s="152">
        <f t="shared" ref="P89:P91" si="2">J89-N89</f>
        <v>0</v>
      </c>
    </row>
    <row r="90" spans="2:16" x14ac:dyDescent="0.3">
      <c r="B90" s="140" t="s">
        <v>127</v>
      </c>
      <c r="D90" s="162">
        <f>F33</f>
        <v>0</v>
      </c>
      <c r="E90" s="164" t="s">
        <v>124</v>
      </c>
      <c r="F90" s="140" t="s">
        <v>128</v>
      </c>
      <c r="H90" s="162">
        <f>$H$33</f>
        <v>0</v>
      </c>
      <c r="J90" s="162">
        <f>SUM(D90,H90)</f>
        <v>0</v>
      </c>
      <c r="L90" s="163" t="s">
        <v>97</v>
      </c>
      <c r="N90" s="162">
        <f>'LS-Lease Liabilities'!J18</f>
        <v>0</v>
      </c>
      <c r="P90" s="152">
        <f t="shared" si="2"/>
        <v>0</v>
      </c>
    </row>
    <row r="91" spans="2:16" x14ac:dyDescent="0.3">
      <c r="B91" s="140" t="s">
        <v>136</v>
      </c>
      <c r="D91" s="162">
        <f>B57</f>
        <v>0</v>
      </c>
      <c r="J91" s="162">
        <f>SUM(D91)</f>
        <v>0</v>
      </c>
      <c r="L91" s="163" t="s">
        <v>98</v>
      </c>
      <c r="N91" s="162">
        <f>'LS-Lease Liabilities'!N18</f>
        <v>0</v>
      </c>
      <c r="P91" s="152">
        <f t="shared" si="2"/>
        <v>0</v>
      </c>
    </row>
    <row r="92" spans="2:16" x14ac:dyDescent="0.3"/>
    <row r="93" spans="2:16" ht="17.399999999999999" x14ac:dyDescent="0.3">
      <c r="D93" s="154"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B86:H86"/>
    <mergeCell ref="L86:N86"/>
    <mergeCell ref="B47:D47"/>
    <mergeCell ref="B55:D55"/>
    <mergeCell ref="B64:H64"/>
    <mergeCell ref="L64:N64"/>
    <mergeCell ref="B75:H75"/>
    <mergeCell ref="L75:N75"/>
    <mergeCell ref="B40:D40"/>
    <mergeCell ref="A5:Q7"/>
    <mergeCell ref="A8:Q9"/>
    <mergeCell ref="B13:L13"/>
    <mergeCell ref="B21:L21"/>
    <mergeCell ref="B30:L30"/>
  </mergeCells>
  <conditionalFormatting sqref="P16">
    <cfRule type="cellIs" dxfId="29" priority="17" operator="lessThan">
      <formula>0</formula>
    </cfRule>
    <cfRule type="cellIs" dxfId="28" priority="18" operator="greaterThan">
      <formula>0</formula>
    </cfRule>
  </conditionalFormatting>
  <conditionalFormatting sqref="P24">
    <cfRule type="cellIs" dxfId="27" priority="7" operator="lessThan">
      <formula>0</formula>
    </cfRule>
    <cfRule type="cellIs" dxfId="26" priority="8" operator="greaterThan">
      <formula>0</formula>
    </cfRule>
  </conditionalFormatting>
  <conditionalFormatting sqref="P33">
    <cfRule type="cellIs" dxfId="25" priority="15" operator="lessThan">
      <formula>0</formula>
    </cfRule>
    <cfRule type="cellIs" dxfId="24" priority="16" operator="greaterThan">
      <formula>0</formula>
    </cfRule>
  </conditionalFormatting>
  <conditionalFormatting sqref="P42">
    <cfRule type="cellIs" dxfId="23" priority="13" operator="lessThan">
      <formula>0</formula>
    </cfRule>
    <cfRule type="cellIs" dxfId="22" priority="14" operator="greaterThan">
      <formula>0</formula>
    </cfRule>
  </conditionalFormatting>
  <conditionalFormatting sqref="P49">
    <cfRule type="cellIs" dxfId="21" priority="5" operator="lessThan">
      <formula>0</formula>
    </cfRule>
    <cfRule type="cellIs" dxfId="20" priority="6" operator="greaterThan">
      <formula>0</formula>
    </cfRule>
  </conditionalFormatting>
  <conditionalFormatting sqref="P57">
    <cfRule type="cellIs" dxfId="19" priority="11" operator="lessThan">
      <formula>0</formula>
    </cfRule>
    <cfRule type="cellIs" dxfId="18" priority="12" operator="greaterThan">
      <formula>0</formula>
    </cfRule>
  </conditionalFormatting>
  <conditionalFormatting sqref="P66:P69">
    <cfRule type="cellIs" dxfId="17" priority="9" operator="lessThan">
      <formula>0</formula>
    </cfRule>
    <cfRule type="cellIs" dxfId="16" priority="10"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9F0D0-6312-4AAF-B0BB-A510B3D3286B}">
  <sheetPr>
    <tabColor rgb="FF75DBFF"/>
  </sheetPr>
  <dimension ref="A1:V72"/>
  <sheetViews>
    <sheetView tabSelected="1" zoomScale="70" zoomScaleNormal="70" workbookViewId="0">
      <selection activeCell="E5" sqref="E5"/>
    </sheetView>
  </sheetViews>
  <sheetFormatPr defaultColWidth="9.109375" defaultRowHeight="17.399999999999999" customHeight="1" x14ac:dyDescent="0.25"/>
  <cols>
    <col min="1" max="1" width="11.6640625" style="48" customWidth="1"/>
    <col min="2" max="4" width="11" style="48" customWidth="1"/>
    <col min="5" max="5" width="40.33203125" style="48" customWidth="1"/>
    <col min="6" max="8" width="12.33203125" style="48" customWidth="1"/>
    <col min="9" max="9" width="12.33203125" style="180" customWidth="1"/>
    <col min="10" max="10" width="19.6640625" style="48" customWidth="1"/>
    <col min="11" max="11" width="20.109375" style="48" customWidth="1"/>
    <col min="12" max="12" width="3.5546875" style="48" customWidth="1"/>
    <col min="13" max="14" width="17.33203125" style="48" customWidth="1"/>
    <col min="15" max="15" width="3.5546875" style="48" customWidth="1"/>
    <col min="16" max="17" width="17.33203125" style="48" customWidth="1"/>
    <col min="18" max="18" width="3.5546875" style="48" customWidth="1"/>
    <col min="19" max="19" width="17.33203125" style="48" customWidth="1"/>
    <col min="20" max="16384" width="9.109375" style="48"/>
  </cols>
  <sheetData>
    <row r="1" spans="1:19" ht="42.6" customHeight="1" x14ac:dyDescent="0.3">
      <c r="A1" s="227" t="s">
        <v>140</v>
      </c>
      <c r="B1" s="227"/>
      <c r="C1" s="227"/>
      <c r="D1" s="227"/>
      <c r="E1" s="227"/>
      <c r="F1" s="227"/>
      <c r="G1" s="227"/>
      <c r="H1" s="227"/>
      <c r="I1" s="227"/>
      <c r="J1" s="227"/>
      <c r="K1" s="227"/>
      <c r="L1" s="78"/>
      <c r="M1" s="78"/>
      <c r="N1" s="78"/>
      <c r="O1" s="78"/>
      <c r="P1" s="78"/>
      <c r="Q1" s="78"/>
      <c r="R1" s="78"/>
      <c r="S1" s="78"/>
    </row>
    <row r="2" spans="1:19" ht="17.399999999999999" customHeight="1" x14ac:dyDescent="0.3">
      <c r="A2" s="255" t="s">
        <v>1</v>
      </c>
      <c r="B2" s="255"/>
      <c r="C2" s="255"/>
      <c r="D2" s="255"/>
      <c r="E2" s="255"/>
      <c r="F2" s="255"/>
      <c r="G2" s="255"/>
      <c r="H2" s="255"/>
      <c r="I2" s="255"/>
      <c r="J2" s="167"/>
      <c r="L2" s="78"/>
      <c r="M2" s="78"/>
      <c r="N2" s="78"/>
      <c r="O2" s="78"/>
      <c r="P2" s="78"/>
      <c r="Q2" s="78"/>
      <c r="R2" s="78"/>
      <c r="S2" s="78"/>
    </row>
    <row r="3" spans="1:19" ht="17.399999999999999" customHeight="1" x14ac:dyDescent="0.3">
      <c r="A3" s="254" t="s">
        <v>141</v>
      </c>
      <c r="B3" s="254"/>
      <c r="C3" s="254"/>
      <c r="D3" s="254"/>
      <c r="E3" s="168" t="s">
        <v>180</v>
      </c>
      <c r="H3" s="93"/>
      <c r="I3" s="93"/>
      <c r="J3" s="93"/>
      <c r="K3" s="93"/>
      <c r="L3" s="93"/>
      <c r="M3" s="93"/>
      <c r="N3" s="93"/>
      <c r="O3" s="93"/>
      <c r="P3" s="93"/>
      <c r="Q3" s="93"/>
      <c r="R3" s="93"/>
    </row>
    <row r="4" spans="1:19" ht="17.399999999999999" customHeight="1" x14ac:dyDescent="0.3">
      <c r="A4" s="254" t="s">
        <v>4</v>
      </c>
      <c r="B4" s="254"/>
      <c r="C4" s="254"/>
      <c r="D4" s="254"/>
      <c r="E4" s="169" t="s">
        <v>5</v>
      </c>
      <c r="H4" s="93"/>
      <c r="I4" s="93"/>
      <c r="J4" s="93"/>
      <c r="K4" s="93"/>
      <c r="L4" s="93"/>
      <c r="M4" s="93"/>
      <c r="N4" s="93"/>
      <c r="O4" s="93"/>
      <c r="P4" s="93"/>
      <c r="Q4" s="93"/>
      <c r="R4" s="93"/>
    </row>
    <row r="5" spans="1:19" ht="17.399999999999999" customHeight="1" x14ac:dyDescent="0.3">
      <c r="A5" s="254" t="s">
        <v>142</v>
      </c>
      <c r="B5" s="254"/>
      <c r="C5" s="254"/>
      <c r="D5" s="254"/>
      <c r="E5" s="170" t="s">
        <v>7</v>
      </c>
      <c r="H5" s="93"/>
      <c r="I5" s="93"/>
      <c r="J5" s="171"/>
      <c r="K5" s="171"/>
      <c r="L5" s="171"/>
      <c r="M5" s="171"/>
      <c r="N5" s="171"/>
      <c r="O5" s="171"/>
      <c r="P5" s="171"/>
      <c r="Q5" s="93"/>
      <c r="R5" s="93"/>
    </row>
    <row r="6" spans="1:19" ht="17.399999999999999" customHeight="1" x14ac:dyDescent="0.3">
      <c r="A6" s="254" t="s">
        <v>143</v>
      </c>
      <c r="B6" s="254"/>
      <c r="C6" s="254"/>
      <c r="D6" s="254"/>
      <c r="E6" s="169">
        <v>42</v>
      </c>
      <c r="G6" s="171"/>
      <c r="H6" s="171"/>
      <c r="I6" s="171"/>
      <c r="J6" s="171"/>
      <c r="K6" s="171"/>
      <c r="L6" s="171"/>
      <c r="M6" s="171"/>
      <c r="N6" s="171"/>
      <c r="O6" s="171"/>
      <c r="P6" s="171"/>
      <c r="Q6" s="93"/>
      <c r="R6" s="93"/>
    </row>
    <row r="7" spans="1:19" ht="17.399999999999999" customHeight="1" x14ac:dyDescent="0.3">
      <c r="A7" s="254" t="s">
        <v>9</v>
      </c>
      <c r="B7" s="254"/>
      <c r="C7" s="254"/>
      <c r="D7" s="254"/>
      <c r="E7" s="224" t="s">
        <v>181</v>
      </c>
      <c r="G7" s="171"/>
      <c r="H7" s="171"/>
      <c r="I7" s="171"/>
      <c r="J7" s="171"/>
      <c r="K7" s="171"/>
      <c r="L7" s="171"/>
      <c r="M7" s="171"/>
      <c r="N7" s="171"/>
      <c r="O7" s="171"/>
      <c r="P7" s="171"/>
      <c r="Q7" s="93"/>
      <c r="R7" s="93"/>
    </row>
    <row r="8" spans="1:19" ht="17.399999999999999" customHeight="1" x14ac:dyDescent="0.3">
      <c r="A8" s="254" t="s">
        <v>11</v>
      </c>
      <c r="B8" s="254"/>
      <c r="C8" s="254"/>
      <c r="D8" s="254"/>
      <c r="E8" s="224" t="s">
        <v>182</v>
      </c>
      <c r="G8" s="171"/>
      <c r="H8" s="171"/>
      <c r="I8" s="171"/>
      <c r="J8" s="171"/>
      <c r="K8" s="171"/>
      <c r="L8" s="171"/>
      <c r="M8" s="171"/>
      <c r="N8" s="171"/>
      <c r="O8" s="171"/>
      <c r="P8" s="171"/>
      <c r="Q8" s="93"/>
      <c r="R8" s="93"/>
    </row>
    <row r="9" spans="1:19" ht="17.399999999999999" customHeight="1" x14ac:dyDescent="0.3">
      <c r="A9" s="172"/>
      <c r="B9" s="172"/>
      <c r="C9" s="172"/>
      <c r="D9" s="172"/>
      <c r="E9" s="173"/>
      <c r="G9" s="93"/>
      <c r="H9" s="93"/>
      <c r="I9" s="93"/>
      <c r="J9" s="172"/>
      <c r="K9" s="174"/>
      <c r="L9" s="174"/>
      <c r="M9" s="174"/>
      <c r="N9" s="175"/>
      <c r="O9" s="175"/>
      <c r="P9" s="93"/>
      <c r="Q9" s="93"/>
    </row>
    <row r="10" spans="1:19" ht="17.399999999999999" customHeight="1" x14ac:dyDescent="0.3">
      <c r="A10" s="172"/>
      <c r="B10" s="172"/>
      <c r="C10" s="172"/>
      <c r="D10" s="172"/>
      <c r="E10" s="173"/>
      <c r="G10" s="93"/>
      <c r="H10" s="93"/>
      <c r="I10" s="93"/>
      <c r="J10" s="172"/>
      <c r="K10" s="174"/>
      <c r="L10" s="174"/>
      <c r="M10" s="174"/>
      <c r="N10" s="175"/>
      <c r="O10" s="175"/>
      <c r="P10" s="93"/>
      <c r="Q10" s="93"/>
    </row>
    <row r="11" spans="1:19" s="16" customFormat="1" ht="21" customHeight="1" x14ac:dyDescent="0.4">
      <c r="A11" s="10" t="s">
        <v>14</v>
      </c>
      <c r="B11" s="11"/>
      <c r="C11" s="12"/>
      <c r="D11" s="12"/>
      <c r="E11" s="12"/>
      <c r="F11" s="13"/>
      <c r="G11" s="13"/>
      <c r="H11" s="14"/>
      <c r="I11" s="14"/>
      <c r="J11" s="13"/>
      <c r="K11" s="13"/>
      <c r="L11" s="5"/>
      <c r="M11" s="5"/>
      <c r="N11" s="15"/>
      <c r="O11" s="15"/>
      <c r="P11" s="15"/>
    </row>
    <row r="12" spans="1:19" ht="17.399999999999999" customHeight="1" x14ac:dyDescent="0.3">
      <c r="A12" s="68" t="s">
        <v>15</v>
      </c>
      <c r="B12" s="172"/>
      <c r="C12" s="176"/>
      <c r="D12" s="176"/>
      <c r="E12" s="176"/>
      <c r="F12" s="176"/>
      <c r="G12" s="176"/>
      <c r="H12" s="176"/>
      <c r="I12" s="176"/>
      <c r="J12" s="172"/>
      <c r="K12" s="174"/>
      <c r="L12" s="174"/>
      <c r="M12" s="174"/>
      <c r="N12" s="175"/>
      <c r="O12" s="175"/>
      <c r="P12" s="93"/>
      <c r="Q12" s="93"/>
    </row>
    <row r="13" spans="1:19" s="64" customFormat="1" ht="17.399999999999999" customHeight="1" x14ac:dyDescent="0.35">
      <c r="A13" s="63">
        <v>0</v>
      </c>
      <c r="B13" s="18" t="s">
        <v>144</v>
      </c>
      <c r="C13" s="177"/>
      <c r="D13" s="177"/>
      <c r="E13" s="177"/>
      <c r="F13" s="177"/>
      <c r="G13" s="177"/>
      <c r="H13" s="177"/>
      <c r="I13" s="177"/>
      <c r="J13" s="178"/>
      <c r="M13" s="231" t="s">
        <v>145</v>
      </c>
      <c r="N13" s="232"/>
      <c r="O13" s="19"/>
      <c r="P13" s="231" t="s">
        <v>18</v>
      </c>
      <c r="Q13" s="232"/>
      <c r="R13" s="19"/>
      <c r="S13" s="29" t="s">
        <v>19</v>
      </c>
    </row>
    <row r="14" spans="1:19" ht="17.399999999999999" customHeight="1" x14ac:dyDescent="0.25">
      <c r="B14" s="66" t="s">
        <v>146</v>
      </c>
      <c r="C14" s="1"/>
      <c r="D14" s="1"/>
      <c r="E14" s="1"/>
      <c r="F14" s="1"/>
      <c r="G14" s="1"/>
      <c r="H14" s="1"/>
      <c r="I14" s="1"/>
      <c r="J14" s="35">
        <f>M14</f>
        <v>19915320</v>
      </c>
      <c r="K14" s="2"/>
      <c r="L14" s="2"/>
      <c r="M14" s="36">
        <v>19915320</v>
      </c>
      <c r="N14" s="2"/>
      <c r="O14" s="2"/>
      <c r="P14" s="36">
        <v>19915319</v>
      </c>
      <c r="Q14" s="37"/>
      <c r="R14" s="2"/>
      <c r="S14" s="38">
        <f>P14-M14</f>
        <v>-1</v>
      </c>
    </row>
    <row r="15" spans="1:19" ht="17.399999999999999" customHeight="1" x14ac:dyDescent="0.25">
      <c r="A15" s="68"/>
      <c r="B15" s="66" t="s">
        <v>24</v>
      </c>
      <c r="C15" s="1"/>
      <c r="D15" s="1"/>
      <c r="E15" s="1"/>
      <c r="F15" s="1"/>
      <c r="G15" s="1"/>
      <c r="H15" s="1"/>
      <c r="I15" s="1"/>
      <c r="J15" s="35">
        <f>P15</f>
        <v>0</v>
      </c>
      <c r="K15" s="2"/>
      <c r="L15" s="2"/>
      <c r="M15" s="36"/>
      <c r="N15" s="2"/>
      <c r="O15" s="2"/>
      <c r="P15" s="40">
        <f>IF(SUM($Q$17)&gt;SUM($P$14),SUM($Q$17)-SUM($P$14),0)</f>
        <v>0</v>
      </c>
      <c r="Q15" s="37"/>
      <c r="R15" s="2"/>
      <c r="S15" s="38">
        <f>P15-M15</f>
        <v>0</v>
      </c>
    </row>
    <row r="16" spans="1:19" ht="17.399999999999999" customHeight="1" x14ac:dyDescent="0.25">
      <c r="A16" s="68"/>
      <c r="B16" s="66" t="s">
        <v>25</v>
      </c>
      <c r="C16" s="1"/>
      <c r="D16" s="1"/>
      <c r="E16" s="1"/>
      <c r="F16" s="1"/>
      <c r="G16" s="1"/>
      <c r="H16" s="1"/>
      <c r="I16" s="1"/>
      <c r="J16" s="35">
        <f>IF(SUM($K$17:$K$18)&gt;SUM($J$14:$J$15),SUM($K$17:$K$18)-SUM($J$14:$J$15),0)</f>
        <v>0</v>
      </c>
      <c r="K16" s="2"/>
      <c r="L16" s="2"/>
      <c r="M16" s="36"/>
      <c r="N16" s="2"/>
      <c r="O16" s="2"/>
      <c r="P16" s="37"/>
      <c r="Q16" s="37"/>
      <c r="R16" s="2"/>
      <c r="S16" s="38">
        <f>P16-M16</f>
        <v>0</v>
      </c>
    </row>
    <row r="17" spans="1:22" ht="17.399999999999999" customHeight="1" x14ac:dyDescent="0.25">
      <c r="A17" s="68"/>
      <c r="B17" s="1"/>
      <c r="C17" s="66" t="s">
        <v>147</v>
      </c>
      <c r="D17" s="1"/>
      <c r="E17" s="1"/>
      <c r="F17" s="1"/>
      <c r="G17" s="1"/>
      <c r="H17" s="1"/>
      <c r="I17" s="1"/>
      <c r="J17" s="66"/>
      <c r="K17" s="35">
        <f>N17</f>
        <v>19819534.159545548</v>
      </c>
      <c r="L17" s="2"/>
      <c r="M17" s="2"/>
      <c r="N17" s="36">
        <v>19819534.159545548</v>
      </c>
      <c r="O17" s="2"/>
      <c r="P17" s="37"/>
      <c r="Q17" s="36">
        <v>19819534</v>
      </c>
      <c r="R17" s="2"/>
      <c r="S17" s="38">
        <f t="shared" ref="S17:S19" si="0">Q17-N17</f>
        <v>-0.15954554826021194</v>
      </c>
    </row>
    <row r="18" spans="1:22" ht="17.399999999999999" customHeight="1" x14ac:dyDescent="0.25">
      <c r="A18" s="68"/>
      <c r="B18" s="1"/>
      <c r="C18" s="66" t="s">
        <v>24</v>
      </c>
      <c r="D18" s="1"/>
      <c r="E18" s="1"/>
      <c r="F18" s="1"/>
      <c r="G18" s="1"/>
      <c r="H18" s="1"/>
      <c r="I18" s="1"/>
      <c r="J18" s="66"/>
      <c r="K18" s="35">
        <f>Q18</f>
        <v>95785</v>
      </c>
      <c r="L18" s="2"/>
      <c r="M18" s="2"/>
      <c r="N18" s="36">
        <v>95785.416262530227</v>
      </c>
      <c r="O18" s="2"/>
      <c r="P18" s="37"/>
      <c r="Q18" s="40">
        <f>IF(SUM($Q$17)&lt;SUM($P$14),-SUM($Q$17)+SUM($P$14),0)</f>
        <v>95785</v>
      </c>
      <c r="R18" s="2"/>
      <c r="S18" s="38">
        <f t="shared" si="0"/>
        <v>-0.41626253022695892</v>
      </c>
    </row>
    <row r="19" spans="1:22" ht="17.399999999999999" customHeight="1" x14ac:dyDescent="0.25">
      <c r="A19" s="68"/>
      <c r="B19" s="1"/>
      <c r="C19" s="66" t="s">
        <v>25</v>
      </c>
      <c r="D19" s="1"/>
      <c r="E19" s="1"/>
      <c r="F19" s="1"/>
      <c r="G19" s="1"/>
      <c r="H19" s="1"/>
      <c r="I19" s="1"/>
      <c r="J19" s="66"/>
      <c r="K19" s="35">
        <f>IF(SUM($K$17:$K$18)&lt;SUM($J$14:$J$15),-SUM($K$17:$K$18)+SUM($J$14:$J$15),0)</f>
        <v>0.84045445173978806</v>
      </c>
      <c r="L19" s="2"/>
      <c r="M19" s="2"/>
      <c r="N19" s="36"/>
      <c r="O19" s="2"/>
      <c r="P19" s="37"/>
      <c r="Q19" s="37"/>
      <c r="R19" s="2"/>
      <c r="S19" s="38">
        <f t="shared" si="0"/>
        <v>0</v>
      </c>
    </row>
    <row r="20" spans="1:22" ht="17.399999999999999" customHeight="1" x14ac:dyDescent="0.25">
      <c r="A20" s="68"/>
      <c r="C20" s="179"/>
      <c r="D20" s="176"/>
      <c r="E20" s="176"/>
      <c r="F20" s="176"/>
      <c r="G20" s="176"/>
      <c r="H20" s="176"/>
      <c r="I20" s="176"/>
      <c r="J20" s="180">
        <f>SUM(J14:J19)</f>
        <v>19915320</v>
      </c>
      <c r="K20" s="180">
        <f>SUM(K14:K19)</f>
        <v>19915320</v>
      </c>
      <c r="L20" s="47" t="str">
        <f>IF(J20=K20,"&lt;- Debits and Credits equal each other.","&lt;- Debits and Credits do not equal each other.")</f>
        <v>&lt;- Debits and Credits equal each other.</v>
      </c>
      <c r="M20" s="174"/>
      <c r="N20" s="175"/>
      <c r="O20" s="175"/>
      <c r="P20" s="93"/>
      <c r="Q20" s="93"/>
    </row>
    <row r="21" spans="1:22" ht="17.399999999999999" customHeight="1" x14ac:dyDescent="0.3">
      <c r="A21" s="172"/>
      <c r="B21" s="172"/>
      <c r="C21" s="172"/>
      <c r="D21" s="172"/>
      <c r="E21" s="173"/>
      <c r="G21" s="93"/>
      <c r="H21" s="93"/>
      <c r="I21" s="93"/>
      <c r="J21" s="172"/>
      <c r="K21" s="174"/>
      <c r="L21" s="174"/>
      <c r="M21" s="174"/>
      <c r="N21" s="175"/>
      <c r="O21" s="175"/>
      <c r="P21" s="93"/>
      <c r="Q21" s="93"/>
    </row>
    <row r="22" spans="1:22" s="16" customFormat="1" ht="21" customHeight="1" x14ac:dyDescent="0.4">
      <c r="A22" s="10" t="s">
        <v>35</v>
      </c>
      <c r="B22" s="11"/>
      <c r="C22" s="12"/>
      <c r="D22" s="12"/>
      <c r="E22" s="12"/>
      <c r="F22" s="13"/>
      <c r="G22" s="13"/>
      <c r="H22" s="14"/>
      <c r="I22" s="14"/>
      <c r="J22" s="13"/>
      <c r="K22" s="13"/>
      <c r="L22" s="5"/>
      <c r="M22" s="5"/>
      <c r="N22" s="15"/>
      <c r="O22" s="15"/>
      <c r="P22" s="15"/>
    </row>
    <row r="23" spans="1:22" s="64" customFormat="1" ht="17.399999999999999" customHeight="1" x14ac:dyDescent="0.35">
      <c r="A23" s="63">
        <v>1</v>
      </c>
      <c r="B23" s="18" t="s">
        <v>148</v>
      </c>
      <c r="C23" s="181"/>
      <c r="D23" s="181"/>
      <c r="E23" s="181"/>
      <c r="F23" s="182"/>
      <c r="G23" s="183"/>
      <c r="H23" s="183"/>
      <c r="I23" s="184"/>
      <c r="J23" s="183"/>
      <c r="K23" s="183"/>
      <c r="L23" s="183"/>
      <c r="M23" s="183"/>
      <c r="R23" s="185"/>
      <c r="S23" s="185"/>
      <c r="T23" s="183"/>
      <c r="U23" s="183"/>
    </row>
    <row r="24" spans="1:22" ht="17.399999999999999" customHeight="1" x14ac:dyDescent="0.25">
      <c r="B24" s="66" t="s">
        <v>146</v>
      </c>
      <c r="C24" s="66"/>
      <c r="D24" s="66"/>
      <c r="E24" s="66"/>
      <c r="F24" s="41"/>
      <c r="G24" s="41"/>
      <c r="H24" s="186"/>
      <c r="I24" s="67"/>
      <c r="J24" s="36">
        <v>0</v>
      </c>
      <c r="K24" s="41"/>
      <c r="L24" s="174"/>
      <c r="N24" s="187"/>
      <c r="O24" s="179"/>
      <c r="P24" s="174"/>
      <c r="Q24" s="174"/>
      <c r="R24" s="175"/>
      <c r="S24" s="175"/>
    </row>
    <row r="25" spans="1:22" ht="17.399999999999999" customHeight="1" x14ac:dyDescent="0.3">
      <c r="B25" s="66"/>
      <c r="C25" s="66" t="s">
        <v>147</v>
      </c>
      <c r="D25" s="66"/>
      <c r="E25" s="66"/>
      <c r="F25" s="41"/>
      <c r="G25" s="41"/>
      <c r="H25" s="186"/>
      <c r="I25" s="67"/>
      <c r="J25" s="41"/>
      <c r="K25" s="36">
        <v>0</v>
      </c>
      <c r="M25" s="188"/>
      <c r="N25" s="189"/>
      <c r="O25" s="174"/>
      <c r="P25" s="174"/>
      <c r="Q25" s="174"/>
      <c r="R25" s="175"/>
      <c r="S25" s="175"/>
    </row>
    <row r="26" spans="1:22" ht="17.399999999999999" customHeight="1" x14ac:dyDescent="0.3">
      <c r="A26" s="68"/>
      <c r="C26" s="66"/>
      <c r="D26" s="174"/>
      <c r="E26" s="174"/>
      <c r="F26" s="175"/>
      <c r="G26" s="175"/>
      <c r="H26" s="190"/>
      <c r="J26" s="180">
        <f>J24</f>
        <v>0</v>
      </c>
      <c r="K26" s="191">
        <f>K25</f>
        <v>0</v>
      </c>
      <c r="L26" s="47" t="str">
        <f>IF(J26=K26,"&lt;- Debits and Credits equal each other.","&lt;- Debits and Credits do not equal each other.")</f>
        <v>&lt;- Debits and Credits equal each other.</v>
      </c>
      <c r="M26" s="188"/>
    </row>
    <row r="27" spans="1:22" ht="17.399999999999999" customHeight="1" x14ac:dyDescent="0.25">
      <c r="A27" s="68"/>
    </row>
    <row r="28" spans="1:22" s="16" customFormat="1" ht="21" customHeight="1" x14ac:dyDescent="0.4">
      <c r="A28" s="10" t="s">
        <v>45</v>
      </c>
      <c r="B28" s="11"/>
      <c r="C28" s="12"/>
      <c r="D28" s="12"/>
      <c r="E28" s="12"/>
      <c r="F28" s="13"/>
      <c r="G28" s="13"/>
      <c r="H28" s="14"/>
      <c r="I28" s="14"/>
      <c r="J28" s="13"/>
      <c r="K28" s="13"/>
      <c r="L28" s="5"/>
      <c r="M28" s="5"/>
      <c r="N28" s="15"/>
      <c r="O28" s="15"/>
      <c r="P28" s="15"/>
    </row>
    <row r="29" spans="1:22" s="64" customFormat="1" ht="17.399999999999999" customHeight="1" x14ac:dyDescent="0.35">
      <c r="A29" s="63">
        <v>2</v>
      </c>
      <c r="B29" s="18" t="s">
        <v>149</v>
      </c>
      <c r="O29" s="257"/>
      <c r="P29" s="257"/>
      <c r="Q29" s="257"/>
      <c r="R29" s="257"/>
      <c r="S29" s="257"/>
      <c r="T29" s="257"/>
      <c r="U29" s="257"/>
      <c r="V29" s="257"/>
    </row>
    <row r="30" spans="1:22" ht="17.399999999999999" customHeight="1" x14ac:dyDescent="0.25">
      <c r="B30" s="258" t="str">
        <f>IF($E$7="Governmental","Dr: Acct 0775 - OTHER INCOME","Dr: Acct 0755 - SALES &amp; SERVICES")</f>
        <v>Dr: Acct 0755 - SALES &amp; SERVICES</v>
      </c>
      <c r="C30" s="258"/>
      <c r="D30" s="258"/>
      <c r="E30" s="258"/>
      <c r="F30" s="258"/>
      <c r="G30" s="258"/>
      <c r="H30" s="258"/>
      <c r="I30" s="258"/>
      <c r="J30" s="36">
        <v>2785837.08</v>
      </c>
      <c r="K30" s="192"/>
      <c r="L30" s="174"/>
      <c r="N30" s="193"/>
      <c r="O30" s="174"/>
      <c r="P30" s="179"/>
      <c r="Q30" s="174"/>
      <c r="R30" s="174"/>
      <c r="S30" s="174"/>
      <c r="T30" s="174"/>
      <c r="U30" s="174"/>
      <c r="V30" s="174"/>
    </row>
    <row r="31" spans="1:22" ht="17.399999999999999" customHeight="1" x14ac:dyDescent="0.3">
      <c r="A31" s="68"/>
      <c r="B31" s="194"/>
      <c r="C31" s="66" t="s">
        <v>150</v>
      </c>
      <c r="D31" s="66"/>
      <c r="E31" s="66"/>
      <c r="F31" s="66"/>
      <c r="G31" s="194"/>
      <c r="H31" s="194"/>
      <c r="I31" s="194"/>
      <c r="J31" s="192"/>
      <c r="K31" s="36">
        <v>2618690.007091132</v>
      </c>
      <c r="M31" s="188"/>
      <c r="N31" s="193"/>
      <c r="O31" s="174"/>
      <c r="P31" s="179"/>
      <c r="Q31" s="174"/>
      <c r="R31" s="174"/>
      <c r="S31" s="174"/>
      <c r="T31" s="174"/>
      <c r="U31" s="174"/>
      <c r="V31" s="174"/>
    </row>
    <row r="32" spans="1:22" ht="17.399999999999999" customHeight="1" x14ac:dyDescent="0.3">
      <c r="B32" s="66"/>
      <c r="C32" s="66" t="str">
        <f>IF($E$7="Governmental","Cr: Acct 0740 - INTEREST INCOME","Cr: Acct 0765 - INVESTMENT AND INTEREST")</f>
        <v>Cr: Acct 0765 - INVESTMENT AND INTEREST</v>
      </c>
      <c r="D32" s="66"/>
      <c r="E32" s="66"/>
      <c r="F32" s="66"/>
      <c r="G32" s="66"/>
      <c r="H32" s="66"/>
      <c r="I32" s="66"/>
      <c r="J32" s="192"/>
      <c r="K32" s="36">
        <v>167147.07290886788</v>
      </c>
      <c r="N32" s="193"/>
      <c r="O32" s="195"/>
    </row>
    <row r="33" spans="1:22" ht="17.399999999999999" customHeight="1" x14ac:dyDescent="0.35">
      <c r="A33" s="68"/>
      <c r="C33" s="196"/>
      <c r="D33" s="196"/>
      <c r="E33" s="196"/>
      <c r="F33" s="196"/>
      <c r="G33" s="196"/>
      <c r="H33" s="196"/>
      <c r="I33" s="196"/>
      <c r="J33" s="191">
        <f>J30</f>
        <v>2785837.08</v>
      </c>
      <c r="K33" s="197">
        <f>SUM(K31:K32)</f>
        <v>2785837.08</v>
      </c>
      <c r="L33" s="47" t="str">
        <f>IF(J33=K33,"&lt;- Debits and Credits equal each other.","&lt;- Debits and Credits do not equal each other.")</f>
        <v>&lt;- Debits and Credits equal each other.</v>
      </c>
      <c r="M33" s="188"/>
      <c r="O33" s="174"/>
      <c r="P33" s="179"/>
      <c r="Q33" s="174"/>
      <c r="R33" s="174"/>
      <c r="S33" s="174"/>
      <c r="T33" s="174"/>
      <c r="U33" s="174"/>
      <c r="V33" s="174"/>
    </row>
    <row r="34" spans="1:22" ht="17.399999999999999" customHeight="1" x14ac:dyDescent="0.35">
      <c r="A34" s="68"/>
      <c r="C34" s="196"/>
      <c r="D34" s="196"/>
      <c r="E34" s="196"/>
      <c r="F34" s="196"/>
      <c r="G34" s="196"/>
      <c r="H34" s="196"/>
      <c r="I34" s="196"/>
      <c r="J34" s="191"/>
      <c r="K34" s="197"/>
      <c r="L34" s="47"/>
      <c r="M34" s="188"/>
      <c r="O34" s="174"/>
      <c r="P34" s="179"/>
      <c r="Q34" s="174"/>
      <c r="R34" s="174"/>
      <c r="S34" s="174"/>
      <c r="T34" s="174"/>
      <c r="U34" s="174"/>
      <c r="V34" s="174"/>
    </row>
    <row r="35" spans="1:22" ht="17.399999999999999" customHeight="1" x14ac:dyDescent="0.35">
      <c r="A35" s="63">
        <v>3</v>
      </c>
      <c r="B35" s="18" t="s">
        <v>151</v>
      </c>
      <c r="C35" s="66"/>
      <c r="D35" s="174"/>
      <c r="E35" s="174"/>
      <c r="F35" s="174"/>
      <c r="G35" s="174"/>
      <c r="H35" s="174"/>
      <c r="I35" s="48"/>
      <c r="J35" s="174"/>
      <c r="K35" s="191"/>
      <c r="L35" s="174"/>
      <c r="O35" s="193"/>
      <c r="R35" s="174"/>
      <c r="S35" s="174"/>
      <c r="T35" s="174"/>
      <c r="U35" s="174"/>
      <c r="V35" s="174"/>
    </row>
    <row r="36" spans="1:22" ht="17.399999999999999" customHeight="1" x14ac:dyDescent="0.3">
      <c r="B36" s="248" t="s">
        <v>152</v>
      </c>
      <c r="C36" s="248" t="s">
        <v>147</v>
      </c>
      <c r="D36" s="248" t="s">
        <v>147</v>
      </c>
      <c r="E36" s="248" t="s">
        <v>147</v>
      </c>
      <c r="F36" s="66"/>
      <c r="G36" s="66"/>
      <c r="H36" s="66"/>
      <c r="I36" s="66"/>
      <c r="J36" s="36">
        <v>2682353.1651036353</v>
      </c>
      <c r="K36" s="192"/>
      <c r="M36" s="188"/>
      <c r="R36" s="174"/>
      <c r="S36" s="174"/>
      <c r="T36" s="174"/>
      <c r="U36" s="174"/>
      <c r="V36" s="174"/>
    </row>
    <row r="37" spans="1:22" ht="17.399999999999999" customHeight="1" x14ac:dyDescent="0.25">
      <c r="A37" s="68"/>
      <c r="B37" s="66"/>
      <c r="C37" s="66" t="str">
        <f>IF($E$7="Governmental","Cr: Acct 0775 - OTHER INCOME","Cr: Acct 0778 - RENT")</f>
        <v>Cr: Acct 0778 - RENT</v>
      </c>
      <c r="D37" s="66"/>
      <c r="E37" s="66"/>
      <c r="F37" s="66"/>
      <c r="G37" s="66"/>
      <c r="H37" s="66"/>
      <c r="I37" s="66"/>
      <c r="J37" s="192"/>
      <c r="K37" s="36">
        <v>2682353.1651036353</v>
      </c>
      <c r="R37" s="174"/>
      <c r="S37" s="174"/>
      <c r="T37" s="174"/>
      <c r="U37" s="174"/>
      <c r="V37" s="174"/>
    </row>
    <row r="38" spans="1:22" ht="17.399999999999999" customHeight="1" x14ac:dyDescent="0.25">
      <c r="A38" s="68"/>
      <c r="C38" s="179"/>
      <c r="D38" s="174"/>
      <c r="E38" s="174"/>
      <c r="F38" s="174"/>
      <c r="G38" s="174"/>
      <c r="H38" s="174"/>
      <c r="I38" s="48"/>
      <c r="J38" s="197">
        <f>J36</f>
        <v>2682353.1651036353</v>
      </c>
      <c r="K38" s="191">
        <f>K37</f>
        <v>2682353.1651036353</v>
      </c>
      <c r="L38" s="47" t="str">
        <f>IF(J38=K38,"&lt;- Debits and Credits equal each other.","&lt;- Debits and Credits do not equal each other.")</f>
        <v>&lt;- Debits and Credits equal each other.</v>
      </c>
      <c r="R38" s="174"/>
      <c r="S38" s="174"/>
      <c r="T38" s="174"/>
      <c r="U38" s="174"/>
      <c r="V38" s="174"/>
    </row>
    <row r="39" spans="1:22" ht="17.399999999999999" customHeight="1" x14ac:dyDescent="0.25">
      <c r="A39" s="68"/>
      <c r="C39" s="179"/>
      <c r="D39" s="174"/>
      <c r="E39" s="174"/>
      <c r="F39" s="174"/>
      <c r="G39" s="174"/>
      <c r="H39" s="174"/>
      <c r="I39" s="48"/>
      <c r="J39" s="197"/>
      <c r="K39" s="191"/>
      <c r="L39" s="47"/>
      <c r="R39" s="174"/>
      <c r="S39" s="174"/>
      <c r="T39" s="174"/>
      <c r="U39" s="174"/>
      <c r="V39" s="174"/>
    </row>
    <row r="40" spans="1:22" s="64" customFormat="1" ht="17.399999999999999" customHeight="1" x14ac:dyDescent="0.35">
      <c r="A40" s="63">
        <v>4</v>
      </c>
      <c r="B40" s="18" t="s">
        <v>153</v>
      </c>
      <c r="K40" s="198"/>
    </row>
    <row r="41" spans="1:22" ht="17.399999999999999" customHeight="1" x14ac:dyDescent="0.25">
      <c r="B41" s="248" t="s">
        <v>154</v>
      </c>
      <c r="C41" s="248"/>
      <c r="D41" s="248"/>
      <c r="E41" s="248"/>
      <c r="F41" s="66"/>
      <c r="G41" s="66"/>
      <c r="H41" s="66"/>
      <c r="I41" s="66"/>
      <c r="J41" s="36">
        <v>2641656.9889718071</v>
      </c>
      <c r="K41" s="192"/>
      <c r="L41" s="174"/>
      <c r="R41" s="174"/>
      <c r="S41" s="174"/>
      <c r="T41" s="174"/>
      <c r="U41" s="174"/>
      <c r="V41" s="174"/>
    </row>
    <row r="42" spans="1:22" ht="17.399999999999999" customHeight="1" x14ac:dyDescent="0.25">
      <c r="A42" s="68"/>
      <c r="B42" s="66"/>
      <c r="C42" s="248" t="s">
        <v>150</v>
      </c>
      <c r="D42" s="248" t="s">
        <v>155</v>
      </c>
      <c r="E42" s="248" t="s">
        <v>155</v>
      </c>
      <c r="F42" s="66"/>
      <c r="G42" s="66"/>
      <c r="H42" s="66"/>
      <c r="I42" s="66"/>
      <c r="J42" s="192"/>
      <c r="K42" s="36">
        <v>2641656.9889718071</v>
      </c>
      <c r="O42" s="174"/>
      <c r="P42" s="174"/>
      <c r="Q42" s="174"/>
      <c r="R42" s="174"/>
      <c r="S42" s="174"/>
      <c r="T42" s="174"/>
      <c r="U42" s="174"/>
      <c r="V42" s="174"/>
    </row>
    <row r="43" spans="1:22" ht="17.399999999999999" customHeight="1" x14ac:dyDescent="0.3">
      <c r="A43" s="68"/>
      <c r="B43" s="256" t="s">
        <v>156</v>
      </c>
      <c r="C43" s="256"/>
      <c r="D43" s="256"/>
      <c r="E43" s="256"/>
      <c r="F43" s="256"/>
      <c r="G43" s="256"/>
      <c r="H43" s="256"/>
      <c r="I43" s="256"/>
      <c r="J43" s="197">
        <f>J41</f>
        <v>2641656.9889718071</v>
      </c>
      <c r="K43" s="191">
        <f>K42</f>
        <v>2641656.9889718071</v>
      </c>
      <c r="L43" s="47" t="str">
        <f>IF(J43=K43,"&lt;- Debits and Credits equal each other.","&lt;- Debits and Credits do not equal each other.")</f>
        <v>&lt;- Debits and Credits equal each other.</v>
      </c>
      <c r="M43" s="188"/>
    </row>
    <row r="44" spans="1:22" ht="17.399999999999999" customHeight="1" x14ac:dyDescent="0.3">
      <c r="A44" s="68"/>
      <c r="B44" s="256"/>
      <c r="C44" s="256"/>
      <c r="D44" s="256"/>
      <c r="E44" s="256"/>
      <c r="F44" s="256"/>
      <c r="G44" s="256"/>
      <c r="H44" s="256"/>
      <c r="I44" s="256"/>
      <c r="K44" s="199"/>
      <c r="L44" s="174"/>
      <c r="M44" s="188"/>
      <c r="O44" s="200"/>
    </row>
    <row r="45" spans="1:22" ht="17.399999999999999" customHeight="1" x14ac:dyDescent="0.3">
      <c r="A45" s="68"/>
      <c r="B45" s="256"/>
      <c r="C45" s="256"/>
      <c r="D45" s="256"/>
      <c r="E45" s="256"/>
      <c r="F45" s="256"/>
      <c r="G45" s="256"/>
      <c r="H45" s="256"/>
      <c r="I45" s="256"/>
      <c r="K45" s="199"/>
      <c r="M45" s="188"/>
      <c r="O45" s="200"/>
    </row>
    <row r="46" spans="1:22" ht="17.399999999999999" customHeight="1" x14ac:dyDescent="0.3">
      <c r="A46" s="68"/>
      <c r="B46" s="201"/>
      <c r="C46" s="174"/>
      <c r="K46" s="199"/>
      <c r="M46" s="188"/>
      <c r="O46" s="200"/>
    </row>
    <row r="47" spans="1:22" s="16" customFormat="1" ht="21" customHeight="1" x14ac:dyDescent="0.4">
      <c r="A47" s="10" t="s">
        <v>67</v>
      </c>
      <c r="B47" s="11"/>
      <c r="C47" s="12"/>
      <c r="D47" s="12"/>
      <c r="E47" s="12"/>
      <c r="F47" s="13"/>
      <c r="G47" s="13"/>
      <c r="H47" s="14"/>
      <c r="I47" s="14"/>
      <c r="J47" s="13"/>
      <c r="K47" s="13"/>
      <c r="L47" s="5"/>
      <c r="M47" s="5"/>
      <c r="N47" s="15"/>
      <c r="O47" s="15"/>
      <c r="P47" s="15"/>
    </row>
    <row r="48" spans="1:22" ht="17.399999999999999" customHeight="1" x14ac:dyDescent="0.35">
      <c r="A48" s="63">
        <v>5</v>
      </c>
      <c r="B48" s="18" t="s">
        <v>157</v>
      </c>
      <c r="F48" s="174"/>
      <c r="G48" s="174"/>
      <c r="H48" s="174"/>
      <c r="I48" s="48"/>
      <c r="J48" s="202"/>
      <c r="K48" s="203"/>
      <c r="M48" s="188"/>
    </row>
    <row r="49" spans="1:15" ht="17.399999999999999" customHeight="1" x14ac:dyDescent="0.3">
      <c r="B49" s="66" t="s">
        <v>152</v>
      </c>
      <c r="C49" s="31"/>
      <c r="D49" s="66"/>
      <c r="E49" s="66"/>
      <c r="F49" s="66"/>
      <c r="G49" s="66"/>
      <c r="H49" s="66"/>
      <c r="I49" s="66"/>
      <c r="J49" s="36"/>
      <c r="K49" s="172"/>
    </row>
    <row r="50" spans="1:15" ht="17.399999999999999" customHeight="1" x14ac:dyDescent="0.25">
      <c r="A50" s="68"/>
      <c r="B50" s="66" t="s">
        <v>158</v>
      </c>
      <c r="C50" s="66"/>
      <c r="D50" s="66"/>
      <c r="E50" s="66"/>
      <c r="F50" s="66"/>
      <c r="G50" s="66"/>
      <c r="H50" s="66"/>
      <c r="I50" s="67"/>
      <c r="J50" s="36"/>
      <c r="K50" s="66"/>
      <c r="O50" s="200"/>
    </row>
    <row r="51" spans="1:15" ht="17.399999999999999" customHeight="1" x14ac:dyDescent="0.25">
      <c r="A51" s="68"/>
      <c r="B51" s="248" t="s">
        <v>159</v>
      </c>
      <c r="C51" s="248" t="s">
        <v>160</v>
      </c>
      <c r="D51" s="248" t="s">
        <v>160</v>
      </c>
      <c r="E51" s="66"/>
      <c r="F51" s="66"/>
      <c r="G51" s="66"/>
      <c r="H51" s="66"/>
      <c r="I51" s="67"/>
      <c r="J51" s="36"/>
      <c r="K51" s="66"/>
      <c r="O51" s="200"/>
    </row>
    <row r="52" spans="1:15" ht="17.399999999999999" customHeight="1" x14ac:dyDescent="0.25">
      <c r="A52" s="68"/>
      <c r="B52" s="82"/>
      <c r="C52" s="82" t="s">
        <v>150</v>
      </c>
      <c r="D52" s="82"/>
      <c r="E52" s="66"/>
      <c r="F52" s="66"/>
      <c r="G52" s="66"/>
      <c r="H52" s="66"/>
      <c r="I52" s="67"/>
      <c r="J52" s="66"/>
      <c r="K52" s="36"/>
      <c r="O52" s="200"/>
    </row>
    <row r="53" spans="1:15" ht="17.399999999999999" customHeight="1" x14ac:dyDescent="0.25">
      <c r="A53" s="68"/>
      <c r="B53" s="82"/>
      <c r="C53" s="82" t="s">
        <v>161</v>
      </c>
      <c r="D53" s="82"/>
      <c r="E53" s="66"/>
      <c r="F53" s="66"/>
      <c r="G53" s="66"/>
      <c r="H53" s="66"/>
      <c r="I53" s="67"/>
      <c r="J53" s="66"/>
      <c r="K53" s="36"/>
      <c r="O53" s="200"/>
    </row>
    <row r="54" spans="1:15" ht="17.399999999999999" customHeight="1" x14ac:dyDescent="0.3">
      <c r="A54" s="68"/>
      <c r="B54" s="32"/>
      <c r="C54" s="82" t="s">
        <v>162</v>
      </c>
      <c r="D54" s="82"/>
      <c r="E54" s="82"/>
      <c r="F54" s="66"/>
      <c r="G54" s="66"/>
      <c r="H54" s="66"/>
      <c r="I54" s="31"/>
      <c r="J54" s="192"/>
      <c r="K54" s="36"/>
    </row>
    <row r="55" spans="1:15" ht="17.399999999999999" customHeight="1" x14ac:dyDescent="0.35">
      <c r="A55" s="68"/>
      <c r="B55" s="196"/>
      <c r="C55" s="69"/>
      <c r="D55" s="69"/>
      <c r="E55" s="69"/>
      <c r="F55" s="66"/>
      <c r="G55" s="66"/>
      <c r="H55" s="66"/>
      <c r="I55" s="31"/>
      <c r="J55" s="180">
        <f>SUM(J49:J54)</f>
        <v>0</v>
      </c>
      <c r="K55" s="180">
        <f>SUM(K49:K54)</f>
        <v>0</v>
      </c>
      <c r="L55" s="47" t="str">
        <f>IF(J55=K55,"&lt;- Debits and Credits equal each other.","&lt;- Debits and Credits do not equal each other.")</f>
        <v>&lt;- Debits and Credits equal each other.</v>
      </c>
    </row>
    <row r="56" spans="1:15" ht="17.399999999999999" customHeight="1" x14ac:dyDescent="0.25">
      <c r="A56" s="68"/>
      <c r="B56" s="66"/>
      <c r="C56" s="66"/>
      <c r="D56" s="66"/>
      <c r="E56" s="66"/>
      <c r="F56" s="66"/>
      <c r="G56" s="66"/>
      <c r="H56" s="66"/>
      <c r="I56" s="31"/>
      <c r="J56" s="192"/>
      <c r="K56" s="191"/>
    </row>
    <row r="57" spans="1:15" ht="17.399999999999999" customHeight="1" x14ac:dyDescent="0.35">
      <c r="A57" s="63">
        <v>6</v>
      </c>
      <c r="B57" s="18" t="s">
        <v>163</v>
      </c>
      <c r="D57" s="66"/>
      <c r="E57" s="66"/>
      <c r="F57" s="66"/>
      <c r="G57" s="66"/>
      <c r="H57" s="66"/>
      <c r="I57" s="31"/>
      <c r="J57" s="192"/>
      <c r="K57" s="191"/>
    </row>
    <row r="58" spans="1:15" ht="17.399999999999999" customHeight="1" x14ac:dyDescent="0.25">
      <c r="B58" s="66" t="s">
        <v>146</v>
      </c>
      <c r="C58" s="31"/>
      <c r="D58" s="66"/>
      <c r="E58" s="66"/>
      <c r="F58" s="66"/>
      <c r="G58" s="66"/>
      <c r="H58" s="66"/>
      <c r="I58" s="31"/>
      <c r="J58" s="36"/>
      <c r="K58" s="192"/>
    </row>
    <row r="59" spans="1:15" ht="17.399999999999999" customHeight="1" x14ac:dyDescent="0.3">
      <c r="A59" s="68"/>
      <c r="B59" s="32"/>
      <c r="C59" s="66" t="s">
        <v>147</v>
      </c>
      <c r="D59" s="66"/>
      <c r="E59" s="66"/>
      <c r="F59" s="66"/>
      <c r="G59" s="66"/>
      <c r="H59" s="66"/>
      <c r="I59" s="31"/>
      <c r="J59" s="192"/>
      <c r="K59" s="36"/>
    </row>
    <row r="60" spans="1:15" ht="17.399999999999999" customHeight="1" x14ac:dyDescent="0.35">
      <c r="A60" s="68"/>
      <c r="B60" s="196"/>
      <c r="C60" s="69"/>
      <c r="D60" s="66"/>
      <c r="E60" s="66"/>
      <c r="F60" s="66"/>
      <c r="G60" s="66"/>
      <c r="H60" s="66"/>
      <c r="I60" s="31"/>
      <c r="J60" s="197">
        <f>J58</f>
        <v>0</v>
      </c>
      <c r="K60" s="191">
        <f>K59</f>
        <v>0</v>
      </c>
      <c r="L60" s="47" t="str">
        <f>IF(J60=K60,"&lt;- Debits and Credits equal each other.","&lt;- Debits and Credits do not equal each other.")</f>
        <v>&lt;- Debits and Credits equal each other.</v>
      </c>
    </row>
    <row r="61" spans="1:15" ht="17.399999999999999" customHeight="1" x14ac:dyDescent="0.3">
      <c r="B61" s="66"/>
      <c r="C61" s="66"/>
      <c r="D61" s="66"/>
      <c r="E61" s="66"/>
      <c r="F61" s="66"/>
      <c r="G61" s="66"/>
      <c r="H61" s="66"/>
      <c r="I61" s="204"/>
      <c r="J61" s="205"/>
      <c r="K61" s="192"/>
    </row>
    <row r="62" spans="1:15" ht="17.399999999999999" customHeight="1" x14ac:dyDescent="0.3">
      <c r="B62" s="206"/>
      <c r="C62" s="66"/>
      <c r="D62" s="66"/>
      <c r="E62" s="66"/>
      <c r="F62" s="66"/>
      <c r="G62" s="66"/>
      <c r="H62" s="66"/>
      <c r="I62" s="66"/>
    </row>
    <row r="63" spans="1:15" ht="17.399999999999999" customHeight="1" x14ac:dyDescent="0.3">
      <c r="B63" s="207"/>
      <c r="C63" s="66"/>
      <c r="D63" s="66"/>
      <c r="E63" s="66"/>
      <c r="F63" s="66"/>
      <c r="G63" s="66"/>
      <c r="H63" s="66"/>
      <c r="I63" s="66"/>
    </row>
    <row r="64" spans="1:15" ht="17.399999999999999" customHeight="1" x14ac:dyDescent="0.3">
      <c r="B64" s="206"/>
      <c r="C64" s="66"/>
      <c r="D64" s="66"/>
      <c r="E64" s="66"/>
      <c r="F64" s="66"/>
      <c r="G64" s="66"/>
      <c r="H64" s="66"/>
      <c r="I64" s="192"/>
      <c r="L64" s="174"/>
      <c r="M64" s="188"/>
    </row>
    <row r="65" spans="2:11" ht="21" x14ac:dyDescent="0.4">
      <c r="B65" s="66"/>
      <c r="C65" s="66"/>
      <c r="D65" s="70" t="s">
        <v>164</v>
      </c>
      <c r="E65" s="71"/>
      <c r="F65" s="72"/>
      <c r="G65" s="72"/>
      <c r="H65" s="72"/>
      <c r="I65" s="73"/>
      <c r="J65" s="73"/>
      <c r="K65" s="74"/>
    </row>
    <row r="66" spans="2:11" ht="17.399999999999999" customHeight="1" x14ac:dyDescent="0.25">
      <c r="B66" s="66"/>
      <c r="C66" s="66"/>
      <c r="D66" s="2"/>
      <c r="E66" s="2"/>
      <c r="F66" s="2"/>
      <c r="G66" s="2"/>
      <c r="H66" s="2"/>
      <c r="I66" s="2"/>
      <c r="J66" s="2"/>
      <c r="K66" s="75" t="s">
        <v>71</v>
      </c>
    </row>
    <row r="67" spans="2:11" ht="17.399999999999999" customHeight="1" x14ac:dyDescent="0.3">
      <c r="B67" s="202"/>
      <c r="D67" s="32" t="s">
        <v>165</v>
      </c>
      <c r="E67" s="2"/>
      <c r="F67" s="2"/>
      <c r="G67" s="2"/>
      <c r="H67" s="2"/>
      <c r="I67" s="2"/>
      <c r="J67" s="2"/>
      <c r="K67" s="76">
        <f>J14+J24-K31-K42-K52+J58</f>
        <v>14654973.003937062</v>
      </c>
    </row>
    <row r="68" spans="2:11" ht="17.399999999999999" customHeight="1" x14ac:dyDescent="0.3">
      <c r="D68" s="32" t="s">
        <v>166</v>
      </c>
      <c r="E68" s="2"/>
      <c r="F68" s="2"/>
      <c r="G68" s="2"/>
      <c r="H68" s="2"/>
      <c r="I68" s="2"/>
      <c r="J68" s="2"/>
      <c r="K68" s="76">
        <f>J41</f>
        <v>2641656.9889718071</v>
      </c>
    </row>
    <row r="69" spans="2:11" ht="17.399999999999999" customHeight="1" x14ac:dyDescent="0.3">
      <c r="D69" s="32" t="s">
        <v>167</v>
      </c>
      <c r="E69" s="2"/>
      <c r="F69" s="2"/>
      <c r="G69" s="2"/>
      <c r="H69" s="2"/>
      <c r="I69" s="2"/>
      <c r="J69" s="2"/>
      <c r="K69" s="76">
        <f>-K17-K25+J36+J49-K59</f>
        <v>-17137180.994441912</v>
      </c>
    </row>
    <row r="70" spans="2:11" ht="17.399999999999999" customHeight="1" x14ac:dyDescent="0.25">
      <c r="I70" s="191"/>
    </row>
    <row r="71" spans="2:11" ht="17.399999999999999" customHeight="1" x14ac:dyDescent="0.25">
      <c r="I71" s="191"/>
    </row>
    <row r="72" spans="2:11" ht="17.399999999999999" customHeight="1" x14ac:dyDescent="0.25">
      <c r="I72" s="191"/>
    </row>
  </sheetData>
  <sheetProtection algorithmName="SHA-512" hashValue="S8elV2EYzX7ZnJxuv+AfqAU+Ffz3owgnxE5YlEZU22Tme+/zTvFGbHYkyZQL5ebvRtttKjGTdTIwTmFe1CNE4w==" saltValue="SpDbaTAeCe1RRH2qH+R+QQ=="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79553C8C-B49C-4ABA-8275-5D8579BA10C9}">
      <formula1>0</formula1>
    </dataValidation>
    <dataValidation type="textLength" operator="equal" allowBlank="1" showInputMessage="1" showErrorMessage="1" errorTitle="4-Digit Org Code" error="Enter the Org Code/BU as 4 digits." sqref="E5" xr:uid="{752E521E-04A5-4378-8A6C-98AB83DB92BB}">
      <formula1>4</formula1>
    </dataValidation>
    <dataValidation type="whole" operator="greaterThanOrEqual" allowBlank="1" showErrorMessage="1" errorTitle="Whole Number Only" error="Only enter whole numbers." sqref="K59 J58 J24 K25 J30 K31:K32 J36 K37 J41 K42 J49:J51 K52:K54" xr:uid="{BBADD3BB-B2F2-4A91-B0C3-F7CD1A3CFC6A}">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93DA-33FF-4513-B89D-55C8E40D5FB8}">
  <sheetPr>
    <tabColor rgb="FF75DBFF"/>
  </sheetPr>
  <dimension ref="A1:S103"/>
  <sheetViews>
    <sheetView zoomScale="70" zoomScaleNormal="70" workbookViewId="0">
      <selection activeCell="A12" sqref="A12:C12"/>
    </sheetView>
  </sheetViews>
  <sheetFormatPr defaultColWidth="9.109375" defaultRowHeight="15" x14ac:dyDescent="0.25"/>
  <cols>
    <col min="1" max="1" width="34.6640625" style="48" customWidth="1"/>
    <col min="2" max="3" width="36.5546875" style="48" customWidth="1"/>
    <col min="4" max="4" width="3.109375" style="48" customWidth="1"/>
    <col min="5" max="5" width="95.44140625" style="48" customWidth="1"/>
    <col min="6" max="6" width="14.33203125" style="48" bestFit="1" customWidth="1"/>
    <col min="7" max="7" width="16.33203125" style="48" bestFit="1" customWidth="1"/>
    <col min="8" max="8" width="14.44140625" style="48" bestFit="1" customWidth="1"/>
    <col min="9" max="9" width="11.5546875" style="48" bestFit="1" customWidth="1"/>
    <col min="10" max="10" width="14.33203125" style="48" bestFit="1" customWidth="1"/>
    <col min="11" max="11" width="9.6640625" style="48" bestFit="1" customWidth="1"/>
    <col min="12" max="16384" width="9.109375" style="48"/>
  </cols>
  <sheetData>
    <row r="1" spans="1:19" ht="32.4" customHeight="1" x14ac:dyDescent="0.3">
      <c r="A1" s="235" t="s">
        <v>80</v>
      </c>
      <c r="B1" s="235"/>
      <c r="C1" s="235"/>
      <c r="D1" s="235"/>
      <c r="E1" s="235"/>
      <c r="F1" s="208"/>
      <c r="G1" s="78"/>
      <c r="H1" s="78"/>
      <c r="I1" s="78"/>
      <c r="J1" s="78"/>
      <c r="K1" s="78"/>
      <c r="L1" s="78"/>
      <c r="M1" s="78"/>
      <c r="N1" s="78"/>
      <c r="O1" s="78"/>
      <c r="P1" s="78"/>
      <c r="Q1" s="78"/>
      <c r="R1" s="78"/>
      <c r="S1" s="78"/>
    </row>
    <row r="2" spans="1:19" ht="48" customHeight="1" x14ac:dyDescent="0.3">
      <c r="A2" s="236" t="s">
        <v>81</v>
      </c>
      <c r="B2" s="236"/>
      <c r="C2" s="236"/>
      <c r="D2" s="236"/>
      <c r="E2" s="236"/>
      <c r="F2" s="39"/>
      <c r="G2" s="78"/>
      <c r="H2" s="78"/>
      <c r="I2" s="78"/>
      <c r="J2" s="78"/>
      <c r="K2" s="78"/>
      <c r="L2" s="78"/>
      <c r="M2" s="78"/>
      <c r="N2" s="78"/>
      <c r="O2" s="78"/>
      <c r="P2" s="78"/>
      <c r="Q2" s="78"/>
      <c r="R2" s="78"/>
      <c r="S2" s="78"/>
    </row>
    <row r="3" spans="1:19" ht="33" customHeight="1" x14ac:dyDescent="0.3">
      <c r="A3" s="260" t="s">
        <v>82</v>
      </c>
      <c r="B3" s="260"/>
      <c r="C3" s="260"/>
      <c r="E3" s="83"/>
      <c r="F3" s="83"/>
      <c r="G3" s="83"/>
      <c r="H3" s="83"/>
      <c r="I3" s="83"/>
      <c r="J3" s="83"/>
      <c r="K3" s="83"/>
      <c r="L3" s="83"/>
      <c r="M3" s="83"/>
      <c r="N3" s="83"/>
      <c r="O3" s="83"/>
      <c r="P3" s="172"/>
      <c r="Q3" s="172"/>
      <c r="R3" s="172"/>
      <c r="S3" s="172"/>
    </row>
    <row r="4" spans="1:19" ht="31.2" customHeight="1" x14ac:dyDescent="0.3">
      <c r="A4" s="238" t="s">
        <v>83</v>
      </c>
      <c r="B4" s="238"/>
      <c r="C4" s="238"/>
      <c r="E4" s="83"/>
      <c r="F4" s="83"/>
      <c r="G4" s="83"/>
      <c r="H4" s="83"/>
      <c r="I4" s="83"/>
      <c r="J4" s="83"/>
      <c r="K4" s="83"/>
      <c r="L4" s="83"/>
      <c r="M4" s="83"/>
      <c r="N4" s="83"/>
      <c r="O4" s="83"/>
      <c r="P4" s="172"/>
      <c r="Q4" s="172"/>
      <c r="R4" s="172"/>
      <c r="S4" s="172"/>
    </row>
    <row r="5" spans="1:19" ht="30.6" customHeight="1" x14ac:dyDescent="0.3">
      <c r="A5" s="238" t="s">
        <v>84</v>
      </c>
      <c r="B5" s="238"/>
      <c r="C5" s="238"/>
      <c r="E5" s="83"/>
      <c r="F5" s="83"/>
      <c r="G5" s="83"/>
      <c r="H5" s="83"/>
      <c r="I5" s="83"/>
      <c r="J5" s="83"/>
      <c r="K5" s="83"/>
      <c r="L5" s="83"/>
      <c r="M5" s="83"/>
      <c r="N5" s="83"/>
      <c r="O5" s="83"/>
      <c r="P5" s="172"/>
      <c r="Q5" s="172"/>
      <c r="R5" s="172"/>
      <c r="S5" s="172"/>
    </row>
    <row r="6" spans="1:19" ht="15.6" x14ac:dyDescent="0.3">
      <c r="E6" s="83"/>
      <c r="F6" s="83"/>
      <c r="G6" s="83"/>
      <c r="H6" s="83"/>
      <c r="I6" s="83"/>
      <c r="J6" s="83"/>
      <c r="K6" s="83"/>
      <c r="L6" s="83"/>
      <c r="M6" s="83"/>
      <c r="N6" s="83"/>
      <c r="O6" s="83"/>
      <c r="P6" s="172"/>
      <c r="Q6" s="172"/>
      <c r="R6" s="172"/>
      <c r="S6" s="172"/>
    </row>
    <row r="7" spans="1:19" ht="15.6" x14ac:dyDescent="0.3">
      <c r="D7" s="93"/>
      <c r="F7" s="209"/>
      <c r="G7" s="209"/>
      <c r="H7" s="209"/>
      <c r="I7" s="209"/>
      <c r="J7" s="209"/>
      <c r="K7" s="209"/>
      <c r="L7" s="209"/>
      <c r="M7" s="209"/>
      <c r="N7" s="209"/>
      <c r="O7" s="209"/>
      <c r="P7" s="172"/>
      <c r="Q7" s="172"/>
      <c r="R7" s="172"/>
      <c r="S7" s="172"/>
    </row>
    <row r="8" spans="1:19" ht="21" x14ac:dyDescent="0.4">
      <c r="A8" s="80" t="s">
        <v>85</v>
      </c>
      <c r="B8" s="78"/>
      <c r="C8" s="78"/>
      <c r="D8" s="93"/>
      <c r="F8" s="209"/>
      <c r="G8" s="209"/>
      <c r="H8" s="209"/>
      <c r="I8" s="209"/>
      <c r="J8" s="209"/>
      <c r="K8" s="209"/>
      <c r="L8" s="209"/>
      <c r="M8" s="209"/>
      <c r="N8" s="209"/>
      <c r="O8" s="209"/>
      <c r="P8" s="172"/>
      <c r="Q8" s="172"/>
      <c r="R8" s="172"/>
      <c r="S8" s="172"/>
    </row>
    <row r="9" spans="1:19" ht="15.6" x14ac:dyDescent="0.3">
      <c r="A9" s="81" t="s">
        <v>2</v>
      </c>
      <c r="B9" s="259" t="s">
        <v>3</v>
      </c>
      <c r="C9" s="259"/>
      <c r="D9" s="79"/>
      <c r="F9" s="209"/>
      <c r="G9" s="209"/>
      <c r="H9" s="209"/>
      <c r="I9" s="209"/>
      <c r="J9" s="209"/>
      <c r="K9" s="209"/>
      <c r="L9" s="209"/>
      <c r="M9" s="209"/>
      <c r="N9" s="209"/>
      <c r="O9" s="209"/>
      <c r="P9" s="172"/>
      <c r="Q9" s="172"/>
      <c r="R9" s="172"/>
      <c r="S9" s="172"/>
    </row>
    <row r="10" spans="1:19" ht="15.6" x14ac:dyDescent="0.3">
      <c r="A10" s="81" t="s">
        <v>86</v>
      </c>
      <c r="B10" s="261" t="s">
        <v>7</v>
      </c>
      <c r="C10" s="261" t="s">
        <v>5</v>
      </c>
      <c r="D10" s="210"/>
      <c r="F10" s="8"/>
      <c r="G10" s="8"/>
      <c r="H10" s="8"/>
      <c r="I10" s="8"/>
      <c r="J10" s="8"/>
      <c r="K10" s="8"/>
      <c r="L10" s="8"/>
      <c r="M10" s="8"/>
      <c r="N10" s="8"/>
      <c r="O10" s="8"/>
      <c r="P10" s="172"/>
      <c r="Q10" s="172"/>
      <c r="R10" s="172"/>
      <c r="S10" s="172"/>
    </row>
    <row r="11" spans="1:19" ht="15.6" x14ac:dyDescent="0.3">
      <c r="A11" s="81" t="s">
        <v>4</v>
      </c>
      <c r="B11" s="259" t="s">
        <v>5</v>
      </c>
      <c r="C11" s="259" t="s">
        <v>7</v>
      </c>
      <c r="D11" s="210"/>
      <c r="F11" s="78"/>
      <c r="G11" s="78"/>
      <c r="H11" s="78"/>
      <c r="I11" s="78"/>
      <c r="J11" s="78"/>
      <c r="K11" s="78"/>
      <c r="L11" s="78"/>
      <c r="M11" s="78"/>
      <c r="N11" s="78"/>
      <c r="O11" s="78"/>
      <c r="P11" s="78"/>
      <c r="Q11" s="78"/>
      <c r="R11" s="78"/>
      <c r="S11" s="78"/>
    </row>
    <row r="12" spans="1:19" ht="30" customHeight="1" x14ac:dyDescent="0.3">
      <c r="A12" s="262" t="s">
        <v>87</v>
      </c>
      <c r="B12" s="262"/>
      <c r="C12" s="262"/>
      <c r="D12" s="211"/>
      <c r="F12" s="78"/>
      <c r="G12" s="78"/>
      <c r="H12" s="78"/>
      <c r="I12" s="78"/>
      <c r="J12" s="78"/>
      <c r="K12" s="78"/>
      <c r="L12" s="78"/>
      <c r="M12" s="78"/>
      <c r="N12" s="78"/>
      <c r="O12" s="78"/>
      <c r="P12" s="78"/>
      <c r="Q12" s="78"/>
      <c r="R12" s="78"/>
      <c r="S12" s="78"/>
    </row>
    <row r="13" spans="1:19" ht="15.6" customHeight="1" x14ac:dyDescent="0.3">
      <c r="A13" s="84"/>
      <c r="B13" s="85" t="s">
        <v>168</v>
      </c>
      <c r="C13" s="85" t="s">
        <v>169</v>
      </c>
      <c r="D13" s="212"/>
      <c r="E13" s="83" t="str">
        <f>"All of this worksheet's questions are for Fiscal Year "&amp;$B$9&amp;":"</f>
        <v>All of this worksheet's questions are for Fiscal Year 2022–2023:</v>
      </c>
      <c r="F13" s="78"/>
      <c r="G13" s="78"/>
      <c r="H13" s="78"/>
      <c r="I13" s="78"/>
      <c r="J13" s="78"/>
      <c r="K13" s="78"/>
      <c r="L13" s="78"/>
      <c r="M13" s="78"/>
      <c r="N13" s="78"/>
      <c r="O13" s="78"/>
      <c r="P13" s="78"/>
      <c r="Q13" s="78"/>
      <c r="R13" s="78"/>
      <c r="S13" s="78"/>
    </row>
    <row r="14" spans="1:19" ht="15.6" x14ac:dyDescent="0.3">
      <c r="A14" s="84" t="str">
        <f>RIGHT(B9,4)&amp;"–"&amp;RIGHT(B9,4)+1</f>
        <v>2023–2024</v>
      </c>
      <c r="B14" s="213">
        <v>2641656.9889718071</v>
      </c>
      <c r="C14" s="213">
        <v>144180.09102819237</v>
      </c>
      <c r="D14" s="214"/>
      <c r="E14" s="246" t="s">
        <v>170</v>
      </c>
      <c r="F14" s="78"/>
      <c r="G14" s="78"/>
      <c r="H14" s="78"/>
      <c r="I14" s="78"/>
      <c r="J14" s="78"/>
      <c r="K14" s="78"/>
      <c r="L14" s="78"/>
      <c r="M14" s="78"/>
      <c r="N14" s="78"/>
      <c r="O14" s="78"/>
      <c r="P14" s="78"/>
      <c r="Q14" s="78"/>
      <c r="R14" s="78"/>
      <c r="S14" s="78"/>
    </row>
    <row r="15" spans="1:19" ht="15.6" x14ac:dyDescent="0.3">
      <c r="A15" s="84" t="str">
        <f>LEFT(A14,4)+1&amp;"–"&amp;RIGHT(A14,4)+1</f>
        <v>2024–2025</v>
      </c>
      <c r="B15" s="213">
        <v>2598335.3508864841</v>
      </c>
      <c r="C15" s="213">
        <v>121045.72911351579</v>
      </c>
      <c r="D15" s="94"/>
      <c r="E15" s="246"/>
      <c r="F15" s="78"/>
      <c r="G15" s="78"/>
      <c r="H15" s="78"/>
      <c r="I15" s="78"/>
      <c r="J15" s="78"/>
      <c r="K15" s="78"/>
      <c r="L15" s="78"/>
      <c r="M15" s="78"/>
      <c r="N15" s="78"/>
      <c r="O15" s="78"/>
      <c r="P15" s="78"/>
      <c r="Q15" s="78"/>
      <c r="R15" s="78"/>
      <c r="S15" s="78"/>
    </row>
    <row r="16" spans="1:19" ht="15.6" x14ac:dyDescent="0.3">
      <c r="A16" s="84" t="str">
        <f>LEFT(A15,4)+1&amp;"–"&amp;RIGHT(A15,4)+1</f>
        <v>2025–2026</v>
      </c>
      <c r="B16" s="213">
        <v>2588302.7505960562</v>
      </c>
      <c r="C16" s="213">
        <v>97850.329403943499</v>
      </c>
      <c r="D16" s="94"/>
      <c r="E16" s="246"/>
      <c r="F16" s="78"/>
      <c r="G16" s="78"/>
      <c r="H16" s="78"/>
      <c r="I16" s="78"/>
      <c r="J16" s="78"/>
      <c r="K16" s="78"/>
      <c r="L16" s="78"/>
      <c r="M16" s="78"/>
      <c r="N16" s="78"/>
      <c r="O16" s="78"/>
      <c r="P16" s="78"/>
      <c r="Q16" s="78"/>
      <c r="R16" s="78"/>
      <c r="S16" s="78"/>
    </row>
    <row r="17" spans="1:19" ht="15.6" x14ac:dyDescent="0.3">
      <c r="A17" s="84" t="str">
        <f>LEFT(A16,4)+1&amp;"–"&amp;RIGHT(A16,4)+1</f>
        <v>2026–2027</v>
      </c>
      <c r="B17" s="213">
        <v>2611693.8067237558</v>
      </c>
      <c r="C17" s="213">
        <v>74459.273276244392</v>
      </c>
      <c r="D17" s="94"/>
      <c r="E17" s="246"/>
      <c r="F17" s="78"/>
      <c r="G17" s="78"/>
      <c r="H17" s="78"/>
      <c r="I17" s="78"/>
      <c r="J17" s="78"/>
      <c r="K17" s="78"/>
      <c r="L17" s="78"/>
      <c r="M17" s="78"/>
      <c r="N17" s="78"/>
      <c r="O17" s="78"/>
      <c r="P17" s="78"/>
      <c r="Q17" s="78"/>
      <c r="R17" s="78"/>
      <c r="S17" s="78"/>
    </row>
    <row r="18" spans="1:19" ht="15.6" x14ac:dyDescent="0.3">
      <c r="A18" s="84" t="str">
        <f>LEFT(A17,4)+1&amp;"–"&amp;RIGHT(A17,4)+1</f>
        <v>2027–2028</v>
      </c>
      <c r="B18" s="213">
        <v>2635296.2529242132</v>
      </c>
      <c r="C18" s="213">
        <v>50856.827075786918</v>
      </c>
      <c r="D18" s="94"/>
      <c r="E18" s="215" t="s">
        <v>91</v>
      </c>
      <c r="F18" s="78"/>
      <c r="G18" s="216"/>
      <c r="H18" s="216"/>
      <c r="I18" s="78"/>
      <c r="J18" s="216"/>
      <c r="K18" s="216"/>
      <c r="L18" s="78"/>
      <c r="M18" s="78"/>
      <c r="N18" s="78"/>
      <c r="O18" s="78"/>
      <c r="P18" s="78"/>
      <c r="Q18" s="78"/>
      <c r="R18" s="78"/>
      <c r="S18" s="78"/>
    </row>
    <row r="19" spans="1:19" ht="15.6" x14ac:dyDescent="0.3">
      <c r="A19" s="84" t="str">
        <f>LEFT(A18,4)+1&amp;"–"&amp;RIGHT(A18,4)+5</f>
        <v>2028–2033</v>
      </c>
      <c r="B19" s="213">
        <v>4221344.4186146539</v>
      </c>
      <c r="C19" s="213">
        <v>31731.291385346205</v>
      </c>
      <c r="D19" s="94"/>
      <c r="E19" s="88" t="str">
        <f>"If yes, record the dollar amount of variable receipts below for fiscal year "&amp;$B$9&amp;":"</f>
        <v>If yes, record the dollar amount of variable receipts below for fiscal year 2022–2023:</v>
      </c>
      <c r="F19" s="78"/>
      <c r="G19" s="216"/>
      <c r="H19" s="216"/>
      <c r="I19" s="78"/>
      <c r="J19" s="216"/>
      <c r="K19" s="216"/>
      <c r="L19" s="78"/>
      <c r="M19" s="78"/>
      <c r="N19" s="78"/>
      <c r="O19" s="78"/>
      <c r="P19" s="78"/>
      <c r="Q19" s="78"/>
      <c r="R19" s="78"/>
      <c r="S19" s="78"/>
    </row>
    <row r="20" spans="1:19" ht="15.6" customHeight="1" x14ac:dyDescent="0.3">
      <c r="A20" s="84" t="str">
        <f t="shared" ref="A20:A37" si="0">LEFT(A19,4)+5&amp;"–"&amp;RIGHT(A19,4)+5</f>
        <v>2033–2038</v>
      </c>
      <c r="B20" s="213"/>
      <c r="C20" s="213"/>
      <c r="D20" s="94"/>
      <c r="E20" s="215">
        <v>0</v>
      </c>
      <c r="F20" s="78"/>
      <c r="G20" s="216"/>
      <c r="H20" s="216"/>
      <c r="I20" s="78"/>
      <c r="J20" s="78"/>
      <c r="K20" s="78"/>
      <c r="L20" s="78"/>
      <c r="M20" s="78"/>
      <c r="N20" s="78"/>
      <c r="O20" s="78"/>
      <c r="P20" s="78"/>
      <c r="Q20" s="78"/>
      <c r="R20" s="78"/>
      <c r="S20" s="78"/>
    </row>
    <row r="21" spans="1:19" x14ac:dyDescent="0.25">
      <c r="A21" s="84" t="str">
        <f t="shared" si="0"/>
        <v>2038–2043</v>
      </c>
      <c r="B21" s="213"/>
      <c r="C21" s="213"/>
      <c r="D21" s="94"/>
      <c r="E21" s="246" t="str">
        <f>"2. Did you grant any lease incentives to the lessee during fiscal year "&amp;$B$9&amp;"? If so, record the amount below:"</f>
        <v>2. Did you grant any lease incentives to the lessee during fiscal year 2022–2023? If so, record the amount below:</v>
      </c>
      <c r="G21" s="193"/>
      <c r="H21" s="193"/>
    </row>
    <row r="22" spans="1:19" x14ac:dyDescent="0.25">
      <c r="A22" s="84" t="str">
        <f t="shared" si="0"/>
        <v>2043–2048</v>
      </c>
      <c r="B22" s="213"/>
      <c r="C22" s="213"/>
      <c r="D22" s="94"/>
      <c r="E22" s="246"/>
      <c r="G22" s="193"/>
      <c r="H22" s="193"/>
    </row>
    <row r="23" spans="1:19" x14ac:dyDescent="0.25">
      <c r="A23" s="84" t="str">
        <f t="shared" si="0"/>
        <v>2048–2053</v>
      </c>
      <c r="B23" s="213"/>
      <c r="C23" s="213"/>
      <c r="D23" s="94"/>
      <c r="E23" s="215">
        <v>0</v>
      </c>
      <c r="G23" s="193"/>
      <c r="H23" s="193"/>
    </row>
    <row r="24" spans="1:19" x14ac:dyDescent="0.25">
      <c r="A24" s="84" t="str">
        <f t="shared" si="0"/>
        <v>2053–2058</v>
      </c>
      <c r="B24" s="213"/>
      <c r="C24" s="213"/>
      <c r="D24" s="94"/>
      <c r="E24" s="88"/>
      <c r="G24" s="193"/>
    </row>
    <row r="25" spans="1:19" x14ac:dyDescent="0.25">
      <c r="A25" s="84" t="str">
        <f t="shared" si="0"/>
        <v>2058–2063</v>
      </c>
      <c r="B25" s="213"/>
      <c r="C25" s="213"/>
      <c r="D25" s="94"/>
      <c r="E25" s="88"/>
    </row>
    <row r="26" spans="1:19" ht="15.6" x14ac:dyDescent="0.3">
      <c r="A26" s="84" t="str">
        <f t="shared" si="0"/>
        <v>2063–2068</v>
      </c>
      <c r="B26" s="213"/>
      <c r="C26" s="213"/>
      <c r="D26" s="94"/>
      <c r="E26" s="78"/>
      <c r="F26" s="78"/>
      <c r="G26" s="78"/>
      <c r="H26" s="78"/>
      <c r="I26" s="78"/>
      <c r="J26" s="78"/>
      <c r="K26" s="78"/>
      <c r="L26" s="78"/>
      <c r="M26" s="78"/>
      <c r="N26" s="78"/>
      <c r="O26" s="78"/>
      <c r="P26" s="78"/>
      <c r="Q26" s="78"/>
      <c r="R26" s="78"/>
      <c r="S26" s="78"/>
    </row>
    <row r="27" spans="1:19" ht="15.6" x14ac:dyDescent="0.3">
      <c r="A27" s="84" t="str">
        <f t="shared" si="0"/>
        <v>2068–2073</v>
      </c>
      <c r="B27" s="213"/>
      <c r="C27" s="213"/>
      <c r="D27" s="94"/>
      <c r="E27" s="78"/>
      <c r="F27" s="78"/>
      <c r="G27" s="78"/>
      <c r="H27" s="78"/>
      <c r="I27" s="78"/>
      <c r="J27" s="78"/>
      <c r="K27" s="78"/>
      <c r="L27" s="78"/>
      <c r="M27" s="78"/>
      <c r="N27" s="78"/>
      <c r="O27" s="78"/>
      <c r="P27" s="78"/>
      <c r="Q27" s="78"/>
      <c r="R27" s="78"/>
      <c r="S27" s="78"/>
    </row>
    <row r="28" spans="1:19" x14ac:dyDescent="0.25">
      <c r="A28" s="84" t="str">
        <f t="shared" si="0"/>
        <v>2073–2078</v>
      </c>
      <c r="B28" s="213"/>
      <c r="C28" s="213"/>
      <c r="D28" s="94"/>
      <c r="E28" s="201"/>
    </row>
    <row r="29" spans="1:19" x14ac:dyDescent="0.25">
      <c r="A29" s="84" t="str">
        <f t="shared" si="0"/>
        <v>2078–2083</v>
      </c>
      <c r="B29" s="213"/>
      <c r="C29" s="213"/>
      <c r="D29" s="94"/>
      <c r="E29" s="217"/>
    </row>
    <row r="30" spans="1:19" x14ac:dyDescent="0.25">
      <c r="A30" s="84" t="str">
        <f t="shared" si="0"/>
        <v>2083–2088</v>
      </c>
      <c r="B30" s="213"/>
      <c r="C30" s="213"/>
      <c r="D30" s="94"/>
      <c r="E30" s="93"/>
      <c r="F30" s="82"/>
      <c r="G30" s="82"/>
      <c r="H30" s="82"/>
      <c r="I30" s="82"/>
      <c r="J30" s="82"/>
      <c r="K30" s="82"/>
      <c r="L30" s="82"/>
      <c r="M30" s="82"/>
      <c r="N30" s="82"/>
      <c r="O30" s="82"/>
      <c r="P30" s="82"/>
    </row>
    <row r="31" spans="1:19" x14ac:dyDescent="0.25">
      <c r="A31" s="84" t="str">
        <f t="shared" si="0"/>
        <v>2088–2093</v>
      </c>
      <c r="B31" s="213"/>
      <c r="C31" s="213"/>
      <c r="D31" s="94"/>
      <c r="E31" s="93"/>
      <c r="F31" s="82"/>
      <c r="G31" s="82"/>
      <c r="H31" s="82"/>
      <c r="I31" s="82"/>
      <c r="J31" s="82"/>
      <c r="K31" s="82"/>
      <c r="L31" s="82"/>
      <c r="M31" s="82"/>
      <c r="N31" s="82"/>
      <c r="O31" s="82"/>
      <c r="P31" s="82"/>
    </row>
    <row r="32" spans="1:19" x14ac:dyDescent="0.25">
      <c r="A32" s="84" t="str">
        <f t="shared" si="0"/>
        <v>2093–2098</v>
      </c>
      <c r="B32" s="213"/>
      <c r="C32" s="213"/>
      <c r="D32" s="94"/>
      <c r="E32" s="93"/>
      <c r="F32" s="93"/>
      <c r="G32" s="93"/>
      <c r="H32" s="93"/>
      <c r="I32" s="93"/>
      <c r="J32" s="93"/>
      <c r="K32" s="93"/>
      <c r="L32" s="93"/>
      <c r="M32" s="93"/>
      <c r="N32" s="93"/>
      <c r="O32" s="93"/>
      <c r="P32" s="93"/>
      <c r="Q32" s="93"/>
      <c r="R32" s="93"/>
      <c r="S32" s="93"/>
    </row>
    <row r="33" spans="1:19" x14ac:dyDescent="0.25">
      <c r="A33" s="84" t="str">
        <f t="shared" si="0"/>
        <v>2098–2103</v>
      </c>
      <c r="B33" s="213"/>
      <c r="C33" s="213"/>
      <c r="D33" s="94"/>
      <c r="E33" s="93"/>
      <c r="F33" s="93"/>
      <c r="G33" s="93"/>
      <c r="H33" s="93"/>
      <c r="I33" s="93"/>
      <c r="J33" s="93"/>
      <c r="K33" s="93"/>
      <c r="L33" s="93"/>
      <c r="M33" s="93"/>
      <c r="N33" s="93"/>
      <c r="O33" s="93"/>
      <c r="P33" s="93"/>
      <c r="Q33" s="93"/>
      <c r="R33" s="93"/>
      <c r="S33" s="93"/>
    </row>
    <row r="34" spans="1:19" x14ac:dyDescent="0.25">
      <c r="A34" s="84" t="str">
        <f t="shared" si="0"/>
        <v>2103–2108</v>
      </c>
      <c r="B34" s="213"/>
      <c r="C34" s="213"/>
      <c r="D34" s="94"/>
    </row>
    <row r="35" spans="1:19" x14ac:dyDescent="0.25">
      <c r="A35" s="84" t="str">
        <f t="shared" si="0"/>
        <v>2108–2113</v>
      </c>
      <c r="B35" s="213"/>
      <c r="C35" s="213"/>
      <c r="D35" s="94"/>
    </row>
    <row r="36" spans="1:19" x14ac:dyDescent="0.25">
      <c r="A36" s="84" t="str">
        <f t="shared" si="0"/>
        <v>2113–2118</v>
      </c>
      <c r="B36" s="213"/>
      <c r="C36" s="213"/>
      <c r="D36" s="94"/>
    </row>
    <row r="37" spans="1:19" x14ac:dyDescent="0.25">
      <c r="A37" s="84" t="str">
        <f t="shared" si="0"/>
        <v>2118–2123</v>
      </c>
      <c r="B37" s="213"/>
      <c r="C37" s="213"/>
      <c r="D37" s="94"/>
      <c r="F37" s="218"/>
      <c r="G37" s="218"/>
      <c r="H37" s="218"/>
      <c r="I37" s="218"/>
    </row>
    <row r="38" spans="1:19" x14ac:dyDescent="0.25">
      <c r="E38" s="219"/>
      <c r="F38" s="218"/>
      <c r="G38" s="218"/>
      <c r="H38" s="218"/>
      <c r="I38" s="218"/>
    </row>
    <row r="39" spans="1:19" ht="21" x14ac:dyDescent="0.4">
      <c r="A39" s="80" t="s">
        <v>93</v>
      </c>
      <c r="F39" s="218"/>
      <c r="G39" s="218"/>
      <c r="H39" s="218"/>
      <c r="I39" s="218"/>
    </row>
    <row r="40" spans="1:19" ht="15.6" x14ac:dyDescent="0.3">
      <c r="A40" s="81" t="s">
        <v>2</v>
      </c>
      <c r="B40" s="248" t="str">
        <f>B9</f>
        <v>2022–2023</v>
      </c>
      <c r="C40" s="248"/>
      <c r="D40" s="66"/>
      <c r="F40" s="218"/>
      <c r="G40" s="218"/>
      <c r="H40" s="218"/>
      <c r="I40" s="218"/>
    </row>
    <row r="41" spans="1:19" ht="15.6" x14ac:dyDescent="0.3">
      <c r="A41" s="81" t="s">
        <v>86</v>
      </c>
      <c r="B41" s="249" t="str">
        <f>B10</f>
        <v>2660</v>
      </c>
      <c r="C41" s="249"/>
      <c r="D41" s="220"/>
    </row>
    <row r="42" spans="1:19" ht="15.6" x14ac:dyDescent="0.3">
      <c r="A42" s="81" t="s">
        <v>4</v>
      </c>
      <c r="B42" s="248" t="str">
        <f>B11</f>
        <v>Department of Transportation</v>
      </c>
      <c r="C42" s="248"/>
      <c r="D42" s="82"/>
    </row>
    <row r="43" spans="1:19" ht="30" customHeight="1" x14ac:dyDescent="0.3">
      <c r="A43" s="262" t="s">
        <v>87</v>
      </c>
      <c r="B43" s="262"/>
      <c r="C43" s="262"/>
      <c r="D43" s="211"/>
      <c r="F43" s="78"/>
      <c r="G43" s="78"/>
      <c r="H43" s="78"/>
      <c r="I43" s="78"/>
      <c r="J43" s="78"/>
      <c r="K43" s="78"/>
      <c r="L43" s="78"/>
      <c r="M43" s="78"/>
      <c r="N43" s="78"/>
      <c r="O43" s="78"/>
      <c r="P43" s="78"/>
      <c r="Q43" s="78"/>
      <c r="R43" s="78"/>
      <c r="S43" s="78"/>
    </row>
    <row r="44" spans="1:19" ht="15.6" x14ac:dyDescent="0.3">
      <c r="A44" s="84"/>
      <c r="B44" s="85" t="s">
        <v>168</v>
      </c>
      <c r="C44" s="85" t="s">
        <v>169</v>
      </c>
      <c r="D44" s="221"/>
      <c r="E44" s="83" t="str">
        <f>"All of this worksheet's questions are for Fiscal Year "&amp;$B$9&amp;":"</f>
        <v>All of this worksheet's questions are for Fiscal Year 2022–2023:</v>
      </c>
    </row>
    <row r="45" spans="1:19" ht="15" customHeight="1" x14ac:dyDescent="0.25">
      <c r="A45" s="84" t="str">
        <f>RIGHT(B40,4)&amp;"–"&amp;RIGHT(B40,4)+1</f>
        <v>2023–2024</v>
      </c>
      <c r="B45" s="213"/>
      <c r="C45" s="213"/>
      <c r="D45" s="94"/>
      <c r="E45" s="246" t="s">
        <v>170</v>
      </c>
    </row>
    <row r="46" spans="1:19" x14ac:dyDescent="0.25">
      <c r="A46" s="84" t="str">
        <f>LEFT(A45,4)+1&amp;"–"&amp;RIGHT(A45,4)+1</f>
        <v>2024–2025</v>
      </c>
      <c r="B46" s="213"/>
      <c r="C46" s="213"/>
      <c r="D46" s="94"/>
      <c r="E46" s="246"/>
    </row>
    <row r="47" spans="1:19" x14ac:dyDescent="0.25">
      <c r="A47" s="84" t="str">
        <f>LEFT(A46,4)+1&amp;"–"&amp;RIGHT(A46,4)+1</f>
        <v>2025–2026</v>
      </c>
      <c r="B47" s="213"/>
      <c r="C47" s="213"/>
      <c r="D47" s="94"/>
      <c r="E47" s="246"/>
    </row>
    <row r="48" spans="1:19" ht="15" customHeight="1" x14ac:dyDescent="0.25">
      <c r="A48" s="84" t="str">
        <f>LEFT(A47,4)+1&amp;"–"&amp;RIGHT(A47,4)+1</f>
        <v>2026–2027</v>
      </c>
      <c r="B48" s="213"/>
      <c r="C48" s="213"/>
      <c r="D48" s="214"/>
      <c r="E48" s="246"/>
    </row>
    <row r="49" spans="1:19" x14ac:dyDescent="0.25">
      <c r="A49" s="84" t="str">
        <f>LEFT(A48,4)+1&amp;"–"&amp;RIGHT(A48,4)+1</f>
        <v>2027–2028</v>
      </c>
      <c r="B49" s="213"/>
      <c r="C49" s="213"/>
      <c r="D49" s="214"/>
      <c r="E49" s="215"/>
    </row>
    <row r="50" spans="1:19" x14ac:dyDescent="0.25">
      <c r="A50" s="84" t="str">
        <f>LEFT(A49,4)+1&amp;"–"&amp;RIGHT(A49,4)+5</f>
        <v>2028–2033</v>
      </c>
      <c r="B50" s="213"/>
      <c r="C50" s="213"/>
      <c r="D50" s="94"/>
      <c r="E50" s="88"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13"/>
      <c r="C51" s="213"/>
      <c r="D51" s="94"/>
      <c r="E51" s="215"/>
    </row>
    <row r="52" spans="1:19" x14ac:dyDescent="0.25">
      <c r="A52" s="84" t="str">
        <f t="shared" si="1"/>
        <v>2038–2043</v>
      </c>
      <c r="B52" s="213"/>
      <c r="C52" s="213"/>
      <c r="D52" s="94"/>
      <c r="E52" s="246"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13"/>
      <c r="C53" s="213"/>
      <c r="D53" s="94"/>
      <c r="E53" s="246"/>
    </row>
    <row r="54" spans="1:19" ht="15" customHeight="1" x14ac:dyDescent="0.25">
      <c r="A54" s="84" t="str">
        <f t="shared" si="1"/>
        <v>2048–2053</v>
      </c>
      <c r="B54" s="213"/>
      <c r="C54" s="213"/>
      <c r="D54" s="94"/>
      <c r="E54" s="215"/>
    </row>
    <row r="55" spans="1:19" x14ac:dyDescent="0.25">
      <c r="A55" s="84" t="str">
        <f t="shared" si="1"/>
        <v>2053–2058</v>
      </c>
      <c r="B55" s="213"/>
      <c r="C55" s="213"/>
      <c r="D55" s="94"/>
      <c r="E55" s="88"/>
    </row>
    <row r="56" spans="1:19" x14ac:dyDescent="0.25">
      <c r="A56" s="84" t="str">
        <f t="shared" si="1"/>
        <v>2058–2063</v>
      </c>
      <c r="B56" s="213"/>
      <c r="C56" s="213"/>
      <c r="D56" s="94"/>
      <c r="E56" s="88"/>
    </row>
    <row r="57" spans="1:19" ht="15.6" x14ac:dyDescent="0.3">
      <c r="A57" s="84" t="str">
        <f t="shared" si="1"/>
        <v>2063–2068</v>
      </c>
      <c r="B57" s="213"/>
      <c r="C57" s="213"/>
      <c r="D57" s="94"/>
      <c r="E57" s="78"/>
    </row>
    <row r="58" spans="1:19" ht="15.6" x14ac:dyDescent="0.3">
      <c r="A58" s="84" t="str">
        <f t="shared" si="1"/>
        <v>2068–2073</v>
      </c>
      <c r="B58" s="213"/>
      <c r="C58" s="213"/>
      <c r="D58" s="94"/>
      <c r="E58" s="78"/>
      <c r="F58" s="222"/>
      <c r="G58" s="222"/>
      <c r="H58" s="66"/>
      <c r="I58" s="66"/>
      <c r="J58" s="66"/>
      <c r="K58" s="66"/>
      <c r="L58" s="66"/>
      <c r="M58" s="66"/>
      <c r="N58" s="66"/>
      <c r="O58" s="66"/>
      <c r="P58" s="66"/>
      <c r="Q58" s="66"/>
      <c r="R58" s="66"/>
      <c r="S58" s="66"/>
    </row>
    <row r="59" spans="1:19" x14ac:dyDescent="0.25">
      <c r="A59" s="84" t="str">
        <f t="shared" si="1"/>
        <v>2073–2078</v>
      </c>
      <c r="B59" s="213"/>
      <c r="C59" s="213"/>
      <c r="D59" s="94"/>
      <c r="E59" s="201"/>
      <c r="F59" s="66"/>
      <c r="G59" s="66"/>
      <c r="H59" s="66"/>
      <c r="I59" s="66"/>
      <c r="J59" s="66"/>
      <c r="K59" s="66"/>
      <c r="L59" s="66"/>
      <c r="M59" s="66"/>
      <c r="N59" s="66"/>
      <c r="O59" s="66"/>
      <c r="P59" s="66"/>
      <c r="Q59" s="66"/>
      <c r="R59" s="66"/>
      <c r="S59" s="66"/>
    </row>
    <row r="60" spans="1:19" x14ac:dyDescent="0.25">
      <c r="A60" s="84" t="str">
        <f t="shared" si="1"/>
        <v>2078–2083</v>
      </c>
      <c r="B60" s="213"/>
      <c r="C60" s="213"/>
      <c r="D60" s="94"/>
      <c r="F60" s="66"/>
      <c r="G60" s="66"/>
      <c r="H60" s="66"/>
      <c r="I60" s="66"/>
      <c r="J60" s="66"/>
      <c r="K60" s="66"/>
      <c r="L60" s="66"/>
      <c r="M60" s="66"/>
      <c r="N60" s="66"/>
      <c r="O60" s="66"/>
      <c r="P60" s="66"/>
      <c r="Q60" s="66"/>
      <c r="R60" s="66"/>
      <c r="S60" s="66"/>
    </row>
    <row r="61" spans="1:19" ht="15.6" x14ac:dyDescent="0.3">
      <c r="A61" s="84" t="str">
        <f t="shared" si="1"/>
        <v>2083–2088</v>
      </c>
      <c r="B61" s="213"/>
      <c r="C61" s="213"/>
      <c r="D61" s="94"/>
      <c r="F61" s="172"/>
      <c r="G61" s="172"/>
      <c r="H61" s="172"/>
      <c r="I61" s="172"/>
      <c r="J61" s="172"/>
      <c r="K61" s="172"/>
      <c r="L61" s="172"/>
      <c r="M61" s="172"/>
      <c r="N61" s="172"/>
      <c r="O61" s="172"/>
      <c r="P61" s="172"/>
      <c r="Q61" s="172"/>
      <c r="R61" s="172"/>
      <c r="S61" s="172"/>
    </row>
    <row r="62" spans="1:19" x14ac:dyDescent="0.25">
      <c r="A62" s="84" t="str">
        <f t="shared" si="1"/>
        <v>2088–2093</v>
      </c>
      <c r="B62" s="213"/>
      <c r="C62" s="213"/>
      <c r="D62" s="94"/>
    </row>
    <row r="63" spans="1:19" ht="15.6" x14ac:dyDescent="0.3">
      <c r="A63" s="84" t="str">
        <f t="shared" si="1"/>
        <v>2093–2098</v>
      </c>
      <c r="B63" s="213"/>
      <c r="C63" s="213"/>
      <c r="D63" s="94"/>
      <c r="E63" s="81"/>
    </row>
    <row r="64" spans="1:19" ht="15.6" x14ac:dyDescent="0.3">
      <c r="A64" s="84" t="str">
        <f t="shared" si="1"/>
        <v>2098–2103</v>
      </c>
      <c r="B64" s="213"/>
      <c r="C64" s="213"/>
      <c r="D64" s="94"/>
      <c r="E64" s="81"/>
    </row>
    <row r="65" spans="1:19" ht="15.6" x14ac:dyDescent="0.3">
      <c r="A65" s="84" t="str">
        <f t="shared" si="1"/>
        <v>2103–2108</v>
      </c>
      <c r="B65" s="213"/>
      <c r="C65" s="213"/>
      <c r="D65" s="94"/>
      <c r="E65" s="81"/>
    </row>
    <row r="66" spans="1:19" x14ac:dyDescent="0.25">
      <c r="A66" s="84" t="str">
        <f t="shared" si="1"/>
        <v>2108–2113</v>
      </c>
      <c r="B66" s="213"/>
      <c r="C66" s="213"/>
      <c r="D66" s="94"/>
    </row>
    <row r="67" spans="1:19" x14ac:dyDescent="0.25">
      <c r="A67" s="84" t="str">
        <f t="shared" si="1"/>
        <v>2113–2118</v>
      </c>
      <c r="B67" s="213"/>
      <c r="C67" s="213"/>
      <c r="D67" s="94"/>
    </row>
    <row r="68" spans="1:19" x14ac:dyDescent="0.25">
      <c r="A68" s="84" t="str">
        <f t="shared" si="1"/>
        <v>2118–2123</v>
      </c>
      <c r="B68" s="213"/>
      <c r="C68" s="213"/>
      <c r="D68" s="94"/>
    </row>
    <row r="69" spans="1:19" x14ac:dyDescent="0.25">
      <c r="E69" s="219"/>
    </row>
    <row r="70" spans="1:19" ht="21" x14ac:dyDescent="0.4">
      <c r="A70" s="80" t="s">
        <v>94</v>
      </c>
    </row>
    <row r="71" spans="1:19" ht="15.6" x14ac:dyDescent="0.3">
      <c r="A71" s="81" t="s">
        <v>2</v>
      </c>
      <c r="B71" s="248" t="str">
        <f>B40</f>
        <v>2022–2023</v>
      </c>
      <c r="C71" s="248"/>
      <c r="D71" s="66"/>
    </row>
    <row r="72" spans="1:19" ht="15.6" x14ac:dyDescent="0.3">
      <c r="A72" s="81" t="s">
        <v>86</v>
      </c>
      <c r="B72" s="249" t="str">
        <f>B41</f>
        <v>2660</v>
      </c>
      <c r="C72" s="249"/>
      <c r="D72" s="220"/>
    </row>
    <row r="73" spans="1:19" ht="15.6" x14ac:dyDescent="0.3">
      <c r="A73" s="81" t="s">
        <v>4</v>
      </c>
      <c r="B73" s="248" t="str">
        <f>B42</f>
        <v>Department of Transportation</v>
      </c>
      <c r="C73" s="248"/>
      <c r="D73" s="82"/>
    </row>
    <row r="74" spans="1:19" ht="30" customHeight="1" x14ac:dyDescent="0.3">
      <c r="A74" s="262" t="s">
        <v>87</v>
      </c>
      <c r="B74" s="262"/>
      <c r="C74" s="262"/>
      <c r="D74" s="211"/>
      <c r="F74" s="78"/>
      <c r="G74" s="78"/>
      <c r="H74" s="78"/>
      <c r="I74" s="78"/>
      <c r="J74" s="78"/>
      <c r="K74" s="78"/>
      <c r="L74" s="78"/>
      <c r="M74" s="78"/>
      <c r="N74" s="78"/>
      <c r="O74" s="78"/>
      <c r="P74" s="78"/>
      <c r="Q74" s="78"/>
      <c r="R74" s="78"/>
      <c r="S74" s="78"/>
    </row>
    <row r="75" spans="1:19" ht="15.6" x14ac:dyDescent="0.3">
      <c r="A75" s="84"/>
      <c r="B75" s="85" t="s">
        <v>168</v>
      </c>
      <c r="C75" s="85" t="s">
        <v>169</v>
      </c>
      <c r="D75" s="221"/>
      <c r="E75" s="83" t="str">
        <f>"All of this worksheet's questions are for Fiscal Year "&amp;$B$9&amp;":"</f>
        <v>All of this worksheet's questions are for Fiscal Year 2022–2023:</v>
      </c>
    </row>
    <row r="76" spans="1:19" ht="15" customHeight="1" x14ac:dyDescent="0.25">
      <c r="A76" s="84" t="str">
        <f>RIGHT(B71,4)&amp;"–"&amp;RIGHT(B71,4)+1</f>
        <v>2023–2024</v>
      </c>
      <c r="B76" s="213"/>
      <c r="C76" s="213"/>
      <c r="D76" s="94"/>
      <c r="E76" s="246" t="s">
        <v>170</v>
      </c>
    </row>
    <row r="77" spans="1:19" x14ac:dyDescent="0.25">
      <c r="A77" s="84" t="str">
        <f>LEFT(A76,4)+1&amp;"–"&amp;RIGHT(A76,4)+1</f>
        <v>2024–2025</v>
      </c>
      <c r="B77" s="213"/>
      <c r="C77" s="213"/>
      <c r="D77" s="94"/>
      <c r="E77" s="246"/>
    </row>
    <row r="78" spans="1:19" x14ac:dyDescent="0.25">
      <c r="A78" s="84" t="str">
        <f>LEFT(A77,4)+1&amp;"–"&amp;RIGHT(A77,4)+1</f>
        <v>2025–2026</v>
      </c>
      <c r="B78" s="213"/>
      <c r="C78" s="213"/>
      <c r="D78" s="94"/>
      <c r="E78" s="246"/>
    </row>
    <row r="79" spans="1:19" x14ac:dyDescent="0.25">
      <c r="A79" s="84" t="str">
        <f>LEFT(A78,4)+1&amp;"–"&amp;RIGHT(A78,4)+1</f>
        <v>2026–2027</v>
      </c>
      <c r="B79" s="213"/>
      <c r="C79" s="213"/>
      <c r="D79" s="214"/>
      <c r="E79" s="246"/>
    </row>
    <row r="80" spans="1:19" x14ac:dyDescent="0.25">
      <c r="A80" s="84" t="str">
        <f>LEFT(A79,4)+1&amp;"–"&amp;RIGHT(A79,4)+1</f>
        <v>2027–2028</v>
      </c>
      <c r="B80" s="213"/>
      <c r="C80" s="213"/>
      <c r="D80" s="214"/>
      <c r="E80" s="215"/>
    </row>
    <row r="81" spans="1:5" x14ac:dyDescent="0.25">
      <c r="A81" s="84" t="str">
        <f>LEFT(A80,4)+1&amp;"–"&amp;RIGHT(A80,4)+5</f>
        <v>2028–2033</v>
      </c>
      <c r="B81" s="213"/>
      <c r="C81" s="213"/>
      <c r="D81" s="94"/>
      <c r="E81" s="88"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13"/>
      <c r="C82" s="213"/>
      <c r="D82" s="94"/>
      <c r="E82" s="215"/>
    </row>
    <row r="83" spans="1:5" x14ac:dyDescent="0.25">
      <c r="A83" s="84" t="str">
        <f t="shared" si="2"/>
        <v>2038–2043</v>
      </c>
      <c r="B83" s="213"/>
      <c r="C83" s="213"/>
      <c r="D83" s="94"/>
      <c r="E83" s="246"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13"/>
      <c r="C84" s="213"/>
      <c r="D84" s="94"/>
      <c r="E84" s="246"/>
    </row>
    <row r="85" spans="1:5" ht="15" customHeight="1" x14ac:dyDescent="0.25">
      <c r="A85" s="84" t="str">
        <f t="shared" si="2"/>
        <v>2048–2053</v>
      </c>
      <c r="B85" s="213"/>
      <c r="C85" s="213"/>
      <c r="D85" s="94"/>
      <c r="E85" s="215"/>
    </row>
    <row r="86" spans="1:5" x14ac:dyDescent="0.25">
      <c r="A86" s="84" t="str">
        <f t="shared" si="2"/>
        <v>2053–2058</v>
      </c>
      <c r="B86" s="213"/>
      <c r="C86" s="213"/>
      <c r="D86" s="94"/>
      <c r="E86" s="88"/>
    </row>
    <row r="87" spans="1:5" x14ac:dyDescent="0.25">
      <c r="A87" s="84" t="str">
        <f t="shared" si="2"/>
        <v>2058–2063</v>
      </c>
      <c r="B87" s="213"/>
      <c r="C87" s="213"/>
      <c r="D87" s="94"/>
      <c r="E87" s="88"/>
    </row>
    <row r="88" spans="1:5" ht="15.6" x14ac:dyDescent="0.3">
      <c r="A88" s="84" t="str">
        <f t="shared" si="2"/>
        <v>2063–2068</v>
      </c>
      <c r="B88" s="213"/>
      <c r="C88" s="213"/>
      <c r="D88" s="94"/>
      <c r="E88" s="78"/>
    </row>
    <row r="89" spans="1:5" ht="15.6" x14ac:dyDescent="0.3">
      <c r="A89" s="84" t="str">
        <f t="shared" si="2"/>
        <v>2068–2073</v>
      </c>
      <c r="B89" s="213"/>
      <c r="C89" s="213"/>
      <c r="D89" s="94"/>
      <c r="E89" s="78"/>
    </row>
    <row r="90" spans="1:5" x14ac:dyDescent="0.25">
      <c r="A90" s="84" t="str">
        <f t="shared" si="2"/>
        <v>2073–2078</v>
      </c>
      <c r="B90" s="213"/>
      <c r="C90" s="213"/>
      <c r="D90" s="94"/>
      <c r="E90" s="201"/>
    </row>
    <row r="91" spans="1:5" x14ac:dyDescent="0.25">
      <c r="A91" s="84" t="str">
        <f t="shared" si="2"/>
        <v>2078–2083</v>
      </c>
      <c r="B91" s="213"/>
      <c r="C91" s="213"/>
      <c r="D91" s="94"/>
    </row>
    <row r="92" spans="1:5" x14ac:dyDescent="0.25">
      <c r="A92" s="84" t="str">
        <f t="shared" si="2"/>
        <v>2083–2088</v>
      </c>
      <c r="B92" s="213"/>
      <c r="C92" s="213"/>
      <c r="D92" s="94"/>
    </row>
    <row r="93" spans="1:5" x14ac:dyDescent="0.25">
      <c r="A93" s="84" t="str">
        <f t="shared" si="2"/>
        <v>2088–2093</v>
      </c>
      <c r="B93" s="213"/>
      <c r="C93" s="213"/>
      <c r="D93" s="94"/>
    </row>
    <row r="94" spans="1:5" ht="15.6" x14ac:dyDescent="0.3">
      <c r="A94" s="84" t="str">
        <f t="shared" si="2"/>
        <v>2093–2098</v>
      </c>
      <c r="B94" s="213"/>
      <c r="C94" s="213"/>
      <c r="D94" s="94"/>
      <c r="E94" s="81"/>
    </row>
    <row r="95" spans="1:5" ht="15.6" x14ac:dyDescent="0.3">
      <c r="A95" s="84" t="str">
        <f t="shared" si="2"/>
        <v>2098–2103</v>
      </c>
      <c r="B95" s="213"/>
      <c r="C95" s="213"/>
      <c r="D95" s="94"/>
      <c r="E95" s="81"/>
    </row>
    <row r="96" spans="1:5" ht="15.6" x14ac:dyDescent="0.3">
      <c r="A96" s="84" t="str">
        <f t="shared" si="2"/>
        <v>2103–2108</v>
      </c>
      <c r="B96" s="213"/>
      <c r="C96" s="213"/>
      <c r="D96" s="94"/>
      <c r="E96" s="81"/>
    </row>
    <row r="97" spans="1:4" x14ac:dyDescent="0.25">
      <c r="A97" s="84" t="str">
        <f t="shared" si="2"/>
        <v>2108–2113</v>
      </c>
      <c r="B97" s="213"/>
      <c r="C97" s="213"/>
      <c r="D97" s="94"/>
    </row>
    <row r="98" spans="1:4" x14ac:dyDescent="0.25">
      <c r="A98" s="84" t="str">
        <f t="shared" si="2"/>
        <v>2113–2118</v>
      </c>
      <c r="B98" s="213"/>
      <c r="C98" s="213"/>
      <c r="D98" s="94"/>
    </row>
    <row r="99" spans="1:4" x14ac:dyDescent="0.25">
      <c r="A99" s="84" t="str">
        <f t="shared" si="2"/>
        <v>2118–2123</v>
      </c>
      <c r="B99" s="213"/>
      <c r="C99" s="213"/>
      <c r="D99" s="94"/>
    </row>
    <row r="100" spans="1:4" x14ac:dyDescent="0.25">
      <c r="A100" s="66"/>
      <c r="B100" s="66"/>
      <c r="C100" s="66"/>
      <c r="D100" s="66"/>
    </row>
    <row r="101" spans="1:4" x14ac:dyDescent="0.25">
      <c r="A101" s="223"/>
      <c r="B101" s="223"/>
      <c r="C101" s="223"/>
      <c r="D101" s="223"/>
    </row>
    <row r="102" spans="1:4" x14ac:dyDescent="0.25">
      <c r="A102" s="90"/>
    </row>
    <row r="103" spans="1:4" x14ac:dyDescent="0.25">
      <c r="A103" s="90"/>
    </row>
  </sheetData>
  <sheetProtection algorithmName="SHA-512" hashValue="I0swTpth3ryM/gNJAHzUC7gSAvLODGzmPKhEpZnOHbo95Ed4e7/K+h5zCLPxqW1KA6PKikkGQXaHO0n+bXZ5ww==" saltValue="4k2HJUv75daUwik+6zkSJQ==" spinCount="100000" sheet="1" objects="1" scenarios="1"/>
  <mergeCells count="23">
    <mergeCell ref="B72:C72"/>
    <mergeCell ref="B73:C73"/>
    <mergeCell ref="A74:C74"/>
    <mergeCell ref="E76:E79"/>
    <mergeCell ref="E83:E84"/>
    <mergeCell ref="B71:C71"/>
    <mergeCell ref="B10:C10"/>
    <mergeCell ref="B11:C11"/>
    <mergeCell ref="A12:C12"/>
    <mergeCell ref="E14:E17"/>
    <mergeCell ref="E21:E22"/>
    <mergeCell ref="B40:C40"/>
    <mergeCell ref="B41:C41"/>
    <mergeCell ref="B42:C42"/>
    <mergeCell ref="A43:C43"/>
    <mergeCell ref="E45:E48"/>
    <mergeCell ref="E52:E53"/>
    <mergeCell ref="B9:C9"/>
    <mergeCell ref="A1:E1"/>
    <mergeCell ref="A2:E2"/>
    <mergeCell ref="A3:C3"/>
    <mergeCell ref="A4:C4"/>
    <mergeCell ref="A5:C5"/>
  </mergeCells>
  <dataValidations count="1">
    <dataValidation type="whole" operator="greaterThanOrEqual" allowBlank="1" showErrorMessage="1" errorTitle="Whole Number Only" error="Enter amounts as whole numbers only." sqref="B14:C37 B45:C68 B76:C99" xr:uid="{B00CFF46-462D-4B98-A63D-13991963EF56}">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317C-DE5D-4C71-B927-CED5627931A4}">
  <sheetPr>
    <tabColor rgb="FF75DBFF"/>
    <pageSetUpPr fitToPage="1"/>
  </sheetPr>
  <dimension ref="A1:S577"/>
  <sheetViews>
    <sheetView showGridLines="0" zoomScaleNormal="100" workbookViewId="0">
      <selection activeCell="M88" sqref="M88"/>
    </sheetView>
  </sheetViews>
  <sheetFormatPr defaultColWidth="0" defaultRowHeight="14.4" zeroHeight="1" x14ac:dyDescent="0.3"/>
  <cols>
    <col min="1" max="1" width="2.88671875" style="132" customWidth="1"/>
    <col min="2" max="2" width="13.88671875" style="132" customWidth="1"/>
    <col min="3" max="3" width="2.88671875" style="161" customWidth="1"/>
    <col min="4" max="4" width="13.88671875" style="132" customWidth="1"/>
    <col min="5" max="5" width="2.88671875" style="161" customWidth="1"/>
    <col min="6" max="6" width="13.88671875" style="132" customWidth="1"/>
    <col min="7" max="7" width="2.88671875" style="132" customWidth="1"/>
    <col min="8" max="8" width="13.88671875" style="132" customWidth="1"/>
    <col min="9" max="9" width="2.88671875" style="132" customWidth="1"/>
    <col min="10" max="10" width="13.88671875" style="132" customWidth="1"/>
    <col min="11" max="11" width="2.88671875" style="161" customWidth="1"/>
    <col min="12" max="12" width="19.109375" style="132" customWidth="1"/>
    <col min="13" max="13" width="2.88671875" style="161" customWidth="1"/>
    <col min="14" max="14" width="25.88671875" style="132" customWidth="1"/>
    <col min="15" max="15" width="2.88671875" style="132" customWidth="1"/>
    <col min="16" max="16" width="13.88671875" style="132" customWidth="1"/>
    <col min="17" max="17" width="2.88671875" style="132" customWidth="1"/>
    <col min="18" max="19" width="0" style="132" hidden="1" customWidth="1"/>
    <col min="20" max="16384" width="9.109375" style="132" hidden="1"/>
  </cols>
  <sheetData>
    <row r="1" spans="1:17" s="127" customFormat="1" ht="15.6" x14ac:dyDescent="0.3">
      <c r="A1" s="122" t="s">
        <v>171</v>
      </c>
      <c r="B1" s="123"/>
      <c r="C1" s="124"/>
      <c r="D1" s="123"/>
      <c r="E1" s="124"/>
      <c r="F1" s="125"/>
      <c r="G1" s="125"/>
      <c r="H1" s="125"/>
      <c r="I1" s="125"/>
      <c r="J1" s="125"/>
      <c r="K1" s="126"/>
      <c r="L1" s="125"/>
      <c r="M1" s="126"/>
      <c r="N1" s="123"/>
      <c r="O1" s="123"/>
      <c r="P1" s="123"/>
      <c r="Q1" s="123"/>
    </row>
    <row r="2" spans="1:17" s="127" customFormat="1" ht="15.6" x14ac:dyDescent="0.3">
      <c r="A2" s="122" t="s">
        <v>112</v>
      </c>
      <c r="B2" s="123"/>
      <c r="C2" s="124"/>
      <c r="D2" s="123"/>
      <c r="E2" s="124"/>
      <c r="F2" s="123"/>
      <c r="G2" s="123"/>
      <c r="H2" s="123"/>
      <c r="I2" s="123"/>
      <c r="J2" s="123"/>
      <c r="K2" s="124"/>
      <c r="L2" s="123"/>
      <c r="M2" s="124"/>
      <c r="N2" s="123"/>
      <c r="O2" s="123"/>
      <c r="P2" s="123"/>
      <c r="Q2" s="123"/>
    </row>
    <row r="3" spans="1:17" s="127" customFormat="1" ht="15.6" x14ac:dyDescent="0.3">
      <c r="C3" s="128"/>
      <c r="E3" s="128"/>
      <c r="K3" s="128"/>
      <c r="M3" s="128"/>
    </row>
    <row r="4" spans="1:17" x14ac:dyDescent="0.3">
      <c r="A4" s="129" t="s">
        <v>113</v>
      </c>
      <c r="B4" s="130"/>
      <c r="C4" s="131"/>
      <c r="D4" s="130"/>
      <c r="E4" s="131"/>
      <c r="F4" s="130"/>
      <c r="G4" s="130"/>
      <c r="H4" s="130"/>
      <c r="I4" s="130"/>
      <c r="J4" s="130"/>
      <c r="K4" s="131"/>
      <c r="L4" s="130"/>
      <c r="M4" s="131"/>
      <c r="N4" s="130"/>
      <c r="O4" s="130"/>
      <c r="P4" s="130"/>
      <c r="Q4" s="130"/>
    </row>
    <row r="5" spans="1:17" ht="15" customHeight="1" x14ac:dyDescent="0.3">
      <c r="A5" s="251" t="s">
        <v>172</v>
      </c>
      <c r="B5" s="251"/>
      <c r="C5" s="251"/>
      <c r="D5" s="251"/>
      <c r="E5" s="251"/>
      <c r="F5" s="251"/>
      <c r="G5" s="251"/>
      <c r="H5" s="251"/>
      <c r="I5" s="251"/>
      <c r="J5" s="251"/>
      <c r="K5" s="251"/>
      <c r="L5" s="251"/>
      <c r="M5" s="251"/>
      <c r="N5" s="251"/>
      <c r="O5" s="251"/>
      <c r="P5" s="251"/>
      <c r="Q5" s="251"/>
    </row>
    <row r="6" spans="1:17" ht="15" customHeight="1" x14ac:dyDescent="0.3">
      <c r="A6" s="251"/>
      <c r="B6" s="251"/>
      <c r="C6" s="251"/>
      <c r="D6" s="251"/>
      <c r="E6" s="251"/>
      <c r="F6" s="251"/>
      <c r="G6" s="251"/>
      <c r="H6" s="251"/>
      <c r="I6" s="251"/>
      <c r="J6" s="251"/>
      <c r="K6" s="251"/>
      <c r="L6" s="251"/>
      <c r="M6" s="251"/>
      <c r="N6" s="251"/>
      <c r="O6" s="251"/>
      <c r="P6" s="251"/>
      <c r="Q6" s="251"/>
    </row>
    <row r="7" spans="1:17" x14ac:dyDescent="0.3">
      <c r="A7" s="251"/>
      <c r="B7" s="251"/>
      <c r="C7" s="251"/>
      <c r="D7" s="251"/>
      <c r="E7" s="251"/>
      <c r="F7" s="251"/>
      <c r="G7" s="251"/>
      <c r="H7" s="251"/>
      <c r="I7" s="251"/>
      <c r="J7" s="251"/>
      <c r="K7" s="251"/>
      <c r="L7" s="251"/>
      <c r="M7" s="251"/>
      <c r="N7" s="251"/>
      <c r="O7" s="251"/>
      <c r="P7" s="251"/>
      <c r="Q7" s="251"/>
    </row>
    <row r="8" spans="1:17" ht="15" customHeight="1" x14ac:dyDescent="0.3">
      <c r="A8" s="252" t="s">
        <v>115</v>
      </c>
      <c r="B8" s="252"/>
      <c r="C8" s="252"/>
      <c r="D8" s="252"/>
      <c r="E8" s="252"/>
      <c r="F8" s="252"/>
      <c r="G8" s="252"/>
      <c r="H8" s="252"/>
      <c r="I8" s="252"/>
      <c r="J8" s="252"/>
      <c r="K8" s="252"/>
      <c r="L8" s="252"/>
      <c r="M8" s="252"/>
      <c r="N8" s="252"/>
      <c r="O8" s="252"/>
      <c r="P8" s="252"/>
      <c r="Q8" s="252"/>
    </row>
    <row r="9" spans="1:17" x14ac:dyDescent="0.3">
      <c r="A9" s="252"/>
      <c r="B9" s="252"/>
      <c r="C9" s="252"/>
      <c r="D9" s="252"/>
      <c r="E9" s="252"/>
      <c r="F9" s="252"/>
      <c r="G9" s="252"/>
      <c r="H9" s="252"/>
      <c r="I9" s="252"/>
      <c r="J9" s="252"/>
      <c r="K9" s="252"/>
      <c r="L9" s="252"/>
      <c r="M9" s="252"/>
      <c r="N9" s="252"/>
      <c r="O9" s="252"/>
      <c r="P9" s="252"/>
      <c r="Q9" s="252"/>
    </row>
    <row r="10" spans="1:17" x14ac:dyDescent="0.3">
      <c r="A10" s="129" t="s">
        <v>173</v>
      </c>
      <c r="B10" s="130"/>
      <c r="C10" s="131"/>
      <c r="D10" s="130"/>
      <c r="E10" s="131"/>
      <c r="F10" s="130"/>
      <c r="G10" s="130"/>
      <c r="H10" s="130"/>
      <c r="I10" s="130"/>
      <c r="J10" s="130"/>
      <c r="K10" s="131"/>
      <c r="L10" s="130"/>
      <c r="M10" s="131"/>
      <c r="N10" s="130"/>
      <c r="O10" s="130"/>
      <c r="P10" s="130"/>
      <c r="Q10" s="130"/>
    </row>
    <row r="11" spans="1:17" x14ac:dyDescent="0.3">
      <c r="A11" s="133"/>
      <c r="B11" s="134" t="s">
        <v>117</v>
      </c>
      <c r="C11" s="134"/>
      <c r="D11" s="133"/>
      <c r="E11" s="135"/>
      <c r="F11" s="133"/>
      <c r="G11" s="133"/>
      <c r="H11" s="133"/>
      <c r="I11" s="133"/>
      <c r="J11" s="133"/>
      <c r="K11" s="135"/>
      <c r="L11" s="133"/>
      <c r="M11" s="135"/>
      <c r="N11" s="133"/>
      <c r="O11" s="133"/>
      <c r="P11" s="133"/>
      <c r="Q11" s="133"/>
    </row>
    <row r="12" spans="1:17" ht="6.75" customHeight="1" x14ac:dyDescent="0.3">
      <c r="A12" s="133"/>
      <c r="B12" s="133"/>
      <c r="C12" s="135"/>
      <c r="D12" s="133"/>
      <c r="E12" s="135"/>
      <c r="F12" s="133"/>
      <c r="G12" s="133"/>
      <c r="H12" s="133"/>
      <c r="I12" s="133"/>
      <c r="J12" s="133"/>
      <c r="K12" s="135"/>
      <c r="L12" s="133"/>
      <c r="M12" s="135"/>
      <c r="N12" s="133"/>
      <c r="O12" s="133"/>
      <c r="P12" s="133"/>
      <c r="Q12" s="133"/>
    </row>
    <row r="13" spans="1:17" ht="15" customHeight="1" x14ac:dyDescent="0.3">
      <c r="A13" s="133"/>
      <c r="B13" s="250" t="s">
        <v>118</v>
      </c>
      <c r="C13" s="250"/>
      <c r="D13" s="250"/>
      <c r="E13" s="250"/>
      <c r="F13" s="250"/>
      <c r="G13" s="250"/>
      <c r="H13" s="250"/>
      <c r="I13" s="250"/>
      <c r="J13" s="250"/>
      <c r="K13" s="250"/>
      <c r="L13" s="250"/>
      <c r="M13" s="135"/>
      <c r="N13" s="136" t="s">
        <v>119</v>
      </c>
      <c r="O13" s="137"/>
      <c r="P13" s="137"/>
      <c r="Q13" s="133"/>
    </row>
    <row r="14" spans="1:17" ht="15" customHeight="1" x14ac:dyDescent="0.3">
      <c r="A14" s="133"/>
      <c r="B14" s="138" t="s">
        <v>120</v>
      </c>
      <c r="C14" s="138"/>
      <c r="D14" s="138" t="s">
        <v>96</v>
      </c>
      <c r="E14" s="138"/>
      <c r="F14" s="138" t="s">
        <v>97</v>
      </c>
      <c r="G14" s="138"/>
      <c r="H14" s="138" t="s">
        <v>121</v>
      </c>
      <c r="I14" s="138"/>
      <c r="J14" s="138" t="s">
        <v>122</v>
      </c>
      <c r="K14" s="138"/>
      <c r="L14" s="138"/>
      <c r="M14" s="135"/>
      <c r="N14" s="139"/>
      <c r="O14" s="137"/>
      <c r="P14" s="137"/>
      <c r="Q14" s="133"/>
    </row>
    <row r="15" spans="1:17" ht="15" customHeight="1" x14ac:dyDescent="0.3">
      <c r="A15" s="133"/>
      <c r="B15" s="140" t="s">
        <v>123</v>
      </c>
      <c r="C15" s="141" t="s">
        <v>124</v>
      </c>
      <c r="D15" s="140" t="s">
        <v>174</v>
      </c>
      <c r="E15" s="140" t="s">
        <v>126</v>
      </c>
      <c r="F15" s="140" t="s">
        <v>175</v>
      </c>
      <c r="G15" s="140" t="s">
        <v>126</v>
      </c>
      <c r="H15" s="140" t="s">
        <v>176</v>
      </c>
      <c r="I15" s="140" t="s">
        <v>124</v>
      </c>
      <c r="J15" s="140" t="s">
        <v>127</v>
      </c>
      <c r="K15" s="141"/>
      <c r="L15" s="140"/>
      <c r="M15" s="141"/>
      <c r="N15" s="142" t="s">
        <v>177</v>
      </c>
      <c r="O15" s="137"/>
      <c r="P15" s="139" t="s">
        <v>131</v>
      </c>
      <c r="Q15" s="133"/>
    </row>
    <row r="16" spans="1:17" ht="15" customHeight="1" x14ac:dyDescent="0.3">
      <c r="A16" s="143"/>
      <c r="B16" s="144">
        <v>19915320</v>
      </c>
      <c r="C16" s="145" t="s">
        <v>124</v>
      </c>
      <c r="D16" s="144">
        <f>IF('LR-Fund 0042 Journal Entries'!$E$8="Governmental Fund",'LR-Fund 0042 Journal Entries'!$J$24,0)</f>
        <v>0</v>
      </c>
      <c r="E16" s="146" t="s">
        <v>126</v>
      </c>
      <c r="F16" s="144">
        <v>2618690.007091132</v>
      </c>
      <c r="G16" s="147" t="s">
        <v>126</v>
      </c>
      <c r="H16" s="144">
        <f>IF('LR-Fund 0042 Journal Entries'!$E$8="Governmental Fund",'LR-Fund 0042 Journal Entries'!$K$52,0)</f>
        <v>0</v>
      </c>
      <c r="I16" s="147" t="s">
        <v>124</v>
      </c>
      <c r="J16" s="144">
        <f>IF('LR-Fund 0042 Journal Entries'!$E$8="Governmental Fund",'LR-Fund 0042 Journal Entries'!$J$58,0)</f>
        <v>0</v>
      </c>
      <c r="K16" s="146" t="s">
        <v>132</v>
      </c>
      <c r="L16" s="148">
        <f>+B16+D16-F16-H16+J16</f>
        <v>17296629.992908869</v>
      </c>
      <c r="M16" s="149"/>
      <c r="N16" s="150">
        <f>SUM('LR-Department Note Disclosure'!B14:B37)</f>
        <v>17296629.568716969</v>
      </c>
      <c r="O16" s="151"/>
      <c r="P16" s="152">
        <f>L16-N16</f>
        <v>0.42419189959764481</v>
      </c>
      <c r="Q16" s="133"/>
    </row>
    <row r="17" spans="1:17" ht="6" customHeight="1" x14ac:dyDescent="0.3">
      <c r="A17" s="143"/>
      <c r="B17" s="143"/>
      <c r="C17" s="153"/>
      <c r="D17" s="143"/>
      <c r="E17" s="153"/>
      <c r="F17" s="143"/>
      <c r="G17" s="143"/>
      <c r="H17" s="143"/>
      <c r="I17" s="143"/>
      <c r="J17" s="143"/>
      <c r="K17" s="153"/>
      <c r="L17" s="143"/>
      <c r="M17" s="153"/>
      <c r="N17" s="143"/>
      <c r="O17" s="143"/>
      <c r="P17" s="143"/>
      <c r="Q17" s="133"/>
    </row>
    <row r="18" spans="1:17" ht="15" customHeight="1" x14ac:dyDescent="0.3">
      <c r="A18" s="143"/>
      <c r="B18" s="143"/>
      <c r="C18" s="153"/>
      <c r="D18" s="154" t="str">
        <f>IF(OR(P16&gt;0, (P16&lt;0)), "Please review and correct the variance.","")</f>
        <v>Please review and correct the variance.</v>
      </c>
      <c r="E18" s="153"/>
      <c r="F18" s="143"/>
      <c r="G18" s="143"/>
      <c r="H18" s="143"/>
      <c r="I18" s="143"/>
      <c r="J18" s="143"/>
      <c r="K18" s="153"/>
      <c r="L18" s="143"/>
      <c r="M18" s="153"/>
      <c r="N18" s="143"/>
      <c r="O18" s="143"/>
      <c r="P18" s="143"/>
      <c r="Q18" s="133"/>
    </row>
    <row r="19" spans="1:17" x14ac:dyDescent="0.3">
      <c r="A19" s="133"/>
      <c r="B19" s="134" t="s">
        <v>133</v>
      </c>
      <c r="C19" s="134"/>
      <c r="D19" s="133"/>
      <c r="E19" s="135"/>
      <c r="F19" s="133"/>
      <c r="G19" s="133"/>
      <c r="H19" s="133"/>
      <c r="I19" s="133"/>
      <c r="J19" s="133"/>
      <c r="K19" s="135"/>
      <c r="L19" s="133"/>
      <c r="M19" s="135"/>
      <c r="N19" s="133"/>
      <c r="O19" s="133"/>
      <c r="P19" s="133"/>
      <c r="Q19" s="133"/>
    </row>
    <row r="20" spans="1:17" ht="6" customHeight="1" x14ac:dyDescent="0.3">
      <c r="A20" s="133"/>
      <c r="B20" s="133"/>
      <c r="C20" s="135"/>
      <c r="D20" s="133"/>
      <c r="E20" s="135"/>
      <c r="F20" s="133"/>
      <c r="G20" s="133"/>
      <c r="H20" s="133"/>
      <c r="I20" s="133"/>
      <c r="J20" s="133"/>
      <c r="K20" s="135"/>
      <c r="L20" s="133"/>
      <c r="M20" s="135"/>
      <c r="N20" s="133"/>
      <c r="O20" s="133"/>
      <c r="P20" s="133"/>
      <c r="Q20" s="133"/>
    </row>
    <row r="21" spans="1:17" ht="15" customHeight="1" x14ac:dyDescent="0.3">
      <c r="A21" s="133"/>
      <c r="B21" s="250" t="s">
        <v>118</v>
      </c>
      <c r="C21" s="250"/>
      <c r="D21" s="250"/>
      <c r="E21" s="250"/>
      <c r="F21" s="250"/>
      <c r="G21" s="250"/>
      <c r="H21" s="250"/>
      <c r="I21" s="250"/>
      <c r="J21" s="250"/>
      <c r="K21" s="250"/>
      <c r="L21" s="250"/>
      <c r="M21" s="135"/>
      <c r="N21" s="136" t="s">
        <v>119</v>
      </c>
      <c r="O21" s="137"/>
      <c r="P21" s="137"/>
      <c r="Q21" s="133"/>
    </row>
    <row r="22" spans="1:17" ht="15" customHeight="1" x14ac:dyDescent="0.3">
      <c r="A22" s="133"/>
      <c r="B22" s="138" t="s">
        <v>120</v>
      </c>
      <c r="C22" s="138"/>
      <c r="D22" s="138" t="s">
        <v>96</v>
      </c>
      <c r="E22" s="138"/>
      <c r="F22" s="138" t="s">
        <v>97</v>
      </c>
      <c r="G22" s="138"/>
      <c r="H22" s="138" t="s">
        <v>121</v>
      </c>
      <c r="I22" s="138"/>
      <c r="J22" s="138" t="s">
        <v>122</v>
      </c>
      <c r="K22" s="138"/>
      <c r="L22" s="138"/>
      <c r="M22" s="135"/>
      <c r="N22" s="139"/>
      <c r="O22" s="137"/>
      <c r="P22" s="137"/>
      <c r="Q22" s="133"/>
    </row>
    <row r="23" spans="1:17" ht="15" customHeight="1" x14ac:dyDescent="0.3">
      <c r="A23" s="133"/>
      <c r="B23" s="140" t="s">
        <v>123</v>
      </c>
      <c r="C23" s="141" t="s">
        <v>124</v>
      </c>
      <c r="D23" s="140" t="s">
        <v>174</v>
      </c>
      <c r="E23" s="140" t="s">
        <v>126</v>
      </c>
      <c r="F23" s="140" t="s">
        <v>175</v>
      </c>
      <c r="G23" s="140" t="s">
        <v>126</v>
      </c>
      <c r="H23" s="140" t="s">
        <v>176</v>
      </c>
      <c r="I23" s="140" t="s">
        <v>124</v>
      </c>
      <c r="J23" s="140" t="s">
        <v>127</v>
      </c>
      <c r="K23" s="141"/>
      <c r="L23" s="140"/>
      <c r="M23" s="141"/>
      <c r="N23" s="142" t="s">
        <v>177</v>
      </c>
      <c r="O23" s="137"/>
      <c r="P23" s="139" t="s">
        <v>131</v>
      </c>
      <c r="Q23" s="133"/>
    </row>
    <row r="24" spans="1:17" ht="15" customHeight="1" x14ac:dyDescent="0.3">
      <c r="A24" s="143"/>
      <c r="B24" s="144">
        <f>IF('LR-Fund 0042 Journal Entries'!$E$8="Proprietary - Internal Service Fund",'LR-Fund 0042 Journal Entries'!$J$14,0)</f>
        <v>0</v>
      </c>
      <c r="C24" s="145" t="s">
        <v>124</v>
      </c>
      <c r="D24" s="144">
        <f>IF('LR-Fund 0042 Journal Entries'!$E$8="Proprietary - Internal Service Fund",'LR-Fund 0042 Journal Entries'!$J$24,0)</f>
        <v>0</v>
      </c>
      <c r="E24" s="146" t="s">
        <v>126</v>
      </c>
      <c r="F24" s="144">
        <f>IF('LR-Fund 0042 Journal Entries'!$E$8="Proprietary - Internal Service Fund",'LR-Fund 0042 Journal Entries'!$K$31,0)</f>
        <v>0</v>
      </c>
      <c r="G24" s="147" t="s">
        <v>126</v>
      </c>
      <c r="H24" s="144">
        <f>IF('LR-Fund 0042 Journal Entries'!$E$8="Proprietary - Internal Service Fund",'LR-Fund 0042 Journal Entries'!$K$52,0)</f>
        <v>0</v>
      </c>
      <c r="I24" s="147" t="s">
        <v>124</v>
      </c>
      <c r="J24" s="144">
        <f>IF('LR-Fund 0042 Journal Entries'!$E$8="Proprietary - Internal Service Fund",'LR-Fund 0042 Journal Entries'!$J$58,0)</f>
        <v>0</v>
      </c>
      <c r="K24" s="146" t="s">
        <v>132</v>
      </c>
      <c r="L24" s="148">
        <f>+B24+D24-F24-H24+J24</f>
        <v>0</v>
      </c>
      <c r="M24" s="149"/>
      <c r="N24" s="150">
        <f>SUM('LR-Department Note Disclosure'!B45:B68)</f>
        <v>0</v>
      </c>
      <c r="O24" s="151"/>
      <c r="P24" s="152">
        <f>L24-N24</f>
        <v>0</v>
      </c>
      <c r="Q24" s="133"/>
    </row>
    <row r="25" spans="1:17" ht="6" customHeight="1" x14ac:dyDescent="0.3">
      <c r="A25" s="143"/>
      <c r="B25" s="143"/>
      <c r="C25" s="153"/>
      <c r="D25" s="143"/>
      <c r="E25" s="153"/>
      <c r="F25" s="143"/>
      <c r="G25" s="143"/>
      <c r="H25" s="143"/>
      <c r="I25" s="143"/>
      <c r="J25" s="143"/>
      <c r="K25" s="153"/>
      <c r="L25" s="143"/>
      <c r="M25" s="153"/>
      <c r="N25" s="143"/>
      <c r="O25" s="143"/>
      <c r="P25" s="143"/>
      <c r="Q25" s="133"/>
    </row>
    <row r="26" spans="1:17" ht="15" customHeight="1" x14ac:dyDescent="0.3">
      <c r="A26" s="143"/>
      <c r="B26" s="143"/>
      <c r="C26" s="153"/>
      <c r="D26" s="154" t="str">
        <f>IF(OR(P24&gt;0, (P24&lt;0)), "Please review and correct the variance.","")</f>
        <v/>
      </c>
      <c r="E26" s="153"/>
      <c r="F26" s="143"/>
      <c r="G26" s="143"/>
      <c r="H26" s="143"/>
      <c r="I26" s="143"/>
      <c r="J26" s="143"/>
      <c r="K26" s="153"/>
      <c r="L26" s="143"/>
      <c r="M26" s="153"/>
      <c r="N26" s="143"/>
      <c r="O26" s="143"/>
      <c r="P26" s="143"/>
      <c r="Q26" s="133"/>
    </row>
    <row r="27" spans="1:17" ht="6" customHeight="1" x14ac:dyDescent="0.3">
      <c r="A27" s="133"/>
      <c r="B27" s="155"/>
      <c r="C27" s="135"/>
      <c r="D27" s="155"/>
      <c r="E27" s="135"/>
      <c r="F27" s="155"/>
      <c r="G27" s="155"/>
      <c r="H27" s="155"/>
      <c r="I27" s="155"/>
      <c r="J27" s="155"/>
      <c r="K27" s="135"/>
      <c r="L27" s="155"/>
      <c r="M27" s="135"/>
      <c r="N27" s="155"/>
      <c r="O27" s="155"/>
      <c r="P27" s="155"/>
      <c r="Q27" s="133"/>
    </row>
    <row r="28" spans="1:17" x14ac:dyDescent="0.3">
      <c r="A28" s="133"/>
      <c r="B28" s="134" t="s">
        <v>134</v>
      </c>
      <c r="C28" s="134"/>
      <c r="D28" s="133"/>
      <c r="E28" s="135"/>
      <c r="F28" s="133"/>
      <c r="G28" s="133"/>
      <c r="H28" s="133"/>
      <c r="I28" s="133"/>
      <c r="J28" s="133"/>
      <c r="K28" s="135"/>
      <c r="L28" s="133"/>
      <c r="M28" s="135"/>
      <c r="N28" s="133"/>
      <c r="O28" s="133"/>
      <c r="P28" s="133"/>
      <c r="Q28" s="133"/>
    </row>
    <row r="29" spans="1:17" ht="6" customHeight="1" x14ac:dyDescent="0.3">
      <c r="A29" s="133"/>
      <c r="B29" s="133"/>
      <c r="C29" s="135"/>
      <c r="D29" s="133"/>
      <c r="E29" s="135"/>
      <c r="F29" s="133"/>
      <c r="G29" s="133"/>
      <c r="H29" s="133"/>
      <c r="I29" s="133"/>
      <c r="J29" s="133"/>
      <c r="K29" s="135"/>
      <c r="L29" s="133"/>
      <c r="M29" s="135"/>
      <c r="N29" s="133"/>
      <c r="O29" s="133"/>
      <c r="P29" s="133"/>
      <c r="Q29" s="133"/>
    </row>
    <row r="30" spans="1:17" ht="15" customHeight="1" x14ac:dyDescent="0.3">
      <c r="A30" s="133"/>
      <c r="B30" s="250" t="s">
        <v>118</v>
      </c>
      <c r="C30" s="250"/>
      <c r="D30" s="250"/>
      <c r="E30" s="250"/>
      <c r="F30" s="250"/>
      <c r="G30" s="250"/>
      <c r="H30" s="250"/>
      <c r="I30" s="250"/>
      <c r="J30" s="250"/>
      <c r="K30" s="250"/>
      <c r="L30" s="250"/>
      <c r="M30" s="135"/>
      <c r="N30" s="136" t="s">
        <v>119</v>
      </c>
      <c r="O30" s="137"/>
      <c r="P30" s="137"/>
      <c r="Q30" s="133"/>
    </row>
    <row r="31" spans="1:17" ht="15" customHeight="1" x14ac:dyDescent="0.3">
      <c r="A31" s="133"/>
      <c r="B31" s="138" t="s">
        <v>120</v>
      </c>
      <c r="C31" s="138"/>
      <c r="D31" s="138" t="s">
        <v>96</v>
      </c>
      <c r="E31" s="138"/>
      <c r="F31" s="138" t="s">
        <v>97</v>
      </c>
      <c r="G31" s="138"/>
      <c r="H31" s="138" t="s">
        <v>121</v>
      </c>
      <c r="I31" s="138"/>
      <c r="J31" s="138" t="s">
        <v>122</v>
      </c>
      <c r="K31" s="138"/>
      <c r="L31" s="138"/>
      <c r="M31" s="135"/>
      <c r="N31" s="139"/>
      <c r="O31" s="137"/>
      <c r="P31" s="137"/>
      <c r="Q31" s="133"/>
    </row>
    <row r="32" spans="1:17" ht="15" customHeight="1" x14ac:dyDescent="0.3">
      <c r="A32" s="133"/>
      <c r="B32" s="140" t="s">
        <v>123</v>
      </c>
      <c r="C32" s="141" t="s">
        <v>124</v>
      </c>
      <c r="D32" s="140" t="s">
        <v>174</v>
      </c>
      <c r="E32" s="140" t="s">
        <v>126</v>
      </c>
      <c r="F32" s="140" t="s">
        <v>175</v>
      </c>
      <c r="G32" s="140" t="s">
        <v>126</v>
      </c>
      <c r="H32" s="140" t="s">
        <v>176</v>
      </c>
      <c r="I32" s="140" t="s">
        <v>124</v>
      </c>
      <c r="J32" s="140" t="s">
        <v>127</v>
      </c>
      <c r="K32" s="141"/>
      <c r="L32" s="140"/>
      <c r="M32" s="141"/>
      <c r="N32" s="142" t="s">
        <v>177</v>
      </c>
      <c r="O32" s="137"/>
      <c r="P32" s="139" t="s">
        <v>131</v>
      </c>
      <c r="Q32" s="133"/>
    </row>
    <row r="33" spans="1:17" ht="15" customHeight="1" x14ac:dyDescent="0.3">
      <c r="A33" s="143"/>
      <c r="B33" s="144">
        <f>IF('LR-Fund 0042 Journal Entries'!$E$8="Proprietary - Enterprise Fund",'LR-Fund 0042 Journal Entries'!$J$14,0)</f>
        <v>0</v>
      </c>
      <c r="C33" s="145" t="s">
        <v>124</v>
      </c>
      <c r="D33" s="144">
        <f>IF('LR-Fund 0042 Journal Entries'!$E$8="Proprietary - Enterprise Fund",'LR-Fund 0042 Journal Entries'!$J$24,0)</f>
        <v>0</v>
      </c>
      <c r="E33" s="146" t="s">
        <v>126</v>
      </c>
      <c r="F33" s="144">
        <f>IF('LR-Fund 0042 Journal Entries'!$E$8="Proprietary - Enterprise Fund",'LR-Fund 0042 Journal Entries'!$K$31,0)</f>
        <v>0</v>
      </c>
      <c r="G33" s="147" t="s">
        <v>126</v>
      </c>
      <c r="H33" s="144">
        <f>IF('LR-Fund 0042 Journal Entries'!$E$8="Proprietary - Enterprise Fund",'LR-Fund 0042 Journal Entries'!$K$52,0)</f>
        <v>0</v>
      </c>
      <c r="I33" s="147" t="s">
        <v>124</v>
      </c>
      <c r="J33" s="144">
        <f>IF('LR-Fund 0042 Journal Entries'!$E$8="Proprietary - Enterprise Fund",'LR-Fund 0042 Journal Entries'!$J$58,0)</f>
        <v>0</v>
      </c>
      <c r="K33" s="146" t="s">
        <v>132</v>
      </c>
      <c r="L33" s="148">
        <f>+B33+D33-F33-H33+J33</f>
        <v>0</v>
      </c>
      <c r="M33" s="149"/>
      <c r="N33" s="150">
        <f>SUM('LR-Department Note Disclosure'!B76:B99)</f>
        <v>0</v>
      </c>
      <c r="O33" s="151"/>
      <c r="P33" s="152">
        <f>L33-N33</f>
        <v>0</v>
      </c>
      <c r="Q33" s="133"/>
    </row>
    <row r="34" spans="1:17" ht="6" customHeight="1" x14ac:dyDescent="0.3">
      <c r="A34" s="143"/>
      <c r="B34" s="143"/>
      <c r="C34" s="153"/>
      <c r="D34" s="143"/>
      <c r="E34" s="153"/>
      <c r="F34" s="143"/>
      <c r="G34" s="143"/>
      <c r="H34" s="143"/>
      <c r="I34" s="143"/>
      <c r="J34" s="143"/>
      <c r="K34" s="153"/>
      <c r="L34" s="143"/>
      <c r="M34" s="153"/>
      <c r="N34" s="143"/>
      <c r="O34" s="143"/>
      <c r="P34" s="143"/>
      <c r="Q34" s="133"/>
    </row>
    <row r="35" spans="1:17" ht="15" customHeight="1" x14ac:dyDescent="0.3">
      <c r="A35" s="143"/>
      <c r="B35" s="143"/>
      <c r="C35" s="153"/>
      <c r="D35" s="154" t="str">
        <f>IF(OR(P33&gt;0, (P33&lt;0)), "Please review and correct the variance.","")</f>
        <v/>
      </c>
      <c r="E35" s="153"/>
      <c r="F35" s="143"/>
      <c r="G35" s="143"/>
      <c r="H35" s="143"/>
      <c r="I35" s="143"/>
      <c r="J35" s="143"/>
      <c r="K35" s="153"/>
      <c r="L35" s="143"/>
      <c r="M35" s="153"/>
      <c r="N35" s="143"/>
      <c r="O35" s="143"/>
      <c r="P35" s="143"/>
      <c r="Q35" s="133"/>
    </row>
    <row r="36" spans="1:17" ht="6" customHeight="1" x14ac:dyDescent="0.3">
      <c r="A36" s="133"/>
      <c r="B36" s="155"/>
      <c r="C36" s="135"/>
      <c r="D36" s="155"/>
      <c r="E36" s="135"/>
      <c r="F36" s="155"/>
      <c r="G36" s="155"/>
      <c r="H36" s="155"/>
      <c r="I36" s="155"/>
      <c r="J36" s="155"/>
      <c r="K36" s="135"/>
      <c r="L36" s="155"/>
      <c r="M36" s="135"/>
      <c r="N36" s="155"/>
      <c r="O36" s="155"/>
      <c r="P36" s="155"/>
      <c r="Q36" s="133"/>
    </row>
    <row r="37" spans="1:17" x14ac:dyDescent="0.3">
      <c r="A37" s="129" t="s">
        <v>178</v>
      </c>
      <c r="B37" s="130"/>
      <c r="C37" s="131"/>
      <c r="D37" s="130"/>
      <c r="E37" s="131"/>
      <c r="F37" s="130"/>
      <c r="G37" s="130"/>
      <c r="H37" s="130"/>
      <c r="I37" s="130"/>
      <c r="J37" s="130"/>
      <c r="K37" s="131"/>
      <c r="L37" s="130"/>
      <c r="M37" s="131"/>
      <c r="N37" s="130"/>
      <c r="O37" s="130"/>
      <c r="P37" s="130"/>
      <c r="Q37" s="130"/>
    </row>
    <row r="38" spans="1:17" ht="15" customHeight="1" x14ac:dyDescent="0.3">
      <c r="A38" s="133"/>
      <c r="B38" s="134" t="s">
        <v>117</v>
      </c>
      <c r="C38" s="134"/>
      <c r="D38" s="133"/>
      <c r="E38" s="135"/>
      <c r="F38" s="133"/>
      <c r="G38" s="133"/>
      <c r="H38" s="133"/>
      <c r="I38" s="133"/>
      <c r="J38" s="133"/>
      <c r="K38" s="135"/>
      <c r="L38" s="133"/>
      <c r="M38" s="135"/>
      <c r="N38" s="133"/>
      <c r="O38" s="133"/>
      <c r="P38" s="133"/>
      <c r="Q38" s="133"/>
    </row>
    <row r="39" spans="1:17" ht="6" customHeight="1" x14ac:dyDescent="0.3">
      <c r="A39" s="133"/>
      <c r="B39" s="133"/>
      <c r="C39" s="135"/>
      <c r="D39" s="133"/>
      <c r="E39" s="135"/>
      <c r="F39" s="133"/>
      <c r="G39" s="133"/>
      <c r="H39" s="133"/>
      <c r="I39" s="133"/>
      <c r="J39" s="133"/>
      <c r="K39" s="135"/>
      <c r="L39" s="133"/>
      <c r="M39" s="135"/>
      <c r="N39" s="133"/>
      <c r="O39" s="133"/>
      <c r="P39" s="133"/>
      <c r="Q39" s="133"/>
    </row>
    <row r="40" spans="1:17" ht="15" customHeight="1" x14ac:dyDescent="0.3">
      <c r="A40" s="133"/>
      <c r="B40" s="250" t="s">
        <v>118</v>
      </c>
      <c r="C40" s="250"/>
      <c r="D40" s="250"/>
      <c r="E40" s="134"/>
      <c r="F40" s="134"/>
      <c r="G40" s="134"/>
      <c r="H40" s="134"/>
      <c r="I40" s="134"/>
      <c r="J40" s="134"/>
      <c r="K40" s="134"/>
      <c r="L40" s="134"/>
      <c r="M40" s="135"/>
      <c r="N40" s="136" t="s">
        <v>119</v>
      </c>
      <c r="O40" s="137"/>
      <c r="P40" s="137"/>
      <c r="Q40" s="133"/>
    </row>
    <row r="41" spans="1:17" ht="15" customHeight="1" x14ac:dyDescent="0.3">
      <c r="A41" s="133"/>
      <c r="B41" s="140" t="s">
        <v>179</v>
      </c>
      <c r="C41" s="156" t="s">
        <v>137</v>
      </c>
      <c r="E41" s="133"/>
      <c r="G41" s="140"/>
      <c r="H41" s="140"/>
      <c r="I41" s="140"/>
      <c r="J41" s="140"/>
      <c r="K41" s="133"/>
      <c r="L41" s="133"/>
      <c r="M41" s="141"/>
      <c r="N41" s="142" t="str">
        <f>CONCATENATE('LS-Department Note Disclosure'!$A$13," Principal Payments")</f>
        <v>2023–2024 Principal Payments</v>
      </c>
      <c r="O41" s="137"/>
      <c r="P41" s="139" t="s">
        <v>131</v>
      </c>
      <c r="Q41" s="133"/>
    </row>
    <row r="42" spans="1:17" ht="15" customHeight="1" x14ac:dyDescent="0.3">
      <c r="A42" s="133"/>
      <c r="B42" s="144">
        <v>2641656.9889718071</v>
      </c>
      <c r="C42" s="155"/>
      <c r="E42" s="155"/>
      <c r="G42" s="157"/>
      <c r="H42" s="157"/>
      <c r="I42" s="157"/>
      <c r="J42" s="157"/>
      <c r="K42" s="155"/>
      <c r="L42" s="155"/>
      <c r="M42" s="158"/>
      <c r="N42" s="150">
        <f>'LR-Department Note Disclosure'!B14</f>
        <v>2641656.9889718071</v>
      </c>
      <c r="O42" s="159"/>
      <c r="P42" s="152">
        <f>B42-N42</f>
        <v>0</v>
      </c>
      <c r="Q42" s="133"/>
    </row>
    <row r="43" spans="1:17" ht="6" customHeight="1" x14ac:dyDescent="0.3">
      <c r="A43" s="133"/>
      <c r="B43" s="143"/>
      <c r="C43" s="153"/>
      <c r="D43" s="143"/>
      <c r="E43" s="153"/>
      <c r="F43" s="143"/>
      <c r="G43" s="143"/>
      <c r="H43" s="143"/>
      <c r="I43" s="143"/>
      <c r="J43" s="143"/>
      <c r="K43" s="153"/>
      <c r="L43" s="143"/>
      <c r="M43" s="153"/>
      <c r="N43" s="143"/>
      <c r="O43" s="143"/>
      <c r="P43" s="143"/>
      <c r="Q43" s="133"/>
    </row>
    <row r="44" spans="1:17" ht="17.399999999999999" x14ac:dyDescent="0.3">
      <c r="A44" s="133"/>
      <c r="B44" s="143"/>
      <c r="C44" s="153"/>
      <c r="D44" s="154" t="str">
        <f>IF(OR(P42&gt;0, (P42&lt;0)), "Please review and correct the variance.","")</f>
        <v/>
      </c>
      <c r="E44" s="153"/>
      <c r="F44" s="143"/>
      <c r="G44" s="143"/>
      <c r="H44" s="143"/>
      <c r="I44" s="143"/>
      <c r="J44" s="143"/>
      <c r="K44" s="153"/>
      <c r="L44" s="143"/>
      <c r="M44" s="153"/>
      <c r="N44" s="143"/>
      <c r="O44" s="143"/>
      <c r="P44" s="143"/>
      <c r="Q44" s="133"/>
    </row>
    <row r="45" spans="1:17" x14ac:dyDescent="0.3">
      <c r="A45" s="133"/>
      <c r="B45" s="134" t="s">
        <v>133</v>
      </c>
      <c r="C45" s="134"/>
      <c r="D45" s="133"/>
      <c r="E45" s="135"/>
      <c r="F45" s="133"/>
      <c r="G45" s="133"/>
      <c r="H45" s="133"/>
      <c r="I45" s="133"/>
      <c r="J45" s="133"/>
      <c r="K45" s="135"/>
      <c r="L45" s="133"/>
      <c r="M45" s="135"/>
      <c r="N45" s="133"/>
      <c r="O45" s="133"/>
      <c r="P45" s="133"/>
      <c r="Q45" s="133"/>
    </row>
    <row r="46" spans="1:17" ht="6" customHeight="1" x14ac:dyDescent="0.3">
      <c r="A46" s="133"/>
      <c r="B46" s="133"/>
      <c r="C46" s="135"/>
      <c r="D46" s="133"/>
      <c r="E46" s="135"/>
      <c r="F46" s="133"/>
      <c r="G46" s="133"/>
      <c r="H46" s="133"/>
      <c r="I46" s="133"/>
      <c r="J46" s="133"/>
      <c r="K46" s="135"/>
      <c r="L46" s="133"/>
      <c r="M46" s="135"/>
      <c r="N46" s="133"/>
      <c r="O46" s="133"/>
      <c r="P46" s="133"/>
      <c r="Q46" s="133"/>
    </row>
    <row r="47" spans="1:17" ht="15" customHeight="1" x14ac:dyDescent="0.3">
      <c r="A47" s="133"/>
      <c r="B47" s="250" t="s">
        <v>118</v>
      </c>
      <c r="C47" s="250"/>
      <c r="D47" s="250"/>
      <c r="E47" s="134"/>
      <c r="F47" s="134"/>
      <c r="G47" s="134"/>
      <c r="H47" s="134"/>
      <c r="I47" s="134"/>
      <c r="J47" s="134"/>
      <c r="K47" s="134"/>
      <c r="L47" s="134"/>
      <c r="M47" s="135"/>
      <c r="N47" s="136" t="s">
        <v>119</v>
      </c>
      <c r="O47" s="137"/>
      <c r="P47" s="137"/>
      <c r="Q47" s="133"/>
    </row>
    <row r="48" spans="1:17" ht="15" customHeight="1" x14ac:dyDescent="0.3">
      <c r="A48" s="133"/>
      <c r="B48" s="140" t="s">
        <v>179</v>
      </c>
      <c r="C48" s="156" t="s">
        <v>137</v>
      </c>
      <c r="E48" s="133"/>
      <c r="G48" s="140"/>
      <c r="H48" s="140"/>
      <c r="I48" s="140"/>
      <c r="J48" s="140"/>
      <c r="K48" s="133"/>
      <c r="L48" s="133"/>
      <c r="M48" s="141"/>
      <c r="N48" s="142" t="str">
        <f>CONCATENATE('LS-Department Note Disclosure'!$A$44," Principal Payments")</f>
        <v>2023–2024 Principal Payments</v>
      </c>
      <c r="O48" s="137"/>
      <c r="P48" s="139" t="s">
        <v>131</v>
      </c>
      <c r="Q48" s="133"/>
    </row>
    <row r="49" spans="1:17" x14ac:dyDescent="0.3">
      <c r="A49" s="133"/>
      <c r="B49" s="144">
        <f>IF('LR-Fund 0042 Journal Entries'!$E$8="Proprietary - Internal Service Fund",'LR-Fund 0042 Journal Entries'!$J$41,0)</f>
        <v>0</v>
      </c>
      <c r="C49" s="155"/>
      <c r="E49" s="155"/>
      <c r="G49" s="157"/>
      <c r="H49" s="157"/>
      <c r="I49" s="157"/>
      <c r="J49" s="157"/>
      <c r="K49" s="155"/>
      <c r="L49" s="155"/>
      <c r="M49" s="158"/>
      <c r="N49" s="150">
        <f>'LR-Department Note Disclosure'!B45</f>
        <v>0</v>
      </c>
      <c r="O49" s="159"/>
      <c r="P49" s="152">
        <f>B49-N49</f>
        <v>0</v>
      </c>
      <c r="Q49" s="133"/>
    </row>
    <row r="50" spans="1:17" ht="6" customHeight="1" x14ac:dyDescent="0.3">
      <c r="A50" s="133"/>
      <c r="B50" s="143"/>
      <c r="C50" s="153"/>
      <c r="D50" s="143"/>
      <c r="E50" s="153"/>
      <c r="F50" s="143"/>
      <c r="G50" s="143"/>
      <c r="H50" s="143"/>
      <c r="I50" s="143"/>
      <c r="J50" s="143"/>
      <c r="K50" s="153"/>
      <c r="L50" s="143"/>
      <c r="M50" s="153"/>
      <c r="N50" s="143"/>
      <c r="O50" s="143"/>
      <c r="P50" s="143"/>
      <c r="Q50" s="133"/>
    </row>
    <row r="51" spans="1:17" ht="17.399999999999999" x14ac:dyDescent="0.3">
      <c r="A51" s="133"/>
      <c r="B51" s="133"/>
      <c r="C51" s="133"/>
      <c r="D51" s="154" t="str">
        <f>IF(OR(P49&gt;0, (P49&lt;0)), "Please review and correct the variance.","")</f>
        <v/>
      </c>
      <c r="E51" s="133"/>
      <c r="F51" s="133"/>
      <c r="G51" s="133"/>
      <c r="H51" s="133"/>
      <c r="I51" s="133"/>
      <c r="J51" s="133"/>
      <c r="K51" s="133"/>
      <c r="L51" s="133"/>
      <c r="M51" s="133"/>
      <c r="N51" s="133"/>
      <c r="O51" s="133"/>
      <c r="P51" s="133"/>
      <c r="Q51" s="133"/>
    </row>
    <row r="52" spans="1:17" ht="6" customHeight="1" x14ac:dyDescent="0.3">
      <c r="A52" s="133"/>
      <c r="B52" s="155"/>
      <c r="C52" s="135"/>
      <c r="D52" s="155"/>
      <c r="E52" s="135"/>
      <c r="F52" s="155"/>
      <c r="G52" s="155"/>
      <c r="H52" s="155"/>
      <c r="I52" s="155"/>
      <c r="J52" s="155"/>
      <c r="K52" s="135"/>
      <c r="L52" s="155"/>
      <c r="M52" s="135"/>
      <c r="N52" s="155"/>
      <c r="O52" s="155"/>
      <c r="P52" s="155"/>
      <c r="Q52" s="133"/>
    </row>
    <row r="53" spans="1:17" x14ac:dyDescent="0.3">
      <c r="A53" s="133"/>
      <c r="B53" s="134" t="s">
        <v>134</v>
      </c>
      <c r="C53" s="134"/>
      <c r="D53" s="133"/>
      <c r="E53" s="135"/>
      <c r="F53" s="133"/>
      <c r="G53" s="133"/>
      <c r="H53" s="133"/>
      <c r="I53" s="133"/>
      <c r="J53" s="133"/>
      <c r="K53" s="135"/>
      <c r="L53" s="133"/>
      <c r="M53" s="135"/>
      <c r="N53" s="133"/>
      <c r="O53" s="133"/>
      <c r="P53" s="133"/>
      <c r="Q53" s="133"/>
    </row>
    <row r="54" spans="1:17" ht="6" customHeight="1" x14ac:dyDescent="0.3">
      <c r="A54" s="133"/>
      <c r="B54" s="133"/>
      <c r="C54" s="135"/>
      <c r="D54" s="133"/>
      <c r="E54" s="135"/>
      <c r="F54" s="133"/>
      <c r="G54" s="133"/>
      <c r="H54" s="133"/>
      <c r="I54" s="133"/>
      <c r="J54" s="133"/>
      <c r="K54" s="135"/>
      <c r="L54" s="133"/>
      <c r="M54" s="135"/>
      <c r="N54" s="133"/>
      <c r="O54" s="133"/>
      <c r="P54" s="133"/>
      <c r="Q54" s="133"/>
    </row>
    <row r="55" spans="1:17" ht="15" customHeight="1" x14ac:dyDescent="0.3">
      <c r="A55" s="133"/>
      <c r="B55" s="250" t="s">
        <v>118</v>
      </c>
      <c r="C55" s="250"/>
      <c r="D55" s="250"/>
      <c r="E55" s="134"/>
      <c r="F55" s="134"/>
      <c r="G55" s="134"/>
      <c r="H55" s="134"/>
      <c r="I55" s="134"/>
      <c r="J55" s="134"/>
      <c r="K55" s="134"/>
      <c r="L55" s="134"/>
      <c r="M55" s="135"/>
      <c r="N55" s="136" t="s">
        <v>119</v>
      </c>
      <c r="O55" s="137"/>
      <c r="P55" s="137"/>
      <c r="Q55" s="133"/>
    </row>
    <row r="56" spans="1:17" ht="15" customHeight="1" x14ac:dyDescent="0.3">
      <c r="A56" s="133"/>
      <c r="B56" s="140" t="s">
        <v>179</v>
      </c>
      <c r="C56" s="156" t="s">
        <v>137</v>
      </c>
      <c r="E56" s="133"/>
      <c r="G56" s="140"/>
      <c r="H56" s="140"/>
      <c r="I56" s="140"/>
      <c r="J56" s="140"/>
      <c r="K56" s="133"/>
      <c r="L56" s="133"/>
      <c r="M56" s="141"/>
      <c r="N56" s="142" t="str">
        <f>CONCATENATE('LS-Department Note Disclosure'!$A$75," Principal Payments")</f>
        <v>2023–2024 Principal Payments</v>
      </c>
      <c r="O56" s="137"/>
      <c r="P56" s="139" t="s">
        <v>131</v>
      </c>
      <c r="Q56" s="133"/>
    </row>
    <row r="57" spans="1:17" x14ac:dyDescent="0.3">
      <c r="A57" s="133"/>
      <c r="B57" s="144">
        <f>IF('LR-Fund 0042 Journal Entries'!$E$8="Proprietary - Enterprise Fund",'LR-Fund 0042 Journal Entries'!$J$41,0)</f>
        <v>0</v>
      </c>
      <c r="C57" s="155"/>
      <c r="E57" s="155"/>
      <c r="G57" s="157"/>
      <c r="H57" s="157"/>
      <c r="I57" s="157"/>
      <c r="J57" s="157"/>
      <c r="K57" s="155"/>
      <c r="L57" s="155"/>
      <c r="M57" s="158"/>
      <c r="N57" s="150">
        <f>'LR-Department Note Disclosure'!B76</f>
        <v>0</v>
      </c>
      <c r="O57" s="159"/>
      <c r="P57" s="152">
        <f>B57-N57</f>
        <v>0</v>
      </c>
      <c r="Q57" s="133"/>
    </row>
    <row r="58" spans="1:17" ht="6" customHeight="1" x14ac:dyDescent="0.3">
      <c r="A58" s="133"/>
      <c r="B58" s="143"/>
      <c r="C58" s="153"/>
      <c r="D58" s="143"/>
      <c r="E58" s="153"/>
      <c r="F58" s="143"/>
      <c r="G58" s="143"/>
      <c r="H58" s="143"/>
      <c r="I58" s="143"/>
      <c r="J58" s="143"/>
      <c r="K58" s="153"/>
      <c r="L58" s="143"/>
      <c r="M58" s="153"/>
      <c r="N58" s="143"/>
      <c r="O58" s="143"/>
      <c r="P58" s="143"/>
      <c r="Q58" s="133"/>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1" operator="lessThan">
      <formula>0</formula>
    </cfRule>
    <cfRule type="cellIs" dxfId="10" priority="12" operator="greaterThan">
      <formula>0</formula>
    </cfRule>
  </conditionalFormatting>
  <conditionalFormatting sqref="P24">
    <cfRule type="cellIs" dxfId="9" priority="3" operator="lessThan">
      <formula>0</formula>
    </cfRule>
    <cfRule type="cellIs" dxfId="8" priority="4" operator="greaterThan">
      <formula>0</formula>
    </cfRule>
  </conditionalFormatting>
  <conditionalFormatting sqref="P33">
    <cfRule type="cellIs" dxfId="7" priority="9" operator="lessThan">
      <formula>0</formula>
    </cfRule>
    <cfRule type="cellIs" dxfId="6" priority="10" operator="greaterThan">
      <formula>0</formula>
    </cfRule>
  </conditionalFormatting>
  <conditionalFormatting sqref="P42">
    <cfRule type="cellIs" dxfId="5" priority="7" operator="lessThan">
      <formula>0</formula>
    </cfRule>
    <cfRule type="cellIs" dxfId="4" priority="8" operator="greaterThan">
      <formula>0</formula>
    </cfRule>
  </conditionalFormatting>
  <conditionalFormatting sqref="P49">
    <cfRule type="cellIs" dxfId="3" priority="1" operator="lessThan">
      <formula>0</formula>
    </cfRule>
    <cfRule type="cellIs" dxfId="2" priority="2" operator="greaterThan">
      <formula>0</formula>
    </cfRule>
  </conditionalFormatting>
  <conditionalFormatting sqref="P57">
    <cfRule type="cellIs" dxfId="1" priority="5" operator="lessThan">
      <formula>0</formula>
    </cfRule>
    <cfRule type="cellIs" dxfId="0" priority="6"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93acb6f5-a267-438f-a085-1cd1a6c988ea" xsi:nil="true"/>
    <SharedWithUsers xmlns="34c91bc0-47e8-459a-859a-0a8b02681609">
      <UserInfo>
        <DisplayName/>
        <AccountId xsi:nil="true"/>
        <AccountType/>
      </UserInfo>
    </SharedWithUsers>
    <TaxCatchAll xmlns="34c91bc0-47e8-459a-859a-0a8b02681609" xsi:nil="true"/>
    <lcf76f155ced4ddcb4097134ff3c332f xmlns="93acb6f5-a267-438f-a085-1cd1a6c988e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A348A7-1B11-424A-BBDC-87120B9B778A}"/>
</file>

<file path=customXml/itemProps2.xml><?xml version="1.0" encoding="utf-8"?>
<ds:datastoreItem xmlns:ds="http://schemas.openxmlformats.org/officeDocument/2006/customXml" ds:itemID="{4CAE48DE-EA0A-4CD0-BBB7-1B279B4EA9E2}"/>
</file>

<file path=customXml/itemProps3.xml><?xml version="1.0" encoding="utf-8"?>
<ds:datastoreItem xmlns:ds="http://schemas.openxmlformats.org/officeDocument/2006/customXml" ds:itemID="{FA570C1A-79D4-4B00-A1E9-E2B0515B0F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LS-Fund 0042 Journal Entries</vt:lpstr>
      <vt:lpstr>LS-Fund 0046 Journal Entrie</vt:lpstr>
      <vt:lpstr>LS-Fund 3290 Journal Entrie</vt:lpstr>
      <vt:lpstr>LS-Fund 3291 Journal Entrie</vt:lpstr>
      <vt:lpstr>LS-Fund 6072 Journal Entrie </vt:lpstr>
      <vt:lpstr>LS-Department Note Disclosure</vt:lpstr>
      <vt:lpstr>LS-Lease Liabilities</vt:lpstr>
      <vt:lpstr>LS-Check Figures  </vt:lpstr>
      <vt:lpstr>LR-Fund 0042 Journal Entries</vt:lpstr>
      <vt:lpstr>LR-Department Note Disclosure</vt:lpstr>
      <vt:lpstr>LR-Check Figures</vt:lpstr>
      <vt:lpstr>'LR-Department Note Disclosure'!Print_Area</vt:lpstr>
      <vt:lpstr>'LR-Fund 0042 Journal Entries'!Print_Area</vt:lpstr>
      <vt:lpstr>'LS-Department Note Disclosure'!Print_Area</vt:lpstr>
      <vt:lpstr>'LS-Fund 0042 Journal Entries'!Print_Area</vt:lpstr>
      <vt:lpstr>'LS-Fund 0046 Journal Entrie'!Print_Area</vt:lpstr>
      <vt:lpstr>'LS-Fund 3290 Journal Entrie'!Print_Area</vt:lpstr>
      <vt:lpstr>'LS-Fund 3291 Journal Entrie'!Print_Area</vt:lpstr>
      <vt:lpstr>'LS-Fund 6072 Journal Entrie '!Print_Area</vt:lpstr>
      <vt:lpstr>'LS-Lease Liabilities'!Print_Area</vt:lpstr>
    </vt:vector>
  </TitlesOfParts>
  <Company>Caltrans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Luo, May@DOT</dc:creator>
  <cp:lastModifiedBy>Philip Schick</cp:lastModifiedBy>
  <dcterms:created xsi:type="dcterms:W3CDTF">2024-04-17T14:23:05Z</dcterms:created>
  <dcterms:modified xsi:type="dcterms:W3CDTF">2024-06-27T21:14:46Z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MediaServiceImageTags">
    <vt:lpwstr/>
  </property>
</Properties>
</file>