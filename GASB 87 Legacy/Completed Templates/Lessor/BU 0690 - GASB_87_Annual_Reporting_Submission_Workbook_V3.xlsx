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AD.SCONET.CA.GOV\Data\SARD\Group\State_Gov_Reporting\ADMIN - POLICY\GASB\GASB 87 - Leases\Project Tracking\Department Responses\ARSW - GASB 87\Lessor ARSW\"/>
    </mc:Choice>
  </mc:AlternateContent>
  <xr:revisionPtr revIDLastSave="0" documentId="13_ncr:1_{506ABA1A-5C96-4C56-995F-38B80B5A50B9}"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R-Version Changes" sheetId="15" r:id="rId3"/>
    <sheet name="LR-Fund 9751 Journal Entries" sheetId="5" r:id="rId4"/>
    <sheet name="LR-Department Note Disclosure" sheetId="6" r:id="rId5"/>
    <sheet name="LR-Check Figures" sheetId="12" r:id="rId6"/>
    <sheet name="LS-Version Changes" sheetId="13" state="hidden" r:id="rId7"/>
    <sheet name="LS-Fund #### Journal Entries" sheetId="2" state="hidden" r:id="rId8"/>
    <sheet name="LS-Department Note Disclosure" sheetId="3" state="hidden" r:id="rId9"/>
    <sheet name="LS-Lease Liabilities" sheetId="4" state="hidden" r:id="rId10"/>
    <sheet name="LS-Check Figures  " sheetId="7"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5">#REF!</definedName>
    <definedName name="AgencyCode" localSheetId="2">#REF!</definedName>
    <definedName name="AgencyCode">#REF!</definedName>
    <definedName name="AgencyCode1" localSheetId="11">#REF!</definedName>
    <definedName name="AgencyCode1" localSheetId="5">#REF!</definedName>
    <definedName name="AgencyCode1" localSheetId="2">#REF!</definedName>
    <definedName name="AgencyCode1">#REF!</definedName>
    <definedName name="AnalystGASB">[1]DeveloperInfo!$D$20</definedName>
    <definedName name="Annuity" localSheetId="11">#REF!</definedName>
    <definedName name="Annuity" localSheetId="5">#REF!</definedName>
    <definedName name="Annuity" localSheetId="2">#REF!</definedName>
    <definedName name="Annuity">#REF!</definedName>
    <definedName name="Annuity1" localSheetId="11">#REF!</definedName>
    <definedName name="Annuity1" localSheetId="5">#REF!</definedName>
    <definedName name="Annuity1" localSheetId="2">#REF!</definedName>
    <definedName name="Annuity1">#REF!</definedName>
    <definedName name="AnnuityLY" localSheetId="11">#REF!</definedName>
    <definedName name="AnnuityLY" localSheetId="5">#REF!</definedName>
    <definedName name="AnnuityLY" localSheetId="2">#REF!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5">#REF!</definedName>
    <definedName name="EmployerRates" localSheetId="2">#REF!</definedName>
    <definedName name="EmployerRates">#REF!</definedName>
    <definedName name="EmployerRates1" localSheetId="11">#REF!</definedName>
    <definedName name="EmployerRates1" localSheetId="5">#REF!</definedName>
    <definedName name="EmployerRates1" localSheetId="2">#REF!</definedName>
    <definedName name="EmployerRates1">#REF!</definedName>
    <definedName name="EmployerRatesLEO" localSheetId="11">#REF!</definedName>
    <definedName name="EmployerRatesLEO" localSheetId="5">#REF!</definedName>
    <definedName name="EmployerRatesLEO" localSheetId="2">#REF!</definedName>
    <definedName name="EmployerRatesLEO">#REF!</definedName>
    <definedName name="EmployerRatesLEO1" localSheetId="11">#REF!</definedName>
    <definedName name="EmployerRatesLEO1" localSheetId="5">#REF!</definedName>
    <definedName name="EmployerRatesLEO1" localSheetId="2">#REF!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5">#REF!</definedName>
    <definedName name="Pension" localSheetId="2">#REF!</definedName>
    <definedName name="Pension">#REF!</definedName>
    <definedName name="Pension1" localSheetId="11">#REF!</definedName>
    <definedName name="Pension1" localSheetId="5">#REF!</definedName>
    <definedName name="Pension1" localSheetId="2">#REF!</definedName>
    <definedName name="Pension1">#REF!</definedName>
    <definedName name="PensionLY" localSheetId="11">#REF!</definedName>
    <definedName name="PensionLY" localSheetId="5">#REF!</definedName>
    <definedName name="PensionLY" localSheetId="2">#REF!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4">'LR-Department Note Disclosure'!$A$1:$C$93</definedName>
    <definedName name="_xlnm.Print_Area" localSheetId="3">'LR-Fund 9751 Journal Entries'!$B$1:$K$67</definedName>
    <definedName name="_xlnm.Print_Area" localSheetId="8">'LS-Department Note Disclosure'!$A$1:$C$85</definedName>
    <definedName name="_xlnm.Print_Area" localSheetId="7">'LS-Fund #### Journal Entries'!$A$1:$J$9</definedName>
    <definedName name="_xlnm.Print_Area" localSheetId="9">'LS-Lease Liabilities'!$B$2:$Q$17</definedName>
    <definedName name="ProjDisc?">[1]DeveloperInfo!$D$65</definedName>
    <definedName name="ProValResults" localSheetId="11">#REF!</definedName>
    <definedName name="ProValResults" localSheetId="5">#REF!</definedName>
    <definedName name="ProValResults" localSheetId="2">#REF!</definedName>
    <definedName name="ProValResults">#REF!</definedName>
    <definedName name="ProValResults1" localSheetId="11">#REF!</definedName>
    <definedName name="ProValResults1" localSheetId="5">#REF!</definedName>
    <definedName name="ProValResults1" localSheetId="2">#REF!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5">#REF!</definedName>
    <definedName name="TableData" localSheetId="2">#REF!</definedName>
    <definedName name="TableData">#REF!</definedName>
    <definedName name="TableData1" localSheetId="11">#REF!</definedName>
    <definedName name="TableData1" localSheetId="5">#REF!</definedName>
    <definedName name="TableData1" localSheetId="2">#REF!</definedName>
    <definedName name="TableData1">#REF!</definedName>
    <definedName name="Type" localSheetId="11">#REF!</definedName>
    <definedName name="Type" localSheetId="5">#REF!</definedName>
    <definedName name="Type" localSheetId="2">#REF!</definedName>
    <definedName name="Type">#REF!</definedName>
    <definedName name="TypeAnnuity" localSheetId="11">#REF!</definedName>
    <definedName name="TypeAnnuity" localSheetId="5">#REF!</definedName>
    <definedName name="TypeAnnuity" localSheetId="2">#REF!</definedName>
    <definedName name="TypeAnnuity">#REF!</definedName>
    <definedName name="TypeAnnuity1" localSheetId="11">#REF!</definedName>
    <definedName name="TypeAnnuity1" localSheetId="5">#REF!</definedName>
    <definedName name="TypeAnnuity1" localSheetId="2">#REF!</definedName>
    <definedName name="TypeAnnuity1">#REF!</definedName>
    <definedName name="TypePension" localSheetId="11">#REF!</definedName>
    <definedName name="TypePension" localSheetId="5">#REF!</definedName>
    <definedName name="TypePension" localSheetId="2">#REF!</definedName>
    <definedName name="TypePension">#REF!</definedName>
    <definedName name="TypePension1" localSheetId="11">#REF!</definedName>
    <definedName name="TypePension1" localSheetId="5">#REF!</definedName>
    <definedName name="TypePension1" localSheetId="2">#REF!</definedName>
    <definedName name="TypePension1">#REF!</definedName>
    <definedName name="UnfundedData" localSheetId="11">#REF!</definedName>
    <definedName name="UnfundedData" localSheetId="5">#REF!</definedName>
    <definedName name="UnfundedData" localSheetId="2">#REF!</definedName>
    <definedName name="UnfundedData">#REF!</definedName>
    <definedName name="UnfundedData1" localSheetId="11">#REF!</definedName>
    <definedName name="UnfundedData1" localSheetId="5">#REF!</definedName>
    <definedName name="UnfundedData1" localSheetId="2">#REF!</definedName>
    <definedName name="UnfundedData1">#REF!</definedName>
    <definedName name="UnfundedLY" localSheetId="11">#REF!</definedName>
    <definedName name="UnfundedLY" localSheetId="5">#REF!</definedName>
    <definedName name="UnfundedLY" localSheetId="2">#REF!</definedName>
    <definedName name="UnfundedLY">#REF!</definedName>
    <definedName name="UnfundedLY1" localSheetId="11">#REF!</definedName>
    <definedName name="UnfundedLY1" localSheetId="5">#REF!</definedName>
    <definedName name="UnfundedLY1" localSheetId="2">#REF!</definedName>
    <definedName name="UnfundedLY1">#REF!</definedName>
    <definedName name="UnfundedLYLEO1" localSheetId="11">#REF!</definedName>
    <definedName name="UnfundedLYLEO1" localSheetId="5">#REF!</definedName>
    <definedName name="UnfundedLYLEO1" localSheetId="2">#REF!</definedName>
    <definedName name="UnfundedLYLEO1">#REF!</definedName>
    <definedName name="UnfunedLYLEO" localSheetId="11">#REF!</definedName>
    <definedName name="UnfunedLYLEO" localSheetId="5">#REF!</definedName>
    <definedName name="UnfunedLYLEO" localSheetId="2">#REF!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 i="8" l="1"/>
  <c r="L63" i="8"/>
  <c r="K83"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J16" i="12"/>
  <c r="F16" i="12"/>
  <c r="D16" i="12"/>
  <c r="B16" i="12"/>
  <c r="J15" i="8" l="1"/>
  <c r="K77" i="8" s="1"/>
  <c r="J16" i="8"/>
  <c r="K78" i="8" s="1"/>
  <c r="Q18" i="5"/>
  <c r="K53" i="8" l="1"/>
  <c r="J53" i="8"/>
  <c r="K68" i="5" l="1"/>
  <c r="K129" i="2"/>
  <c r="K20" i="2"/>
  <c r="K125" i="2" s="1"/>
  <c r="N57" i="12" l="1"/>
  <c r="N49" i="12"/>
  <c r="N42" i="12"/>
  <c r="N33" i="12"/>
  <c r="N24" i="12"/>
  <c r="N16" i="12"/>
  <c r="P49" i="12" l="1"/>
  <c r="D51" i="12" s="1"/>
  <c r="P57" i="12"/>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B24" i="12" s="1"/>
  <c r="L24" i="12" s="1"/>
  <c r="P24" i="12" s="1"/>
  <c r="D26" i="12" s="1"/>
  <c r="S18" i="8"/>
  <c r="S24" i="8"/>
  <c r="S18" i="2"/>
  <c r="K23" i="8"/>
  <c r="K82" i="8" s="1"/>
  <c r="K22" i="8"/>
  <c r="K81" i="8" s="1"/>
  <c r="K21" i="8"/>
  <c r="K80" i="8" s="1"/>
  <c r="J17" i="8"/>
  <c r="K79" i="8" s="1"/>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<sst xmlns="http://schemas.openxmlformats.org/spreadsheetml/2006/main" count="8059" uniqueCount="1800">
  <si>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</si>
  <si>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</si>
  <si>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</si>
  <si>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</si>
  <si>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</si>
  <si>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</si>
  <si>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</si>
  <si>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</si>
  <si>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</si>
  <si>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</si>
  <si>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</si>
  <si>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</si>
  <si>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</si>
  <si>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</si>
  <si>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</si>
  <si>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</si>
  <si>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</si>
  <si>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</si>
  <si>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</si>
  <si>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</si>
  <si>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</si>
  <si>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</si>
  <si>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</si>
  <si>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</si>
  <si>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</si>
  <si>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</si>
  <si>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</si>
  <si>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</si>
  <si>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</si>
  <si>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</si>
  <si>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</si>
  <si>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</si>
  <si>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</si>
  <si>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</si>
  <si>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</si>
  <si>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</si>
  <si>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</si>
  <si>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</si>
  <si>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</si>
  <si>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</si>
  <si>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</si>
  <si>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</si>
  <si>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</si>
  <si>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</si>
  <si>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</si>
  <si>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</si>
  <si>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</si>
  <si>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</si>
  <si>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</si>
  <si>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</si>
  <si>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</si>
  <si>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</si>
  <si>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</si>
  <si>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</si>
  <si>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</si>
  <si>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</si>
  <si>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</si>
  <si>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</si>
  <si>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</si>
  <si>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</si>
  <si>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</si>
  <si>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</si>
  <si>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</si>
  <si>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</si>
  <si>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</si>
  <si>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</si>
  <si>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</si>
  <si>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</si>
  <si>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</si>
  <si>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</si>
  <si>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</si>
  <si>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</si>
  <si>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</si>
  <si>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</si>
  <si>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</si>
  <si>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</si>
  <si>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</si>
  <si>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</si>
  <si>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</si>
  <si>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</si>
  <si>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</si>
  <si>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</si>
  <si>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</si>
  <si>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</si>
  <si>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</si>
  <si>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</si>
  <si>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</si>
  <si>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</si>
  <si>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</si>
  <si>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</si>
  <si>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</si>
  <si>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</si>
  <si>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</si>
  <si>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</si>
  <si>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</si>
  <si>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</si>
  <si>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</si>
  <si>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</si>
  <si>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</si>
  <si>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</si>
  <si>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</si>
  <si>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</si>
  <si>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</si>
  <si>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</si>
  <si>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</si>
  <si>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</si>
  <si>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</si>
  <si>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</si>
  <si>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</si>
  <si>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</si>
  <si>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</si>
  <si>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</si>
  <si>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</si>
  <si>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</si>
  <si>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</si>
  <si>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</si>
  <si>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</si>
  <si>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</si>
  <si>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</si>
  <si>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</si>
  <si>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</si>
  <si>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</si>
  <si>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</si>
  <si>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</si>
  <si>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</si>
  <si>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</si>
  <si>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</si>
  <si>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</si>
  <si>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</si>
  <si>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</si>
  <si>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</si>
  <si>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</si>
  <si>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</si>
  <si>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</si>
  <si>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</si>
  <si>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</si>
  <si>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</si>
  <si>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</si>
  <si>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</si>
  <si>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</si>
  <si>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</si>
  <si>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</si>
  <si>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</si>
  <si>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</si>
  <si>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</si>
  <si>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</si>
  <si>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</si>
  <si>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</si>
  <si>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</si>
  <si>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</si>
  <si>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</si>
  <si>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</si>
  <si>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</si>
  <si>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</si>
  <si>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</si>
  <si>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</si>
  <si>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</si>
  <si>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</si>
  <si>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</si>
  <si>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</si>
  <si>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</si>
  <si>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</si>
  <si>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</si>
  <si>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</si>
  <si>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</si>
  <si>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</si>
  <si>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</si>
  <si>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</si>
  <si>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</si>
  <si>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</si>
  <si>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</si>
  <si>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</si>
  <si>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</si>
  <si>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</si>
  <si>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</si>
  <si>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</si>
  <si>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</si>
  <si>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</si>
  <si>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</si>
  <si>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</si>
  <si>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</si>
  <si>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</si>
  <si>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</si>
  <si>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</si>
  <si>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</si>
  <si>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</si>
  <si>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</si>
  <si>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</si>
  <si>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</si>
  <si>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</si>
  <si>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</si>
  <si>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</si>
  <si>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</si>
  <si>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</si>
  <si>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</si>
  <si>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</si>
  <si>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</si>
  <si>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</si>
  <si>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</si>
  <si>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</si>
  <si>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</si>
  <si>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</si>
  <si>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</si>
  <si>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</si>
  <si>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</si>
  <si>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</si>
  <si>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</si>
  <si>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</si>
  <si>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</si>
  <si>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</si>
  <si>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</si>
  <si>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</si>
  <si>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</si>
  <si>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</si>
  <si>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</si>
  <si>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</si>
  <si>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</si>
  <si>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</si>
  <si>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</si>
  <si>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</si>
  <si>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</si>
  <si>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</si>
  <si>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</si>
  <si>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</si>
  <si>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</si>
  <si>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</si>
  <si>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</si>
  <si>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</si>
  <si>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</si>
  <si>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</si>
  <si>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</si>
  <si>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</si>
  <si>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</si>
  <si>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</si>
  <si>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</si>
  <si>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</si>
  <si>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</si>
  <si>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</si>
  <si>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</si>
  <si>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</si>
  <si>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</si>
  <si>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</si>
  <si>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</si>
  <si>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</si>
  <si>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</si>
  <si>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</si>
  <si>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</si>
  <si>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</si>
  <si>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</si>
  <si>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</si>
  <si>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</si>
  <si>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</si>
  <si>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</si>
  <si>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</si>
  <si>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</si>
  <si>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</si>
  <si>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</si>
  <si>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</si>
  <si>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</si>
  <si>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</si>
  <si>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</si>
  <si>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</si>
  <si>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</si>
  <si>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</si>
  <si>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</si>
  <si>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</si>
  <si>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</si>
  <si>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</si>
  <si>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</si>
  <si>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</si>
  <si>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</si>
  <si>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</si>
  <si>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</si>
  <si>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</si>
  <si>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</si>
  <si>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</si>
  <si>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</si>
  <si>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</si>
  <si>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</si>
  <si>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</si>
  <si>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</si>
  <si>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</si>
  <si>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</si>
  <si>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</si>
  <si>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</si>
  <si>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</si>
  <si>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</si>
  <si>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</si>
  <si>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</si>
  <si>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</si>
  <si>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</si>
  <si>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</si>
  <si>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</si>
  <si>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</si>
  <si>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</si>
  <si>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</si>
  <si>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</si>
  <si>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</si>
  <si>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</si>
  <si>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</si>
  <si>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</si>
  <si>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</si>
  <si>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</si>
  <si>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</si>
  <si>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</si>
  <si>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</si>
  <si>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</si>
  <si>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</si>
  <si>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</si>
  <si>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</si>
  <si>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</si>
  <si>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</si>
  <si>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</si>
  <si>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</si>
  <si>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</si>
  <si>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</si>
  <si>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</si>
  <si>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</si>
  <si>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</si>
  <si>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</si>
  <si>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</si>
  <si>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</si>
  <si>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</si>
  <si>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</si>
  <si>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</si>
  <si>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</si>
  <si>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</si>
  <si>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</si>
  <si>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</si>
  <si>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</si>
  <si>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</si>
  <si>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</si>
  <si>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</si>
  <si>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</si>
  <si>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</si>
  <si>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</si>
  <si>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</si>
  <si>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</si>
  <si>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</si>
  <si>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</si>
  <si>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</si>
  <si>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</si>
  <si>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</si>
  <si>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</si>
  <si>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</si>
  <si>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</si>
  <si>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</si>
  <si>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</si>
  <si>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</si>
  <si>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</si>
  <si>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</si>
  <si>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</si>
  <si>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</si>
  <si>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</si>
  <si>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</si>
  <si>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</si>
  <si>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</si>
  <si>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</si>
  <si>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</si>
  <si>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</si>
  <si>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</si>
  <si>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</si>
  <si>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</si>
  <si>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</si>
  <si>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</si>
  <si>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</si>
  <si>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</si>
  <si>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</si>
  <si>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</si>
  <si>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</si>
  <si>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</si>
  <si>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</si>
  <si>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</si>
  <si>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</si>
  <si>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</si>
  <si>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</si>
  <si>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</si>
  <si>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</si>
  <si>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</si>
  <si>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</si>
  <si>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</si>
  <si>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</si>
  <si>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</si>
  <si>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</si>
  <si>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</si>
  <si>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</si>
  <si>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</si>
  <si>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</si>
  <si>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</si>
  <si>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</si>
  <si>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</si>
  <si>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</si>
  <si>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</si>
  <si>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</si>
  <si>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</si>
  <si>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</si>
  <si>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</si>
  <si>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</si>
  <si>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</si>
  <si>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</si>
  <si>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</si>
  <si>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</si>
  <si>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</si>
  <si>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</si>
  <si>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</si>
  <si>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</si>
  <si>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</si>
  <si>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</si>
  <si>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</si>
  <si>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</si>
  <si>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</si>
  <si>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</si>
  <si>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</si>
  <si>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</si>
  <si>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</si>
  <si>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</si>
  <si>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</si>
  <si>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</si>
  <si>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</si>
  <si>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</si>
  <si>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</si>
  <si>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</si>
  <si>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</si>
  <si>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</si>
  <si>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</si>
  <si>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</si>
  <si>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</si>
  <si>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</si>
  <si>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</si>
  <si>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</si>
  <si>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</si>
  <si>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</si>
  <si>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</si>
  <si>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</si>
  <si>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</si>
  <si>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</si>
  <si>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</si>
  <si>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</si>
  <si>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</si>
  <si>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</si>
  <si>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</si>
  <si>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</si>
  <si>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</si>
  <si>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</si>
  <si>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</si>
  <si>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</si>
  <si>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</si>
  <si>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</si>
  <si>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</si>
  <si>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</si>
  <si>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</si>
  <si>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</si>
  <si>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</si>
  <si>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</si>
  <si>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</si>
  <si>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</si>
  <si>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</si>
  <si>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</si>
  <si>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</si>
  <si>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</si>
  <si>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</si>
  <si>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</si>
  <si>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</si>
  <si>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</si>
  <si>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</si>
  <si>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</si>
  <si>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</si>
  <si>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</si>
  <si>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</si>
  <si>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</si>
  <si>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</si>
  <si>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</si>
  <si>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</si>
  <si>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</si>
  <si>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</si>
  <si>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</si>
  <si>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</si>
  <si>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</si>
  <si>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</si>
  <si>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</si>
  <si>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</si>
  <si>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</si>
  <si>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</si>
  <si>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</si>
  <si>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</si>
  <si>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</si>
  <si>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</si>
  <si>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</si>
  <si>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</si>
  <si>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</si>
  <si>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</si>
  <si>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</si>
  <si>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</si>
  <si>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</si>
  <si>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</si>
  <si>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</si>
  <si>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</si>
  <si>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</si>
  <si>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</si>
  <si>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</si>
  <si>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</si>
  <si>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</si>
  <si>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</si>
  <si>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</si>
  <si>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</si>
  <si>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</si>
  <si>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</si>
  <si>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</si>
  <si>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</si>
  <si>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</si>
  <si>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</si>
  <si>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</si>
  <si>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</si>
  <si>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</si>
  <si>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</si>
  <si>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</si>
  <si>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</si>
  <si>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</si>
  <si>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</si>
  <si>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</si>
  <si>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</si>
  <si>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</si>
  <si>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</si>
  <si>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</si>
  <si>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</si>
  <si>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</si>
  <si>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</si>
  <si>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</si>
  <si>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</si>
  <si>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</si>
  <si>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</si>
  <si>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</si>
  <si>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</si>
  <si>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</si>
  <si>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</si>
  <si>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</si>
  <si>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</si>
  <si>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</si>
  <si>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</si>
  <si>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</si>
  <si>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</si>
  <si>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</si>
  <si>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</si>
  <si>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</si>
  <si>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</si>
  <si>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</si>
  <si>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</si>
  <si>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</si>
  <si>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</si>
  <si>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</si>
  <si>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</si>
  <si>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</si>
  <si>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</si>
  <si>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</si>
  <si>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</si>
  <si>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</si>
  <si>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</si>
  <si>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</si>
  <si>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</si>
  <si>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</si>
  <si>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</si>
  <si>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</si>
  <si>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</si>
  <si>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</si>
  <si>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</si>
  <si>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</si>
  <si>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</si>
  <si>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</si>
  <si>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</si>
  <si>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</si>
  <si>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</si>
  <si>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</si>
  <si>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</si>
  <si>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</si>
  <si>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</si>
  <si>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</si>
  <si>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</si>
  <si>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</si>
  <si>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</si>
  <si>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</si>
  <si>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</si>
  <si>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</si>
  <si>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</si>
  <si>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</si>
  <si>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</si>
  <si>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</si>
  <si>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</si>
  <si>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</si>
  <si>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</si>
  <si>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</si>
  <si>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</si>
  <si>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</si>
  <si>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</si>
  <si>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</si>
  <si>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</si>
  <si>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</si>
  <si>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</si>
  <si>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</si>
  <si>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</si>
  <si>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</si>
  <si>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</si>
  <si>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</si>
  <si>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</si>
  <si>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</si>
  <si>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</si>
  <si>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</si>
  <si>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</si>
  <si>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</si>
  <si>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</si>
  <si>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</si>
  <si>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</si>
  <si>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</si>
  <si>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</si>
  <si>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</si>
  <si>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</si>
  <si>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</si>
  <si>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</si>
  <si>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</si>
  <si>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</si>
  <si>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</si>
  <si>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</si>
  <si>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</si>
  <si>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</si>
  <si>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</si>
  <si>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</si>
  <si>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</si>
  <si>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</si>
  <si>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</si>
  <si>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</si>
  <si>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</si>
  <si>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</si>
  <si>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</si>
  <si>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</si>
  <si>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</si>
  <si>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</si>
  <si>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</si>
  <si>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</si>
  <si>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</si>
  <si>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</si>
  <si>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</si>
  <si>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</si>
  <si>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</si>
  <si>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</si>
  <si>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</si>
  <si>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</si>
  <si>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</si>
  <si>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</si>
  <si>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</si>
  <si>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</si>
  <si>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</si>
  <si>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</si>
  <si>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</si>
  <si>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</si>
  <si>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</si>
  <si>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</si>
  <si>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</si>
  <si>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</si>
  <si>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</si>
  <si>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</si>
  <si>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</si>
  <si>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</si>
  <si>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</si>
  <si>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</si>
  <si>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</si>
  <si>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</si>
  <si>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</si>
  <si>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</si>
  <si>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</si>
  <si>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</si>
  <si>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</si>
  <si>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</si>
  <si>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</si>
  <si>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</si>
  <si>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</si>
  <si>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</si>
  <si>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</si>
  <si>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</si>
  <si>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</si>
  <si>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</si>
  <si>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</si>
  <si>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</si>
  <si>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</si>
  <si>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</si>
  <si>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</si>
  <si>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</si>
  <si>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</si>
  <si>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</si>
  <si>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</si>
  <si>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</si>
  <si>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</si>
  <si>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</si>
  <si>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</si>
  <si>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</si>
  <si>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</si>
  <si>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</si>
  <si>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</si>
  <si>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</si>
  <si>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</si>
  <si>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</si>
  <si>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</si>
  <si>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</si>
  <si>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</si>
  <si>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</si>
  <si>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</si>
  <si>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</si>
  <si>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</si>
  <si>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</si>
  <si>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</si>
  <si>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</si>
  <si>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</si>
  <si>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</si>
  <si>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</si>
  <si>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</si>
  <si>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</si>
  <si>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</si>
  <si>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</si>
  <si>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</si>
  <si>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</si>
  <si>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</si>
  <si>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</si>
  <si>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</si>
  <si>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</si>
  <si>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</si>
  <si>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</si>
  <si>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</si>
  <si>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</si>
  <si>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</si>
  <si>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</si>
  <si>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</si>
  <si>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</si>
  <si>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</si>
  <si>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</si>
  <si>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</si>
  <si>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</si>
  <si>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</si>
  <si>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</si>
  <si>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</si>
  <si>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</si>
  <si>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</si>
  <si>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</si>
  <si>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</si>
  <si>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</si>
  <si>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</si>
  <si>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</si>
  <si>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</si>
  <si>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</si>
  <si>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</si>
  <si>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</si>
  <si>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</si>
  <si>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</si>
  <si>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</si>
  <si>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</si>
  <si>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</si>
  <si>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</si>
  <si>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</si>
  <si>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</si>
  <si>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</si>
  <si>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</si>
  <si>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</si>
  <si>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</si>
  <si>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</si>
  <si>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</si>
  <si>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</si>
  <si>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</si>
  <si>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</si>
  <si>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</si>
  <si>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</si>
  <si>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</si>
  <si>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</si>
  <si>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</si>
  <si>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</si>
  <si>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</si>
  <si>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</si>
  <si>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</si>
  <si>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</si>
  <si>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</si>
  <si>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</si>
  <si>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</si>
  <si>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</si>
  <si>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</si>
  <si>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</si>
  <si>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</si>
  <si>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</si>
  <si>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</si>
  <si>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</si>
  <si>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</si>
  <si>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</si>
  <si>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</si>
  <si>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</si>
  <si>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</si>
  <si>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</si>
  <si>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</si>
  <si>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</si>
  <si>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</si>
  <si>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</si>
  <si>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</si>
  <si>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</si>
  <si>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</si>
  <si>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</si>
  <si>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</si>
  <si>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</si>
  <si>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</si>
  <si>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</si>
  <si>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</si>
  <si>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</si>
  <si>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</si>
  <si>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</si>
  <si>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</si>
  <si>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</si>
  <si>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</si>
  <si>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</si>
  <si>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</si>
  <si>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</si>
  <si>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</si>
  <si>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</si>
  <si>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</si>
  <si>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</si>
  <si>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</si>
  <si>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</si>
  <si>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</si>
  <si>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</si>
  <si>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</si>
  <si>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</si>
  <si>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</si>
  <si>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</si>
  <si>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</si>
  <si>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</si>
  <si>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</si>
  <si>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</si>
  <si>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</si>
  <si>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</si>
  <si>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</si>
  <si>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</si>
  <si>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</si>
  <si>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</si>
  <si>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</si>
  <si>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</si>
  <si>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</si>
  <si>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</si>
  <si>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</si>
  <si>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</si>
  <si>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</si>
  <si>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</si>
  <si>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</si>
  <si>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</si>
  <si>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</si>
  <si>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</si>
  <si>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</si>
  <si>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</si>
  <si>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</si>
  <si>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</si>
  <si>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</si>
  <si>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</si>
  <si>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</si>
  <si>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</si>
  <si>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</si>
  <si>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</si>
  <si>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</si>
  <si>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</si>
  <si>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</si>
  <si>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</si>
  <si>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</si>
  <si>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</si>
  <si>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</si>
  <si>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</si>
  <si>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</si>
  <si>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</si>
  <si>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</si>
  <si>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</si>
  <si>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</si>
  <si>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</si>
  <si>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</si>
  <si>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</si>
  <si>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</si>
  <si>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</si>
  <si>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</si>
  <si>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</si>
  <si>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</si>
  <si>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</si>
  <si>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</si>
  <si>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</si>
  <si>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</si>
  <si>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</si>
  <si>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</si>
  <si>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</si>
  <si>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</si>
  <si>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</si>
  <si>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</si>
  <si>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</si>
  <si>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</si>
  <si>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</si>
  <si>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</si>
  <si>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</si>
  <si>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</si>
  <si>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</si>
  <si>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</si>
  <si>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</si>
  <si>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</si>
  <si>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</si>
  <si>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</si>
  <si>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</si>
  <si>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</si>
  <si>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</si>
  <si>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</si>
  <si>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</si>
  <si>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</si>
  <si>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</si>
  <si>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</si>
  <si>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</si>
  <si>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</si>
  <si>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</si>
  <si>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</si>
  <si>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</si>
  <si>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</si>
  <si>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</si>
  <si>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</si>
  <si>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</si>
  <si>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</si>
  <si>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</si>
  <si>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</si>
  <si>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</si>
  <si>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</si>
  <si>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</si>
  <si>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</si>
  <si>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</si>
  <si>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</si>
  <si>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</si>
  <si>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</si>
  <si>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</si>
  <si>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</si>
  <si>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</si>
  <si>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</si>
  <si>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</si>
  <si>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</si>
  <si>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</si>
  <si>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</si>
  <si>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</si>
  <si>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</si>
  <si>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</si>
  <si>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</si>
  <si>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</si>
  <si>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</si>
  <si>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</si>
  <si>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</si>
  <si>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</si>
  <si>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</si>
  <si>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</si>
  <si>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</si>
  <si>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</si>
  <si>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</si>
  <si>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</si>
  <si>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</si>
  <si>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</si>
  <si>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</si>
  <si>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</si>
  <si>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</si>
  <si>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</si>
  <si>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</si>
  <si>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</si>
  <si>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</si>
  <si>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</si>
  <si>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</si>
  <si>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</si>
  <si>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</si>
  <si>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</si>
  <si>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</si>
  <si>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</si>
  <si>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</si>
  <si>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</si>
  <si>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</si>
  <si>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</si>
  <si>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</si>
  <si>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</si>
  <si>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</si>
  <si>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</si>
  <si>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</si>
  <si>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</si>
  <si>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</si>
  <si>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</si>
  <si>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</si>
  <si>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</si>
  <si>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</si>
  <si>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</si>
  <si>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</si>
  <si>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</si>
  <si>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</si>
  <si>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</si>
  <si>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</si>
  <si>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</si>
  <si>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</si>
  <si>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</si>
  <si>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</si>
  <si>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</si>
  <si>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</si>
  <si>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</si>
  <si>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</si>
  <si>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</si>
  <si>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</si>
  <si>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</si>
  <si>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</si>
  <si>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</si>
  <si>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</si>
  <si>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</si>
  <si>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</si>
  <si>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</si>
  <si>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</si>
  <si>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</si>
  <si>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</si>
  <si>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</si>
  <si>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</si>
  <si>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</si>
  <si>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</si>
  <si>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</si>
  <si>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</si>
  <si>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</si>
  <si>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</si>
  <si>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</si>
  <si>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</si>
  <si>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</si>
  <si>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</si>
  <si>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</si>
  <si>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</si>
  <si>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</si>
  <si>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</si>
  <si>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</si>
  <si>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</si>
  <si>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</si>
  <si>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</si>
  <si>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</si>
  <si>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</si>
  <si>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</si>
  <si>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</si>
  <si>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</si>
  <si>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</si>
  <si>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</si>
  <si>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</si>
  <si>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</si>
  <si>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</si>
  <si>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</si>
  <si>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</si>
  <si>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</si>
  <si>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</si>
  <si>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</si>
  <si>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</si>
  <si>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</si>
  <si>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</si>
  <si>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</si>
  <si>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</si>
  <si>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</si>
  <si>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</si>
  <si>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</si>
  <si>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</si>
  <si>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</si>
  <si>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</si>
  <si>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</si>
  <si>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</si>
  <si>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</si>
  <si>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</si>
  <si>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</si>
  <si>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</si>
  <si>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</si>
  <si>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</si>
  <si>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</si>
  <si>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</si>
  <si>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</si>
  <si>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</si>
  <si>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</si>
  <si>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</si>
  <si>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</si>
  <si>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</si>
  <si>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</si>
  <si>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</si>
  <si>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</si>
  <si>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</si>
  <si>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</si>
  <si>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</si>
  <si>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</si>
  <si>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</si>
  <si>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</si>
  <si>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</si>
  <si>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</si>
  <si>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</si>
  <si>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</si>
  <si>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</si>
  <si>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</si>
  <si>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</si>
  <si>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</si>
  <si>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</si>
  <si>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</si>
  <si>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</si>
  <si>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</si>
  <si>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</si>
  <si>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</si>
  <si>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</si>
  <si>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</si>
  <si>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</si>
  <si>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</si>
  <si>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</si>
  <si>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</si>
  <si>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</si>
  <si>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</si>
  <si>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</si>
  <si>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</si>
  <si>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</si>
  <si>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</si>
  <si>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</si>
  <si>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</si>
  <si>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</si>
  <si>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</si>
  <si>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</si>
  <si>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</si>
  <si>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</si>
  <si>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</si>
  <si>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</si>
  <si>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</si>
  <si>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</si>
  <si>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</si>
  <si>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</si>
  <si>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</si>
  <si>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</si>
  <si>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</si>
  <si>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</si>
  <si>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</si>
  <si>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</si>
  <si>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</si>
  <si>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</si>
  <si>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</si>
  <si>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</si>
  <si>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</si>
  <si>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</si>
  <si>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</si>
  <si>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</si>
  <si>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</si>
  <si>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</si>
  <si>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</si>
  <si>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</si>
  <si>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</si>
  <si>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</si>
  <si>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</si>
  <si>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</si>
  <si>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</si>
  <si>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</si>
  <si>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</si>
  <si>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</si>
  <si>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</si>
  <si>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</si>
  <si>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</si>
  <si>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</si>
  <si>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</si>
  <si>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</si>
  <si>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</si>
  <si>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</si>
  <si>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</si>
  <si>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</si>
  <si>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</si>
  <si>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</si>
  <si>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</si>
  <si>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</si>
  <si>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</si>
  <si>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</si>
  <si>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</si>
  <si>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</si>
  <si>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</si>
  <si>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</si>
  <si>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</si>
  <si>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</si>
  <si>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</si>
  <si>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</si>
  <si>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</si>
  <si>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</si>
  <si>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</si>
  <si>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</si>
  <si>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</si>
  <si>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</si>
  <si>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</si>
  <si>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</si>
  <si>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</si>
  <si>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</si>
  <si>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</si>
  <si>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</si>
  <si>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</si>
  <si>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</si>
  <si>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</si>
  <si>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</si>
  <si>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</si>
  <si>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</si>
  <si>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</si>
  <si>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</si>
  <si>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</si>
  <si>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</si>
  <si>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</si>
  <si>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</si>
  <si>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</si>
  <si>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</si>
  <si>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</si>
  <si>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</si>
  <si>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</si>
  <si>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</si>
  <si>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</si>
  <si>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</si>
  <si>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</si>
  <si>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</si>
  <si>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</si>
  <si>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</si>
  <si>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</si>
  <si>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</si>
  <si>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</si>
  <si>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</si>
  <si>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</si>
  <si>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</si>
  <si>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</si>
  <si>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</si>
  <si>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</si>
  <si>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</si>
  <si>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</si>
  <si>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</si>
  <si>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</si>
  <si>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</si>
  <si>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</si>
  <si>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</si>
  <si>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</si>
  <si>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</si>
  <si>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</si>
  <si>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</si>
  <si>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</si>
  <si>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</si>
  <si>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</si>
  <si>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</si>
  <si>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</si>
  <si>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</si>
  <si>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</si>
  <si>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</si>
  <si>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</si>
  <si>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</si>
  <si>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</si>
  <si>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</si>
  <si>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</si>
  <si>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</si>
  <si>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</si>
  <si>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</si>
  <si>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</si>
  <si>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</si>
  <si>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</si>
  <si>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</si>
  <si>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</si>
  <si>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</si>
  <si>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</si>
  <si>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</si>
  <si>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</si>
  <si>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</si>
  <si>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</si>
  <si>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</si>
  <si>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</si>
  <si>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</si>
  <si>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</si>
  <si>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</si>
  <si>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</si>
  <si>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</si>
  <si>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</si>
  <si>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</si>
  <si>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</si>
  <si>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</si>
  <si>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</si>
  <si>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</si>
  <si>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</si>
  <si>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</si>
  <si>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</si>
  <si>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</si>
  <si>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</si>
  <si>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</si>
  <si>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</si>
  <si>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</si>
  <si>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</si>
  <si>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</si>
  <si>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</si>
  <si>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</si>
  <si>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</si>
  <si>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</si>
  <si>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</si>
  <si>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</si>
  <si>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</si>
  <si>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</si>
  <si>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</si>
  <si>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</si>
  <si>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</si>
  <si>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</si>
  <si>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</si>
  <si>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</si>
  <si>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</si>
  <si>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</si>
  <si>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</si>
  <si>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</si>
  <si>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</si>
  <si>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</si>
  <si>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</si>
  <si>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</si>
  <si>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</si>
  <si>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</si>
  <si>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</si>
  <si>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</si>
  <si>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</si>
  <si>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</si>
  <si>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</si>
  <si>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</si>
  <si>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</si>
  <si>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</si>
  <si>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</si>
  <si>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</si>
  <si>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</si>
  <si>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</si>
  <si>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</si>
  <si>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</si>
  <si>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</si>
  <si>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</si>
  <si>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</si>
  <si>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</si>
  <si>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</si>
  <si>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</si>
  <si>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</si>
  <si>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</si>
  <si>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</si>
  <si>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</si>
  <si>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</si>
  <si>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</si>
  <si>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</si>
  <si>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</si>
  <si>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</si>
  <si>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</si>
  <si>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</si>
  <si>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</si>
  <si>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</si>
  <si>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</si>
  <si>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</si>
  <si>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</si>
  <si>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</si>
  <si>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</si>
  <si>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</si>
  <si>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</si>
  <si>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</si>
  <si>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</si>
  <si>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</si>
  <si>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</si>
  <si>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</si>
  <si>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</si>
  <si>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</si>
  <si>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</si>
  <si>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</si>
  <si>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</si>
  <si>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</si>
  <si>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</si>
  <si>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</si>
  <si>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</si>
  <si>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</si>
  <si>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</si>
  <si>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</si>
  <si>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</si>
  <si>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</si>
  <si>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</si>
  <si>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</si>
  <si>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</si>
  <si>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</si>
  <si>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</si>
  <si>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</si>
  <si>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</si>
  <si>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</si>
  <si>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</si>
  <si>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</si>
  <si>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</si>
  <si>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</si>
  <si>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</si>
  <si>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</si>
  <si>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</si>
  <si>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</si>
  <si>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</si>
  <si>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</si>
  <si>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</si>
  <si>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</si>
  <si>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</si>
  <si>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</si>
  <si>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</si>
  <si>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</si>
  <si>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</si>
  <si>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</si>
  <si>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</si>
  <si>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</si>
  <si>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</si>
  <si>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</si>
  <si>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</si>
  <si>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</si>
  <si>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</si>
  <si>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</si>
  <si>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</si>
  <si>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</si>
  <si>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</si>
  <si>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</si>
  <si>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</si>
  <si>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</si>
  <si>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</si>
  <si>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</si>
  <si>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</si>
  <si>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</si>
  <si>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</si>
  <si>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</si>
  <si>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</si>
  <si>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</si>
  <si>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</si>
  <si>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</si>
  <si>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</si>
  <si>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</si>
  <si>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</si>
  <si>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</si>
  <si>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</si>
  <si>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</si>
  <si>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</si>
  <si>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</si>
  <si>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</si>
  <si>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</si>
  <si>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</si>
  <si>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</si>
  <si>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</si>
  <si>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</si>
  <si>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</si>
  <si>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</si>
  <si>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</si>
  <si>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</si>
  <si>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</si>
  <si>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</si>
  <si>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</si>
  <si>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</si>
  <si>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</si>
  <si>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</si>
  <si>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</si>
  <si>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</si>
  <si>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</si>
  <si>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</si>
  <si>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</si>
  <si>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</si>
  <si>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</si>
  <si>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</si>
  <si>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</si>
  <si>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</si>
  <si>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</si>
  <si>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</si>
  <si>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</si>
  <si>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</si>
  <si>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</si>
  <si>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</si>
  <si>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</si>
  <si>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</si>
  <si>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</si>
  <si>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</si>
  <si>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</si>
  <si>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</si>
  <si>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</si>
  <si>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</si>
  <si>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</si>
  <si>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</si>
  <si>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</si>
  <si>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</si>
  <si>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</si>
  <si>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</si>
  <si>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</si>
  <si>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</si>
  <si>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</si>
  <si>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</si>
  <si>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</si>
  <si>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</si>
  <si>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</si>
  <si>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</si>
  <si>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</si>
  <si>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</si>
  <si>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</si>
  <si>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</si>
  <si>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</si>
  <si>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</si>
  <si>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</si>
  <si>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</si>
  <si>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</si>
  <si>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</si>
  <si>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</si>
  <si>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</si>
  <si>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</si>
  <si>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</si>
  <si>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</si>
  <si>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</si>
  <si>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</si>
  <si>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</si>
  <si>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</si>
  <si>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</si>
  <si>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</si>
  <si>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</si>
  <si>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</si>
  <si>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</si>
  <si>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</si>
  <si>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</si>
  <si>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</si>
  <si>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</si>
  <si>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</si>
  <si>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</si>
  <si>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</si>
  <si>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</si>
  <si>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</si>
  <si>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</si>
  <si>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</si>
  <si>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</si>
  <si>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</si>
  <si>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</si>
  <si>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</si>
  <si>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</si>
  <si>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</si>
  <si>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</si>
  <si>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</si>
  <si>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</si>
  <si>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</si>
  <si>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</si>
  <si>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</si>
  <si>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</si>
  <si>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</si>
  <si>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</si>
  <si>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</si>
  <si>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</si>
  <si>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</si>
  <si>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</si>
  <si>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</si>
  <si>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</si>
  <si>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</si>
  <si>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</si>
  <si>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</si>
  <si>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</si>
  <si>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</si>
  <si>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</si>
  <si>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</si>
  <si>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</si>
  <si>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</si>
  <si>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</si>
  <si>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</si>
  <si>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</si>
  <si>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</si>
  <si>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</si>
  <si>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</si>
  <si>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</si>
  <si>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</si>
  <si>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</si>
  <si>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</si>
  <si>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</si>
  <si>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</si>
  <si>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</si>
  <si>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</si>
  <si>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</si>
  <si>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</si>
  <si>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</si>
  <si>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</si>
  <si>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</si>
  <si>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</si>
  <si>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</si>
  <si>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</si>
  <si>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</si>
  <si>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</si>
  <si>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</si>
  <si>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</si>
  <si>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</si>
  <si>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</si>
  <si>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</si>
  <si>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</si>
  <si>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</si>
  <si>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</si>
  <si>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</si>
  <si>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</si>
  <si>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</si>
  <si>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</si>
  <si>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</si>
  <si>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</si>
  <si>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</si>
  <si>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</si>
  <si>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</si>
  <si>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</si>
  <si>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</si>
  <si>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</si>
  <si>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</si>
  <si>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</si>
  <si>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</si>
  <si>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</si>
  <si>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</si>
  <si>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</si>
  <si>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</si>
  <si>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</si>
  <si>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</si>
  <si>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</si>
  <si>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</si>
  <si>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</si>
  <si>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</si>
  <si>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</si>
  <si>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</si>
  <si>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</si>
  <si>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</si>
  <si>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</si>
  <si>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</si>
  <si>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</si>
  <si>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</si>
  <si>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</si>
  <si>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</si>
  <si>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</si>
  <si>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</si>
  <si>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</si>
  <si>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</si>
  <si>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</si>
  <si>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</si>
  <si>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</si>
  <si>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</si>
  <si>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</si>
  <si>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</si>
  <si>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</si>
  <si>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</si>
  <si>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</si>
  <si>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</si>
  <si>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</si>
  <si>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</si>
  <si>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</si>
  <si>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</si>
  <si>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</si>
  <si>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</si>
  <si>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</si>
  <si>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</si>
  <si>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</si>
  <si>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</si>
  <si>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</si>
  <si>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</si>
  <si>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</si>
  <si>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</si>
  <si>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</si>
  <si>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</si>
  <si>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</si>
  <si>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</si>
  <si>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</si>
  <si>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</si>
  <si>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</si>
  <si>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</si>
  <si>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</si>
  <si>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</si>
  <si>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</si>
  <si>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</si>
  <si>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</si>
  <si>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</si>
  <si>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</si>
  <si>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</si>
  <si>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</si>
  <si>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</si>
  <si>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</si>
  <si>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</si>
  <si>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</si>
  <si>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</si>
  <si>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</si>
  <si>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</si>
  <si>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</si>
  <si>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</si>
  <si>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</si>
  <si>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</si>
  <si>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</si>
  <si>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</si>
  <si>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</si>
  <si>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</si>
  <si>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</si>
  <si>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</si>
  <si>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</si>
  <si>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</si>
  <si>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</si>
  <si>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</si>
  <si>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</si>
  <si>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</si>
  <si>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</si>
  <si>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</si>
  <si>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</si>
  <si>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</si>
  <si>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</si>
  <si>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</si>
  <si>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</si>
  <si>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</si>
  <si>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</si>
  <si>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</si>
  <si>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</si>
  <si>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</si>
  <si>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</si>
  <si>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</si>
  <si>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</si>
  <si>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</si>
  <si>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</si>
  <si>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</si>
  <si>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</si>
  <si>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</si>
  <si>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</si>
  <si>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</si>
  <si>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</si>
  <si>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</si>
  <si>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</si>
  <si>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</si>
  <si>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</si>
  <si>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</si>
  <si>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</si>
  <si>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</si>
  <si>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</si>
  <si>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</si>
  <si>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</si>
  <si>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</si>
  <si>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</si>
  <si>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</si>
  <si>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</si>
  <si>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</si>
  <si>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</si>
  <si>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</si>
  <si>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</si>
  <si>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</si>
  <si>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</si>
  <si>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</si>
  <si>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</si>
  <si>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</si>
  <si>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</si>
  <si>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</si>
  <si>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</si>
  <si>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</si>
  <si>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</si>
  <si>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</si>
  <si>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</si>
  <si>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</si>
  <si>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</si>
  <si>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</si>
  <si>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</si>
  <si>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</si>
  <si>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</si>
  <si>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</si>
  <si>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</si>
  <si>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</si>
  <si>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</si>
  <si>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</si>
  <si>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</si>
  <si>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</si>
  <si>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</si>
  <si>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</si>
  <si>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</si>
  <si>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</si>
  <si>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</si>
  <si>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</si>
  <si>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</si>
  <si>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</si>
  <si>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</si>
  <si>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</si>
  <si>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</si>
  <si>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</si>
  <si>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</si>
  <si>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</si>
  <si>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</si>
  <si>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</si>
  <si>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</si>
  <si>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</si>
  <si>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</si>
  <si>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</si>
  <si>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</si>
  <si>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</si>
  <si>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</si>
  <si>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</si>
  <si>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</si>
  <si>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</si>
  <si>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</si>
  <si>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</si>
  <si>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</si>
  <si>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</si>
  <si>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Published on SCO website in June 2024 for use for reporting periods 2023-2024 and afterwards.</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</si>
  <si>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</si>
  <si>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</si>
  <si>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</si>
  <si>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</si>
  <si>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</si>
  <si>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</si>
  <si>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</si>
  <si>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</si>
  <si>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</si>
  <si>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</si>
  <si>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</si>
  <si>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</si>
  <si>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</si>
  <si>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</si>
  <si>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</si>
  <si>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</si>
  <si>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</si>
  <si>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</si>
  <si>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</si>
  <si>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</si>
  <si>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</si>
  <si>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</si>
  <si>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</si>
  <si>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</si>
  <si>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</si>
  <si>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</si>
  <si>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</si>
  <si>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</si>
  <si>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</si>
  <si>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</si>
  <si>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</si>
  <si>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</si>
  <si>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</si>
  <si>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 xml:space="preserve">CA Governor’s Office of Emergency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</si>
</sst>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 fillId="0" borderId="0" xfId="0" applyFont="1" applyAlignment="1">
      <alignment horizontal="left"/>
    </xf>
    <xf numFmtId="0" fontId="39" fillId="0" borderId="0" xfId="0" applyFont="1"/>
    <xf numFmtId="0" fontId="3" fillId="0" borderId="0" xfId="0" applyFont="1"/>
    <xf numFmtId="0" fontId="39" fillId="0" borderId="15" xfId="0" applyFont="1" applyBorder="1" applyAlignment="1">
      <alignment horizontal="center" vertical="top"/>
    </xf>
    <xf numFmtId="0" fontId="39" fillId="0" borderId="16" xfId="0" applyFont="1" applyBorder="1" applyAlignment="1">
      <alignment horizontal="center" vertical="top"/>
    </xf>
    <xf numFmtId="0" fontId="39" fillId="0" borderId="0" xfId="0" applyFont="1" applyAlignment="1">
      <alignment wrapText="1"/>
    </xf>
    <xf numFmtId="0" fontId="2" fillId="0" borderId="0" xfId="0" applyFont="1" applyAlignment="1">
      <alignment horizontal="left"/>
    </xf>
    <xf numFmtId="0" fontId="46" fillId="0" borderId="0" xfId="0" applyFont="1" applyAlignment="1">
      <alignment horizontal="center" vertical="top" wrapText="1"/>
    </xf>
    <xf numFmtId="0" fontId="6" fillId="0" borderId="0" xfId="0" applyFont="1" applyAlignment="1">
      <alignment horizontal="left" vertical="center" wrapText="1"/>
    </xf>
    <xf numFmtId="0" fontId="4" fillId="0" borderId="0" xfId="0" applyFont="1" applyAlignment="1">
      <alignment horizontal="left" vertical="top" wrapText="1"/>
    </xf>
    <xf numFmtId="164" fontId="3" fillId="0" borderId="0" xfId="0" applyNumberFormat="1" applyFont="1" applyAlignment="1">
      <alignment horizontal="left"/>
    </xf>
    <xf numFmtId="0" fontId="12" fillId="0" borderId="12" xfId="0" applyFont="1" applyBorder="1" applyAlignment="1">
      <alignment horizontal="center" wrapText="1"/>
    </xf>
    <xf numFmtId="0" fontId="12" fillId="0" borderId="12" xfId="0" applyFont="1" applyBorder="1" applyAlignment="1">
      <alignment horizontal="center"/>
    </xf>
    <xf numFmtId="0" fontId="46" fillId="0" borderId="0" xfId="0" applyFont="1" applyAlignment="1">
      <alignment horizontal="center" vertical="center"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3" fillId="0" borderId="0" xfId="0" applyFont="1" applyAlignment="1">
      <alignment horizontal="left" wrapText="1"/>
    </xf>
    <xf numFmtId="0" fontId="42" fillId="0" borderId="0" xfId="0" applyFont="1" applyAlignment="1">
      <alignment horizontal="left" vertical="top" wrapText="1"/>
    </xf>
    <xf numFmtId="0" fontId="27" fillId="0" borderId="12" xfId="3" applyFont="1" applyBorder="1" applyAlignment="1">
      <alignment horizontal="center" vertical="top"/>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7" fillId="0" borderId="0" xfId="0" applyFont="1" applyAlignment="1">
      <alignment horizontal="left"/>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27" fillId="0" borderId="12" xfId="3" applyFont="1" applyBorder="1" applyAlignment="1">
      <alignment horizontal="center"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5DBFF"/>
  </sheetPr>
  <dimension ref="A1:F14"/>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1787</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1767</v>
      </c>
      <c r="C11" s="240" t="s">
        <v>1729</v>
      </c>
      <c r="D11" s="240" t="s">
        <v>1796</v>
      </c>
      <c r="E11" s="240" t="s">
        <v>1784</v>
      </c>
      <c r="F11" s="240" t="s">
        <v>1785</v>
      </c>
    </row>
    <row r="12" spans="1:6" ht="42.75" x14ac:dyDescent="0.25">
      <c r="A12" s="240" t="s">
        <v>1736</v>
      </c>
      <c r="B12" s="240" t="s">
        <v>1768</v>
      </c>
      <c r="C12" s="240" t="s">
        <v>1769</v>
      </c>
      <c r="D12" s="240" t="s">
        <v>1769</v>
      </c>
      <c r="E12" s="240" t="s">
        <v>1788</v>
      </c>
      <c r="F12" s="240" t="s">
        <v>1786</v>
      </c>
    </row>
    <row r="13" spans="1:6" ht="28.5" x14ac:dyDescent="0.25">
      <c r="A13" s="240" t="s">
        <v>1736</v>
      </c>
      <c r="B13" s="240" t="s">
        <v>1793</v>
      </c>
      <c r="C13" s="240" t="s">
        <v>1790</v>
      </c>
      <c r="D13" s="240" t="s">
        <v>1790</v>
      </c>
      <c r="E13" s="240" t="s">
        <v>1791</v>
      </c>
      <c r="F13" s="240" t="s">
        <v>1792</v>
      </c>
    </row>
    <row r="14" spans="1:6" ht="28.5" x14ac:dyDescent="0.25">
      <c r="A14" s="240" t="s">
        <v>1771</v>
      </c>
      <c r="B14" s="240" t="s">
        <v>1775</v>
      </c>
      <c r="C14" s="240" t="s">
        <v>1789</v>
      </c>
      <c r="D14" s="240" t="s">
        <v>1789</v>
      </c>
      <c r="E14" s="240" t="s">
        <v>1773</v>
      </c>
      <c r="F14" s="240" t="s">
        <v>1774</v>
      </c>
    </row>
  </sheetData>
  <sheetProtection algorithmName="SHA-512" hashValue="JqZpY6cErXmktBZyPEZzVeqk4bmhUQo3x7WnhLnCNtxjI0tBMn0UJF2Ll0LKoh1xu6oyyNPTohe8etFC68+zrw==" saltValue="DqmKCy7XaHkqX7ux/F6Qbw=="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5DBFF"/>
  </sheetPr>
  <dimension ref="A1:V72"/>
  <sheetViews>
    <sheetView tabSelected="1" zoomScale="70" zoomScaleNormal="70" workbookViewId="0">
      <selection activeCell="J8" sqref="J8"/>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7" t="s">
        <v>1666</v>
      </c>
      <c r="B1" s="267"/>
      <c r="C1" s="267"/>
      <c r="D1" s="267"/>
      <c r="E1" s="267"/>
      <c r="F1" s="267"/>
      <c r="G1" s="267"/>
      <c r="H1" s="267"/>
      <c r="I1" s="267"/>
      <c r="J1" s="267"/>
      <c r="K1" s="267"/>
      <c r="L1" s="5"/>
      <c r="M1" s="5"/>
      <c r="N1" s="5"/>
      <c r="O1" s="5"/>
      <c r="P1" s="5"/>
      <c r="Q1" s="5"/>
      <c r="R1" s="5"/>
      <c r="S1" s="5"/>
    </row>
    <row r="2" spans="1:20" ht="17.45" customHeight="1" x14ac:dyDescent="0.25">
      <c r="A2" s="268" t="s">
        <v>0</v>
      </c>
      <c r="B2" s="268"/>
      <c r="C2" s="268"/>
      <c r="D2" s="268"/>
      <c r="E2" s="268"/>
      <c r="F2" s="268"/>
      <c r="G2" s="268"/>
      <c r="H2" s="268"/>
      <c r="I2" s="268"/>
      <c r="J2" s="36"/>
      <c r="L2" s="5"/>
      <c r="M2" s="5"/>
      <c r="N2" s="5"/>
      <c r="O2" s="5"/>
      <c r="P2" s="5"/>
      <c r="Q2" s="5"/>
      <c r="R2" s="5"/>
      <c r="S2" s="5"/>
    </row>
    <row r="3" spans="1:20" ht="17.45" customHeight="1" x14ac:dyDescent="0.25">
      <c r="A3" s="266" t="s">
        <v>1</v>
      </c>
      <c r="B3" s="266"/>
      <c r="C3" s="266"/>
      <c r="D3" s="266"/>
      <c r="E3" s="95" t="s">
        <v>23</v>
      </c>
      <c r="H3" s="7"/>
      <c r="I3" s="7"/>
      <c r="J3" s="7"/>
      <c r="K3" s="7"/>
      <c r="L3" s="7"/>
      <c r="M3" s="7"/>
      <c r="N3" s="7"/>
      <c r="O3" s="7"/>
      <c r="P3" s="7"/>
      <c r="Q3" s="7"/>
      <c r="R3" s="7"/>
    </row>
    <row r="4" spans="1:20" ht="17.45" customHeight="1" x14ac:dyDescent="0.25">
      <c r="A4" s="266" t="s">
        <v>208</v>
      </c>
      <c r="B4" s="266"/>
      <c r="C4" s="266"/>
      <c r="D4" s="266"/>
      <c r="E4" s="97" t="s">
        <v>1799</v>
      </c>
      <c r="H4" s="7"/>
      <c r="I4" s="7"/>
      <c r="J4" s="7"/>
      <c r="K4" s="7"/>
      <c r="L4" s="7"/>
      <c r="M4" s="7"/>
      <c r="N4" s="7"/>
      <c r="O4" s="7"/>
      <c r="P4" s="7"/>
      <c r="Q4" s="7"/>
      <c r="R4" s="7"/>
    </row>
    <row r="5" spans="1:20" ht="17.45" customHeight="1" x14ac:dyDescent="0.25">
      <c r="A5" s="266" t="s">
        <v>1683</v>
      </c>
      <c r="B5" s="266"/>
      <c r="C5" s="266"/>
      <c r="D5" s="266"/>
      <c r="E5" s="161" t="s">
        <v>383</v>
      </c>
      <c r="H5" s="7"/>
      <c r="I5" s="7"/>
      <c r="J5" s="8"/>
      <c r="K5" s="8"/>
      <c r="L5" s="8"/>
      <c r="M5" s="8"/>
      <c r="N5" s="8"/>
      <c r="O5" s="8"/>
      <c r="P5" s="8"/>
      <c r="Q5" s="7"/>
      <c r="R5" s="7"/>
    </row>
    <row r="6" spans="1:20" ht="17.45" customHeight="1" x14ac:dyDescent="0.25">
      <c r="A6" s="266" t="s">
        <v>1684</v>
      </c>
      <c r="B6" s="266"/>
      <c r="C6" s="266"/>
      <c r="D6" s="266"/>
      <c r="E6" s="97">
        <v>9751</v>
      </c>
      <c r="G6" s="8"/>
      <c r="H6" s="8"/>
      <c r="I6" s="8"/>
      <c r="J6" s="8"/>
      <c r="K6" s="8"/>
      <c r="L6" s="8"/>
      <c r="M6" s="8"/>
      <c r="N6" s="8"/>
      <c r="O6" s="8"/>
      <c r="P6" s="8"/>
      <c r="Q6" s="7"/>
      <c r="R6" s="7"/>
    </row>
    <row r="7" spans="1:20" ht="17.45" customHeight="1" x14ac:dyDescent="0.25">
      <c r="A7" s="266" t="s">
        <v>3</v>
      </c>
      <c r="B7" s="266"/>
      <c r="C7" s="266"/>
      <c r="D7" s="266"/>
      <c r="E7" s="35" t="s">
        <v>124</v>
      </c>
      <c r="G7" s="8"/>
      <c r="H7" s="8"/>
      <c r="I7" s="8"/>
      <c r="J7" s="8"/>
      <c r="K7" s="8"/>
      <c r="L7" s="8"/>
      <c r="M7" s="8"/>
      <c r="N7" s="8"/>
      <c r="O7" s="8"/>
      <c r="P7" s="8"/>
      <c r="Q7" s="7"/>
      <c r="R7" s="7"/>
    </row>
    <row r="8" spans="1:20" ht="17.45" customHeight="1" x14ac:dyDescent="0.25">
      <c r="A8" s="266" t="s">
        <v>1640</v>
      </c>
      <c r="B8" s="266"/>
      <c r="C8" s="266"/>
      <c r="D8" s="266"/>
      <c r="E8" s="35" t="s">
        <v>141</v>
      </c>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3" t="s">
        <v>1671</v>
      </c>
      <c r="N13" s="264"/>
      <c r="O13" s="188"/>
      <c r="P13" s="263" t="s">
        <v>1667</v>
      </c>
      <c r="Q13" s="264"/>
      <c r="R13" s="188"/>
      <c r="S13" s="222" t="s">
        <v>1668</v>
      </c>
    </row>
    <row r="14" spans="1:20" ht="17.45" customHeight="1" x14ac:dyDescent="0.2">
      <c r="B14" s="20" t="s">
        <v>212</v>
      </c>
      <c r="C14" s="151"/>
      <c r="D14" s="151"/>
      <c r="E14" s="151"/>
      <c r="F14" s="151"/>
      <c r="G14" s="151"/>
      <c r="H14" s="151"/>
      <c r="I14" s="151"/>
      <c r="J14" s="248">
        <f>M14</f>
        <v>5097320</v>
      </c>
      <c r="K14" s="37"/>
      <c r="L14" s="37"/>
      <c r="M14" s="196">
        <v>5097320</v>
      </c>
      <c r="N14" s="37"/>
      <c r="O14" s="37"/>
      <c r="P14" s="196">
        <v>5287679</v>
      </c>
      <c r="Q14" s="224"/>
      <c r="R14" s="37"/>
      <c r="S14" s="223">
        <f>P14-M14</f>
        <v>190359</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4990308</v>
      </c>
      <c r="L17" s="37"/>
      <c r="M17" s="37"/>
      <c r="N17" s="196">
        <v>4990308</v>
      </c>
      <c r="O17" s="37"/>
      <c r="P17" s="224"/>
      <c r="Q17" s="196">
        <v>5218068</v>
      </c>
      <c r="R17" s="37"/>
      <c r="S17" s="223">
        <f t="shared" ref="S17:S19" si="0">Q17-N17</f>
        <v>227760</v>
      </c>
      <c r="T17" s="250" t="s">
        <v>1730</v>
      </c>
    </row>
    <row r="18" spans="1:22" ht="17.45" customHeight="1" x14ac:dyDescent="0.2">
      <c r="A18" s="15"/>
      <c r="B18" s="151"/>
      <c r="C18" s="20" t="s">
        <v>185</v>
      </c>
      <c r="D18" s="151"/>
      <c r="E18" s="151"/>
      <c r="F18" s="151"/>
      <c r="G18" s="151"/>
      <c r="H18" s="151"/>
      <c r="I18" s="151"/>
      <c r="J18" s="20"/>
      <c r="K18" s="248">
        <f>Q18</f>
        <v>69611</v>
      </c>
      <c r="L18" s="37"/>
      <c r="M18" s="37"/>
      <c r="N18" s="196">
        <v>107012</v>
      </c>
      <c r="O18" s="37"/>
      <c r="P18" s="224"/>
      <c r="Q18" s="221">
        <f>IF(SUM($Q$17)&lt;SUM($P$14),-SUM($Q$17)+SUM($P$14),0)</f>
        <v>69611</v>
      </c>
      <c r="R18" s="37"/>
      <c r="S18" s="223">
        <f t="shared" si="0"/>
        <v>-37401</v>
      </c>
      <c r="T18" s="250" t="s">
        <v>1730</v>
      </c>
    </row>
    <row r="19" spans="1:22" ht="17.45" customHeight="1" x14ac:dyDescent="0.2">
      <c r="A19" s="15"/>
      <c r="B19" s="151"/>
      <c r="C19" s="20" t="s">
        <v>186</v>
      </c>
      <c r="D19" s="151"/>
      <c r="E19" s="151"/>
      <c r="F19" s="151"/>
      <c r="G19" s="151"/>
      <c r="H19" s="151"/>
      <c r="I19" s="151"/>
      <c r="J19" s="20"/>
      <c r="K19" s="248">
        <f>IF(SUM($K$17:$K$18)&lt;SUM($J$14:$J$15),-SUM($K$17:$K$18)+SUM($J$14:$J$15),0)</f>
        <v>37401</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5097320</v>
      </c>
      <c r="K20" s="155">
        <f>SUM(K14:K19)</f>
        <v>5097320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61"/>
      <c r="P29" s="261"/>
      <c r="Q29" s="261"/>
      <c r="R29" s="261"/>
      <c r="S29" s="261"/>
      <c r="T29" s="261"/>
      <c r="U29" s="261"/>
      <c r="V29" s="261"/>
    </row>
    <row r="30" spans="1:22" ht="17.45" customHeight="1" x14ac:dyDescent="0.2">
      <c r="B30" s="262" t="str">
        <f>IF($E$7="Governmental","Dr: Acct 0775 - OTHER INCOME","Dr: Acct 0755 - SALES &amp; SERVICES")</f>
        <v>Dr: Acct 0755 - SALES &amp; SERVICES</v>
      </c>
      <c r="C30" s="262"/>
      <c r="D30" s="262"/>
      <c r="E30" s="262"/>
      <c r="F30" s="262"/>
      <c r="G30" s="262"/>
      <c r="H30" s="262"/>
      <c r="I30" s="262"/>
      <c r="J30" s="196">
        <v>220634</v>
      </c>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v>145265</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v>75369</v>
      </c>
      <c r="N32" s="22"/>
      <c r="O32" s="23"/>
    </row>
    <row r="33" spans="1:22" ht="17.45" customHeight="1" x14ac:dyDescent="0.3">
      <c r="A33" s="15"/>
      <c r="C33" s="183"/>
      <c r="D33" s="183"/>
      <c r="E33" s="183"/>
      <c r="F33" s="183"/>
      <c r="G33" s="183"/>
      <c r="H33" s="183"/>
      <c r="I33" s="183"/>
      <c r="J33" s="156">
        <f>J30</f>
        <v>220634</v>
      </c>
      <c r="K33" s="253">
        <f>SUM(K31:K32)</f>
        <v>220634</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0" t="s">
        <v>215</v>
      </c>
      <c r="C36" s="260" t="s">
        <v>213</v>
      </c>
      <c r="D36" s="260" t="s">
        <v>213</v>
      </c>
      <c r="E36" s="260" t="s">
        <v>213</v>
      </c>
      <c r="F36" s="20"/>
      <c r="G36" s="20"/>
      <c r="H36" s="20"/>
      <c r="I36" s="20"/>
      <c r="J36" s="196">
        <v>219812</v>
      </c>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v>219812</v>
      </c>
      <c r="R37" s="9"/>
      <c r="S37" s="9"/>
      <c r="T37" s="9"/>
      <c r="U37" s="9"/>
      <c r="V37" s="9"/>
    </row>
    <row r="38" spans="1:22" ht="17.45" customHeight="1" x14ac:dyDescent="0.2">
      <c r="A38" s="15"/>
      <c r="C38" s="14"/>
      <c r="D38" s="9"/>
      <c r="E38" s="9"/>
      <c r="F38" s="9"/>
      <c r="G38" s="9"/>
      <c r="H38" s="9"/>
      <c r="I38" s="1"/>
      <c r="J38" s="253">
        <f>J36</f>
        <v>219812</v>
      </c>
      <c r="K38" s="156">
        <f>K37</f>
        <v>219812</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0" t="s">
        <v>216</v>
      </c>
      <c r="C41" s="260"/>
      <c r="D41" s="260"/>
      <c r="E41" s="260"/>
      <c r="F41" s="20"/>
      <c r="G41" s="20"/>
      <c r="H41" s="20"/>
      <c r="I41" s="20"/>
      <c r="J41" s="196">
        <v>154892</v>
      </c>
      <c r="K41" s="32"/>
      <c r="L41" s="9"/>
      <c r="R41" s="9"/>
      <c r="S41" s="9"/>
      <c r="T41" s="9"/>
      <c r="U41" s="9"/>
      <c r="V41" s="9"/>
    </row>
    <row r="42" spans="1:22" ht="17.45" customHeight="1" x14ac:dyDescent="0.2">
      <c r="A42" s="15"/>
      <c r="B42" s="20"/>
      <c r="C42" s="260" t="s">
        <v>214</v>
      </c>
      <c r="D42" s="260" t="s">
        <v>217</v>
      </c>
      <c r="E42" s="260" t="s">
        <v>217</v>
      </c>
      <c r="F42" s="20"/>
      <c r="G42" s="20"/>
      <c r="H42" s="20"/>
      <c r="I42" s="20"/>
      <c r="J42" s="32"/>
      <c r="K42" s="196">
        <v>154892</v>
      </c>
      <c r="O42" s="9"/>
      <c r="P42" s="9"/>
      <c r="Q42" s="9"/>
      <c r="R42" s="9"/>
      <c r="S42" s="9"/>
      <c r="T42" s="9"/>
      <c r="U42" s="9"/>
      <c r="V42" s="9"/>
    </row>
    <row r="43" spans="1:22" ht="17.45" customHeight="1" x14ac:dyDescent="0.2">
      <c r="A43" s="15"/>
      <c r="B43" s="265" t="s">
        <v>1738</v>
      </c>
      <c r="C43" s="265"/>
      <c r="D43" s="265"/>
      <c r="E43" s="265"/>
      <c r="F43" s="265"/>
      <c r="G43" s="265"/>
      <c r="H43" s="265"/>
      <c r="I43" s="265"/>
      <c r="J43" s="253">
        <f>J41</f>
        <v>154892</v>
      </c>
      <c r="K43" s="156">
        <f>K42</f>
        <v>154892</v>
      </c>
      <c r="L43" s="53" t="str">
        <f>IF(J43=K43,"&lt;- Debits and Credits equal each other.","&lt;- Debits and Credits do not equal each other.")</f>
        <v>&lt;- Debits and Credits equal each other.</v>
      </c>
      <c r="M43" s="19"/>
    </row>
    <row r="44" spans="1:22" ht="17.45" customHeight="1" x14ac:dyDescent="0.25">
      <c r="A44" s="15"/>
      <c r="B44" s="265"/>
      <c r="C44" s="265"/>
      <c r="D44" s="265"/>
      <c r="E44" s="265"/>
      <c r="F44" s="265"/>
      <c r="G44" s="265"/>
      <c r="H44" s="265"/>
      <c r="I44" s="265"/>
      <c r="K44" s="27"/>
      <c r="L44" s="9"/>
      <c r="M44" s="19"/>
      <c r="O44" s="28"/>
    </row>
    <row r="45" spans="1:22" ht="17.45" customHeight="1" x14ac:dyDescent="0.25">
      <c r="A45" s="15"/>
      <c r="B45" s="265"/>
      <c r="C45" s="265"/>
      <c r="D45" s="265"/>
      <c r="E45" s="265"/>
      <c r="F45" s="265"/>
      <c r="G45" s="265"/>
      <c r="H45" s="265"/>
      <c r="I45" s="265"/>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0" t="s">
        <v>1655</v>
      </c>
      <c r="C51" s="260" t="s">
        <v>1654</v>
      </c>
      <c r="D51" s="260"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4797163</v>
      </c>
    </row>
    <row r="68" spans="2:11" ht="17.45" customHeight="1" x14ac:dyDescent="0.25">
      <c r="D68" s="193" t="s">
        <v>1714</v>
      </c>
      <c r="E68" s="37"/>
      <c r="F68" s="37"/>
      <c r="G68" s="37"/>
      <c r="H68" s="37"/>
      <c r="I68" s="37"/>
      <c r="J68" s="37"/>
      <c r="K68" s="238">
        <f>J41</f>
        <v>154892</v>
      </c>
    </row>
    <row r="69" spans="2:11" ht="17.45" customHeight="1" x14ac:dyDescent="0.25">
      <c r="D69" s="193" t="s">
        <v>1715</v>
      </c>
      <c r="E69" s="37"/>
      <c r="F69" s="37"/>
      <c r="G69" s="37"/>
      <c r="H69" s="37"/>
      <c r="I69" s="37"/>
      <c r="J69" s="37"/>
      <c r="K69" s="238">
        <f>-K17-K25+J36+J49-K59</f>
        <v>-4770496</v>
      </c>
    </row>
    <row r="70" spans="2:11" ht="17.45" customHeight="1" x14ac:dyDescent="0.2">
      <c r="I70" s="24"/>
    </row>
    <row r="71" spans="2:11" ht="17.45" customHeight="1" x14ac:dyDescent="0.2">
      <c r="I71" s="24"/>
    </row>
    <row r="72" spans="2:11" ht="17.45" customHeight="1" x14ac:dyDescent="0.2">
      <c r="I72" s="24"/>
    </row>
  </sheetData>
  <sheetProtection algorithmName="SHA-512" hashValue="HMHkdNQSROK0DlJ2r7G/B+ObMg4REuQpv9GcJuPEmZvdoidvvr/lhp9wHwswum5qlfCc96rP9q7Sp2r3n2hQVw==" saltValue="QvKSA73f4H87pIXmfy2/t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57" priority="1">
      <formula>$J$20&lt;&gt;$K$20</formula>
    </cfRule>
  </conditionalFormatting>
  <conditionalFormatting sqref="L26:P26">
    <cfRule type="expression" dxfId="56" priority="2">
      <formula>$J$26&lt;&gt;$K$26</formula>
    </cfRule>
  </conditionalFormatting>
  <conditionalFormatting sqref="L33:P33">
    <cfRule type="expression" dxfId="55" priority="3">
      <formula>$J$33&lt;&gt;$K$33</formula>
    </cfRule>
  </conditionalFormatting>
  <conditionalFormatting sqref="L38:P38">
    <cfRule type="expression" dxfId="54" priority="4">
      <formula>$J$38&lt;&gt;$K$38</formula>
    </cfRule>
  </conditionalFormatting>
  <conditionalFormatting sqref="L43:P43">
    <cfRule type="expression" dxfId="53" priority="9">
      <formula>$J$43&lt;&gt;$K$43</formula>
    </cfRule>
  </conditionalFormatting>
  <conditionalFormatting sqref="L55:P55">
    <cfRule type="expression" dxfId="52" priority="10">
      <formula>$J$55&lt;&gt;$K$55</formula>
    </cfRule>
  </conditionalFormatting>
  <conditionalFormatting sqref="L60:P60">
    <cfRule type="expression" dxfId="5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300-000000000000}">
      <formula1>0</formula1>
    </dataValidation>
    <dataValidation type="textLength" operator="equal" allowBlank="1" showInputMessage="1" showErrorMessage="1" errorTitle="4-Digit Org Code" error="Enter the Org Code/BU as 4 digits." sqref="E5" xr:uid="{00000000-0002-0000-03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3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E3</xm:sqref>
        </x14:dataValidation>
        <x14:dataValidation type="list" allowBlank="1" showInputMessage="1" showErrorMessage="1" xr:uid="{00000000-0002-0000-0300-000004000000}">
          <x14:formula1>
            <xm:f>'Drop Down Menus'!$B$1:$B$2</xm:f>
          </x14:formula1>
          <xm:sqref>E7</xm:sqref>
        </x14:dataValidation>
        <x14:dataValidation type="list" allowBlank="1" showInputMessage="1" showErrorMessage="1" xr:uid="{00000000-0002-0000-0300-000005000000}">
          <x14:formula1>
            <xm:f>'Drop Down Menus'!$E$1:$E$3</xm:f>
          </x14:formula1>
          <xm:sqref>E8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5DBFF"/>
  </sheetPr>
  <dimension ref="A1:S103"/>
  <sheetViews>
    <sheetView topLeftCell="A31" zoomScale="70" zoomScaleNormal="70" workbookViewId="0">
      <selection activeCell="E57" sqref="E57"/>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3" t="s">
        <v>149</v>
      </c>
      <c r="B1" s="273"/>
      <c r="C1" s="273"/>
      <c r="D1" s="273"/>
      <c r="E1" s="273"/>
      <c r="F1" s="158"/>
      <c r="G1" s="5"/>
      <c r="H1" s="5"/>
      <c r="I1" s="5"/>
      <c r="J1" s="5"/>
      <c r="K1" s="5"/>
      <c r="L1" s="5"/>
      <c r="M1" s="5"/>
      <c r="N1" s="5"/>
      <c r="O1" s="5"/>
      <c r="P1" s="5"/>
      <c r="Q1" s="5"/>
      <c r="R1" s="5"/>
      <c r="S1" s="5"/>
    </row>
    <row r="2" spans="1:19" ht="48" customHeight="1" x14ac:dyDescent="0.25">
      <c r="A2" s="278" t="s">
        <v>147</v>
      </c>
      <c r="B2" s="278"/>
      <c r="C2" s="278"/>
      <c r="D2" s="278"/>
      <c r="E2" s="278"/>
      <c r="F2" s="99"/>
      <c r="G2" s="5"/>
      <c r="H2" s="5"/>
      <c r="I2" s="5"/>
      <c r="J2" s="5"/>
      <c r="K2" s="5"/>
      <c r="L2" s="5"/>
      <c r="M2" s="5"/>
      <c r="N2" s="5"/>
      <c r="O2" s="5"/>
      <c r="P2" s="5"/>
      <c r="Q2" s="5"/>
      <c r="R2" s="5"/>
      <c r="S2" s="5"/>
    </row>
    <row r="3" spans="1:19" ht="33" customHeight="1" x14ac:dyDescent="0.25">
      <c r="A3" s="276" t="s">
        <v>211</v>
      </c>
      <c r="B3" s="276"/>
      <c r="C3" s="276"/>
      <c r="E3" s="57"/>
      <c r="F3" s="57"/>
      <c r="G3" s="57"/>
      <c r="H3" s="57"/>
      <c r="I3" s="57"/>
      <c r="J3" s="57"/>
      <c r="K3" s="57"/>
      <c r="L3" s="57"/>
      <c r="M3" s="57"/>
      <c r="N3" s="57"/>
      <c r="O3" s="57"/>
      <c r="P3" s="6"/>
      <c r="Q3" s="6"/>
      <c r="R3" s="6"/>
      <c r="S3" s="6"/>
    </row>
    <row r="4" spans="1:19" ht="31.15" customHeight="1" x14ac:dyDescent="0.25">
      <c r="A4" s="277" t="s">
        <v>7</v>
      </c>
      <c r="B4" s="277"/>
      <c r="C4" s="277"/>
      <c r="E4" s="57"/>
      <c r="F4" s="57"/>
      <c r="G4" s="57"/>
      <c r="H4" s="57"/>
      <c r="I4" s="57"/>
      <c r="J4" s="57"/>
      <c r="K4" s="57"/>
      <c r="L4" s="57"/>
      <c r="M4" s="57"/>
      <c r="N4" s="57"/>
      <c r="O4" s="57"/>
      <c r="P4" s="6"/>
      <c r="Q4" s="6"/>
      <c r="R4" s="6"/>
      <c r="S4" s="6"/>
    </row>
    <row r="5" spans="1:19" ht="30.6" customHeight="1" x14ac:dyDescent="0.25">
      <c r="A5" s="277" t="s">
        <v>9</v>
      </c>
      <c r="B5" s="277"/>
      <c r="C5" s="277"/>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74" t="s">
        <v>23</v>
      </c>
      <c r="C9" s="274"/>
      <c r="D9" s="52"/>
      <c r="F9" s="81"/>
      <c r="G9" s="81"/>
      <c r="H9" s="81"/>
      <c r="I9" s="81"/>
      <c r="J9" s="81"/>
      <c r="K9" s="81"/>
      <c r="L9" s="81"/>
      <c r="M9" s="81"/>
      <c r="N9" s="81"/>
      <c r="O9" s="81"/>
      <c r="P9" s="6"/>
      <c r="Q9" s="6"/>
      <c r="R9" s="6"/>
      <c r="S9" s="6"/>
    </row>
    <row r="10" spans="1:19" ht="15.75" x14ac:dyDescent="0.25">
      <c r="A10" s="12" t="s">
        <v>209</v>
      </c>
      <c r="B10" s="275">
        <v>690</v>
      </c>
      <c r="C10" s="275"/>
      <c r="D10" s="82"/>
      <c r="F10" s="38"/>
      <c r="G10" s="38"/>
      <c r="H10" s="38"/>
      <c r="I10" s="38"/>
      <c r="J10" s="38"/>
      <c r="K10" s="38"/>
      <c r="L10" s="38"/>
      <c r="M10" s="38"/>
      <c r="N10" s="38"/>
      <c r="O10" s="38"/>
      <c r="P10" s="6"/>
      <c r="Q10" s="6"/>
      <c r="R10" s="6"/>
      <c r="S10" s="6"/>
    </row>
    <row r="11" spans="1:19" ht="15.75" x14ac:dyDescent="0.25">
      <c r="A11" s="12" t="s">
        <v>208</v>
      </c>
      <c r="B11" s="274" t="s">
        <v>1799</v>
      </c>
      <c r="C11" s="274"/>
      <c r="D11" s="82"/>
      <c r="F11" s="5"/>
      <c r="G11" s="5"/>
      <c r="H11" s="5"/>
      <c r="I11" s="5"/>
      <c r="J11" s="5"/>
      <c r="K11" s="5"/>
      <c r="L11" s="5"/>
      <c r="M11" s="5"/>
      <c r="N11" s="5"/>
      <c r="O11" s="5"/>
      <c r="P11" s="5"/>
      <c r="Q11" s="5"/>
      <c r="R11" s="5"/>
      <c r="S11" s="5"/>
    </row>
    <row r="12" spans="1:19" ht="30" customHeight="1" x14ac:dyDescent="0.25">
      <c r="A12" s="271" t="s">
        <v>1761</v>
      </c>
      <c r="B12" s="272"/>
      <c r="C12" s="272"/>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9" t="s">
        <v>218</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9"/>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9"/>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9"/>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9"/>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0" t="str">
        <f>B9</f>
        <v>2022–2023</v>
      </c>
      <c r="C40" s="260"/>
      <c r="D40" s="20"/>
      <c r="F40" s="89"/>
      <c r="G40" s="89"/>
      <c r="H40" s="89"/>
      <c r="I40" s="89"/>
    </row>
    <row r="41" spans="1:19" ht="15.75" x14ac:dyDescent="0.25">
      <c r="A41" s="12" t="s">
        <v>209</v>
      </c>
      <c r="B41" s="270">
        <f>B10</f>
        <v>690</v>
      </c>
      <c r="C41" s="270"/>
      <c r="D41" s="91"/>
    </row>
    <row r="42" spans="1:19" ht="15.75" x14ac:dyDescent="0.25">
      <c r="A42" s="12" t="s">
        <v>208</v>
      </c>
      <c r="B42" s="260" t="str">
        <f>B11</f>
        <v xml:space="preserve">CA Governor’s Office of Emergency Services </v>
      </c>
      <c r="C42" s="260"/>
      <c r="D42" s="55"/>
    </row>
    <row r="43" spans="1:19" ht="30" customHeight="1" x14ac:dyDescent="0.25">
      <c r="A43" s="271" t="s">
        <v>1761</v>
      </c>
      <c r="B43" s="272"/>
      <c r="C43" s="272"/>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v>154892</v>
      </c>
      <c r="C45" s="2">
        <v>73121</v>
      </c>
      <c r="D45" s="62"/>
      <c r="E45" s="269" t="s">
        <v>218</v>
      </c>
    </row>
    <row r="46" spans="1:19" x14ac:dyDescent="0.2">
      <c r="A46" s="84" t="str">
        <f>LEFT(A45,4)+1&amp;"–"&amp;RIGHT(A45,4)+1</f>
        <v>2024–2025</v>
      </c>
      <c r="B46" s="2">
        <v>164698</v>
      </c>
      <c r="C46" s="2">
        <v>70731</v>
      </c>
      <c r="D46" s="62"/>
      <c r="E46" s="269"/>
    </row>
    <row r="47" spans="1:19" x14ac:dyDescent="0.2">
      <c r="A47" s="84" t="str">
        <f>LEFT(A46,4)+1&amp;"–"&amp;RIGHT(A46,4)+1</f>
        <v>2025–2026</v>
      </c>
      <c r="B47" s="2">
        <v>175038</v>
      </c>
      <c r="C47" s="2">
        <v>68189</v>
      </c>
      <c r="D47" s="62"/>
      <c r="E47" s="269"/>
    </row>
    <row r="48" spans="1:19" ht="15" customHeight="1" x14ac:dyDescent="0.2">
      <c r="A48" s="84" t="str">
        <f>LEFT(A47,4)+1&amp;"–"&amp;RIGHT(A47,4)+1</f>
        <v>2026–2027</v>
      </c>
      <c r="B48" s="2">
        <v>185704</v>
      </c>
      <c r="C48" s="2">
        <v>65488</v>
      </c>
      <c r="D48" s="87"/>
      <c r="E48" s="269"/>
    </row>
    <row r="49" spans="1:19" x14ac:dyDescent="0.2">
      <c r="A49" s="84" t="str">
        <f>LEFT(A48,4)+1&amp;"–"&amp;RIGHT(A48,4)+1</f>
        <v>2027–2028</v>
      </c>
      <c r="B49" s="2">
        <v>196990</v>
      </c>
      <c r="C49" s="2">
        <v>62632</v>
      </c>
      <c r="D49" s="87"/>
      <c r="E49" s="98" t="s">
        <v>130</v>
      </c>
    </row>
    <row r="50" spans="1:19" x14ac:dyDescent="0.2">
      <c r="A50" s="84" t="str">
        <f>LEFT(A49,4)+1&amp;"–"&amp;RIGHT(A49,4)+5</f>
        <v>2028–2033</v>
      </c>
      <c r="B50" s="2">
        <v>1163832</v>
      </c>
      <c r="C50" s="2">
        <v>263925</v>
      </c>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v>1486495</v>
      </c>
      <c r="C51" s="2">
        <v>165446</v>
      </c>
      <c r="D51" s="62"/>
      <c r="E51" s="98"/>
    </row>
    <row r="52" spans="1:19" x14ac:dyDescent="0.2">
      <c r="A52" s="84" t="str">
        <f t="shared" si="1"/>
        <v>2038–2043</v>
      </c>
      <c r="B52" s="2">
        <v>1327845</v>
      </c>
      <c r="C52" s="2">
        <v>48791</v>
      </c>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v>96561</v>
      </c>
      <c r="C53" s="2">
        <v>706</v>
      </c>
      <c r="D53" s="62"/>
      <c r="E53" s="269"/>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148</v>
      </c>
    </row>
    <row r="71" spans="1:19" ht="15.75" x14ac:dyDescent="0.25">
      <c r="A71" s="12" t="s">
        <v>12</v>
      </c>
      <c r="B71" s="260" t="str">
        <f>B40</f>
        <v>2022–2023</v>
      </c>
      <c r="C71" s="260"/>
      <c r="D71" s="20"/>
    </row>
    <row r="72" spans="1:19" ht="15.75" x14ac:dyDescent="0.25">
      <c r="A72" s="12" t="s">
        <v>209</v>
      </c>
      <c r="B72" s="270">
        <f>B41</f>
        <v>690</v>
      </c>
      <c r="C72" s="270"/>
      <c r="D72" s="91"/>
    </row>
    <row r="73" spans="1:19" ht="15.75" x14ac:dyDescent="0.25">
      <c r="A73" s="12" t="s">
        <v>208</v>
      </c>
      <c r="B73" s="260" t="str">
        <f>B42</f>
        <v xml:space="preserve">CA Governor’s Office of Emergency Services </v>
      </c>
      <c r="C73" s="260"/>
      <c r="D73" s="55"/>
    </row>
    <row r="74" spans="1:19" ht="30" customHeight="1" x14ac:dyDescent="0.25">
      <c r="A74" s="271" t="s">
        <v>1761</v>
      </c>
      <c r="B74" s="272"/>
      <c r="C74" s="272"/>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9" t="s">
        <v>218</v>
      </c>
    </row>
    <row r="77" spans="1:19" x14ac:dyDescent="0.2">
      <c r="A77" s="84" t="str">
        <f>LEFT(A76,4)+1&amp;"–"&amp;RIGHT(A76,4)+1</f>
        <v>2024–2025</v>
      </c>
      <c r="B77" s="2"/>
      <c r="C77" s="2"/>
      <c r="D77" s="62"/>
      <c r="E77" s="269"/>
    </row>
    <row r="78" spans="1:19" x14ac:dyDescent="0.2">
      <c r="A78" s="84" t="str">
        <f>LEFT(A77,4)+1&amp;"–"&amp;RIGHT(A77,4)+1</f>
        <v>2025–2026</v>
      </c>
      <c r="B78" s="2"/>
      <c r="C78" s="2"/>
      <c r="D78" s="62"/>
      <c r="E78" s="269"/>
    </row>
    <row r="79" spans="1:19" x14ac:dyDescent="0.2">
      <c r="A79" s="84" t="str">
        <f>LEFT(A78,4)+1&amp;"–"&amp;RIGHT(A78,4)+1</f>
        <v>2026–2027</v>
      </c>
      <c r="B79" s="2"/>
      <c r="C79" s="2"/>
      <c r="D79" s="87"/>
      <c r="E79" s="269"/>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9"/>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ecD8CjzSnTF3MYgboK1lWzJSDXEqHCwIwT94XL+bDNTLu0FZ0a80m128JH1cRpLUj3W+iKsrTlYarIfHFuRw+A==" saltValue="FOvaZCEMbOIqtFjsFfjNA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4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B9:C9</xm:sqref>
        </x14:dataValidation>
        <x14:dataValidation type="list" allowBlank="1" showInputMessage="1" showErrorMessage="1" xr:uid="{00000000-0002-0000-0400-000002000000}">
          <x14:formula1>
            <xm:f>'Drop Down Menus'!$D$1:$D$2</xm:f>
          </x14:formula1>
          <xm:sqref>E18 E49 E80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0" t="s">
        <v>1674</v>
      </c>
      <c r="B5" s="280"/>
      <c r="C5" s="280"/>
      <c r="D5" s="280"/>
      <c r="E5" s="280"/>
      <c r="F5" s="280"/>
      <c r="G5" s="280"/>
      <c r="H5" s="280"/>
      <c r="I5" s="280"/>
      <c r="J5" s="280"/>
      <c r="K5" s="280"/>
      <c r="L5" s="280"/>
      <c r="M5" s="280"/>
      <c r="N5" s="280"/>
      <c r="O5" s="280"/>
      <c r="P5" s="280"/>
      <c r="Q5" s="280"/>
    </row>
    <row r="6" spans="1:17" ht="15" customHeight="1" x14ac:dyDescent="0.25">
      <c r="A6" s="280"/>
      <c r="B6" s="280"/>
      <c r="C6" s="280"/>
      <c r="D6" s="280"/>
      <c r="E6" s="280"/>
      <c r="F6" s="280"/>
      <c r="G6" s="280"/>
      <c r="H6" s="280"/>
      <c r="I6" s="280"/>
      <c r="J6" s="280"/>
      <c r="K6" s="280"/>
      <c r="L6" s="280"/>
      <c r="M6" s="280"/>
      <c r="N6" s="280"/>
      <c r="O6" s="280"/>
      <c r="P6" s="280"/>
      <c r="Q6" s="280"/>
    </row>
    <row r="7" spans="1:17" x14ac:dyDescent="0.25">
      <c r="A7" s="280"/>
      <c r="B7" s="280"/>
      <c r="C7" s="280"/>
      <c r="D7" s="280"/>
      <c r="E7" s="280"/>
      <c r="F7" s="280"/>
      <c r="G7" s="280"/>
      <c r="H7" s="280"/>
      <c r="I7" s="280"/>
      <c r="J7" s="280"/>
      <c r="K7" s="280"/>
      <c r="L7" s="280"/>
      <c r="M7" s="280"/>
      <c r="N7" s="280"/>
      <c r="O7" s="280"/>
      <c r="P7" s="280"/>
      <c r="Q7" s="280"/>
    </row>
    <row r="8" spans="1:17" ht="15" customHeight="1" x14ac:dyDescent="0.25">
      <c r="A8" s="281" t="s">
        <v>1659</v>
      </c>
      <c r="B8" s="281"/>
      <c r="C8" s="281"/>
      <c r="D8" s="281"/>
      <c r="E8" s="281"/>
      <c r="F8" s="281"/>
      <c r="G8" s="281"/>
      <c r="H8" s="281"/>
      <c r="I8" s="281"/>
      <c r="J8" s="281"/>
      <c r="K8" s="281"/>
      <c r="L8" s="281"/>
      <c r="M8" s="281"/>
      <c r="N8" s="281"/>
      <c r="O8" s="281"/>
      <c r="P8" s="281"/>
      <c r="Q8" s="281"/>
    </row>
    <row r="9" spans="1:17" x14ac:dyDescent="0.25">
      <c r="A9" s="281"/>
      <c r="B9" s="281"/>
      <c r="C9" s="281"/>
      <c r="D9" s="281"/>
      <c r="E9" s="281"/>
      <c r="F9" s="281"/>
      <c r="G9" s="281"/>
      <c r="H9" s="281"/>
      <c r="I9" s="281"/>
      <c r="J9" s="281"/>
      <c r="K9" s="281"/>
      <c r="L9" s="281"/>
      <c r="M9" s="281"/>
      <c r="N9" s="281"/>
      <c r="O9" s="281"/>
      <c r="P9" s="281"/>
      <c r="Q9" s="281"/>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79" t="s">
        <v>152</v>
      </c>
      <c r="C13" s="279"/>
      <c r="D13" s="279"/>
      <c r="E13" s="279"/>
      <c r="F13" s="279"/>
      <c r="G13" s="279"/>
      <c r="H13" s="279"/>
      <c r="I13" s="279"/>
      <c r="J13" s="279"/>
      <c r="K13" s="279"/>
      <c r="L13" s="27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9751 Journal Entries'!$E$8="Governmental Fund",'LR-Fund 9751 Journal Entries'!$J$14,0)</f>
        <v>0</v>
      </c>
      <c r="C16" s="168" t="s">
        <v>155</v>
      </c>
      <c r="D16" s="130">
        <f>IF('LR-Fund 9751 Journal Entries'!$E$8="Governmental Fund",'LR-Fund 9751 Journal Entries'!$J$24,0)</f>
        <v>0</v>
      </c>
      <c r="E16" s="170" t="s">
        <v>156</v>
      </c>
      <c r="F16" s="130">
        <f>IF('LR-Fund 9751 Journal Entries'!$E$8="Governmental Fund",'LR-Fund 9751 Journal Entries'!$K$31,0)</f>
        <v>0</v>
      </c>
      <c r="G16" s="169" t="s">
        <v>156</v>
      </c>
      <c r="H16" s="130">
        <f>IF('LR-Fund 9751 Journal Entries'!$E$8="Governmental Fund",'LR-Fund 9751 Journal Entries'!$K$52,0)</f>
        <v>0</v>
      </c>
      <c r="I16" s="169" t="s">
        <v>155</v>
      </c>
      <c r="J16" s="130">
        <f>IF('LR-Fund 9751 Journal Entries'!$E$8="Governmental Fund",'LR-Fund 9751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79" t="s">
        <v>152</v>
      </c>
      <c r="C21" s="279"/>
      <c r="D21" s="279"/>
      <c r="E21" s="279"/>
      <c r="F21" s="279"/>
      <c r="G21" s="279"/>
      <c r="H21" s="279"/>
      <c r="I21" s="279"/>
      <c r="J21" s="279"/>
      <c r="K21" s="279"/>
      <c r="L21" s="27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9751 Journal Entries'!$E$8="Proprietary - Internal Service Fund",'LR-Fund 9751 Journal Entries'!$J$14,0)</f>
        <v>5097320</v>
      </c>
      <c r="C24" s="168" t="s">
        <v>155</v>
      </c>
      <c r="D24" s="130">
        <f>IF('LR-Fund 9751 Journal Entries'!$E$8="Proprietary - Internal Service Fund",'LR-Fund 9751 Journal Entries'!$J$24,0)</f>
        <v>0</v>
      </c>
      <c r="E24" s="170" t="s">
        <v>156</v>
      </c>
      <c r="F24" s="130">
        <f>IF('LR-Fund 9751 Journal Entries'!$E$8="Proprietary - Internal Service Fund",'LR-Fund 9751 Journal Entries'!$K$31,0)</f>
        <v>145265</v>
      </c>
      <c r="G24" s="169" t="s">
        <v>156</v>
      </c>
      <c r="H24" s="130">
        <f>IF('LR-Fund 9751 Journal Entries'!$E$8="Proprietary - Internal Service Fund",'LR-Fund 9751 Journal Entries'!$K$52,0)</f>
        <v>0</v>
      </c>
      <c r="I24" s="169" t="s">
        <v>155</v>
      </c>
      <c r="J24" s="130">
        <f>IF('LR-Fund 9751 Journal Entries'!$E$8="Proprietary - Internal Service Fund",'LR-Fund 9751 Journal Entries'!$J$58,0)</f>
        <v>0</v>
      </c>
      <c r="K24" s="170" t="s">
        <v>159</v>
      </c>
      <c r="L24" s="133">
        <f>+B24+D24-F24-H24+J24</f>
        <v>4952055</v>
      </c>
      <c r="M24" s="132"/>
      <c r="N24" s="134">
        <f>SUM('LR-Department Note Disclosure'!B45:B68)</f>
        <v>4952055</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79" t="s">
        <v>152</v>
      </c>
      <c r="C30" s="279"/>
      <c r="D30" s="279"/>
      <c r="E30" s="279"/>
      <c r="F30" s="279"/>
      <c r="G30" s="279"/>
      <c r="H30" s="279"/>
      <c r="I30" s="279"/>
      <c r="J30" s="279"/>
      <c r="K30" s="279"/>
      <c r="L30" s="27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9751 Journal Entries'!$E$8="Proprietary - Enterprise Fund",'LR-Fund 9751 Journal Entries'!$J$14,0)</f>
        <v>0</v>
      </c>
      <c r="C33" s="168" t="s">
        <v>155</v>
      </c>
      <c r="D33" s="130">
        <f>IF('LR-Fund 9751 Journal Entries'!$E$8="Proprietary - Enterprise Fund",'LR-Fund 9751 Journal Entries'!$J$24,0)</f>
        <v>0</v>
      </c>
      <c r="E33" s="170" t="s">
        <v>156</v>
      </c>
      <c r="F33" s="130">
        <f>IF('LR-Fund 9751 Journal Entries'!$E$8="Proprietary - Enterprise Fund",'LR-Fund 9751 Journal Entries'!$K$31,0)</f>
        <v>0</v>
      </c>
      <c r="G33" s="169" t="s">
        <v>156</v>
      </c>
      <c r="H33" s="130">
        <f>IF('LR-Fund 9751 Journal Entries'!$E$8="Proprietary - Enterprise Fund",'LR-Fund 9751 Journal Entries'!$K$52,0)</f>
        <v>0</v>
      </c>
      <c r="I33" s="169" t="s">
        <v>155</v>
      </c>
      <c r="J33" s="130">
        <f>IF('LR-Fund 9751 Journal Entries'!$E$8="Proprietary - Enterprise Fund",'LR-Fund 9751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79" t="s">
        <v>152</v>
      </c>
      <c r="C40" s="279"/>
      <c r="D40" s="279"/>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2023–2024 Principal Payments</v>
      </c>
      <c r="O41" s="124"/>
      <c r="P41" s="128" t="s">
        <v>158</v>
      </c>
      <c r="Q41" s="121"/>
    </row>
    <row r="42" spans="1:17" ht="15" customHeight="1" x14ac:dyDescent="0.25">
      <c r="A42" s="121"/>
      <c r="B42" s="130">
        <f>IF('LR-Fund 9751 Journal Entries'!$E$8="Governmental Fund",'LR-Fund 9751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79" t="s">
        <v>152</v>
      </c>
      <c r="C47" s="279"/>
      <c r="D47" s="279"/>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2023–2024 Principal Payments</v>
      </c>
      <c r="O48" s="124"/>
      <c r="P48" s="128" t="s">
        <v>158</v>
      </c>
      <c r="Q48" s="121"/>
    </row>
    <row r="49" spans="1:17" x14ac:dyDescent="0.25">
      <c r="A49" s="121"/>
      <c r="B49" s="130">
        <f>IF('LR-Fund 9751 Journal Entries'!$E$8="Proprietary - Internal Service Fund",'LR-Fund 9751 Journal Entries'!$J$41,0)</f>
        <v>154892</v>
      </c>
      <c r="C49" s="138"/>
      <c r="E49" s="138"/>
      <c r="G49" s="167"/>
      <c r="H49" s="167"/>
      <c r="I49" s="167"/>
      <c r="J49" s="167"/>
      <c r="K49" s="138"/>
      <c r="L49" s="138"/>
      <c r="M49" s="139"/>
      <c r="N49" s="134">
        <f>'LR-Department Note Disclosure'!B45</f>
        <v>154892</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79" t="s">
        <v>152</v>
      </c>
      <c r="C55" s="279"/>
      <c r="D55" s="279"/>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2023–2024 Principal Payments</v>
      </c>
      <c r="O56" s="124"/>
      <c r="P56" s="128" t="s">
        <v>158</v>
      </c>
      <c r="Q56" s="121"/>
    </row>
    <row r="57" spans="1:17" x14ac:dyDescent="0.25">
      <c r="A57" s="121"/>
      <c r="B57" s="130">
        <f>IF('LR-Fund 9751 Journal Entries'!$E$8="Proprietary - Enterprise Fund",'LR-Fund 9751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50" priority="17" operator="lessThan">
      <formula>0</formula>
    </cfRule>
    <cfRule type="cellIs" dxfId="49" priority="18" operator="greaterThan">
      <formula>0</formula>
    </cfRule>
  </conditionalFormatting>
  <conditionalFormatting sqref="P24">
    <cfRule type="cellIs" dxfId="48" priority="7" operator="lessThan">
      <formula>0</formula>
    </cfRule>
    <cfRule type="cellIs" dxfId="47" priority="8" operator="greaterThan">
      <formula>0</formula>
    </cfRule>
  </conditionalFormatting>
  <conditionalFormatting sqref="P33">
    <cfRule type="cellIs" dxfId="46" priority="15" operator="lessThan">
      <formula>0</formula>
    </cfRule>
    <cfRule type="cellIs" dxfId="45" priority="16" operator="greaterThan">
      <formula>0</formula>
    </cfRule>
  </conditionalFormatting>
  <conditionalFormatting sqref="P42">
    <cfRule type="cellIs" dxfId="44" priority="13" operator="lessThan">
      <formula>0</formula>
    </cfRule>
    <cfRule type="cellIs" dxfId="43" priority="14" operator="greaterThan">
      <formula>0</formula>
    </cfRule>
  </conditionalFormatting>
  <conditionalFormatting sqref="P49">
    <cfRule type="cellIs" dxfId="42" priority="5" operator="lessThan">
      <formula>0</formula>
    </cfRule>
    <cfRule type="cellIs" dxfId="41" priority="6" operator="greaterThan">
      <formula>0</formula>
    </cfRule>
  </conditionalFormatting>
  <conditionalFormatting sqref="P57">
    <cfRule type="cellIs" dxfId="40" priority="11" operator="lessThan">
      <formula>0</formula>
    </cfRule>
    <cfRule type="cellIs" dxfId="39" priority="12" operator="greaterThan">
      <formula>0</formula>
    </cfRule>
  </conditionalFormatting>
  <pageMargins left="0.7" right="0.7" top="0.75" bottom="0.75" header="0.3" footer="0.3"/>
  <pageSetup scale="7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F15"/>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1780</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1767</v>
      </c>
      <c r="C11" s="240" t="s">
        <v>1729</v>
      </c>
      <c r="D11" s="240" t="s">
        <v>1766</v>
      </c>
      <c r="E11" s="240" t="s">
        <v>1784</v>
      </c>
      <c r="F11" s="240" t="s">
        <v>1785</v>
      </c>
    </row>
    <row r="12" spans="1:6" ht="42.75" x14ac:dyDescent="0.25">
      <c r="A12" s="240" t="s">
        <v>1731</v>
      </c>
      <c r="B12" s="240" t="s">
        <v>1768</v>
      </c>
      <c r="C12" s="240" t="s">
        <v>1769</v>
      </c>
      <c r="D12" s="240" t="s">
        <v>1769</v>
      </c>
      <c r="E12" s="240" t="s">
        <v>1770</v>
      </c>
      <c r="F12" s="240" t="s">
        <v>1786</v>
      </c>
    </row>
    <row r="13" spans="1:6" ht="28.5" x14ac:dyDescent="0.25">
      <c r="A13" s="240" t="s">
        <v>1771</v>
      </c>
      <c r="B13" s="240" t="s">
        <v>1775</v>
      </c>
      <c r="C13" s="240" t="s">
        <v>1772</v>
      </c>
      <c r="D13" s="240" t="s">
        <v>1772</v>
      </c>
      <c r="E13" s="240" t="s">
        <v>1773</v>
      </c>
      <c r="F13" s="240" t="s">
        <v>1774</v>
      </c>
    </row>
    <row r="14" spans="1:6" ht="42.75" x14ac:dyDescent="0.25">
      <c r="A14" s="240" t="s">
        <v>1732</v>
      </c>
      <c r="B14" s="240" t="s">
        <v>1776</v>
      </c>
      <c r="C14" s="240" t="s">
        <v>1729</v>
      </c>
      <c r="D14" s="240" t="s">
        <v>1777</v>
      </c>
      <c r="E14" s="240" t="s">
        <v>1778</v>
      </c>
      <c r="F14" s="240" t="s">
        <v>1779</v>
      </c>
    </row>
    <row r="15" spans="1:6" ht="85.5" x14ac:dyDescent="0.25">
      <c r="A15" s="240" t="s">
        <v>1732</v>
      </c>
      <c r="B15" s="240" t="s">
        <v>1781</v>
      </c>
      <c r="C15" s="240" t="s">
        <v>1769</v>
      </c>
      <c r="D15" s="240" t="s">
        <v>1769</v>
      </c>
      <c r="E15" s="240" t="s">
        <v>1782</v>
      </c>
      <c r="F15" s="240" t="s">
        <v>1783</v>
      </c>
    </row>
  </sheetData>
  <sheetProtection algorithmName="SHA-512" hashValue="QaJR9FfWrmk5gKxHycxt7VoHeRvmaYghC8i98jH7ek0C8V8C9eRd7M3aH8pFGnYDf6BHztEkMFYPsx5xSHxArw==" saltValue="ujH+dLa9CJRQwCSs9ma9fA==" spinCount="100000" sheet="1" objects="1" scenarios="1"/>
  <mergeCells count="1">
    <mergeCell ref="A1:F2"/>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T193"/>
  <sheetViews>
    <sheetView zoomScale="70" zoomScaleNormal="70" workbookViewId="0">
      <selection sqref="A1:F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7" t="s">
        <v>1660</v>
      </c>
      <c r="B1" s="267"/>
      <c r="C1" s="267"/>
      <c r="D1" s="267"/>
      <c r="E1" s="267"/>
      <c r="F1" s="267"/>
      <c r="G1" s="267"/>
      <c r="H1" s="267"/>
      <c r="I1" s="267"/>
      <c r="J1" s="267"/>
      <c r="K1" s="267"/>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82" t="s">
        <v>12</v>
      </c>
      <c r="B3" s="282"/>
      <c r="C3" s="282"/>
      <c r="D3" s="282"/>
      <c r="E3" s="282"/>
      <c r="F3" s="283" t="s">
        <v>23</v>
      </c>
      <c r="G3" s="283"/>
      <c r="H3" s="283"/>
      <c r="I3" s="283"/>
    </row>
    <row r="4" spans="1:20" ht="16.5" customHeight="1" x14ac:dyDescent="0.2">
      <c r="A4" s="282" t="s">
        <v>208</v>
      </c>
      <c r="B4" s="282"/>
      <c r="C4" s="282"/>
      <c r="D4" s="282"/>
      <c r="E4" s="282"/>
      <c r="F4" s="284"/>
      <c r="G4" s="284"/>
      <c r="H4" s="284"/>
      <c r="I4" s="284"/>
    </row>
    <row r="5" spans="1:20" ht="16.5" customHeight="1" x14ac:dyDescent="0.2">
      <c r="A5" s="282" t="s">
        <v>1639</v>
      </c>
      <c r="B5" s="282"/>
      <c r="C5" s="282"/>
      <c r="D5" s="282"/>
      <c r="E5" s="282"/>
      <c r="F5" s="284"/>
      <c r="G5" s="284"/>
      <c r="H5" s="284"/>
      <c r="I5" s="284"/>
      <c r="L5" s="39"/>
      <c r="M5" s="39"/>
      <c r="N5" s="39"/>
      <c r="O5" s="39"/>
      <c r="P5" s="39"/>
      <c r="Q5" s="39"/>
    </row>
    <row r="6" spans="1:20" ht="16.5" customHeight="1" x14ac:dyDescent="0.25">
      <c r="A6" s="282" t="s">
        <v>1682</v>
      </c>
      <c r="B6" s="282"/>
      <c r="C6" s="282"/>
      <c r="D6" s="282"/>
      <c r="E6" s="282"/>
      <c r="F6" s="285"/>
      <c r="G6" s="285"/>
      <c r="H6" s="285"/>
      <c r="I6" s="285"/>
      <c r="L6" s="40"/>
      <c r="M6" s="40"/>
      <c r="N6" s="40"/>
      <c r="O6" s="40"/>
      <c r="P6" s="39"/>
      <c r="Q6" s="39"/>
    </row>
    <row r="7" spans="1:20" ht="16.5" customHeight="1" x14ac:dyDescent="0.25">
      <c r="A7" s="282" t="s">
        <v>3</v>
      </c>
      <c r="B7" s="282"/>
      <c r="C7" s="282"/>
      <c r="D7" s="282"/>
      <c r="E7" s="282"/>
      <c r="F7" s="285"/>
      <c r="G7" s="285"/>
      <c r="H7" s="285"/>
      <c r="I7" s="285"/>
      <c r="K7" s="96"/>
      <c r="L7" s="40"/>
      <c r="M7" s="40"/>
      <c r="N7" s="40"/>
      <c r="O7" s="40"/>
      <c r="P7" s="39"/>
      <c r="Q7" s="39"/>
    </row>
    <row r="8" spans="1:20" ht="16.5" customHeight="1" x14ac:dyDescent="0.25">
      <c r="A8" s="282" t="s">
        <v>1640</v>
      </c>
      <c r="B8" s="282"/>
      <c r="C8" s="282"/>
      <c r="D8" s="282"/>
      <c r="E8" s="282"/>
      <c r="F8" s="285"/>
      <c r="G8" s="285"/>
      <c r="H8" s="285"/>
      <c r="I8" s="285"/>
      <c r="K8" s="96"/>
      <c r="L8" s="40"/>
      <c r="M8" s="40"/>
      <c r="N8" s="40"/>
      <c r="O8" s="40"/>
      <c r="P8" s="39"/>
      <c r="Q8" s="39"/>
    </row>
    <row r="9" spans="1:20" ht="16.5" customHeight="1" x14ac:dyDescent="0.25">
      <c r="A9" s="282" t="s">
        <v>1638</v>
      </c>
      <c r="B9" s="282"/>
      <c r="C9" s="282"/>
      <c r="D9" s="282"/>
      <c r="E9" s="282"/>
      <c r="F9" s="286" t="str">
        <f>IFERROR(IF(F7="Proprietary","Proprietary Fund",VLOOKUP(F5,qryIndex02a!$A$2:$K$654,4,FALSE)),"Unidentified")</f>
        <v>Unidentified</v>
      </c>
      <c r="G9" s="286"/>
      <c r="H9" s="286"/>
      <c r="I9" s="286"/>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3" t="s">
        <v>1672</v>
      </c>
      <c r="N14" s="264"/>
      <c r="O14" s="188"/>
      <c r="P14" s="263" t="s">
        <v>1667</v>
      </c>
      <c r="Q14" s="264"/>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c r="P17" s="196"/>
      <c r="Q17" s="224"/>
      <c r="S17" s="223">
        <f t="shared" si="0"/>
        <v>0</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0</v>
      </c>
      <c r="N22" s="196"/>
      <c r="P22" s="224"/>
      <c r="Q22" s="196"/>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0</v>
      </c>
      <c r="N23" s="196"/>
      <c r="P23" s="224"/>
      <c r="Q23" s="196"/>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87" t="s">
        <v>1737</v>
      </c>
      <c r="C77" s="287"/>
      <c r="D77" s="287"/>
      <c r="E77" s="287"/>
      <c r="F77" s="287"/>
      <c r="G77" s="287"/>
      <c r="H77" s="287"/>
      <c r="I77" s="287"/>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87"/>
      <c r="C78" s="287"/>
      <c r="D78" s="287"/>
      <c r="E78" s="287"/>
      <c r="F78" s="287"/>
      <c r="G78" s="287"/>
      <c r="H78" s="287"/>
      <c r="I78" s="287"/>
      <c r="J78" s="155"/>
      <c r="K78" s="155"/>
      <c r="L78" s="21"/>
    </row>
    <row r="79" spans="1:12" ht="24.6" customHeight="1" x14ac:dyDescent="0.2">
      <c r="A79" s="99"/>
      <c r="B79" s="287"/>
      <c r="C79" s="287"/>
      <c r="D79" s="287"/>
      <c r="E79" s="287"/>
      <c r="F79" s="287"/>
      <c r="G79" s="287"/>
      <c r="H79" s="287"/>
      <c r="I79" s="287"/>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g9DHlcYmwkz79VlsG1F8MkUBuWb2CMi0oeYvQsK8Sr4ZLX537IRzlepH8g2wny77KfPNrZ1Ovgj/yeyOVv86iQ==" saltValue="n4uGwwQphsoEclzGRIp+EA=="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38" priority="12">
      <formula>$J$62&lt;&gt;$K$69</formula>
    </cfRule>
  </conditionalFormatting>
  <conditionalFormatting sqref="L26:P26">
    <cfRule type="expression" dxfId="37" priority="1">
      <formula>$J$26&lt;&gt;$K$26</formula>
    </cfRule>
  </conditionalFormatting>
  <conditionalFormatting sqref="L36:P36">
    <cfRule type="expression" dxfId="36" priority="2">
      <formula>$J$36&lt;&gt;$K$36</formula>
    </cfRule>
  </conditionalFormatting>
  <conditionalFormatting sqref="L43:P43">
    <cfRule type="expression" dxfId="35" priority="3">
      <formula>$J$43&lt;&gt;$K$43</formula>
    </cfRule>
  </conditionalFormatting>
  <conditionalFormatting sqref="L49:P49">
    <cfRule type="expression" dxfId="34" priority="4">
      <formula>$J$49&lt;&gt;$K$49</formula>
    </cfRule>
  </conditionalFormatting>
  <conditionalFormatting sqref="L59:P59">
    <cfRule type="expression" dxfId="33" priority="5">
      <formula>$J$59&lt;&gt;$K$59</formula>
    </cfRule>
  </conditionalFormatting>
  <conditionalFormatting sqref="L65:P65">
    <cfRule type="expression" dxfId="32" priority="6">
      <formula>$J$65&lt;&gt;$K$65</formula>
    </cfRule>
  </conditionalFormatting>
  <conditionalFormatting sqref="L70:P70">
    <cfRule type="expression" dxfId="31" priority="7">
      <formula>$J$70&lt;&gt;$K$70</formula>
    </cfRule>
  </conditionalFormatting>
  <conditionalFormatting sqref="L77:P77">
    <cfRule type="expression" dxfId="30" priority="8">
      <formula>$J$77&lt;&gt;$K$77</formula>
    </cfRule>
  </conditionalFormatting>
  <conditionalFormatting sqref="L91:P91">
    <cfRule type="expression" dxfId="29" priority="9">
      <formula>$J$91&lt;&gt;$K$91</formula>
    </cfRule>
  </conditionalFormatting>
  <conditionalFormatting sqref="L105:P105">
    <cfRule type="expression" dxfId="28" priority="10">
      <formula>$J$105&lt;&gt;$K$105</formula>
    </cfRule>
  </conditionalFormatting>
  <conditionalFormatting sqref="L114:P114">
    <cfRule type="expression" dxfId="27" priority="11">
      <formula>$J$114&lt;&gt;$K$114</formula>
    </cfRule>
  </conditionalFormatting>
  <dataValidations count="3">
    <dataValidation operator="lessThan" allowBlank="1" showInputMessage="1" showErrorMessage="1" sqref="A3:A8" xr:uid="{00000000-0002-0000-07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700-000001000000}">
      <formula1>0</formula1>
    </dataValidation>
    <dataValidation type="textLength" operator="equal" allowBlank="1" showInputMessage="1" showErrorMessage="1" errorTitle="4-Digit Org Code" error="Enter the Org Code/BU as 4 digits." sqref="F5" xr:uid="{00000000-0002-0000-07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3000000}">
          <x14:formula1>
            <xm:f>'Drop Down Menus'!$A$1:$A$101</xm:f>
          </x14:formula1>
          <xm:sqref>F3</xm:sqref>
        </x14:dataValidation>
        <x14:dataValidation type="list" allowBlank="1" showInputMessage="1" showErrorMessage="1" xr:uid="{00000000-0002-0000-0700-000004000000}">
          <x14:formula1>
            <xm:f>'Drop Down Menus'!$B$1:$B$2</xm:f>
          </x14:formula1>
          <xm:sqref>F7</xm:sqref>
        </x14:dataValidation>
        <x14:dataValidation type="list" allowBlank="1" showInputMessage="1" showErrorMessage="1" xr:uid="{00000000-0002-0000-0700-000005000000}">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M98"/>
  <sheetViews>
    <sheetView zoomScale="70" zoomScaleNormal="70" workbookViewId="0">
      <selection sqref="A1:F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3" t="s">
        <v>149</v>
      </c>
      <c r="B1" s="273"/>
      <c r="C1" s="273"/>
      <c r="D1" s="273"/>
      <c r="E1" s="273"/>
      <c r="F1" s="273"/>
      <c r="G1" s="5"/>
      <c r="H1" s="5"/>
      <c r="I1" s="5"/>
      <c r="J1" s="5"/>
      <c r="K1" s="5"/>
      <c r="L1" s="5"/>
      <c r="M1" s="5"/>
    </row>
    <row r="2" spans="1:13" ht="64.150000000000006" customHeight="1" x14ac:dyDescent="0.25">
      <c r="A2" s="278" t="s">
        <v>147</v>
      </c>
      <c r="B2" s="278"/>
      <c r="C2" s="278"/>
      <c r="D2" s="278"/>
      <c r="E2" s="278"/>
      <c r="F2" s="278"/>
      <c r="G2" s="5"/>
      <c r="H2" s="5"/>
      <c r="I2" s="5"/>
      <c r="J2" s="5"/>
      <c r="K2" s="5"/>
      <c r="L2" s="5"/>
      <c r="M2" s="5"/>
    </row>
    <row r="3" spans="1:13" ht="31.9" customHeight="1" x14ac:dyDescent="0.25">
      <c r="A3" s="298" t="s">
        <v>211</v>
      </c>
      <c r="B3" s="298"/>
      <c r="C3" s="298"/>
      <c r="D3" s="52"/>
      <c r="E3" s="5"/>
      <c r="F3" s="5"/>
      <c r="G3" s="5"/>
      <c r="H3" s="5"/>
      <c r="I3" s="5"/>
      <c r="J3" s="5"/>
      <c r="K3" s="5"/>
      <c r="L3" s="5"/>
      <c r="M3" s="5"/>
    </row>
    <row r="4" spans="1:13" ht="31.15" customHeight="1" x14ac:dyDescent="0.25">
      <c r="A4" s="277" t="s">
        <v>7</v>
      </c>
      <c r="B4" s="277"/>
      <c r="C4" s="277"/>
      <c r="D4" s="52"/>
      <c r="E4" s="5"/>
      <c r="F4" s="5"/>
      <c r="G4" s="5"/>
      <c r="H4" s="5"/>
      <c r="I4" s="5"/>
      <c r="J4" s="5"/>
      <c r="K4" s="5"/>
      <c r="L4" s="5"/>
      <c r="M4" s="5"/>
    </row>
    <row r="5" spans="1:13" ht="31.15" customHeight="1" x14ac:dyDescent="0.25">
      <c r="A5" s="277" t="s">
        <v>9</v>
      </c>
      <c r="B5" s="277"/>
      <c r="C5" s="277"/>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95" t="s">
        <v>23</v>
      </c>
      <c r="C8" s="295"/>
      <c r="D8" s="5"/>
      <c r="E8" s="5"/>
      <c r="F8" s="5"/>
    </row>
    <row r="9" spans="1:13" ht="15.75" x14ac:dyDescent="0.25">
      <c r="A9" s="12" t="s">
        <v>209</v>
      </c>
      <c r="B9" s="296"/>
      <c r="C9" s="296"/>
      <c r="D9" s="5"/>
      <c r="E9" s="5"/>
      <c r="F9" s="5"/>
    </row>
    <row r="10" spans="1:13" ht="15.75" x14ac:dyDescent="0.25">
      <c r="A10" s="12" t="s">
        <v>208</v>
      </c>
      <c r="B10" s="297"/>
      <c r="C10" s="297"/>
      <c r="D10" s="5"/>
      <c r="E10" s="5"/>
      <c r="F10" s="5"/>
      <c r="G10" s="55"/>
      <c r="H10" s="55"/>
      <c r="I10" s="55"/>
      <c r="J10" s="55"/>
      <c r="K10" s="55"/>
      <c r="L10" s="55"/>
      <c r="M10" s="55"/>
    </row>
    <row r="11" spans="1:13" ht="32.25" customHeight="1" x14ac:dyDescent="0.25">
      <c r="A11" s="292" t="s">
        <v>1761</v>
      </c>
      <c r="B11" s="293"/>
      <c r="C11" s="293"/>
      <c r="D11" s="5"/>
      <c r="E11" s="5"/>
      <c r="F11" s="5"/>
      <c r="G11" s="57"/>
      <c r="H11" s="57"/>
      <c r="I11" s="57"/>
      <c r="J11" s="57"/>
      <c r="K11" s="57"/>
      <c r="L11" s="57"/>
      <c r="M11" s="57"/>
    </row>
    <row r="12" spans="1:13" ht="15" customHeight="1" x14ac:dyDescent="0.25">
      <c r="A12" s="84"/>
      <c r="B12" s="85" t="s">
        <v>10</v>
      </c>
      <c r="C12" s="85" t="s">
        <v>11</v>
      </c>
      <c r="D12" s="294" t="str">
        <f>"All of the below questions are for Fiscal Year "&amp;$B$8&amp;":"</f>
        <v>All of the below questions are for Fiscal Year 2022–2023:</v>
      </c>
      <c r="E12" s="294"/>
      <c r="F12" s="294"/>
      <c r="G12" s="57"/>
      <c r="H12" s="57"/>
      <c r="I12" s="57"/>
      <c r="J12" s="57"/>
      <c r="K12" s="57"/>
      <c r="L12" s="57"/>
      <c r="M12" s="57"/>
    </row>
    <row r="13" spans="1:13" ht="15.6" customHeight="1" x14ac:dyDescent="0.25">
      <c r="A13" s="84" t="str">
        <f>RIGHT(B8,4)&amp;"–"&amp;RIGHT(B8,4)+1</f>
        <v>2023–2024</v>
      </c>
      <c r="B13" s="100"/>
      <c r="C13" s="100"/>
      <c r="D13" s="290" t="s">
        <v>6</v>
      </c>
      <c r="E13" s="291"/>
      <c r="F13" s="291"/>
      <c r="G13" s="57"/>
      <c r="H13" s="57"/>
      <c r="I13" s="57"/>
      <c r="J13" s="57"/>
      <c r="K13" s="57"/>
      <c r="L13" s="57"/>
      <c r="M13" s="57"/>
    </row>
    <row r="14" spans="1:13" x14ac:dyDescent="0.2">
      <c r="A14" s="84" t="str">
        <f>LEFT(A13,4)+1&amp;"–"&amp;RIGHT(A13,4)+1</f>
        <v>2024–2025</v>
      </c>
      <c r="B14" s="100"/>
      <c r="C14" s="100"/>
      <c r="D14" s="290"/>
      <c r="E14" s="291"/>
      <c r="F14" s="291"/>
    </row>
    <row r="15" spans="1:13" ht="15.75" x14ac:dyDescent="0.2">
      <c r="A15" s="84" t="str">
        <f>LEFT(A14,4)+1&amp;"–"&amp;RIGHT(A14,4)+1</f>
        <v>2025–2026</v>
      </c>
      <c r="B15" s="100"/>
      <c r="C15" s="100"/>
      <c r="D15" s="288"/>
      <c r="E15" s="288"/>
      <c r="F15" s="288"/>
      <c r="G15" s="58"/>
      <c r="H15" s="58"/>
      <c r="I15" s="58"/>
      <c r="J15" s="58"/>
      <c r="K15" s="58"/>
      <c r="L15" s="58"/>
      <c r="M15" s="58"/>
    </row>
    <row r="16" spans="1:13" x14ac:dyDescent="0.2">
      <c r="A16" s="84" t="str">
        <f>LEFT(A15,4)+1&amp;"–"&amp;RIGHT(A15,4)+1</f>
        <v>2026–2027</v>
      </c>
      <c r="B16" s="100"/>
      <c r="C16" s="100"/>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
      <c r="A17" s="84" t="str">
        <f>LEFT(A16,4)+1&amp;"–"&amp;RIGHT(A16,4)+1</f>
        <v>2027–2028</v>
      </c>
      <c r="B17" s="100"/>
      <c r="C17" s="100"/>
      <c r="D17" s="288"/>
      <c r="E17" s="288"/>
      <c r="F17" s="288"/>
      <c r="G17" s="59"/>
      <c r="H17" s="59"/>
      <c r="I17" s="59"/>
      <c r="J17" s="59"/>
      <c r="K17" s="59"/>
    </row>
    <row r="18" spans="1:13" ht="15" customHeight="1" x14ac:dyDescent="0.25">
      <c r="A18" s="84" t="str">
        <f>LEFT(A17,4)+1&amp;"–"&amp;RIGHT(A17,4)+5</f>
        <v>2028–2033</v>
      </c>
      <c r="B18" s="100"/>
      <c r="C18" s="100"/>
      <c r="D18" s="290" t="s">
        <v>8</v>
      </c>
      <c r="E18" s="291"/>
      <c r="F18" s="291"/>
      <c r="G18" s="57"/>
      <c r="H18" s="57"/>
      <c r="I18" s="57"/>
      <c r="J18" s="57"/>
      <c r="K18" s="57"/>
      <c r="L18" s="57"/>
      <c r="M18" s="57"/>
    </row>
    <row r="19" spans="1:13" x14ac:dyDescent="0.2">
      <c r="A19" s="84" t="str">
        <f t="shared" ref="A19:A32" si="0">LEFT(A18,4)+5&amp;"–"&amp;RIGHT(A18,4)+5</f>
        <v>2033–2038</v>
      </c>
      <c r="B19" s="100"/>
      <c r="C19" s="100"/>
      <c r="D19" s="290"/>
      <c r="E19" s="291"/>
      <c r="F19" s="291"/>
    </row>
    <row r="20" spans="1:13" ht="15.75" x14ac:dyDescent="0.2">
      <c r="A20" s="84" t="str">
        <f t="shared" si="0"/>
        <v>2038–2043</v>
      </c>
      <c r="B20" s="100"/>
      <c r="C20" s="100"/>
      <c r="D20" s="288"/>
      <c r="E20" s="288"/>
      <c r="F20" s="288"/>
      <c r="G20" s="58"/>
      <c r="H20" s="58"/>
      <c r="I20" s="58"/>
      <c r="J20" s="58"/>
      <c r="K20" s="58"/>
      <c r="L20" s="58"/>
      <c r="M20" s="58"/>
    </row>
    <row r="21" spans="1:13" ht="15" customHeight="1" x14ac:dyDescent="0.2">
      <c r="A21" s="84" t="str">
        <f t="shared" si="0"/>
        <v>2043–2048</v>
      </c>
      <c r="B21" s="100"/>
      <c r="C21" s="100"/>
      <c r="D21" s="289"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84" t="str">
        <f t="shared" si="0"/>
        <v>2048–2053</v>
      </c>
      <c r="B22" s="100"/>
      <c r="C22" s="100"/>
      <c r="D22" s="289"/>
      <c r="E22" s="269"/>
      <c r="F22" s="269"/>
    </row>
    <row r="23" spans="1:13" x14ac:dyDescent="0.2">
      <c r="A23" s="84" t="str">
        <f t="shared" si="0"/>
        <v>2053–2058</v>
      </c>
      <c r="B23" s="100"/>
      <c r="C23" s="100"/>
      <c r="D23" s="288"/>
      <c r="E23" s="288"/>
      <c r="F23" s="288"/>
    </row>
    <row r="24" spans="1:13" x14ac:dyDescent="0.2">
      <c r="A24" s="84" t="str">
        <f t="shared" si="0"/>
        <v>2058–2063</v>
      </c>
      <c r="B24" s="100"/>
      <c r="C24" s="100"/>
      <c r="D24" s="28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84" t="str">
        <f t="shared" si="0"/>
        <v>2063–2068</v>
      </c>
      <c r="B25" s="100"/>
      <c r="C25" s="100"/>
      <c r="D25" s="289"/>
      <c r="E25" s="269"/>
      <c r="F25" s="269"/>
    </row>
    <row r="26" spans="1:13" x14ac:dyDescent="0.2">
      <c r="A26" s="84" t="str">
        <f t="shared" si="0"/>
        <v>2068–2073</v>
      </c>
      <c r="B26" s="100"/>
      <c r="C26" s="100"/>
      <c r="D26" s="288"/>
      <c r="E26" s="288"/>
      <c r="F26" s="288"/>
    </row>
    <row r="27" spans="1:13" ht="15" customHeight="1" x14ac:dyDescent="0.2">
      <c r="A27" s="84" t="str">
        <f t="shared" si="0"/>
        <v>2073–2078</v>
      </c>
      <c r="B27" s="100"/>
      <c r="C27" s="100"/>
      <c r="D27" s="29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91"/>
      <c r="F27" s="291"/>
    </row>
    <row r="28" spans="1:13" ht="15.75" x14ac:dyDescent="0.2">
      <c r="A28" s="84" t="str">
        <f t="shared" si="0"/>
        <v>2078–2083</v>
      </c>
      <c r="B28" s="100"/>
      <c r="C28" s="100"/>
      <c r="D28" s="290"/>
      <c r="E28" s="291"/>
      <c r="F28" s="291"/>
      <c r="G28" s="61"/>
      <c r="H28" s="61"/>
      <c r="I28" s="61"/>
      <c r="J28" s="61"/>
      <c r="K28" s="61"/>
      <c r="L28" s="61"/>
      <c r="M28" s="61"/>
    </row>
    <row r="29" spans="1:13" ht="15.75" x14ac:dyDescent="0.2">
      <c r="A29" s="84" t="str">
        <f t="shared" si="0"/>
        <v>2083–2088</v>
      </c>
      <c r="B29" s="100"/>
      <c r="C29" s="100"/>
      <c r="D29" s="288"/>
      <c r="E29" s="288"/>
      <c r="F29" s="288"/>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88"/>
      <c r="E31" s="288"/>
      <c r="F31" s="288"/>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88"/>
      <c r="E33" s="288"/>
      <c r="F33" s="288"/>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0" t="str">
        <f>B8</f>
        <v>2022–2023</v>
      </c>
      <c r="C39" s="260"/>
      <c r="E39" s="60"/>
    </row>
    <row r="40" spans="1:13" ht="15.6" customHeight="1" x14ac:dyDescent="0.25">
      <c r="A40" s="12" t="s">
        <v>209</v>
      </c>
      <c r="B40" s="270">
        <f>B9</f>
        <v>0</v>
      </c>
      <c r="C40" s="270"/>
      <c r="E40" s="60"/>
    </row>
    <row r="41" spans="1:13" ht="15.75" x14ac:dyDescent="0.25">
      <c r="A41" s="12" t="s">
        <v>208</v>
      </c>
      <c r="B41" s="260">
        <f>B10</f>
        <v>0</v>
      </c>
      <c r="C41" s="260"/>
      <c r="E41" s="60"/>
    </row>
    <row r="42" spans="1:13" ht="32.25" customHeight="1" x14ac:dyDescent="0.25">
      <c r="A42" s="292" t="s">
        <v>1761</v>
      </c>
      <c r="B42" s="293"/>
      <c r="C42" s="293"/>
      <c r="D42" s="5"/>
      <c r="E42" s="5"/>
      <c r="F42" s="5"/>
      <c r="G42" s="57"/>
      <c r="H42" s="57"/>
      <c r="I42" s="57"/>
      <c r="J42" s="57"/>
      <c r="K42" s="57"/>
      <c r="L42" s="57"/>
      <c r="M42" s="57"/>
    </row>
    <row r="43" spans="1:13" ht="15" customHeight="1" x14ac:dyDescent="0.25">
      <c r="A43" s="84"/>
      <c r="B43" s="85" t="s">
        <v>10</v>
      </c>
      <c r="C43" s="85" t="s">
        <v>11</v>
      </c>
      <c r="D43" s="294" t="str">
        <f>"All of the below questions are for Fiscal Year "&amp;$B$8&amp;":"</f>
        <v>All of the below questions are for Fiscal Year 2022–2023:</v>
      </c>
      <c r="E43" s="294"/>
      <c r="F43" s="294"/>
    </row>
    <row r="44" spans="1:13" ht="15" customHeight="1" x14ac:dyDescent="0.2">
      <c r="A44" s="84" t="str">
        <f>RIGHT(B39,4)&amp;"–"&amp;RIGHT(B39,4)+1</f>
        <v>2023–2024</v>
      </c>
      <c r="B44" s="100"/>
      <c r="C44" s="100"/>
      <c r="D44" s="290" t="s">
        <v>6</v>
      </c>
      <c r="E44" s="291"/>
      <c r="F44" s="291"/>
    </row>
    <row r="45" spans="1:13" ht="15" customHeight="1" x14ac:dyDescent="0.2">
      <c r="A45" s="84" t="str">
        <f>LEFT(A44,4)+1&amp;"–"&amp;RIGHT(A44,4)+1</f>
        <v>2024–2025</v>
      </c>
      <c r="B45" s="100"/>
      <c r="C45" s="100"/>
      <c r="D45" s="290"/>
      <c r="E45" s="291"/>
      <c r="F45" s="291"/>
    </row>
    <row r="46" spans="1:13" x14ac:dyDescent="0.2">
      <c r="A46" s="84" t="str">
        <f>LEFT(A45,4)+1&amp;"–"&amp;RIGHT(A45,4)+1</f>
        <v>2025–2026</v>
      </c>
      <c r="B46" s="100"/>
      <c r="C46" s="100"/>
      <c r="D46" s="288"/>
      <c r="E46" s="288"/>
      <c r="F46" s="288"/>
    </row>
    <row r="47" spans="1:13" ht="15" customHeight="1" x14ac:dyDescent="0.2">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84" t="str">
        <f>LEFT(A47,4)+1&amp;"–"&amp;RIGHT(A47,4)+1</f>
        <v>2027–2028</v>
      </c>
      <c r="B48" s="100"/>
      <c r="C48" s="100"/>
      <c r="D48" s="288"/>
      <c r="E48" s="288"/>
      <c r="F48" s="288"/>
    </row>
    <row r="49" spans="1:6" ht="15" customHeight="1" x14ac:dyDescent="0.2">
      <c r="A49" s="84" t="str">
        <f>LEFT(A48,4)+1&amp;"–"&amp;RIGHT(A48,4)+5</f>
        <v>2028–2033</v>
      </c>
      <c r="B49" s="100"/>
      <c r="C49" s="100"/>
      <c r="D49" s="290" t="s">
        <v>8</v>
      </c>
      <c r="E49" s="291"/>
      <c r="F49" s="291"/>
    </row>
    <row r="50" spans="1:6" x14ac:dyDescent="0.2">
      <c r="A50" s="84" t="str">
        <f t="shared" ref="A50:A63" si="1">LEFT(A49,4)+5&amp;"–"&amp;RIGHT(A49,4)+5</f>
        <v>2033–2038</v>
      </c>
      <c r="B50" s="100"/>
      <c r="C50" s="100"/>
      <c r="D50" s="290"/>
      <c r="E50" s="291"/>
      <c r="F50" s="291"/>
    </row>
    <row r="51" spans="1:6" ht="15" customHeight="1" x14ac:dyDescent="0.2">
      <c r="A51" s="84" t="str">
        <f t="shared" si="1"/>
        <v>2038–2043</v>
      </c>
      <c r="B51" s="100"/>
      <c r="C51" s="100"/>
      <c r="D51" s="288"/>
      <c r="E51" s="288"/>
      <c r="F51" s="288"/>
    </row>
    <row r="52" spans="1:6" ht="15" customHeight="1" x14ac:dyDescent="0.2">
      <c r="A52" s="84" t="str">
        <f t="shared" si="1"/>
        <v>2043–2048</v>
      </c>
      <c r="B52" s="100"/>
      <c r="C52" s="100"/>
      <c r="D52" s="289"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84" t="str">
        <f t="shared" si="1"/>
        <v>2048–2053</v>
      </c>
      <c r="B53" s="100"/>
      <c r="C53" s="100"/>
      <c r="D53" s="289"/>
      <c r="E53" s="269"/>
      <c r="F53" s="269"/>
    </row>
    <row r="54" spans="1:6" x14ac:dyDescent="0.2">
      <c r="A54" s="84" t="str">
        <f t="shared" si="1"/>
        <v>2053–2058</v>
      </c>
      <c r="B54" s="100"/>
      <c r="C54" s="100"/>
      <c r="D54" s="288"/>
      <c r="E54" s="288"/>
      <c r="F54" s="288"/>
    </row>
    <row r="55" spans="1:6" ht="15" customHeight="1" x14ac:dyDescent="0.2">
      <c r="A55" s="84" t="str">
        <f t="shared" si="1"/>
        <v>2058–2063</v>
      </c>
      <c r="B55" s="100"/>
      <c r="C55" s="100"/>
      <c r="D55" s="28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84" t="str">
        <f t="shared" si="1"/>
        <v>2063–2068</v>
      </c>
      <c r="B56" s="100"/>
      <c r="C56" s="100"/>
      <c r="D56" s="289"/>
      <c r="E56" s="269"/>
      <c r="F56" s="269"/>
    </row>
    <row r="57" spans="1:6" x14ac:dyDescent="0.2">
      <c r="A57" s="84" t="str">
        <f t="shared" si="1"/>
        <v>2068–2073</v>
      </c>
      <c r="B57" s="100"/>
      <c r="C57" s="100"/>
      <c r="D57" s="288"/>
      <c r="E57" s="288"/>
      <c r="F57" s="288"/>
    </row>
    <row r="58" spans="1:6" x14ac:dyDescent="0.2">
      <c r="A58" s="84" t="str">
        <f t="shared" si="1"/>
        <v>2073–2078</v>
      </c>
      <c r="B58" s="100"/>
      <c r="C58" s="100"/>
      <c r="D58" s="29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91"/>
      <c r="F58" s="291"/>
    </row>
    <row r="59" spans="1:6" x14ac:dyDescent="0.2">
      <c r="A59" s="84" t="str">
        <f t="shared" si="1"/>
        <v>2078–2083</v>
      </c>
      <c r="B59" s="100"/>
      <c r="C59" s="100"/>
      <c r="D59" s="290"/>
      <c r="E59" s="291"/>
      <c r="F59" s="291"/>
    </row>
    <row r="60" spans="1:6" ht="15" customHeight="1" x14ac:dyDescent="0.2">
      <c r="A60" s="84" t="str">
        <f t="shared" si="1"/>
        <v>2083–2088</v>
      </c>
      <c r="B60" s="100"/>
      <c r="C60" s="100"/>
      <c r="D60" s="288"/>
      <c r="E60" s="288"/>
      <c r="F60" s="288"/>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88"/>
      <c r="E62" s="288"/>
      <c r="F62" s="288"/>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88"/>
      <c r="E64" s="288"/>
      <c r="F64" s="288"/>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148</v>
      </c>
    </row>
    <row r="70" spans="1:13" ht="15.75" x14ac:dyDescent="0.25">
      <c r="A70" s="12" t="s">
        <v>12</v>
      </c>
      <c r="B70" s="260" t="str">
        <f>B8</f>
        <v>2022–2023</v>
      </c>
      <c r="C70" s="260"/>
    </row>
    <row r="71" spans="1:13" ht="15.75" x14ac:dyDescent="0.25">
      <c r="A71" s="12" t="s">
        <v>209</v>
      </c>
      <c r="B71" s="270">
        <f>B9</f>
        <v>0</v>
      </c>
      <c r="C71" s="270"/>
    </row>
    <row r="72" spans="1:13" ht="15.75" x14ac:dyDescent="0.25">
      <c r="A72" s="12" t="s">
        <v>208</v>
      </c>
      <c r="B72" s="260">
        <f>B10</f>
        <v>0</v>
      </c>
      <c r="C72" s="260"/>
    </row>
    <row r="73" spans="1:13" ht="32.25" customHeight="1" x14ac:dyDescent="0.25">
      <c r="A73" s="292" t="s">
        <v>1761</v>
      </c>
      <c r="B73" s="293"/>
      <c r="C73" s="293"/>
      <c r="D73" s="5"/>
      <c r="E73" s="5"/>
      <c r="F73" s="5"/>
      <c r="G73" s="57"/>
      <c r="H73" s="57"/>
      <c r="I73" s="57"/>
      <c r="J73" s="57"/>
      <c r="K73" s="57"/>
      <c r="L73" s="57"/>
      <c r="M73" s="57"/>
    </row>
    <row r="74" spans="1:13" ht="15.75" x14ac:dyDescent="0.25">
      <c r="A74" s="84"/>
      <c r="B74" s="85" t="s">
        <v>10</v>
      </c>
      <c r="C74" s="85" t="s">
        <v>11</v>
      </c>
      <c r="D74" s="294" t="str">
        <f>"All of the below questions are for Fiscal Year "&amp;$B$8&amp;":"</f>
        <v>All of the below questions are for Fiscal Year 2022–2023:</v>
      </c>
      <c r="E74" s="294"/>
      <c r="F74" s="294"/>
    </row>
    <row r="75" spans="1:13" ht="15" customHeight="1" x14ac:dyDescent="0.2">
      <c r="A75" s="84" t="str">
        <f>RIGHT(B70,4)&amp;"–"&amp;RIGHT(B70,4)+1</f>
        <v>2023–2024</v>
      </c>
      <c r="B75" s="100"/>
      <c r="C75" s="100"/>
      <c r="D75" s="290" t="s">
        <v>6</v>
      </c>
      <c r="E75" s="291"/>
      <c r="F75" s="291"/>
    </row>
    <row r="76" spans="1:13" x14ac:dyDescent="0.2">
      <c r="A76" s="84" t="str">
        <f>LEFT(A75,4)+1&amp;"–"&amp;RIGHT(A75,4)+1</f>
        <v>2024–2025</v>
      </c>
      <c r="B76" s="100"/>
      <c r="C76" s="100"/>
      <c r="D76" s="290"/>
      <c r="E76" s="291"/>
      <c r="F76" s="291"/>
    </row>
    <row r="77" spans="1:13" x14ac:dyDescent="0.2">
      <c r="A77" s="84" t="str">
        <f>LEFT(A76,4)+1&amp;"–"&amp;RIGHT(A76,4)+1</f>
        <v>2025–2026</v>
      </c>
      <c r="B77" s="100"/>
      <c r="C77" s="100"/>
      <c r="D77" s="288"/>
      <c r="E77" s="288"/>
      <c r="F77" s="288"/>
    </row>
    <row r="78" spans="1:13" ht="15" customHeight="1" x14ac:dyDescent="0.2">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
      <c r="A79" s="84" t="str">
        <f>LEFT(A78,4)+1&amp;"–"&amp;RIGHT(A78,4)+1</f>
        <v>2027–2028</v>
      </c>
      <c r="B79" s="100"/>
      <c r="C79" s="100"/>
      <c r="D79" s="288"/>
      <c r="E79" s="288"/>
      <c r="F79" s="288"/>
    </row>
    <row r="80" spans="1:13" ht="15" customHeight="1" x14ac:dyDescent="0.2">
      <c r="A80" s="84" t="str">
        <f>LEFT(A79,4)+1&amp;"–"&amp;RIGHT(A79,4)+5</f>
        <v>2028–2033</v>
      </c>
      <c r="B80" s="100"/>
      <c r="C80" s="100"/>
      <c r="D80" s="290" t="s">
        <v>8</v>
      </c>
      <c r="E80" s="291"/>
      <c r="F80" s="291"/>
    </row>
    <row r="81" spans="1:6" x14ac:dyDescent="0.2">
      <c r="A81" s="84" t="str">
        <f t="shared" ref="A81:A94" si="2">LEFT(A80,4)+5&amp;"–"&amp;RIGHT(A80,4)+5</f>
        <v>2033–2038</v>
      </c>
      <c r="B81" s="100"/>
      <c r="C81" s="100"/>
      <c r="D81" s="290"/>
      <c r="E81" s="291"/>
      <c r="F81" s="291"/>
    </row>
    <row r="82" spans="1:6" x14ac:dyDescent="0.2">
      <c r="A82" s="84" t="str">
        <f t="shared" si="2"/>
        <v>2038–2043</v>
      </c>
      <c r="B82" s="100"/>
      <c r="C82" s="100"/>
      <c r="D82" s="288"/>
      <c r="E82" s="288"/>
      <c r="F82" s="288"/>
    </row>
    <row r="83" spans="1:6" ht="15" customHeight="1" x14ac:dyDescent="0.2">
      <c r="A83" s="84" t="str">
        <f t="shared" si="2"/>
        <v>2043–2048</v>
      </c>
      <c r="B83" s="100"/>
      <c r="C83" s="100"/>
      <c r="D83" s="289"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84" t="str">
        <f t="shared" si="2"/>
        <v>2048–2053</v>
      </c>
      <c r="B84" s="100"/>
      <c r="C84" s="100"/>
      <c r="D84" s="289"/>
      <c r="E84" s="269"/>
      <c r="F84" s="269"/>
    </row>
    <row r="85" spans="1:6" x14ac:dyDescent="0.2">
      <c r="A85" s="84" t="str">
        <f t="shared" si="2"/>
        <v>2053–2058</v>
      </c>
      <c r="B85" s="100"/>
      <c r="C85" s="100"/>
      <c r="D85" s="288"/>
      <c r="E85" s="288"/>
      <c r="F85" s="288"/>
    </row>
    <row r="86" spans="1:6" ht="15" customHeight="1" x14ac:dyDescent="0.2">
      <c r="A86" s="84" t="str">
        <f t="shared" si="2"/>
        <v>2058–2063</v>
      </c>
      <c r="B86" s="100"/>
      <c r="C86" s="100"/>
      <c r="D86" s="28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84" t="str">
        <f t="shared" si="2"/>
        <v>2063–2068</v>
      </c>
      <c r="B87" s="100"/>
      <c r="C87" s="100"/>
      <c r="D87" s="289"/>
      <c r="E87" s="269"/>
      <c r="F87" s="269"/>
    </row>
    <row r="88" spans="1:6" x14ac:dyDescent="0.2">
      <c r="A88" s="84" t="str">
        <f t="shared" si="2"/>
        <v>2068–2073</v>
      </c>
      <c r="B88" s="100"/>
      <c r="C88" s="100"/>
      <c r="D88" s="288"/>
      <c r="E88" s="288"/>
      <c r="F88" s="288"/>
    </row>
    <row r="89" spans="1:6" x14ac:dyDescent="0.2">
      <c r="A89" s="84" t="str">
        <f t="shared" si="2"/>
        <v>2073–2078</v>
      </c>
      <c r="B89" s="100"/>
      <c r="C89" s="100"/>
      <c r="D89" s="29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91"/>
      <c r="F89" s="291"/>
    </row>
    <row r="90" spans="1:6" x14ac:dyDescent="0.2">
      <c r="A90" s="84" t="str">
        <f t="shared" si="2"/>
        <v>2078–2083</v>
      </c>
      <c r="B90" s="100"/>
      <c r="C90" s="100"/>
      <c r="D90" s="290"/>
      <c r="E90" s="291"/>
      <c r="F90" s="291"/>
    </row>
    <row r="91" spans="1:6" ht="15" customHeight="1" x14ac:dyDescent="0.2">
      <c r="A91" s="84" t="str">
        <f t="shared" si="2"/>
        <v>2083–2088</v>
      </c>
      <c r="B91" s="100"/>
      <c r="C91" s="100"/>
      <c r="D91" s="288"/>
      <c r="E91" s="288"/>
      <c r="F91" s="288"/>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88"/>
      <c r="E93" s="288"/>
      <c r="F93" s="288"/>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88"/>
      <c r="E95" s="288"/>
      <c r="F95" s="288"/>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XSZSM0LehxAfQZfouuGJYqTtjJ8vLJq4OUC6OyMo/ZGzcfLZ+uiP9owp6xF2KtS7f/AG9B4gm/XjvNjvbtHNIg==" saltValue="3sFDqPvHgWguT5QmKsLps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8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1000000}">
          <x14:formula1>
            <xm:f>'Drop Down Menus'!$A$1:$A$101</xm:f>
          </x14:formula1>
          <xm:sqref>B8:C8</xm:sqref>
        </x14:dataValidation>
        <x14:dataValidation type="list" allowBlank="1" showInputMessage="1" showErrorMessage="1" xr:uid="{00000000-0002-0000-0800-000002000000}">
          <x14:formula1>
            <xm:f>'Drop Down Menus'!$D$1:$D$2</xm:f>
          </x14:formula1>
          <xm:sqref>D15:F15 D20:F20 D31 D46:F46 D29 D51:F51 D62 D60 D77:F77 D82:F82 D93 D91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B1:Q23"/>
  <sheetViews>
    <sheetView zoomScale="80" zoomScaleNormal="8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14</v>
      </c>
      <c r="I7" s="73"/>
      <c r="J7" s="74" t="s">
        <v>15</v>
      </c>
      <c r="K7" s="73"/>
      <c r="L7" s="72" t="str">
        <f>CONCATENATE("Balance        June 30, ",RIGHT(J4,4))</f>
        <v>Balance        June 30, 2023</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0</v>
      </c>
      <c r="G10" s="103"/>
      <c r="H10" s="107">
        <f>IF('LS-Fund #### Journal Entries'!$F$8="Governmental Fund",SUM('LS-Fund #### Journal Entries'!$K$48,'LS-Fund #### Journal Entries'!K113),0)</f>
        <v>0</v>
      </c>
      <c r="I10" s="103"/>
      <c r="J10" s="107">
        <f>IF('LS-Fund #### Journal Entries'!$F$8="Governmental Fund",SUM('LS-Fund #### Journal Entries'!$J$68,'LS-Fund #### Journal Entries'!J96),0)</f>
        <v>0</v>
      </c>
      <c r="K10" s="103"/>
      <c r="L10" s="109">
        <f>SUM(F10+H10-J10)</f>
        <v>0</v>
      </c>
      <c r="M10" s="103"/>
      <c r="N10" s="107">
        <f>IF('LS-Fund #### Journal Entries'!$F$8="Governmental Fund",'LS-Fund #### Journal Entries'!$K$76,0)</f>
        <v>0</v>
      </c>
      <c r="O10" s="103"/>
      <c r="P10" s="109">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900-000000000000}">
      <formula1>0</formula1>
    </dataValidation>
  </dataValidations>
  <pageMargins left="0.7" right="0.7" top="0.75" bottom="0.75" header="0.3" footer="0.3"/>
  <pageSetup scale="5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0" t="s">
        <v>163</v>
      </c>
      <c r="B5" s="280"/>
      <c r="C5" s="280"/>
      <c r="D5" s="280"/>
      <c r="E5" s="280"/>
      <c r="F5" s="280"/>
      <c r="G5" s="280"/>
      <c r="H5" s="280"/>
      <c r="I5" s="280"/>
      <c r="J5" s="280"/>
      <c r="K5" s="280"/>
      <c r="L5" s="280"/>
      <c r="M5" s="280"/>
      <c r="N5" s="280"/>
      <c r="O5" s="280"/>
      <c r="P5" s="280"/>
      <c r="Q5" s="280"/>
    </row>
    <row r="6" spans="1:17" ht="15" customHeight="1" x14ac:dyDescent="0.25">
      <c r="A6" s="280"/>
      <c r="B6" s="280"/>
      <c r="C6" s="280"/>
      <c r="D6" s="280"/>
      <c r="E6" s="280"/>
      <c r="F6" s="280"/>
      <c r="G6" s="280"/>
      <c r="H6" s="280"/>
      <c r="I6" s="280"/>
      <c r="J6" s="280"/>
      <c r="K6" s="280"/>
      <c r="L6" s="280"/>
      <c r="M6" s="280"/>
      <c r="N6" s="280"/>
      <c r="O6" s="280"/>
      <c r="P6" s="280"/>
      <c r="Q6" s="280"/>
    </row>
    <row r="7" spans="1:17" x14ac:dyDescent="0.25">
      <c r="A7" s="280"/>
      <c r="B7" s="280"/>
      <c r="C7" s="280"/>
      <c r="D7" s="280"/>
      <c r="E7" s="280"/>
      <c r="F7" s="280"/>
      <c r="G7" s="280"/>
      <c r="H7" s="280"/>
      <c r="I7" s="280"/>
      <c r="J7" s="280"/>
      <c r="K7" s="280"/>
      <c r="L7" s="280"/>
      <c r="M7" s="280"/>
      <c r="N7" s="280"/>
      <c r="O7" s="280"/>
      <c r="P7" s="280"/>
      <c r="Q7" s="280"/>
    </row>
    <row r="8" spans="1:17" ht="15" customHeight="1" x14ac:dyDescent="0.25">
      <c r="A8" s="281" t="s">
        <v>1659</v>
      </c>
      <c r="B8" s="281"/>
      <c r="C8" s="281"/>
      <c r="D8" s="281"/>
      <c r="E8" s="281"/>
      <c r="F8" s="281"/>
      <c r="G8" s="281"/>
      <c r="H8" s="281"/>
      <c r="I8" s="281"/>
      <c r="J8" s="281"/>
      <c r="K8" s="281"/>
      <c r="L8" s="281"/>
      <c r="M8" s="281"/>
      <c r="N8" s="281"/>
      <c r="O8" s="281"/>
      <c r="P8" s="281"/>
      <c r="Q8" s="281"/>
    </row>
    <row r="9" spans="1:17" x14ac:dyDescent="0.25">
      <c r="A9" s="281"/>
      <c r="B9" s="281"/>
      <c r="C9" s="281"/>
      <c r="D9" s="281"/>
      <c r="E9" s="281"/>
      <c r="F9" s="281"/>
      <c r="G9" s="281"/>
      <c r="H9" s="281"/>
      <c r="I9" s="281"/>
      <c r="J9" s="281"/>
      <c r="K9" s="281"/>
      <c r="L9" s="281"/>
      <c r="M9" s="281"/>
      <c r="N9" s="281"/>
      <c r="O9" s="281"/>
      <c r="P9" s="281"/>
      <c r="Q9" s="281"/>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79" t="s">
        <v>152</v>
      </c>
      <c r="C13" s="279"/>
      <c r="D13" s="279"/>
      <c r="E13" s="279"/>
      <c r="F13" s="279"/>
      <c r="G13" s="279"/>
      <c r="H13" s="279"/>
      <c r="I13" s="279"/>
      <c r="J13" s="279"/>
      <c r="K13" s="279"/>
      <c r="L13" s="27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0</v>
      </c>
      <c r="C16" s="168" t="s">
        <v>155</v>
      </c>
      <c r="D16" s="130">
        <f>IF('LS-Fund #### Journal Entries'!$F$8="Governmental Fund",'LS-Fund #### Journal Entries'!$K$48,0)</f>
        <v>0</v>
      </c>
      <c r="E16" s="170" t="s">
        <v>156</v>
      </c>
      <c r="F16" s="130">
        <f>IF('LS-Fund #### Journal Entries'!$F$8="Governmental Fund",'LS-Fund #### Journal Entries'!$J$68,0)</f>
        <v>0</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79" t="s">
        <v>152</v>
      </c>
      <c r="C21" s="279"/>
      <c r="D21" s="279"/>
      <c r="E21" s="279"/>
      <c r="F21" s="279"/>
      <c r="G21" s="279"/>
      <c r="H21" s="279"/>
      <c r="I21" s="279"/>
      <c r="J21" s="279"/>
      <c r="K21" s="279"/>
      <c r="L21" s="27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79" t="s">
        <v>152</v>
      </c>
      <c r="C30" s="279"/>
      <c r="D30" s="279"/>
      <c r="E30" s="279"/>
      <c r="F30" s="279"/>
      <c r="G30" s="279"/>
      <c r="H30" s="279"/>
      <c r="I30" s="279"/>
      <c r="J30" s="279"/>
      <c r="K30" s="279"/>
      <c r="L30" s="27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79" t="s">
        <v>152</v>
      </c>
      <c r="C40" s="279"/>
      <c r="D40" s="279"/>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2023–2024 Principal Payments</v>
      </c>
      <c r="O41" s="124"/>
      <c r="P41" s="128" t="s">
        <v>158</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79" t="s">
        <v>152</v>
      </c>
      <c r="C47" s="279"/>
      <c r="D47" s="279"/>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2023–2024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79" t="s">
        <v>152</v>
      </c>
      <c r="C55" s="279"/>
      <c r="D55" s="279"/>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2023–2024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99" t="s">
        <v>152</v>
      </c>
      <c r="C64" s="299"/>
      <c r="D64" s="299"/>
      <c r="E64" s="299"/>
      <c r="F64" s="299"/>
      <c r="G64" s="299"/>
      <c r="H64" s="299"/>
      <c r="I64" s="141"/>
      <c r="J64" s="123" t="s">
        <v>1658</v>
      </c>
      <c r="K64" s="141"/>
      <c r="L64" s="299" t="s">
        <v>13</v>
      </c>
      <c r="M64" s="299"/>
      <c r="N64" s="29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0</v>
      </c>
      <c r="J66" s="143">
        <f>SUM(D66)</f>
        <v>0</v>
      </c>
      <c r="L66" s="144" t="str">
        <f>CONCATENATE("Balance July 1, ",LEFT('LS-Department Note Disclosure'!$B$8,4))</f>
        <v>Balance July 1, 2022</v>
      </c>
      <c r="N66" s="143">
        <f>'LS-Lease Liabilities'!F10</f>
        <v>0</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0</v>
      </c>
      <c r="E68" s="171" t="s">
        <v>155</v>
      </c>
      <c r="F68" s="125" t="s">
        <v>1750</v>
      </c>
      <c r="H68" s="143">
        <f>$H$16</f>
        <v>0</v>
      </c>
      <c r="J68" s="143">
        <f>SUM(D68,H68)</f>
        <v>0</v>
      </c>
      <c r="L68" s="144" t="s">
        <v>15</v>
      </c>
      <c r="N68" s="143">
        <f>'LS-Lease Liabilities'!J10</f>
        <v>0</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99" t="s">
        <v>152</v>
      </c>
      <c r="C75" s="299"/>
      <c r="D75" s="299"/>
      <c r="E75" s="299"/>
      <c r="F75" s="299"/>
      <c r="G75" s="299"/>
      <c r="H75" s="299"/>
      <c r="I75" s="141"/>
      <c r="J75" s="123" t="s">
        <v>1658</v>
      </c>
      <c r="K75" s="141"/>
      <c r="L75" s="299" t="s">
        <v>13</v>
      </c>
      <c r="M75" s="299"/>
      <c r="N75" s="29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99" t="s">
        <v>152</v>
      </c>
      <c r="C86" s="299"/>
      <c r="D86" s="299"/>
      <c r="E86" s="299"/>
      <c r="F86" s="299"/>
      <c r="G86" s="299"/>
      <c r="H86" s="299"/>
      <c r="I86" s="141"/>
      <c r="J86" s="123" t="s">
        <v>1658</v>
      </c>
      <c r="K86" s="141"/>
      <c r="L86" s="299" t="s">
        <v>13</v>
      </c>
      <c r="M86" s="299"/>
      <c r="N86" s="29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6" priority="21" operator="lessThan">
      <formula>0</formula>
    </cfRule>
    <cfRule type="cellIs" dxfId="25" priority="22" operator="greaterThan">
      <formula>0</formula>
    </cfRule>
  </conditionalFormatting>
  <conditionalFormatting sqref="P24">
    <cfRule type="cellIs" dxfId="24" priority="9" operator="lessThan">
      <formula>0</formula>
    </cfRule>
    <cfRule type="cellIs" dxfId="23" priority="10" operator="greaterThan">
      <formula>0</formula>
    </cfRule>
  </conditionalFormatting>
  <conditionalFormatting sqref="P33">
    <cfRule type="cellIs" dxfId="22" priority="19" operator="lessThan">
      <formula>0</formula>
    </cfRule>
    <cfRule type="cellIs" dxfId="21" priority="20" operator="greaterThan">
      <formula>0</formula>
    </cfRule>
  </conditionalFormatting>
  <conditionalFormatting sqref="P42">
    <cfRule type="cellIs" dxfId="20" priority="17" operator="lessThan">
      <formula>0</formula>
    </cfRule>
    <cfRule type="cellIs" dxfId="19" priority="18" operator="greaterThan">
      <formula>0</formula>
    </cfRule>
  </conditionalFormatting>
  <conditionalFormatting sqref="P49">
    <cfRule type="cellIs" dxfId="18" priority="7" operator="lessThan">
      <formula>0</formula>
    </cfRule>
    <cfRule type="cellIs" dxfId="17" priority="8" operator="greaterThan">
      <formula>0</formula>
    </cfRule>
  </conditionalFormatting>
  <conditionalFormatting sqref="P57">
    <cfRule type="cellIs" dxfId="16" priority="15" operator="lessThan">
      <formula>0</formula>
    </cfRule>
    <cfRule type="cellIs" dxfId="15" priority="16" operator="greaterThan">
      <formula>0</formula>
    </cfRule>
  </conditionalFormatting>
  <conditionalFormatting sqref="P66:P69">
    <cfRule type="cellIs" dxfId="14" priority="13" operator="lessThan">
      <formula>0</formula>
    </cfRule>
    <cfRule type="cellIs" dxfId="13" priority="14" operator="greaterThan">
      <formula>0</formula>
    </cfRule>
  </conditionalFormatting>
  <conditionalFormatting sqref="P77:P80">
    <cfRule type="cellIs" dxfId="12" priority="3" operator="lessThan">
      <formula>0</formula>
    </cfRule>
    <cfRule type="cellIs" dxfId="11" priority="4" operator="greaterThan">
      <formula>0</formula>
    </cfRule>
  </conditionalFormatting>
  <conditionalFormatting sqref="P88:P91">
    <cfRule type="cellIs" dxfId="10" priority="1" operator="lessThan">
      <formula>0</formula>
    </cfRule>
    <cfRule type="cellIs" dxfId="9" priority="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13"/>
  <sheetViews>
    <sheetView zoomScale="90" zoomScaleNormal="90" workbookViewId="0">
      <pane ySplit="10" topLeftCell="A11" activePane="bottomLeft" state="frozen"/>
      <selection sqref="A1:K2"/>
      <selection pane="bottomLeft" sqref="A1:K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1794</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1767</v>
      </c>
      <c r="C11" s="240" t="s">
        <v>1729</v>
      </c>
      <c r="D11" s="240" t="s">
        <v>1766</v>
      </c>
      <c r="E11" s="240" t="s">
        <v>1784</v>
      </c>
      <c r="F11" s="240" t="s">
        <v>1785</v>
      </c>
    </row>
    <row r="12" spans="1:6" ht="42.75" x14ac:dyDescent="0.25">
      <c r="A12" s="240" t="s">
        <v>1734</v>
      </c>
      <c r="B12" s="240" t="s">
        <v>1768</v>
      </c>
      <c r="C12" s="240" t="s">
        <v>1769</v>
      </c>
      <c r="D12" s="240" t="s">
        <v>1769</v>
      </c>
      <c r="E12" s="240" t="s">
        <v>1770</v>
      </c>
      <c r="F12" s="240" t="s">
        <v>1786</v>
      </c>
    </row>
    <row r="13" spans="1:6" ht="42.75" x14ac:dyDescent="0.25">
      <c r="A13" s="240" t="s">
        <v>1735</v>
      </c>
      <c r="B13" s="240" t="s">
        <v>1797</v>
      </c>
      <c r="C13" s="240" t="s">
        <v>1729</v>
      </c>
      <c r="D13" s="240" t="s">
        <v>1777</v>
      </c>
      <c r="E13" s="240" t="s">
        <v>1798</v>
      </c>
      <c r="F13" s="240" t="s">
        <v>1779</v>
      </c>
    </row>
  </sheetData>
  <sheetProtection algorithmName="SHA-512" hashValue="g1cirzVqfmAQ+qyRGH61kYTvoomFVL4SlkR3PZqIG1F7uD8rz4ruS+41PCuNjymPIdUmWdkLugYajUGDFfAdMg==" saltValue="ij29MxJRQEfT0RkGZjnftg=="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T169"/>
  <sheetViews>
    <sheetView zoomScale="70" zoomScaleNormal="70" workbookViewId="0">
      <selection sqref="A1:K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7" t="s">
        <v>1665</v>
      </c>
      <c r="B1" s="267"/>
      <c r="C1" s="267"/>
      <c r="D1" s="267"/>
      <c r="E1" s="267"/>
      <c r="F1" s="267"/>
      <c r="G1" s="267"/>
      <c r="H1" s="267"/>
      <c r="I1" s="267"/>
      <c r="J1" s="267"/>
      <c r="K1" s="267"/>
      <c r="L1" s="151"/>
      <c r="M1" s="151"/>
      <c r="N1" s="151"/>
      <c r="O1" s="151"/>
    </row>
    <row r="2" spans="1:20" ht="15" customHeight="1" x14ac:dyDescent="0.25">
      <c r="A2" s="268" t="s">
        <v>0</v>
      </c>
      <c r="B2" s="268"/>
      <c r="C2" s="268"/>
      <c r="D2" s="268"/>
      <c r="E2" s="268"/>
      <c r="F2" s="268"/>
      <c r="G2" s="268"/>
      <c r="H2" s="268"/>
      <c r="I2" s="268"/>
      <c r="J2" s="268"/>
      <c r="K2" s="268"/>
      <c r="L2" s="165"/>
      <c r="M2" s="165"/>
      <c r="N2" s="165"/>
      <c r="O2" s="165"/>
    </row>
    <row r="3" spans="1:20" ht="15.75" x14ac:dyDescent="0.25">
      <c r="A3" s="282" t="s">
        <v>12</v>
      </c>
      <c r="B3" s="282"/>
      <c r="C3" s="282"/>
      <c r="D3" s="282"/>
      <c r="E3" s="282"/>
      <c r="F3" s="283" t="s">
        <v>23</v>
      </c>
      <c r="G3" s="283"/>
      <c r="H3" s="283"/>
      <c r="I3" s="283"/>
    </row>
    <row r="4" spans="1:20" ht="15.75" x14ac:dyDescent="0.2">
      <c r="A4" s="282" t="s">
        <v>208</v>
      </c>
      <c r="B4" s="282"/>
      <c r="C4" s="282"/>
      <c r="D4" s="282"/>
      <c r="E4" s="282"/>
      <c r="F4" s="284"/>
      <c r="G4" s="284"/>
      <c r="H4" s="284"/>
      <c r="I4" s="284"/>
      <c r="L4" s="39"/>
      <c r="M4" s="39"/>
      <c r="N4" s="39"/>
      <c r="O4" s="39"/>
      <c r="P4" s="39"/>
      <c r="Q4" s="39"/>
    </row>
    <row r="5" spans="1:20" ht="15.75" x14ac:dyDescent="0.2">
      <c r="A5" s="282" t="s">
        <v>1639</v>
      </c>
      <c r="B5" s="282"/>
      <c r="C5" s="282"/>
      <c r="D5" s="282"/>
      <c r="E5" s="282"/>
      <c r="F5" s="284"/>
      <c r="G5" s="284"/>
      <c r="H5" s="284"/>
      <c r="I5" s="284"/>
      <c r="L5" s="40"/>
      <c r="M5" s="40"/>
      <c r="N5" s="40"/>
      <c r="O5" s="40"/>
      <c r="P5" s="39"/>
      <c r="Q5" s="39"/>
    </row>
    <row r="6" spans="1:20" ht="18" x14ac:dyDescent="0.25">
      <c r="A6" s="282" t="s">
        <v>2</v>
      </c>
      <c r="B6" s="282"/>
      <c r="C6" s="282"/>
      <c r="D6" s="282"/>
      <c r="E6" s="282"/>
      <c r="F6" s="285"/>
      <c r="G6" s="285"/>
      <c r="H6" s="285"/>
      <c r="I6" s="285"/>
      <c r="K6" s="96"/>
      <c r="L6" s="40"/>
      <c r="M6" s="40"/>
      <c r="N6" s="40"/>
      <c r="O6" s="40"/>
      <c r="P6" s="39"/>
      <c r="Q6" s="39"/>
    </row>
    <row r="7" spans="1:20" ht="18" x14ac:dyDescent="0.25">
      <c r="A7" s="282" t="s">
        <v>3</v>
      </c>
      <c r="B7" s="282"/>
      <c r="C7" s="282"/>
      <c r="D7" s="282"/>
      <c r="E7" s="282"/>
      <c r="F7" s="285"/>
      <c r="G7" s="285"/>
      <c r="H7" s="285"/>
      <c r="I7" s="285"/>
      <c r="K7" s="96"/>
      <c r="L7" s="40"/>
      <c r="M7" s="40"/>
      <c r="N7" s="40"/>
      <c r="O7" s="40"/>
      <c r="P7" s="39"/>
      <c r="Q7" s="39"/>
    </row>
    <row r="8" spans="1:20" ht="18" x14ac:dyDescent="0.25">
      <c r="A8" s="282" t="s">
        <v>1640</v>
      </c>
      <c r="B8" s="282"/>
      <c r="C8" s="282"/>
      <c r="D8" s="282"/>
      <c r="E8" s="282"/>
      <c r="F8" s="285"/>
      <c r="G8" s="285"/>
      <c r="H8" s="285"/>
      <c r="I8" s="285"/>
      <c r="K8" s="96"/>
      <c r="L8" s="40"/>
      <c r="M8" s="40"/>
      <c r="N8" s="40"/>
      <c r="O8" s="40"/>
      <c r="P8" s="39"/>
      <c r="Q8" s="39"/>
    </row>
    <row r="9" spans="1:20" ht="15.75" x14ac:dyDescent="0.25">
      <c r="A9" s="282" t="s">
        <v>1638</v>
      </c>
      <c r="B9" s="282"/>
      <c r="C9" s="282"/>
      <c r="D9" s="282"/>
      <c r="E9" s="282"/>
      <c r="F9" s="286" t="str">
        <f>IFERROR(IF(F7="Proprietary","Proprietary Fund",VLOOKUP(F5,qryIndex02a!$A$2:$K$654,4,FALSE)),"Unidentified")</f>
        <v>Unidentified</v>
      </c>
      <c r="G9" s="286"/>
      <c r="H9" s="286"/>
      <c r="I9" s="286"/>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3" t="s">
        <v>1670</v>
      </c>
      <c r="N14" s="264"/>
      <c r="P14" s="263" t="s">
        <v>1667</v>
      </c>
      <c r="Q14" s="264"/>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bIogBngY2JNHtvoOveZuU0bygfYjjpyFMgheLtptc0zw9bvziAEjcg1XJEGwsT4YGjjRNk4S311hyYewSSObAw==" saltValue="z6/HY1ado5MzZo15SPNOCw=="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2"/>
  <sheetViews>
    <sheetView zoomScale="90" zoomScaleNormal="90" workbookViewId="0">
      <selection sqref="A1:K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14</v>
      </c>
      <c r="I7" s="73"/>
      <c r="J7" s="74" t="s">
        <v>15</v>
      </c>
      <c r="K7" s="73"/>
      <c r="L7" s="72" t="str">
        <f>CONCATENATE("Balance        June 30, ",RIGHT(J4,4))</f>
        <v>Balance        June 30, 2023</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1795</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A6C0219-DBCC-46AD-AC9C-9388611746D3}"/>
</file>

<file path=customXml/itemProps2.xml><?xml version="1.0" encoding="utf-8"?>
<ds:datastoreItem xmlns:ds="http://schemas.openxmlformats.org/officeDocument/2006/customXml" ds:itemID="{E87F021D-A303-45B9-A303-671453E16C61}"/>
</file>

<file path=customXml/itemProps3.xml><?xml version="1.0" encoding="utf-8"?>
<ds:datastoreItem xmlns:ds="http://schemas.openxmlformats.org/officeDocument/2006/customXml" ds:itemID="{6F96B25A-42FD-436E-AD9E-8FBBB086E1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LR-Version Changes</vt:lpstr>
      <vt:lpstr>LR-Fund 9751 Journal Entries</vt:lpstr>
      <vt:lpstr>LR-Department Note Disclosure</vt:lpstr>
      <vt:lpstr>LR-Check Figures</vt:lpstr>
      <vt:lpstr>LS-Version Changes</vt:lpstr>
      <vt:lpstr>LS-Fund #### Journal Entries</vt:lpstr>
      <vt:lpstr>LS-Department Note Disclosure</vt:lpstr>
      <vt:lpstr>LS-Lease Liabilities</vt:lpstr>
      <vt:lpstr>LS-Check Figures  </vt:lpstr>
      <vt:lpstr>FP-Version Changes</vt:lpstr>
      <vt:lpstr>FP-Fund #### Journal Entries</vt:lpstr>
      <vt:lpstr>FP-Lease Liabilities</vt:lpstr>
      <vt:lpstr>'FP-Fund #### Journal Entries'!Print_Area</vt:lpstr>
      <vt:lpstr>'FP-Lease Liabilities'!Print_Area</vt:lpstr>
      <vt:lpstr>'LR-Department Note Disclosure'!Print_Area</vt:lpstr>
      <vt:lpstr>'LR-Fund 9751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2024-06-27T18:30:49Z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