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8_{AC819725-A542-455B-8BE4-241DEE01E36C}" xr6:coauthVersionLast="47" xr6:coauthVersionMax="47" xr10:uidLastSave="{00000000-0000-0000-0000-000000000000}"/>
  <bookViews>
    <workbookView xWindow="-120" yWindow="-120" windowWidth="20730" windowHeight="11160" activeTab="1" xr2:uid="{00000000-000D-0000-FFFF-FFFF00000000}"/>
  </bookViews>
  <sheets>
    <sheet name="Fund 0001 Journal Entries" sheetId="11" r:id="rId1"/>
    <sheet name="Fund 0106 Journal Entries" sheetId="2" r:id="rId2"/>
    <sheet name="Fund 3288 Journal Entries" sheetId="12" r:id="rId3"/>
    <sheet name="Department Note Disclosure" sheetId="3" r:id="rId4"/>
    <sheet name="SBITA Liabilities" sheetId="4" r:id="rId5"/>
    <sheet name="Check Figures " sheetId="9" r:id="rId6"/>
    <sheet name="Drop Down Menus" sheetId="1" state="hidden" r:id="rId7"/>
    <sheet name="GAAP02Aindex" sheetId="7" state="hidden"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'Department Note Disclosure'!$A$3:$D$101</definedName>
    <definedName name="_xlnm.Print_Area" localSheetId="0">'Fund 0001 Journal Entries'!$A$1:$K$99</definedName>
    <definedName name="_xlnm.Print_Area" localSheetId="1">'Fund 0106 Journal Entries'!$A$1:$K$99</definedName>
    <definedName name="_xlnm.Print_Area" localSheetId="2">'Fund 3288 Journal Entries'!$A$1:$K$99</definedName>
    <definedName name="_xlnm.Print_Area" localSheetId="4">'SBITA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9" l="1"/>
  <c r="H17" i="9"/>
  <c r="D17" i="9"/>
  <c r="N10" i="4"/>
  <c r="H10" i="4"/>
  <c r="K97" i="12"/>
  <c r="L86" i="12"/>
  <c r="K86" i="12"/>
  <c r="J86" i="12"/>
  <c r="K81" i="12"/>
  <c r="J81" i="12"/>
  <c r="L81" i="12" s="1"/>
  <c r="C80" i="12"/>
  <c r="B78" i="12"/>
  <c r="K70" i="12"/>
  <c r="J63" i="12"/>
  <c r="K62" i="12"/>
  <c r="K63" i="12" s="1"/>
  <c r="L63" i="12" s="1"/>
  <c r="K57" i="12"/>
  <c r="L50" i="12" s="1"/>
  <c r="J56" i="12"/>
  <c r="J58" i="12" s="1"/>
  <c r="J53" i="12"/>
  <c r="K52" i="12"/>
  <c r="K53" i="12" s="1"/>
  <c r="B51" i="12"/>
  <c r="J47" i="12"/>
  <c r="K46" i="12"/>
  <c r="K47" i="12" s="1"/>
  <c r="K39" i="12"/>
  <c r="J39" i="12"/>
  <c r="L39" i="12" s="1"/>
  <c r="C38" i="12"/>
  <c r="K31" i="12"/>
  <c r="J31" i="12"/>
  <c r="L31" i="12" s="1"/>
  <c r="C30" i="12"/>
  <c r="A26" i="12"/>
  <c r="S21" i="12"/>
  <c r="Q20" i="12"/>
  <c r="K20" i="12" s="1"/>
  <c r="S19" i="12"/>
  <c r="K19" i="12"/>
  <c r="S18" i="12"/>
  <c r="K18" i="12"/>
  <c r="S17" i="12"/>
  <c r="P16" i="12"/>
  <c r="S16" i="12" s="1"/>
  <c r="S15" i="12"/>
  <c r="J15" i="12"/>
  <c r="B14" i="12"/>
  <c r="A12" i="12"/>
  <c r="F8" i="12"/>
  <c r="C52" i="12" s="1"/>
  <c r="K86" i="11"/>
  <c r="J86" i="11"/>
  <c r="L86" i="11" s="1"/>
  <c r="K81" i="11"/>
  <c r="J81" i="11"/>
  <c r="L81" i="11" s="1"/>
  <c r="K70" i="11"/>
  <c r="J70" i="11"/>
  <c r="L70" i="11" s="1"/>
  <c r="J63" i="11"/>
  <c r="K62" i="11"/>
  <c r="K97" i="11" s="1"/>
  <c r="K57" i="11"/>
  <c r="K58" i="11" s="1"/>
  <c r="J56" i="11"/>
  <c r="J58" i="11" s="1"/>
  <c r="L58" i="11" s="1"/>
  <c r="J53" i="11"/>
  <c r="K52" i="11"/>
  <c r="K53" i="11" s="1"/>
  <c r="B51" i="11"/>
  <c r="L50" i="11"/>
  <c r="J47" i="11"/>
  <c r="K46" i="11"/>
  <c r="K47" i="11" s="1"/>
  <c r="L47" i="11" s="1"/>
  <c r="K39" i="11"/>
  <c r="L39" i="11" s="1"/>
  <c r="J39" i="11"/>
  <c r="K31" i="11"/>
  <c r="J31" i="11"/>
  <c r="L31" i="11" s="1"/>
  <c r="A26" i="11"/>
  <c r="S21" i="11"/>
  <c r="Q20" i="11"/>
  <c r="S20" i="11" s="1"/>
  <c r="S19" i="11"/>
  <c r="K19" i="11"/>
  <c r="K96" i="11" s="1"/>
  <c r="S18" i="11"/>
  <c r="K18" i="11"/>
  <c r="S17" i="11"/>
  <c r="P16" i="11"/>
  <c r="S16" i="11" s="1"/>
  <c r="S15" i="11"/>
  <c r="J15" i="11"/>
  <c r="K94" i="11" s="1"/>
  <c r="B14" i="11"/>
  <c r="A12" i="11"/>
  <c r="F8" i="11"/>
  <c r="C80" i="11" s="1"/>
  <c r="N18" i="4"/>
  <c r="K19" i="2"/>
  <c r="K18" i="2"/>
  <c r="J15" i="2"/>
  <c r="K94" i="2" s="1"/>
  <c r="S21" i="2"/>
  <c r="S19" i="2"/>
  <c r="S18" i="2"/>
  <c r="S17" i="2"/>
  <c r="S15" i="2"/>
  <c r="K57" i="2"/>
  <c r="L57" i="2" s="1"/>
  <c r="K95" i="11" l="1"/>
  <c r="K95" i="12"/>
  <c r="J16" i="12"/>
  <c r="J17" i="12" s="1"/>
  <c r="L53" i="12"/>
  <c r="J10" i="4"/>
  <c r="K63" i="11"/>
  <c r="L63" i="11" s="1"/>
  <c r="F17" i="9"/>
  <c r="L57" i="11"/>
  <c r="F10" i="4"/>
  <c r="B17" i="9"/>
  <c r="L58" i="12"/>
  <c r="L47" i="12"/>
  <c r="S20" i="12"/>
  <c r="K94" i="12"/>
  <c r="J70" i="12"/>
  <c r="L70" i="12" s="1"/>
  <c r="K96" i="12"/>
  <c r="L57" i="12"/>
  <c r="K58" i="12"/>
  <c r="L53" i="11"/>
  <c r="C30" i="11"/>
  <c r="C52" i="11"/>
  <c r="K20" i="11"/>
  <c r="C38" i="11"/>
  <c r="J16" i="11"/>
  <c r="B78" i="11"/>
  <c r="L50" i="2"/>
  <c r="J22" i="12" l="1"/>
  <c r="K21" i="12"/>
  <c r="K22" i="12" s="1"/>
  <c r="K21" i="11"/>
  <c r="K22" i="11" s="1"/>
  <c r="L22" i="12"/>
  <c r="J17" i="11"/>
  <c r="J22" i="11" s="1"/>
  <c r="J56" i="2"/>
  <c r="K96" i="2" s="1"/>
  <c r="J14" i="4"/>
  <c r="H18" i="4"/>
  <c r="H14" i="4"/>
  <c r="L22" i="11" l="1"/>
  <c r="L84" i="9"/>
  <c r="L74" i="9"/>
  <c r="L64" i="9"/>
  <c r="H34" i="9"/>
  <c r="H86" i="9" s="1"/>
  <c r="J34" i="9"/>
  <c r="H85" i="9" s="1"/>
  <c r="J25" i="9"/>
  <c r="H75" i="9" s="1"/>
  <c r="H25" i="9"/>
  <c r="H76" i="9" s="1"/>
  <c r="H66" i="9"/>
  <c r="H65" i="9"/>
  <c r="K62" i="2"/>
  <c r="K97" i="2" s="1"/>
  <c r="K52" i="2"/>
  <c r="K46" i="2"/>
  <c r="K95" i="2" s="1"/>
  <c r="J18" i="4" l="1"/>
  <c r="Q20" i="2"/>
  <c r="P16" i="2"/>
  <c r="S16" i="2" l="1"/>
  <c r="J16" i="2"/>
  <c r="K20" i="2"/>
  <c r="S20" i="2"/>
  <c r="D89" i="3"/>
  <c r="D58" i="3"/>
  <c r="K21" i="2" l="1"/>
  <c r="K22" i="2" s="1"/>
  <c r="J17" i="2"/>
  <c r="J22" i="2" s="1"/>
  <c r="D27" i="3"/>
  <c r="B25" i="9" l="1"/>
  <c r="D25" i="9"/>
  <c r="F25" i="9"/>
  <c r="B34" i="9"/>
  <c r="D34" i="9"/>
  <c r="F34" i="9"/>
  <c r="B49" i="9"/>
  <c r="B56" i="9"/>
  <c r="N14" i="4"/>
  <c r="F14" i="4"/>
  <c r="N74" i="9" s="1"/>
  <c r="F18" i="4"/>
  <c r="K53" i="2"/>
  <c r="L34" i="9" l="1"/>
  <c r="L25" i="9"/>
  <c r="C5" i="4"/>
  <c r="D86" i="3"/>
  <c r="D55" i="3"/>
  <c r="D24" i="3"/>
  <c r="B42" i="9" l="1"/>
  <c r="L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<sst xmlns="http://schemas.openxmlformats.org/spreadsheetml/2006/main" count="7774" uniqueCount="1656">
  <si>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</si>
  <si>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</si>
  <si>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</si>
  <si>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</si>
  <si>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</si>
  <si>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</si>
  <si>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</si>
  <si>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</si>
  <si>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</si>
  <si>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</si>
  <si>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</si>
  <si>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</si>
  <si>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</si>
  <si>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</si>
  <si>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</si>
  <si>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</si>
  <si>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</si>
  <si>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</si>
  <si>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</si>
  <si>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</si>
  <si>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</si>
  <si>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</si>
  <si>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</si>
  <si>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</si>
  <si>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</si>
  <si>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</si>
  <si>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</si>
  <si>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</si>
  <si>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</si>
  <si>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</si>
  <si>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</si>
  <si>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</si>
  <si>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</si>
  <si>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</si>
  <si>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</si>
  <si>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</si>
  <si>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</si>
  <si>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</si>
  <si>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</si>
  <si>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</si>
  <si>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</si>
  <si>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</si>
  <si>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</si>
  <si>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</si>
  <si>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</si>
  <si>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</si>
  <si>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</si>
  <si>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</si>
  <si>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</si>
  <si>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</si>
  <si>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</si>
  <si>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</si>
  <si>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</si>
  <si>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</si>
  <si>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</si>
  <si>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</si>
  <si>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</si>
  <si>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</si>
  <si>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</si>
  <si>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</si>
  <si>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</si>
  <si>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</si>
  <si>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</si>
  <si>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</si>
  <si>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</si>
  <si>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</si>
  <si>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</si>
  <si>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</si>
  <si>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</si>
  <si>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</si>
  <si>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</si>
  <si>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</si>
  <si>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</si>
  <si>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</si>
  <si>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</si>
  <si>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</si>
  <si>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</si>
  <si>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</si>
  <si>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</si>
  <si>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</si>
  <si>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</si>
  <si>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</si>
  <si>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</si>
  <si>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</si>
  <si>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</si>
  <si>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</si>
  <si>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</si>
  <si>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</si>
  <si>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</si>
  <si>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</si>
  <si>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</si>
  <si>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</si>
  <si>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</si>
  <si>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</si>
  <si>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</si>
  <si>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</si>
  <si>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</si>
  <si>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</si>
  <si>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</si>
  <si>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</si>
  <si>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</si>
  <si>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</si>
  <si>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</si>
  <si>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</si>
  <si>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</si>
  <si>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</si>
  <si>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</si>
  <si>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</si>
  <si>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</si>
  <si>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</si>
  <si>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</si>
  <si>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</si>
  <si>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</si>
  <si>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</si>
  <si>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</si>
  <si>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</si>
  <si>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</si>
  <si>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</si>
  <si>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</si>
  <si>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</si>
  <si>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</si>
  <si>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</si>
  <si>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</si>
  <si>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</si>
  <si>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</si>
  <si>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</si>
  <si>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</si>
  <si>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</si>
  <si>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</si>
  <si>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</si>
  <si>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</si>
  <si>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</si>
  <si>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</si>
  <si>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</si>
  <si>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</si>
  <si>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</si>
  <si>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</si>
  <si>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</si>
  <si>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</si>
  <si>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</si>
  <si>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</si>
  <si>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</si>
  <si>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</si>
  <si>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</si>
  <si>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</si>
  <si>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</si>
  <si>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</si>
  <si>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</si>
  <si>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</si>
  <si>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</si>
  <si>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</si>
  <si>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</si>
  <si>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</si>
  <si>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</si>
  <si>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</si>
  <si>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</si>
  <si>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</si>
  <si>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</si>
  <si>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</si>
  <si>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</si>
  <si>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</si>
  <si>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</si>
  <si>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</si>
  <si>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</si>
  <si>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</si>
  <si>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</si>
  <si>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</si>
  <si>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</si>
  <si>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</si>
  <si>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</si>
  <si>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</si>
  <si>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</si>
  <si>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</si>
  <si>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</si>
  <si>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</si>
  <si>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</si>
  <si>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</si>
  <si>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</si>
  <si>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</si>
  <si>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</si>
  <si>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</si>
  <si>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</si>
  <si>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</si>
  <si>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</si>
  <si>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</si>
  <si>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</si>
  <si>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</si>
  <si>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</si>
  <si>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</si>
  <si>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</si>
  <si>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</si>
  <si>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</si>
  <si>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</si>
  <si>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</si>
  <si>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</si>
  <si>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</si>
  <si>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</si>
  <si>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</si>
  <si>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</si>
  <si>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</si>
  <si>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</si>
  <si>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</si>
  <si>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</si>
  <si>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</si>
  <si>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</si>
  <si>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</si>
  <si>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</si>
  <si>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</si>
  <si>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</si>
  <si>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</si>
  <si>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</si>
  <si>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</si>
  <si>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</si>
  <si>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</si>
  <si>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</si>
  <si>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</si>
  <si>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</si>
  <si>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</si>
  <si>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</si>
  <si>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</si>
  <si>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</si>
  <si>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</si>
  <si>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</si>
  <si>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</si>
  <si>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</si>
  <si>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</si>
  <si>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</si>
  <si>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</si>
  <si>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</si>
  <si>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</si>
  <si>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</si>
  <si>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</si>
  <si>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</si>
  <si>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</si>
  <si>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</si>
  <si>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</si>
  <si>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</si>
  <si>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</si>
  <si>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</si>
  <si>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</si>
  <si>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</si>
  <si>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</si>
  <si>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</si>
  <si>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</si>
  <si>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</si>
  <si>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</si>
  <si>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</si>
  <si>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</si>
  <si>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</si>
  <si>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</si>
  <si>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</si>
  <si>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</si>
  <si>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</si>
  <si>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</si>
  <si>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</si>
  <si>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</si>
  <si>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</si>
  <si>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</si>
  <si>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</si>
  <si>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</si>
  <si>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</si>
  <si>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</si>
  <si>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</si>
  <si>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</si>
  <si>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</si>
  <si>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</si>
  <si>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</si>
  <si>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</si>
  <si>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</si>
  <si>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</si>
  <si>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</si>
  <si>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</si>
  <si>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</si>
  <si>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</si>
  <si>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</si>
  <si>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</si>
  <si>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</si>
  <si>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</si>
  <si>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</si>
  <si>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</si>
  <si>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</si>
  <si>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</si>
  <si>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</si>
  <si>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</si>
  <si>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</si>
  <si>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</si>
  <si>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</si>
  <si>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</si>
  <si>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</si>
  <si>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</si>
  <si>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</si>
  <si>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</si>
  <si>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</si>
  <si>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</si>
  <si>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</si>
  <si>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</si>
  <si>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</si>
  <si>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</si>
  <si>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</si>
  <si>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</si>
  <si>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</si>
  <si>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</si>
  <si>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</si>
  <si>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</si>
  <si>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</si>
  <si>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</si>
  <si>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</si>
  <si>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</si>
  <si>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</si>
  <si>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</si>
  <si>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</si>
  <si>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</si>
  <si>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</si>
  <si>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</si>
  <si>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</si>
  <si>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</si>
  <si>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</si>
  <si>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</si>
  <si>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</si>
  <si>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</si>
  <si>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</si>
  <si>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</si>
  <si>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</si>
  <si>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</si>
  <si>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</si>
  <si>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</si>
  <si>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</si>
  <si>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</si>
  <si>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</si>
  <si>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</si>
  <si>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</si>
  <si>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</si>
  <si>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</si>
  <si>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</si>
  <si>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</si>
  <si>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</si>
  <si>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</si>
  <si>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</si>
  <si>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</si>
  <si>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</si>
  <si>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</si>
  <si>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</si>
  <si>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</si>
  <si>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</si>
  <si>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</si>
  <si>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</si>
  <si>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</si>
  <si>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</si>
  <si>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</si>
  <si>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</si>
  <si>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</si>
  <si>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</si>
  <si>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</si>
  <si>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</si>
  <si>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</si>
  <si>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</si>
  <si>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</si>
  <si>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</si>
  <si>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</si>
  <si>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</si>
  <si>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</si>
  <si>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</si>
  <si>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</si>
  <si>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</si>
  <si>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</si>
  <si>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</si>
  <si>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</si>
  <si>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</si>
  <si>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</si>
  <si>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</si>
  <si>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</si>
  <si>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</si>
  <si>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</si>
  <si>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</si>
  <si>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</si>
  <si>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</si>
  <si>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</si>
  <si>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</si>
  <si>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</si>
  <si>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</si>
  <si>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</si>
  <si>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</si>
  <si>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</si>
  <si>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</si>
  <si>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</si>
  <si>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</si>
  <si>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</si>
  <si>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</si>
  <si>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</si>
  <si>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</si>
  <si>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</si>
  <si>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</si>
  <si>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</si>
  <si>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</si>
  <si>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</si>
  <si>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</si>
  <si>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</si>
  <si>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</si>
  <si>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</si>
  <si>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</si>
  <si>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</si>
  <si>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</si>
  <si>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</si>
  <si>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</si>
  <si>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</si>
  <si>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</si>
  <si>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</si>
  <si>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</si>
  <si>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</si>
  <si>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</si>
  <si>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</si>
  <si>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</si>
  <si>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</si>
  <si>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</si>
  <si>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</si>
  <si>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</si>
  <si>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</si>
  <si>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</si>
  <si>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</si>
  <si>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</si>
  <si>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</si>
  <si>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</si>
  <si>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</si>
  <si>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</si>
  <si>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</si>
  <si>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</si>
  <si>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</si>
  <si>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</si>
  <si>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</si>
  <si>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</si>
  <si>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</si>
  <si>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</si>
  <si>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</si>
  <si>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</si>
  <si>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</si>
  <si>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</si>
  <si>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</si>
  <si>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</si>
  <si>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</si>
  <si>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</si>
  <si>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</si>
  <si>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</si>
  <si>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</si>
  <si>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</si>
  <si>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</si>
  <si>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</si>
  <si>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</si>
  <si>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</si>
  <si>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</si>
  <si>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</si>
  <si>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</si>
  <si>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</si>
  <si>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</si>
  <si>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</si>
  <si>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</si>
  <si>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</si>
  <si>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</si>
  <si>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</si>
  <si>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</si>
  <si>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</si>
  <si>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</si>
  <si>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</si>
  <si>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</si>
  <si>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</si>
  <si>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</si>
  <si>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</si>
  <si>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</si>
  <si>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</si>
  <si>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</si>
  <si>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</si>
  <si>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</si>
  <si>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</si>
  <si>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</si>
  <si>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</si>
  <si>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</si>
  <si>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</si>
  <si>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</si>
  <si>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</si>
  <si>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</si>
  <si>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</si>
  <si>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</si>
  <si>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</si>
  <si>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</si>
  <si>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</si>
  <si>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</si>
  <si>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</si>
  <si>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</si>
  <si>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</si>
  <si>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</si>
  <si>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</si>
  <si>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</si>
  <si>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</si>
  <si>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</si>
  <si>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</si>
  <si>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</si>
  <si>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</si>
  <si>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</si>
  <si>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</si>
  <si>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</si>
  <si>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</si>
  <si>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</si>
  <si>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</si>
  <si>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</si>
  <si>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</si>
  <si>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</si>
  <si>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</si>
  <si>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</si>
  <si>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</si>
  <si>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</si>
  <si>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</si>
  <si>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</si>
  <si>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</si>
  <si>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</si>
  <si>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</si>
  <si>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</si>
  <si>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</si>
  <si>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</si>
  <si>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</si>
  <si>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</si>
  <si>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</si>
  <si>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</si>
  <si>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</si>
  <si>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</si>
  <si>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</si>
  <si>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</si>
  <si>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</si>
  <si>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</si>
  <si>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</si>
  <si>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</si>
  <si>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</si>
  <si>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</si>
  <si>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</si>
  <si>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</si>
  <si>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</si>
  <si>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</si>
  <si>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</si>
  <si>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</si>
  <si>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</si>
  <si>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</si>
  <si>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</si>
  <si>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</si>
  <si>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</si>
  <si>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</si>
  <si>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</si>
  <si>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</si>
  <si>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</si>
  <si>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</si>
  <si>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</si>
  <si>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</si>
  <si>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</si>
  <si>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</si>
  <si>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</si>
  <si>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</si>
  <si>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</si>
  <si>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</si>
  <si>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</si>
  <si>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</si>
  <si>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</si>
  <si>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</si>
  <si>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</si>
  <si>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</si>
  <si>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</si>
  <si>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</si>
  <si>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</si>
  <si>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</si>
  <si>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</si>
  <si>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</si>
  <si>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</si>
  <si>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</si>
  <si>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</si>
  <si>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</si>
  <si>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</si>
  <si>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</si>
  <si>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</si>
  <si>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</si>
  <si>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</si>
  <si>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</si>
  <si>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</si>
  <si>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</si>
  <si>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</si>
  <si>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</si>
  <si>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</si>
  <si>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</si>
  <si>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</si>
  <si>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</si>
  <si>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</si>
  <si>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</si>
  <si>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</si>
  <si>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</si>
  <si>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</si>
  <si>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</si>
  <si>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</si>
  <si>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</si>
  <si>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</si>
  <si>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</si>
  <si>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</si>
  <si>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</si>
  <si>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</si>
  <si>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</si>
  <si>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</si>
  <si>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</si>
  <si>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</si>
  <si>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</si>
  <si>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</si>
  <si>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</si>
  <si>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</si>
  <si>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</si>
  <si>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</si>
  <si>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</si>
  <si>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</si>
  <si>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</si>
  <si>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</si>
  <si>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</si>
  <si>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</si>
  <si>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</si>
  <si>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</si>
  <si>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</si>
  <si>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</si>
  <si>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</si>
  <si>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</si>
  <si>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</si>
  <si>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</si>
  <si>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</si>
  <si>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</si>
  <si>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</si>
  <si>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</si>
  <si>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</si>
  <si>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</si>
  <si>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</si>
  <si>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</si>
  <si>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</si>
  <si>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</si>
  <si>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</si>
  <si>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</si>
  <si>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</si>
  <si>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</si>
  <si>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</si>
  <si>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</si>
  <si>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</si>
  <si>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</si>
  <si>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</si>
  <si>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</si>
  <si>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</si>
  <si>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</si>
  <si>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</si>
  <si>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</si>
  <si>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</si>
  <si>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</si>
  <si>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</si>
  <si>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</si>
  <si>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</si>
  <si>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</si>
  <si>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</si>
  <si>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</si>
  <si>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</si>
  <si>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</si>
  <si>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</si>
  <si>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</si>
  <si>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</si>
  <si>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</si>
  <si>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</si>
  <si>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</si>
  <si>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</si>
  <si>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</si>
  <si>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</si>
  <si>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</si>
  <si>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</si>
  <si>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</si>
  <si>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</si>
  <si>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</si>
  <si>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</si>
  <si>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</si>
  <si>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</si>
  <si>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</si>
  <si>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</si>
  <si>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</si>
  <si>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</si>
  <si>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</si>
  <si>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</si>
  <si>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</si>
  <si>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</si>
  <si>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</si>
  <si>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</si>
  <si>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</si>
  <si>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</si>
  <si>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</si>
  <si>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</si>
  <si>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</si>
  <si>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</si>
  <si>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</si>
  <si>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</si>
  <si>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</si>
  <si>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</si>
  <si>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</si>
  <si>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</si>
  <si>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</si>
  <si>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</si>
  <si>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</si>
  <si>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</si>
  <si>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</si>
  <si>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</si>
  <si>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</si>
  <si>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</si>
  <si>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</si>
  <si>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</si>
  <si>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</si>
  <si>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</si>
  <si>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</si>
  <si>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</si>
  <si>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</si>
  <si>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</si>
  <si>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</si>
  <si>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</si>
  <si>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</si>
  <si>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</si>
  <si>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</si>
  <si>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</si>
  <si>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</si>
  <si>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</si>
  <si>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</si>
  <si>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</si>
  <si>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</si>
  <si>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</si>
  <si>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</si>
  <si>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</si>
  <si>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</si>
  <si>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</si>
  <si>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</si>
  <si>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</si>
  <si>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</si>
  <si>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</si>
  <si>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</si>
  <si>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</si>
  <si>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</si>
  <si>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</si>
  <si>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</si>
  <si>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</si>
  <si>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</si>
  <si>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</si>
  <si>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</si>
  <si>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</si>
  <si>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</si>
  <si>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</si>
  <si>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</si>
  <si>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</si>
  <si>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</si>
  <si>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</si>
  <si>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</si>
  <si>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</si>
  <si>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</si>
  <si>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</si>
  <si>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</si>
  <si>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</si>
  <si>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</si>
  <si>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</si>
  <si>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</si>
  <si>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</si>
  <si>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</si>
  <si>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</si>
  <si>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</si>
  <si>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</si>
  <si>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</si>
  <si>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</si>
  <si>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</si>
  <si>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</si>
  <si>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</si>
  <si>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</si>
  <si>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</si>
  <si>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</si>
  <si>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</si>
  <si>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</si>
  <si>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</si>
  <si>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</si>
  <si>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</si>
  <si>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</si>
  <si>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</si>
  <si>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</si>
  <si>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</si>
  <si>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</si>
  <si>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</si>
  <si>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</si>
  <si>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</si>
  <si>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</si>
  <si>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</si>
  <si>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</si>
  <si>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</si>
  <si>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</si>
  <si>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</si>
  <si>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</si>
  <si>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</si>
  <si>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</si>
  <si>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</si>
  <si>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</si>
  <si>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</si>
  <si>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</si>
  <si>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</si>
  <si>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</si>
  <si>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</si>
  <si>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</si>
  <si>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</si>
  <si>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</si>
  <si>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</si>
  <si>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</si>
  <si>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</si>
  <si>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</si>
  <si>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</si>
  <si>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</si>
  <si>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</si>
  <si>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</si>
  <si>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</si>
  <si>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</si>
  <si>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</si>
  <si>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</si>
  <si>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</si>
  <si>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</si>
  <si>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</si>
  <si>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</si>
  <si>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</si>
  <si>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</si>
  <si>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</si>
  <si>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</si>
  <si>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</si>
  <si>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</si>
  <si>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</si>
  <si>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</si>
  <si>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</si>
  <si>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</si>
  <si>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</si>
  <si>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</si>
  <si>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</si>
  <si>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</si>
  <si>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</si>
  <si>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</si>
  <si>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</si>
  <si>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</si>
  <si>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</si>
  <si>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</si>
  <si>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</si>
  <si>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</si>
  <si>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</si>
  <si>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</si>
  <si>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</si>
  <si>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</si>
  <si>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</si>
  <si>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</si>
  <si>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</si>
  <si>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</si>
  <si>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</si>
  <si>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</si>
  <si>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</si>
  <si>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</si>
  <si>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</si>
  <si>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</si>
  <si>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</si>
  <si>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</si>
  <si>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</si>
  <si>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</si>
  <si>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</si>
  <si>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</si>
  <si>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</si>
  <si>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</si>
  <si>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</si>
  <si>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</si>
  <si>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</si>
  <si>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</si>
  <si>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</si>
  <si>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</si>
  <si>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</si>
  <si>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</si>
  <si>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</si>
  <si>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</si>
  <si>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</si>
  <si>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</si>
  <si>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</si>
  <si>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</si>
  <si>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</si>
  <si>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</si>
  <si>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</si>
  <si>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</si>
  <si>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</si>
  <si>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</si>
  <si>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</si>
  <si>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</si>
  <si>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</si>
  <si>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</si>
  <si>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</si>
  <si>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</si>
  <si>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</si>
  <si>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</si>
  <si>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</si>
  <si>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</si>
  <si>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</si>
  <si>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</si>
  <si>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</si>
  <si>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</si>
  <si>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</si>
  <si>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</si>
  <si>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</si>
  <si>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</si>
  <si>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</si>
  <si>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</si>
  <si>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</si>
  <si>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</si>
  <si>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</si>
  <si>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</si>
  <si>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</si>
  <si>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</si>
  <si>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</si>
  <si>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</si>
  <si>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</si>
  <si>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</si>
  <si>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</si>
  <si>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</si>
  <si>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</si>
  <si>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</si>
  <si>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</si>
  <si>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</si>
  <si>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</si>
  <si>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</si>
  <si>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</si>
  <si>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</si>
  <si>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</si>
  <si>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</si>
  <si>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</si>
  <si>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</si>
  <si>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</si>
  <si>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</si>
  <si>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</si>
  <si>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</si>
  <si>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</si>
  <si>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</si>
  <si>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</si>
  <si>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</si>
  <si>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</si>
  <si>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</si>
  <si>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</si>
  <si>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</si>
  <si>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</si>
  <si>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</si>
  <si>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</si>
  <si>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</si>
  <si>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</si>
  <si>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</si>
  <si>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</si>
  <si>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</si>
  <si>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</si>
  <si>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</si>
  <si>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</si>
  <si>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</si>
  <si>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</si>
  <si>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</si>
  <si>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</si>
  <si>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</si>
  <si>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</si>
  <si>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</si>
  <si>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</si>
  <si>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</si>
  <si>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</si>
  <si>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</si>
  <si>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</si>
  <si>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</si>
  <si>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</si>
  <si>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</si>
  <si>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</si>
  <si>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</si>
  <si>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</si>
  <si>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</si>
  <si>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</si>
  <si>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</si>
  <si>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</si>
  <si>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</si>
  <si>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</si>
  <si>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</si>
  <si>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</si>
  <si>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</si>
  <si>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</si>
  <si>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</si>
  <si>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</si>
  <si>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</si>
  <si>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</si>
  <si>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</si>
  <si>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</si>
  <si>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</si>
  <si>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</si>
  <si>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</si>
  <si>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</si>
  <si>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</si>
  <si>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</si>
  <si>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</si>
  <si>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</si>
  <si>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</si>
  <si>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</si>
  <si>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</si>
  <si>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</si>
  <si>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</si>
  <si>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</si>
  <si>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</si>
  <si>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</si>
  <si>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</si>
  <si>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</si>
  <si>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</si>
  <si>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</si>
  <si>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</si>
  <si>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</si>
  <si>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</si>
  <si>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</si>
  <si>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</si>
  <si>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</si>
  <si>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</si>
  <si>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</si>
  <si>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</si>
  <si>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</si>
  <si>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</si>
  <si>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</si>
  <si>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</si>
  <si>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</si>
  <si>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</si>
  <si>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</si>
  <si>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</si>
  <si>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</si>
  <si>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</si>
  <si>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</si>
  <si>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</si>
  <si>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</si>
  <si>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</si>
  <si>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</si>
  <si>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</si>
  <si>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</si>
  <si>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</si>
  <si>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</si>
  <si>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</si>
  <si>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</si>
  <si>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</si>
  <si>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</si>
  <si>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</si>
  <si>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</si>
  <si>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</si>
  <si>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</si>
  <si>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</si>
  <si>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</si>
  <si>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</si>
  <si>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</si>
  <si>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</si>
  <si>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</si>
  <si>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</si>
  <si>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</si>
  <si>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</si>
  <si>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</si>
  <si>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</si>
  <si>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</si>
  <si>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</si>
  <si>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</si>
  <si>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</si>
  <si>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</si>
  <si>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</si>
  <si>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</si>
  <si>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</si>
  <si>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</si>
  <si>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</si>
  <si>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</si>
  <si>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</si>
  <si>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</si>
  <si>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</si>
  <si>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</si>
  <si>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</si>
  <si>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</si>
  <si>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</si>
  <si>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</si>
  <si>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</si>
  <si>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</si>
  <si>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</si>
  <si>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</si>
  <si>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</si>
  <si>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</si>
  <si>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</si>
  <si>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</si>
  <si>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</si>
  <si>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</si>
  <si>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</si>
  <si>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</si>
  <si>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</si>
  <si>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</si>
  <si>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</si>
  <si>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</si>
  <si>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</si>
  <si>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</si>
  <si>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</si>
  <si>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</si>
  <si>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</si>
  <si>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</si>
  <si>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</si>
  <si>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</si>
  <si>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</si>
  <si>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</si>
  <si>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</si>
  <si>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</si>
  <si>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</si>
  <si>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</si>
  <si>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</si>
  <si>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</si>
  <si>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</si>
  <si>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</si>
  <si>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</si>
  <si>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</si>
  <si>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</si>
  <si>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</si>
  <si>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</si>
  <si>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</si>
  <si>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</si>
  <si>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</si>
  <si>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</si>
  <si>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</si>
  <si>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</si>
  <si>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</si>
  <si>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</si>
  <si>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</si>
  <si>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</si>
  <si>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</si>
  <si>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</si>
  <si>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</si>
  <si>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</si>
  <si>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</si>
  <si>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</si>
  <si>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</si>
  <si>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</si>
  <si>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</si>
  <si>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</si>
  <si>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</si>
  <si>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</si>
  <si>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</si>
  <si>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</si>
  <si>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</si>
  <si>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</si>
  <si>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</si>
  <si>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</si>
  <si>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</si>
  <si>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</si>
  <si>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</si>
  <si>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</si>
  <si>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</si>
  <si>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</si>
  <si>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</si>
  <si>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</si>
  <si>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</si>
  <si>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</si>
  <si>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</si>
  <si>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</si>
  <si>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</si>
  <si>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</si>
  <si>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</si>
  <si>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</si>
  <si>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</si>
  <si>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</si>
  <si>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</si>
  <si>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</si>
  <si>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</si>
  <si>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</si>
  <si>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</si>
  <si>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</si>
  <si>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</si>
  <si>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</si>
  <si>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</si>
  <si>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</si>
  <si>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</si>
  <si>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</si>
  <si>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</si>
  <si>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</si>
  <si>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</si>
  <si>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</si>
  <si>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</si>
  <si>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</si>
  <si>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</si>
  <si>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</si>
  <si>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</si>
  <si>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</si>
  <si>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</si>
  <si>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</si>
  <si>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</si>
  <si>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</si>
  <si>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</si>
  <si>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</si>
  <si>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</si>
  <si>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</si>
  <si>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</si>
  <si>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</si>
  <si>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</si>
  <si>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</si>
  <si>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</si>
  <si>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</si>
  <si>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</si>
  <si>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</si>
  <si>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</si>
  <si>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</si>
  <si>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</si>
  <si>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</si>
  <si>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</si>
  <si>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</si>
  <si>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</si>
  <si>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</si>
  <si>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</si>
  <si>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</si>
  <si>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</si>
  <si>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</si>
  <si>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</si>
  <si>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</si>
  <si>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</si>
  <si>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</si>
  <si>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</si>
  <si>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</si>
  <si>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</si>
  <si>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</si>
  <si>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</si>
  <si>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</si>
  <si>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</si>
  <si>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</si>
  <si>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</si>
  <si>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</si>
  <si>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</si>
  <si>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</si>
  <si>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</si>
  <si>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</si>
  <si>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</si>
  <si>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</si>
  <si>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</si>
  <si>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</si>
  <si>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</si>
  <si>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</si>
  <si>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</si>
  <si>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</si>
  <si>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</si>
  <si>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</si>
  <si>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</si>
  <si>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</si>
  <si>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</si>
  <si>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</si>
  <si>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</si>
  <si>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</si>
  <si>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</si>
  <si>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</si>
  <si>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</si>
  <si>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</si>
  <si>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</si>
  <si>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</si>
  <si>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</si>
  <si>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</si>
  <si>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</si>
  <si>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</si>
  <si>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</si>
  <si>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</si>
  <si>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</si>
  <si>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</si>
  <si>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</si>
  <si>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</si>
  <si>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</si>
  <si>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</si>
  <si>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</si>
  <si>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</si>
  <si>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</si>
  <si>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</si>
  <si>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</si>
  <si>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</si>
  <si>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</si>
  <si>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</si>
  <si>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</si>
  <si>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</si>
  <si>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</si>
  <si>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</si>
  <si>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</si>
  <si>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</si>
  <si>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</si>
  <si>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</si>
  <si>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</si>
  <si>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</si>
  <si>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</si>
  <si>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</si>
  <si>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</si>
  <si>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</si>
  <si>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</si>
  <si>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</si>
  <si>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</si>
  <si>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</si>
  <si>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</si>
  <si>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</si>
  <si>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</si>
  <si>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</si>
  <si>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</si>
  <si>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</si>
  <si>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</si>
  <si>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</si>
  <si>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</si>
  <si>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</si>
  <si>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</si>
  <si>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</si>
  <si>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</si>
  <si>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</si>
  <si>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</si>
  <si>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</si>
  <si>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</si>
  <si>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</si>
  <si>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</si>
  <si>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</si>
  <si>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</si>
  <si>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</si>
  <si>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</si>
  <si>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</si>
  <si>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</si>
  <si>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</si>
  <si>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</si>
  <si>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</si>
  <si>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</si>
  <si>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</si>
  <si>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</si>
  <si>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</si>
  <si>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</si>
  <si>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</si>
  <si>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</si>
  <si>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</si>
  <si>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</si>
  <si>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</si>
  <si>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</si>
  <si>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</si>
  <si>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</si>
  <si>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</si>
  <si>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</si>
  <si>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</si>
  <si>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</si>
  <si>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</si>
  <si>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</si>
  <si>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</si>
  <si>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</si>
  <si>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</si>
  <si>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</si>
  <si>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</si>
  <si>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</si>
  <si>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</si>
  <si>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</si>
  <si>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</si>
  <si>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</si>
  <si>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</si>
  <si>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</si>
  <si>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</si>
  <si>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</si>
  <si>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</si>
  <si>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</si>
  <si>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</si>
  <si>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</si>
  <si>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</si>
  <si>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</si>
  <si>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</si>
  <si>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</si>
  <si>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</si>
  <si>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</si>
  <si>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</si>
  <si>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</si>
  <si>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</si>
  <si>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</si>
  <si>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</si>
  <si>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</si>
  <si>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</si>
  <si>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</si>
  <si>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</si>
  <si>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</si>
  <si>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</si>
  <si>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</si>
  <si>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</si>
  <si>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</si>
  <si>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</si>
  <si>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</si>
  <si>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</si>
  <si>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</si>
  <si>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</si>
  <si>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</si>
  <si>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</si>
  <si>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</si>
  <si>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</si>
  <si>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</si>
  <si>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</si>
  <si>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</si>
  <si>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</si>
  <si>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</si>
  <si>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</si>
  <si>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</si>
  <si>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</si>
  <si>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</si>
  <si>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</si>
  <si>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</si>
  <si>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</si>
  <si>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</si>
  <si>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</si>
  <si>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</si>
  <si>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</si>
  <si>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</si>
  <si>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</si>
  <si>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</si>
  <si>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</si>
  <si>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</si>
  <si>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</si>
  <si>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</si>
  <si>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</si>
  <si>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</si>
  <si>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</si>
  <si>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</si>
  <si>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</si>
  <si>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</si>
  <si>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</si>
  <si>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</si>
  <si>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</si>
  <si>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</si>
  <si>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</si>
  <si>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</si>
  <si>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</si>
  <si>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</si>
  <si>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</si>
  <si>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</si>
  <si>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</si>
  <si>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</si>
  <si>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</si>
  <si>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</si>
  <si>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</si>
  <si>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</si>
  <si>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</si>
  <si>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</si>
  <si>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</si>
  <si>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</si>
  <si>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</si>
  <si>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</si>
  <si>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</si>
  <si>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</si>
  <si>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</si>
  <si>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</si>
  <si>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</si>
  <si>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</si>
  <si>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</si>
  <si>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</si>
  <si>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</si>
  <si>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</si>
  <si>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</si>
  <si>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</si>
  <si>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</si>
  <si>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</si>
  <si>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</si>
  <si>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</si>
  <si>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</si>
  <si>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</si>
  <si>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</si>
  <si>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</si>
  <si>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</si>
  <si>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</si>
  <si>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</si>
  <si>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</si>
  <si>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</si>
  <si>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</si>
  <si>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</si>
  <si>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</si>
  <si>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</si>
  <si>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</si>
  <si>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</si>
  <si>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</si>
  <si>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</si>
  <si>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</si>
  <si>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</si>
  <si>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</si>
  <si>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</si>
  <si>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</si>
  <si>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</si>
  <si>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</si>
  <si>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</si>
  <si>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</si>
  <si>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</si>
  <si>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</si>
  <si>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</si>
  <si>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</si>
  <si>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</si>
  <si>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</si>
  <si>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</si>
  <si>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</si>
  <si>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</si>
  <si>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</si>
  <si>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</si>
  <si>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</si>
  <si>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</si>
  <si>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</si>
  <si>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</si>
  <si>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</si>
  <si>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</si>
  <si>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</si>
  <si>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</si>
  <si>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</si>
  <si>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</si>
  <si>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</si>
  <si>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</si>
  <si>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</si>
  <si>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</si>
  <si>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</si>
  <si>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</si>
  <si>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</si>
  <si>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</si>
  <si>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</si>
  <si>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</si>
  <si>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</si>
  <si>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</si>
  <si>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</si>
  <si>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</si>
  <si>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</si>
  <si>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</si>
  <si>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</si>
  <si>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</si>
  <si>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</si>
  <si>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</si>
  <si>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</si>
  <si>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</si>
  <si>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</si>
  <si>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</si>
  <si>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</si>
  <si>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</si>
  <si>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</si>
  <si>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</si>
  <si>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</si>
  <si>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</si>
  <si>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</si>
  <si>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</si>
  <si>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</si>
  <si>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</si>
  <si>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</si>
  <si>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</si>
  <si>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</si>
  <si>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</si>
  <si>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</si>
  <si>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</si>
  <si>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</si>
  <si>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</si>
  <si>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</si>
  <si>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</si>
  <si>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</si>
  <si>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</si>
  <si>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</si>
  <si>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</si>
  <si>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</si>
  <si>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</si>
  <si>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</si>
  <si>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</si>
  <si>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</si>
  <si>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</si>
  <si>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</si>
  <si>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</si>
  <si>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</si>
  <si>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</si>
  <si>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</si>
  <si>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</si>
  <si>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</si>
  <si>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</si>
  <si>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</si>
  <si>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</si>
  <si>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</si>
  <si>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</si>
  <si>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</si>
  <si>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</si>
  <si>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</si>
  <si>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</si>
  <si>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</si>
  <si>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</si>
  <si>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</si>
  <si>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</si>
  <si>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</si>
  <si>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</si>
  <si>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</si>
  <si>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</si>
  <si>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</si>
  <si>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</si>
  <si>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</si>
  <si>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</si>
  <si>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</si>
  <si>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</si>
  <si>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</si>
  <si>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</si>
  <si>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</si>
  <si>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</si>
  <si>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</si>
  <si>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</si>
  <si>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</si>
  <si>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</si>
  <si>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</si>
  <si>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</si>
  <si>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</si>
  <si>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</si>
  <si>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</si>
  <si>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</si>
  <si>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</si>
  <si>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</si>
  <si>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</si>
  <si>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</si>
  <si>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</si>
  <si>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</si>
  <si>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</si>
  <si>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</si>
  <si>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</si>
  <si>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</si>
  <si>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</si>
  <si>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</si>
  <si>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</si>
  <si>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</si>
  <si>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</si>
  <si>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</si>
  <si>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</si>
  <si>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</si>
  <si>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</si>
  <si>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</si>
  <si>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</si>
  <si>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</si>
  <si>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</si>
  <si>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</si>
  <si>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</si>
  <si>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</si>
  <si>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</si>
  <si>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</si>
  <si>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</si>
  <si>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</si>
  <si>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</si>
  <si>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</si>
  <si>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</si>
  <si>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</si>
  <si>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</si>
  <si>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</si>
  <si>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</si>
  <si>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</si>
  <si>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</si>
  <si>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</si>
  <si>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</si>
  <si>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</si>
  <si>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</si>
  <si>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</si>
  <si>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</si>
  <si>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</si>
  <si>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</si>
  <si>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</si>
  <si>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</si>
  <si>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</si>
  <si>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</si>
  <si>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</si>
  <si>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</si>
  <si>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</si>
  <si>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</si>
  <si>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</si>
  <si>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</si>
  <si>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</si>
  <si>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</si>
  <si>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</si>
  <si>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</si>
  <si>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</si>
  <si>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</si>
  <si>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</si>
  <si>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</si>
  <si>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</si>
  <si>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</si>
  <si>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</si>
  <si>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Pesticide 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</si>
</sst>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2" fillId="0" borderId="0" xfId="0" applyFont="1" applyAlignment="1" applyProtection="1">
      <alignment horizontal="left" vertical="top"/>
      <protection hidden="1"/>
    </xf>
    <xf numFmtId="0" fontId="6" fillId="2" borderId="0" xfId="0" applyFont="1" applyFill="1" applyAlignment="1" applyProtection="1">
      <alignment horizontal="left" vertical="top"/>
      <protection locked="0"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165" fontId="34"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73D3F-7E2B-4D77-9A34-2DD4FCA9B413}">
  <sheetPr>
    <tabColor rgb="FF92D050"/>
    <pageSetUpPr fitToPage="1"/>
  </sheetPr>
  <dimension ref="A1:XFC115"/>
  <sheetViews>
    <sheetView topLeftCell="A43" zoomScale="70" zoomScaleNormal="70" workbookViewId="0">
      <selection activeCell="K70" sqref="K70"/>
    </sheetView>
  </sheetViews>
  <sheetFormatPr defaultColWidth="0" defaultRowHeight="15" zeroHeight="1" x14ac:dyDescent="0.25"/>
  <cols>
    <col min="1" max="1" width="12.140625" style="27" customWidth="1"/>
    <col min="2" max="2" width="9.42578125" style="27" customWidth="1"/>
    <col min="3" max="5" width="7.85546875" style="27" customWidth="1"/>
    <col min="6" max="6" width="17.140625" style="27" customWidth="1"/>
    <col min="7" max="7" width="19.140625" style="27" customWidth="1"/>
    <col min="8" max="8" width="19.140625" style="86" customWidth="1"/>
    <col min="9" max="9" width="19.85546875" style="27" customWidth="1"/>
    <col min="10" max="11" width="22.85546875" style="27" customWidth="1"/>
    <col min="12" max="12" width="2.85546875" style="27" customWidth="1"/>
    <col min="13" max="13" width="20.42578125" style="27" customWidth="1"/>
    <col min="14" max="14" width="19.140625" style="27" customWidth="1"/>
    <col min="15" max="15" width="2.85546875" style="27" customWidth="1"/>
    <col min="16" max="17" width="17.140625" style="27" customWidth="1"/>
    <col min="18" max="18" width="2.85546875" style="27" customWidth="1"/>
    <col min="19" max="19" width="17.140625" style="27" customWidth="1"/>
    <col min="20" max="20" width="56.855468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708</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955</v>
      </c>
      <c r="K15" s="42"/>
      <c r="M15" s="105">
        <v>955</v>
      </c>
      <c r="P15" s="105">
        <v>955</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637</v>
      </c>
      <c r="N18" s="105">
        <v>637</v>
      </c>
      <c r="Q18" s="105">
        <v>637</v>
      </c>
      <c r="S18" s="43">
        <f>N18-Q18</f>
        <v>0</v>
      </c>
      <c r="T18" s="47" t="s">
        <v>1635</v>
      </c>
    </row>
    <row r="19" spans="1:25" ht="16.5" customHeight="1" x14ac:dyDescent="0.25">
      <c r="A19" s="45"/>
      <c r="B19" s="49"/>
      <c r="C19" s="183" t="s">
        <v>1618</v>
      </c>
      <c r="D19" s="183"/>
      <c r="E19" s="183"/>
      <c r="F19" s="183"/>
      <c r="G19" s="183"/>
      <c r="H19" s="183"/>
      <c r="I19" s="183"/>
      <c r="J19" s="42"/>
      <c r="K19" s="41">
        <f>ROUND(N19,0)</f>
        <v>0</v>
      </c>
      <c r="N19" s="105"/>
      <c r="Q19" s="105"/>
      <c r="S19" s="43">
        <f>N19-Q19</f>
        <v>0</v>
      </c>
      <c r="T19" s="47" t="s">
        <v>1635</v>
      </c>
      <c r="X19" s="18"/>
    </row>
    <row r="20" spans="1:25" ht="16.5" customHeight="1" x14ac:dyDescent="0.25">
      <c r="A20" s="45"/>
      <c r="B20" s="49"/>
      <c r="C20" s="183" t="s">
        <v>1584</v>
      </c>
      <c r="D20" s="183"/>
      <c r="E20" s="183"/>
      <c r="F20" s="183"/>
      <c r="G20" s="183"/>
      <c r="H20" s="183"/>
      <c r="I20" s="183"/>
      <c r="K20" s="41">
        <f>ROUND(Q20,0)</f>
        <v>318</v>
      </c>
      <c r="N20" s="105"/>
      <c r="Q20" s="46">
        <f>IF(SUM($Q$18:$Q$19)&lt;$P$15,-SUM($Q$18:$Q$19)+$P$15,0)</f>
        <v>318</v>
      </c>
      <c r="S20" s="43">
        <f>N20-Q20</f>
        <v>-318</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955</v>
      </c>
      <c r="K22" s="51">
        <f>ROUND(SUM(K18:K21),0)</f>
        <v>955</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0820 - NAT RES &amp; ENVIRON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318</v>
      </c>
      <c r="K45" s="78"/>
    </row>
    <row r="46" spans="1:20" ht="16.5" customHeight="1" x14ac:dyDescent="0.2">
      <c r="A46" s="45"/>
      <c r="B46" s="69"/>
      <c r="C46" s="183" t="s">
        <v>1581</v>
      </c>
      <c r="D46" s="183"/>
      <c r="E46" s="183"/>
      <c r="F46" s="183"/>
      <c r="G46" s="183"/>
      <c r="H46" s="183"/>
      <c r="I46" s="183"/>
      <c r="J46" s="68"/>
      <c r="K46" s="105">
        <f>J45</f>
        <v>318</v>
      </c>
    </row>
    <row r="47" spans="1:20" ht="16.5" customHeight="1" x14ac:dyDescent="0.2">
      <c r="A47" s="65"/>
      <c r="B47" s="50"/>
      <c r="C47" s="50"/>
      <c r="D47" s="50"/>
      <c r="E47" s="50"/>
      <c r="F47" s="50"/>
      <c r="G47" s="50"/>
      <c r="H47" s="50"/>
      <c r="I47" s="50"/>
      <c r="J47" s="79">
        <f>ROUND(SUM(J45:J45),2)</f>
        <v>318</v>
      </c>
      <c r="K47" s="79">
        <f>ROUND(SUM(K46),2)</f>
        <v>318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0</v>
      </c>
    </row>
    <row r="53" spans="1:20" ht="16.5" customHeight="1" x14ac:dyDescent="0.2">
      <c r="A53" s="65"/>
      <c r="B53" s="50"/>
      <c r="C53" s="50"/>
      <c r="D53" s="50"/>
      <c r="E53" s="50"/>
      <c r="F53" s="50"/>
      <c r="G53" s="50"/>
      <c r="H53" s="50"/>
      <c r="I53" s="50"/>
      <c r="J53" s="79">
        <f>ROUND(SUM(J50:J51),2)</f>
        <v>0</v>
      </c>
      <c r="K53" s="79">
        <f>ROUND(SUM(K52,),2)</f>
        <v>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0</v>
      </c>
      <c r="K56" s="68"/>
    </row>
    <row r="57" spans="1:20" ht="16.5" customHeight="1" x14ac:dyDescent="0.25">
      <c r="A57" s="45"/>
      <c r="B57" s="49"/>
      <c r="C57" s="183" t="s">
        <v>1607</v>
      </c>
      <c r="D57" s="183"/>
      <c r="E57" s="183"/>
      <c r="F57" s="183"/>
      <c r="G57" s="183"/>
      <c r="H57" s="183"/>
      <c r="I57" s="183"/>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955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955</v>
      </c>
    </row>
    <row r="70" spans="1:20" ht="16.5" customHeight="1" x14ac:dyDescent="0.2">
      <c r="B70" s="50"/>
      <c r="H70" s="27"/>
      <c r="J70" s="51">
        <f>SUM(J68)</f>
        <v>955</v>
      </c>
      <c r="K70" s="51">
        <f>SUM(K69)</f>
        <v>955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1618</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Menus'!$D$2:$G$10,4,FALSE)</f>
        <v>Cr: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4DCD7C8D-3B3F-496F-97F9-8D70DA29C459}">
      <formula1>0</formula1>
    </dataValidation>
    <dataValidation type="whole" operator="greaterThanOrEqual" allowBlank="1" showErrorMessage="1" errorTitle="Whole Numbers Only" error="Enter amounts as whole numbers only." promptTitle="Whole Numbers" prompt="Enter whole numbers only." sqref="J15:J17 K18:K21" xr:uid="{EE38B3F2-6B2C-4D17-81B0-C94BC6BA69F3}">
      <formula1>0</formula1>
    </dataValidation>
    <dataValidation type="textLength" operator="equal" allowBlank="1" showInputMessage="1" showErrorMessage="1" errorTitle="4-Digit Org Code" error="Enter the Org Code/BU as 4 digits." sqref="F5" xr:uid="{C0EAF46C-FCFA-4DFC-99DF-129CF893CE30}">
      <formula1>4</formula1>
    </dataValidation>
    <dataValidation type="textLength" operator="lessThan" allowBlank="1" showInputMessage="1" showErrorMessage="1" sqref="E11 A6:A8" xr:uid="{1F4353C3-1BD7-49E5-A60A-A3BA2E3EB3FA}">
      <formula1>0</formula1>
    </dataValidation>
    <dataValidation operator="lessThan" allowBlank="1" showInputMessage="1" showErrorMessage="1" sqref="A3:A5 A7:A8 A11" xr:uid="{6867C4BA-13E3-4E03-85BF-6EF05A88D06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E998D23-5D88-49E9-B468-902E9CCDCF2B}">
          <x14:formula1>
            <xm:f>'Drop Down Menus'!$B$1:$B$3</xm:f>
          </x14:formula1>
          <xm:sqref>F7</xm:sqref>
        </x14:dataValidation>
        <x14:dataValidation type="list" allowBlank="1" showInputMessage="1" showErrorMessage="1" xr:uid="{AC3D7B97-EE63-4A75-8A50-377FDF902022}">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62"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85546875" style="27" customWidth="1"/>
    <col min="6" max="6" width="17.140625" style="27" customWidth="1"/>
    <col min="7" max="7" width="19.140625" style="27" customWidth="1"/>
    <col min="8" max="8" width="19.140625" style="86" customWidth="1"/>
    <col min="9" max="9" width="19.85546875" style="27" customWidth="1"/>
    <col min="10" max="11" width="22.85546875" style="27" customWidth="1"/>
    <col min="12" max="12" width="2.85546875" style="27" customWidth="1"/>
    <col min="13" max="13" width="20.42578125" style="27" customWidth="1"/>
    <col min="14" max="14" width="19.140625" style="27" customWidth="1"/>
    <col min="15" max="15" width="2.85546875" style="27" customWidth="1"/>
    <col min="16" max="17" width="17.140625" style="27" customWidth="1"/>
    <col min="18" max="18" width="2.85546875" style="27" customWidth="1"/>
    <col min="19" max="19" width="17.140625" style="27" customWidth="1"/>
    <col min="20" max="20" width="56.855468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708</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106</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448309</v>
      </c>
      <c r="K15" s="42"/>
      <c r="M15" s="105">
        <v>448309</v>
      </c>
      <c r="P15" s="105">
        <v>448309</v>
      </c>
      <c r="S15" s="43">
        <f>M15-P15</f>
        <v>0</v>
      </c>
      <c r="T15" s="44" t="s">
        <v>1634</v>
      </c>
    </row>
    <row r="16" spans="1:25" ht="16.5" customHeight="1" x14ac:dyDescent="0.2">
      <c r="A16" s="45"/>
      <c r="B16" s="183" t="s">
        <v>1582</v>
      </c>
      <c r="C16" s="183"/>
      <c r="D16" s="183"/>
      <c r="E16" s="183"/>
      <c r="F16" s="183"/>
      <c r="G16" s="183"/>
      <c r="H16" s="183"/>
      <c r="I16" s="183"/>
      <c r="J16" s="41">
        <f>ROUND(P16,0)</f>
        <v>51170</v>
      </c>
      <c r="K16" s="42"/>
      <c r="M16" s="105"/>
      <c r="P16" s="46">
        <f>IF(SUM($Q$18:$Q$19)&gt;$P$15,SUM($Q$18:$Q$19)-$P$15,0)</f>
        <v>51170</v>
      </c>
      <c r="S16" s="43">
        <f>M16-P16</f>
        <v>-51170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278797</v>
      </c>
      <c r="N18" s="105">
        <v>278797</v>
      </c>
      <c r="Q18" s="105">
        <v>278797</v>
      </c>
      <c r="S18" s="43">
        <f>N18-Q18</f>
        <v>0</v>
      </c>
      <c r="T18" s="47" t="s">
        <v>1635</v>
      </c>
    </row>
    <row r="19" spans="1:25" ht="16.5" customHeight="1" x14ac:dyDescent="0.25">
      <c r="A19" s="45"/>
      <c r="B19" s="49"/>
      <c r="C19" s="183" t="s">
        <v>1618</v>
      </c>
      <c r="D19" s="183"/>
      <c r="E19" s="183"/>
      <c r="F19" s="183"/>
      <c r="G19" s="183"/>
      <c r="H19" s="183"/>
      <c r="I19" s="183"/>
      <c r="J19" s="42"/>
      <c r="K19" s="41">
        <f>ROUND(N19,0)</f>
        <v>220682</v>
      </c>
      <c r="N19" s="105">
        <v>220682</v>
      </c>
      <c r="Q19" s="105">
        <v>220682</v>
      </c>
      <c r="S19" s="43">
        <f>N19-Q19</f>
        <v>0</v>
      </c>
      <c r="T19" s="47" t="s">
        <v>1635</v>
      </c>
      <c r="X19" s="18"/>
    </row>
    <row r="20" spans="1:25" ht="16.5" customHeight="1" x14ac:dyDescent="0.25">
      <c r="A20" s="45"/>
      <c r="B20" s="49"/>
      <c r="C20" s="183" t="s">
        <v>1584</v>
      </c>
      <c r="D20" s="183"/>
      <c r="E20" s="183"/>
      <c r="F20" s="183"/>
      <c r="G20" s="183"/>
      <c r="H20" s="183"/>
      <c r="I20" s="183"/>
      <c r="K20" s="41">
        <f>ROUND(Q20,0)</f>
        <v>0</v>
      </c>
      <c r="N20" s="105"/>
      <c r="Q20" s="46">
        <f>IF(SUM($Q$18:$Q$19)&lt;$P$15,-SUM($Q$18:$Q$19)+$P$15,0)</f>
        <v>0</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499479</v>
      </c>
      <c r="K22" s="51">
        <f>ROUND(SUM(K18:K21),0)</f>
        <v>499479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0820 - NAT RES &amp; ENVIRON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129730</v>
      </c>
      <c r="K45" s="78"/>
    </row>
    <row r="46" spans="1:20" ht="16.5" customHeight="1" x14ac:dyDescent="0.2">
      <c r="A46" s="45"/>
      <c r="B46" s="69"/>
      <c r="C46" s="183" t="s">
        <v>1581</v>
      </c>
      <c r="D46" s="183"/>
      <c r="E46" s="183"/>
      <c r="F46" s="183"/>
      <c r="G46" s="183"/>
      <c r="H46" s="183"/>
      <c r="I46" s="183"/>
      <c r="J46" s="68"/>
      <c r="K46" s="105">
        <f>J45</f>
        <v>129730</v>
      </c>
    </row>
    <row r="47" spans="1:20" ht="16.5" customHeight="1" x14ac:dyDescent="0.2">
      <c r="A47" s="65"/>
      <c r="B47" s="50"/>
      <c r="C47" s="50"/>
      <c r="D47" s="50"/>
      <c r="E47" s="50"/>
      <c r="F47" s="50"/>
      <c r="G47" s="50"/>
      <c r="H47" s="50"/>
      <c r="I47" s="50"/>
      <c r="J47" s="79">
        <f>ROUND(SUM(J45:J45),2)</f>
        <v>129730</v>
      </c>
      <c r="K47" s="79">
        <f>ROUND(SUM(K46),2)</f>
        <v>129730</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139233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1909</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141142</v>
      </c>
    </row>
    <row r="53" spans="1:20" ht="16.5" customHeight="1" x14ac:dyDescent="0.2">
      <c r="A53" s="65"/>
      <c r="B53" s="50"/>
      <c r="C53" s="50"/>
      <c r="D53" s="50"/>
      <c r="E53" s="50"/>
      <c r="F53" s="50"/>
      <c r="G53" s="50"/>
      <c r="H53" s="50"/>
      <c r="I53" s="50"/>
      <c r="J53" s="79">
        <f>ROUND(SUM(J50:J51),2)</f>
        <v>141142</v>
      </c>
      <c r="K53" s="79">
        <f>ROUND(SUM(K52,),2)</f>
        <v>141142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139233</v>
      </c>
      <c r="K56" s="68"/>
    </row>
    <row r="57" spans="1:20" ht="16.5" customHeight="1" x14ac:dyDescent="0.25">
      <c r="A57" s="45"/>
      <c r="B57" s="49"/>
      <c r="C57" s="183" t="s">
        <v>1607</v>
      </c>
      <c r="D57" s="183"/>
      <c r="E57" s="183"/>
      <c r="F57" s="183"/>
      <c r="G57" s="183"/>
      <c r="H57" s="183"/>
      <c r="I57" s="183"/>
      <c r="J57" s="68"/>
      <c r="K57" s="105">
        <f>J50</f>
        <v>139233</v>
      </c>
      <c r="L57" s="27" t="str">
        <f>IF($J$50=$K$57,"","&lt;- Accts 0848 must agree")</f>
        <v/>
      </c>
    </row>
    <row r="58" spans="1:20" ht="16.5" customHeight="1" x14ac:dyDescent="0.2">
      <c r="A58" s="65"/>
      <c r="B58" s="50"/>
      <c r="C58" s="50"/>
      <c r="D58" s="50"/>
      <c r="E58" s="50"/>
      <c r="F58" s="50"/>
      <c r="G58" s="50"/>
      <c r="H58" s="50"/>
      <c r="I58" s="50"/>
      <c r="J58" s="79">
        <f>ROUND(SUM(J56:J56),2)</f>
        <v>139233</v>
      </c>
      <c r="K58" s="79">
        <f>ROUND(SUM(K57),2)</f>
        <v>139233</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81449</v>
      </c>
      <c r="K61" s="78"/>
    </row>
    <row r="62" spans="1:20" ht="16.5" customHeight="1" x14ac:dyDescent="0.25">
      <c r="A62" s="45"/>
      <c r="B62" s="49"/>
      <c r="C62" s="183" t="s">
        <v>1616</v>
      </c>
      <c r="D62" s="183"/>
      <c r="E62" s="183"/>
      <c r="F62" s="183"/>
      <c r="G62" s="183"/>
      <c r="H62" s="183"/>
      <c r="I62" s="183"/>
      <c r="J62" s="78"/>
      <c r="K62" s="105">
        <f>J61</f>
        <v>81449</v>
      </c>
    </row>
    <row r="63" spans="1:20" ht="16.5" customHeight="1" x14ac:dyDescent="0.2">
      <c r="A63" s="45"/>
      <c r="B63" s="192" t="s">
        <v>1615</v>
      </c>
      <c r="C63" s="192"/>
      <c r="D63" s="192"/>
      <c r="E63" s="192"/>
      <c r="F63" s="192"/>
      <c r="G63" s="192"/>
      <c r="H63" s="192"/>
      <c r="I63" s="192"/>
      <c r="J63" s="79">
        <f>ROUND(SUM(J61:J61),2)</f>
        <v>81449</v>
      </c>
      <c r="K63" s="79">
        <f>ROUND(SUM(K62),2)</f>
        <v>81449</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289182</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289182</v>
      </c>
    </row>
    <row r="70" spans="1:20" ht="16.5" customHeight="1" x14ac:dyDescent="0.2">
      <c r="B70" s="50"/>
      <c r="H70" s="27"/>
      <c r="J70" s="51">
        <f>SUM(J68)</f>
        <v>289182</v>
      </c>
      <c r="K70" s="51">
        <f>SUM(K69)</f>
        <v>289182</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1618</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Menus'!$D$2:$G$10,4,FALSE)</f>
        <v>Cr: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159127</v>
      </c>
      <c r="N94" s="104"/>
    </row>
    <row r="95" spans="1:20" ht="16.5" customHeight="1" x14ac:dyDescent="0.25">
      <c r="D95" s="49" t="s">
        <v>1631</v>
      </c>
      <c r="E95" s="100"/>
      <c r="F95" s="100"/>
      <c r="G95" s="100"/>
      <c r="H95" s="27"/>
      <c r="I95" s="100"/>
      <c r="J95" s="100"/>
      <c r="K95" s="103">
        <f>-K18-K46+J68+J77</f>
        <v>-119345</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-81449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C2B3-9D56-4721-88EC-0BC38F71B938}">
  <sheetPr>
    <tabColor rgb="FF92D050"/>
    <pageSetUpPr fitToPage="1"/>
  </sheetPr>
  <dimension ref="A1:XFC115"/>
  <sheetViews>
    <sheetView topLeftCell="A10" zoomScale="70" zoomScaleNormal="70" workbookViewId="0">
      <selection activeCell="P40" sqref="P40"/>
    </sheetView>
  </sheetViews>
  <sheetFormatPr defaultColWidth="0" defaultRowHeight="15" zeroHeight="1" x14ac:dyDescent="0.25"/>
  <cols>
    <col min="1" max="1" width="12.140625" style="27" customWidth="1"/>
    <col min="2" max="2" width="9.42578125" style="27" customWidth="1"/>
    <col min="3" max="5" width="7.85546875" style="27" customWidth="1"/>
    <col min="6" max="6" width="17.140625" style="27" customWidth="1"/>
    <col min="7" max="7" width="19.140625" style="27" customWidth="1"/>
    <col min="8" max="8" width="19.140625" style="86" customWidth="1"/>
    <col min="9" max="9" width="19.85546875" style="27" customWidth="1"/>
    <col min="10" max="11" width="22.85546875" style="27" customWidth="1"/>
    <col min="12" max="12" width="2.85546875" style="27" customWidth="1"/>
    <col min="13" max="13" width="20.42578125" style="27" customWidth="1"/>
    <col min="14" max="14" width="19.140625" style="27" customWidth="1"/>
    <col min="15" max="15" width="2.85546875" style="27" customWidth="1"/>
    <col min="16" max="17" width="17.140625" style="27" customWidth="1"/>
    <col min="18" max="18" width="2.85546875" style="27" customWidth="1"/>
    <col min="19" max="19" width="17.140625" style="27" customWidth="1"/>
    <col min="20" max="20" width="56.855468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708</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3288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2864</v>
      </c>
      <c r="K15" s="42"/>
      <c r="M15" s="105">
        <v>2864</v>
      </c>
      <c r="P15" s="105">
        <v>2864</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1910</v>
      </c>
      <c r="N18" s="105">
        <v>1910</v>
      </c>
      <c r="Q18" s="105">
        <v>1910</v>
      </c>
      <c r="S18" s="43">
        <f>N18-Q18</f>
        <v>0</v>
      </c>
      <c r="T18" s="47" t="s">
        <v>1635</v>
      </c>
    </row>
    <row r="19" spans="1:25" ht="16.5" customHeight="1" x14ac:dyDescent="0.25">
      <c r="A19" s="45"/>
      <c r="B19" s="49"/>
      <c r="C19" s="183" t="s">
        <v>1618</v>
      </c>
      <c r="D19" s="183"/>
      <c r="E19" s="183"/>
      <c r="F19" s="183"/>
      <c r="G19" s="183"/>
      <c r="H19" s="183"/>
      <c r="I19" s="183"/>
      <c r="J19" s="42"/>
      <c r="K19" s="41">
        <f>ROUND(N19,0)</f>
        <v>0</v>
      </c>
      <c r="N19" s="105"/>
      <c r="Q19" s="105"/>
      <c r="S19" s="43">
        <f>N19-Q19</f>
        <v>0</v>
      </c>
      <c r="T19" s="47" t="s">
        <v>1635</v>
      </c>
      <c r="X19" s="18"/>
    </row>
    <row r="20" spans="1:25" ht="16.5" customHeight="1" x14ac:dyDescent="0.25">
      <c r="A20" s="45"/>
      <c r="B20" s="49"/>
      <c r="C20" s="183" t="s">
        <v>1584</v>
      </c>
      <c r="D20" s="183"/>
      <c r="E20" s="183"/>
      <c r="F20" s="183"/>
      <c r="G20" s="183"/>
      <c r="H20" s="183"/>
      <c r="I20" s="183"/>
      <c r="K20" s="41">
        <f>ROUND(Q20,0)</f>
        <v>954</v>
      </c>
      <c r="N20" s="105"/>
      <c r="Q20" s="46">
        <f>IF(SUM($Q$18:$Q$19)&lt;$P$15,-SUM($Q$18:$Q$19)+$P$15,0)</f>
        <v>954</v>
      </c>
      <c r="S20" s="43">
        <f>N20-Q20</f>
        <v>-954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2864</v>
      </c>
      <c r="K22" s="51">
        <f>ROUND(SUM(K18:K21),0)</f>
        <v>2864</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0820 - NAT RES &amp; ENVIRON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954</v>
      </c>
      <c r="K45" s="78"/>
    </row>
    <row r="46" spans="1:20" ht="16.5" customHeight="1" x14ac:dyDescent="0.2">
      <c r="A46" s="45"/>
      <c r="B46" s="69"/>
      <c r="C46" s="183" t="s">
        <v>1581</v>
      </c>
      <c r="D46" s="183"/>
      <c r="E46" s="183"/>
      <c r="F46" s="183"/>
      <c r="G46" s="183"/>
      <c r="H46" s="183"/>
      <c r="I46" s="183"/>
      <c r="J46" s="68"/>
      <c r="K46" s="105">
        <f>J45</f>
        <v>954</v>
      </c>
    </row>
    <row r="47" spans="1:20" ht="16.5" customHeight="1" x14ac:dyDescent="0.2">
      <c r="A47" s="65"/>
      <c r="B47" s="50"/>
      <c r="C47" s="50"/>
      <c r="D47" s="50"/>
      <c r="E47" s="50"/>
      <c r="F47" s="50"/>
      <c r="G47" s="50"/>
      <c r="H47" s="50"/>
      <c r="I47" s="50"/>
      <c r="J47" s="79">
        <f>ROUND(SUM(J45:J45),2)</f>
        <v>954</v>
      </c>
      <c r="K47" s="79">
        <f>ROUND(SUM(K46),2)</f>
        <v>954</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0</v>
      </c>
    </row>
    <row r="53" spans="1:20" ht="16.5" customHeight="1" x14ac:dyDescent="0.2">
      <c r="A53" s="65"/>
      <c r="B53" s="50"/>
      <c r="C53" s="50"/>
      <c r="D53" s="50"/>
      <c r="E53" s="50"/>
      <c r="F53" s="50"/>
      <c r="G53" s="50"/>
      <c r="H53" s="50"/>
      <c r="I53" s="50"/>
      <c r="J53" s="79">
        <f>ROUND(SUM(J50:J51),2)</f>
        <v>0</v>
      </c>
      <c r="K53" s="79">
        <f>ROUND(SUM(K52,),2)</f>
        <v>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0</v>
      </c>
      <c r="K56" s="68"/>
    </row>
    <row r="57" spans="1:20" ht="16.5" customHeight="1" x14ac:dyDescent="0.25">
      <c r="A57" s="45"/>
      <c r="B57" s="49"/>
      <c r="C57" s="183" t="s">
        <v>1607</v>
      </c>
      <c r="D57" s="183"/>
      <c r="E57" s="183"/>
      <c r="F57" s="183"/>
      <c r="G57" s="183"/>
      <c r="H57" s="183"/>
      <c r="I57" s="183"/>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2864</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2864</v>
      </c>
    </row>
    <row r="70" spans="1:20" ht="16.5" customHeight="1" x14ac:dyDescent="0.2">
      <c r="B70" s="50"/>
      <c r="H70" s="27"/>
      <c r="J70" s="51">
        <f>SUM(J68)</f>
        <v>2864</v>
      </c>
      <c r="K70" s="51">
        <f>SUM(K69)</f>
        <v>2864</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1618</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Menus'!$D$2:$G$10,4,FALSE)</f>
        <v>Cr: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operator="lessThan" allowBlank="1" showInputMessage="1" showErrorMessage="1" sqref="A3:A5 A7:A8 A11" xr:uid="{4EE126A0-3A20-4FAE-98B5-3A9E91F40C55}"/>
    <dataValidation type="textLength" operator="lessThan" allowBlank="1" showInputMessage="1" showErrorMessage="1" sqref="E11 A6:A8" xr:uid="{85D9FE1F-70EF-4E1E-8DC0-9BB27D1BBE81}">
      <formula1>0</formula1>
    </dataValidation>
    <dataValidation type="textLength" operator="equal" allowBlank="1" showInputMessage="1" showErrorMessage="1" errorTitle="4-Digit Org Code" error="Enter the Org Code/BU as 4 digits." sqref="F5" xr:uid="{5858E20F-A198-407D-A8ED-51046E464E14}">
      <formula1>4</formula1>
    </dataValidation>
    <dataValidation type="whole" operator="greaterThanOrEqual" allowBlank="1" showErrorMessage="1" errorTitle="Whole Numbers Only" error="Enter amounts as whole numbers only." promptTitle="Whole Numbers" prompt="Enter whole numbers only." sqref="J15:J17 K18:K21" xr:uid="{F0D155BC-7FCA-46D0-BBB1-C6F0B1139DED}">
      <formula1>0</formula1>
    </dataValidation>
    <dataValidation type="whole" operator="greaterThanOrEqual" allowBlank="1" showInputMessage="1" showErrorMessage="1" sqref="M15:M17 N18:N21 P15 Q18:Q19 J28 K85 K29:K30 J34:J35 J45 K46 J50:J51 K52 J56 K57 J61 K62 J68 K69 J76:J78 K79:K80 J84 K36:K38" xr:uid="{0B66FEB8-26EE-4ACC-982A-1BCCDCE73D26}">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23F066A-638E-4BAF-96B9-A7696879D50C}">
          <x14:formula1>
            <xm:f>'Drop Down Menus'!$A$1:$A$101</xm:f>
          </x14:formula1>
          <xm:sqref>F3</xm:sqref>
        </x14:dataValidation>
        <x14:dataValidation type="list" allowBlank="1" showInputMessage="1" showErrorMessage="1" xr:uid="{7279527F-5A37-4747-91BD-FFE69D54B2E7}">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9" zoomScale="80" zoomScaleNormal="80" workbookViewId="0">
      <selection activeCell="B17" sqref="B17"/>
    </sheetView>
  </sheetViews>
  <sheetFormatPr defaultColWidth="8.85546875" defaultRowHeight="15" x14ac:dyDescent="0.2"/>
  <cols>
    <col min="1" max="1" width="33.42578125" style="1" customWidth="1"/>
    <col min="2" max="3" width="33.855468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3930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81449</v>
      </c>
      <c r="C16" s="2">
        <v>966</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3930</v>
      </c>
      <c r="C43" s="203"/>
    </row>
    <row r="44" spans="1:11" ht="15.75" x14ac:dyDescent="0.25">
      <c r="A44" s="113" t="s">
        <v>1594</v>
      </c>
      <c r="B44" s="204" t="str">
        <f>B13</f>
        <v>Department of Pesticide Regulation</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3930</v>
      </c>
      <c r="C74" s="203"/>
    </row>
    <row r="75" spans="1:4" ht="15.75" x14ac:dyDescent="0.25">
      <c r="A75" s="113" t="s">
        <v>1594</v>
      </c>
      <c r="B75" s="204" t="str">
        <f>B13</f>
        <v>Department of Pesticide Regulation</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P10" sqref="P10"/>
    </sheetView>
  </sheetViews>
  <sheetFormatPr defaultColWidth="9.140625" defaultRowHeight="18" x14ac:dyDescent="0.25"/>
  <cols>
    <col min="1" max="1" width="9.140625" style="122"/>
    <col min="2" max="3" width="3.85546875" style="122" customWidth="1"/>
    <col min="4" max="4" width="42.140625" style="122" customWidth="1"/>
    <col min="5" max="5" width="3.85546875" style="122" customWidth="1"/>
    <col min="6" max="6" width="16.85546875" style="123" customWidth="1"/>
    <col min="7" max="7" width="3.85546875" style="122" customWidth="1"/>
    <col min="8" max="8" width="16.85546875" style="123" customWidth="1"/>
    <col min="9" max="9" width="3.85546875" style="122" customWidth="1"/>
    <col min="10" max="10" width="16.85546875" style="123" customWidth="1"/>
    <col min="11" max="11" width="3.85546875" style="122" customWidth="1"/>
    <col min="12" max="12" width="16.85546875" style="123" customWidth="1"/>
    <col min="13" max="13" width="3.85546875" style="122" customWidth="1"/>
    <col min="14" max="14" width="16.85546875" style="123" customWidth="1"/>
    <col min="15" max="15" width="3.85546875" style="122" customWidth="1"/>
    <col min="16" max="16" width="17.85546875" style="123" bestFit="1" customWidth="1"/>
    <col min="17" max="17" width="3.855468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0106 Journal Entries'!$F$5&amp;" "&amp;'Fund 0106 Journal Entries'!$F$4</f>
        <v>Business Unit 3930 Department of Pesticide Regulation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0106 Journal Entries'!$F$3,4)</f>
        <v>Balance
July 1, 2023</v>
      </c>
      <c r="G7" s="131"/>
      <c r="H7" s="132" t="s">
        <v>9</v>
      </c>
      <c r="I7" s="131"/>
      <c r="J7" s="132" t="s">
        <v>10</v>
      </c>
      <c r="K7" s="131"/>
      <c r="L7" s="130" t="str">
        <f>"Balance
June 30, "&amp;RIGHT('Fund 0106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0106 Journal Entries'!$F$7="Governmental Fund",'Fund 0106 Journal Entries'!$K$19,0)+'Fund 0001 Journal Entries'!K19+'Fund 3288 Journal Entries'!K19</f>
        <v>220682</v>
      </c>
      <c r="H10" s="3">
        <f>IF('Fund 0106 Journal Entries'!$F$7="Governmental Fund",SUM('Fund 0106 Journal Entries'!$K$37,'Fund 0106 Journal Entries'!$K$85),0)+'Fund 0001 Journal Entries'!K37+'Fund 0001 Journal Entries'!K85+'Fund 3288 Journal Entries'!K37+'Fund 3288 Journal Entries'!K85</f>
        <v>0</v>
      </c>
      <c r="J10" s="3">
        <f>IF('Fund 0106 Journal Entries'!$F$7="Governmental Fund",SUM('Fund 0106 Journal Entries'!$J$56,'Fund 0106 Journal Entries'!$J$76),0)+'Fund 0001 Journal Entries'!J56+'Fund 0001 Journal Entries'!J76+'Fund 3288 Journal Entries'!J56+'Fund 3288 Journal Entries'!J76</f>
        <v>139233</v>
      </c>
      <c r="L10" s="134">
        <f>SUM(F10+H10-J10)</f>
        <v>81449</v>
      </c>
      <c r="N10" s="3">
        <f>IF('Fund 0106 Journal Entries'!$F$7="Governmental Fund",'Fund 0106 Journal Entries'!$J$61,0)+'Fund 0001 Journal Entries'!J61+'Fund 3288 Journal Entries'!J61</f>
        <v>81449</v>
      </c>
      <c r="P10" s="134">
        <f>L10-N10</f>
        <v>0</v>
      </c>
      <c r="Q10" s="129"/>
    </row>
    <row r="11" spans="2:17" ht="19.5" thickTop="1" thickBot="1" x14ac:dyDescent="0.3">
      <c r="B11" s="128"/>
      <c r="C11" s="208" t="s">
        <v>14</v>
      </c>
      <c r="D11" s="208"/>
      <c r="F11" s="135">
        <f>SUM(F10:F10)</f>
        <v>220682</v>
      </c>
      <c r="H11" s="135">
        <f>SUM(H10:H10)</f>
        <v>0</v>
      </c>
      <c r="J11" s="135">
        <f>SUM(J10:J10)</f>
        <v>139233</v>
      </c>
      <c r="L11" s="135">
        <f>SUM(L10:L10)</f>
        <v>81449</v>
      </c>
      <c r="N11" s="135">
        <f>SUM(N10:N10)</f>
        <v>81449</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0106 Journal Entries'!$F$7="Proprietary - Internal Service Fund",'Fund 0106 Journal Entries'!$K$19,0)</f>
        <v>0</v>
      </c>
      <c r="H14" s="3">
        <f>IF('Fund 0106 Journal Entries'!$F$7="Proprietary - Internal Service Fund",SUM('Fund 0106 Journal Entries'!$K$37,'Fund 0106 Journal Entries'!$K$85),0)</f>
        <v>0</v>
      </c>
      <c r="J14" s="3">
        <f>IF('Fund 0106 Journal Entries'!$F$7="Proprietary - Internal Service Fund",SUM('Fund 0106 Journal Entries'!$J$56,'Fund 0106 Journal Entries'!$J$76),0)</f>
        <v>0</v>
      </c>
      <c r="L14" s="134">
        <f>SUM(F14+H14-J14)</f>
        <v>0</v>
      </c>
      <c r="N14" s="3">
        <f>IF('Fund 0106 Journal Entries'!$F$7="Proprietary - Internal Service Fund",'Fund 0106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0106 Journal Entries'!$F$7="Proprietary - Enterprise Fund",'Fund 0106 Journal Entries'!$K$19,0)</f>
        <v>0</v>
      </c>
      <c r="H18" s="3">
        <f>IF('Fund 0106 Journal Entries'!$F$7="Proprietary - Enterprise Fund",SUM('Fund 0106 Journal Entries'!$K$37,'Fund 0106 Journal Entries'!$K$85),0)</f>
        <v>0</v>
      </c>
      <c r="J18" s="3">
        <f>IF('Fund 0106 Journal Entries'!$F$7="Proprietary - Enterprise Fund",SUM('Fund 0106 Journal Entries'!$J$56,'Fund 0106 Journal Entries'!$J$76),0)</f>
        <v>0</v>
      </c>
      <c r="L18" s="134">
        <f>SUM(F18+H18-J18)</f>
        <v>0</v>
      </c>
      <c r="N18" s="3">
        <f>IF('Fund 0106 Journal Entries'!$F$7="Proprietary - Enterprise Fund",'Fund 0106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opLeftCell="A31" zoomScaleNormal="100" workbookViewId="0">
      <selection activeCell="P17" sqref="P17"/>
    </sheetView>
  </sheetViews>
  <sheetFormatPr defaultColWidth="0" defaultRowHeight="15" zeroHeight="1" x14ac:dyDescent="0.25"/>
  <cols>
    <col min="1" max="1" width="4" style="143" customWidth="1"/>
    <col min="2" max="2" width="14.85546875" style="143" customWidth="1"/>
    <col min="3" max="3" width="2.42578125" style="163" customWidth="1"/>
    <col min="4" max="4" width="14.85546875" style="143" customWidth="1"/>
    <col min="5" max="5" width="2.42578125" style="163" customWidth="1"/>
    <col min="6" max="6" width="14.85546875" style="143" customWidth="1"/>
    <col min="7" max="7" width="2.42578125" style="163" customWidth="1"/>
    <col min="8" max="8" width="14.85546875" style="143" customWidth="1"/>
    <col min="9" max="9" width="2.42578125" style="163" customWidth="1"/>
    <col min="10" max="10" width="14.85546875" style="143" customWidth="1"/>
    <col min="11" max="11" width="2.42578125" style="163" customWidth="1"/>
    <col min="12" max="12" width="17.85546875" style="143" customWidth="1"/>
    <col min="13" max="13" width="2.42578125" style="163" customWidth="1"/>
    <col min="14" max="14" width="26.140625" style="143" customWidth="1"/>
    <col min="15" max="15" width="2.140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0106 Journal Entries'!$F$7="Governmental Fund",ROUND('Fund 0106 Journal Entries'!$K$19,0),0)+'Fund 0001 Journal Entries'!K19+'Fund 3288 Journal Entries'!K19</f>
        <v>220682</v>
      </c>
      <c r="C17" s="21" t="s">
        <v>1551</v>
      </c>
      <c r="D17" s="10">
        <f>IF('Fund 0106 Journal Entries'!$F$7="Governmental Fund",ROUND('Fund 0106 Journal Entries'!$K$37,0),0)+'Fund 0001 Journal Entries'!K37+'Fund 3288 Journal Entries'!K37</f>
        <v>0</v>
      </c>
      <c r="E17" s="22" t="s">
        <v>1553</v>
      </c>
      <c r="F17" s="10">
        <f>IF('Fund 0106 Journal Entries'!$F$7="Governmental Fund",ROUND('Fund 0106 Journal Entries'!$J$56,0),0)+'Fund 0001 Journal Entries'!J56+'Fund 3288 Journal Entries'!J56</f>
        <v>139233</v>
      </c>
      <c r="G17" s="22" t="s">
        <v>1553</v>
      </c>
      <c r="H17" s="10">
        <f>IF('Fund 0106 Journal Entries'!$F$7="Governmental Fund",ROUND('Fund 0106 Journal Entries'!$J$76,0),0)+'Fund 0001 Journal Entries'!J76+'Fund 3288 Journal Entries'!J76</f>
        <v>0</v>
      </c>
      <c r="I17" s="22" t="s">
        <v>1551</v>
      </c>
      <c r="J17" s="10">
        <f>IF('Fund 0106 Journal Entries'!$F$7="Governmental Fund",ROUND('Fund 0106 Journal Entries'!$K$85,0),0)+'Fund 0001 Journal Entries'!K85+'Fund 3288 Journal Entries'!K85</f>
        <v>0</v>
      </c>
      <c r="K17" s="22" t="s">
        <v>1555</v>
      </c>
      <c r="L17" s="11">
        <f>+B17+D17-F17-H17+J17</f>
        <v>81449</v>
      </c>
      <c r="M17" s="22"/>
      <c r="N17" s="12">
        <f>ROUND(SUM('Department Note Disclosure'!$B$16:$B$39),0)</f>
        <v>81449</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0106 Journal Entries'!$F$7="Proprietary - Internal Service Fund",ROUND('Fund 0106 Journal Entries'!$K$19,0),0)</f>
        <v>0</v>
      </c>
      <c r="C25" s="21" t="s">
        <v>1551</v>
      </c>
      <c r="D25" s="10">
        <f>IF('Fund 0106 Journal Entries'!$F$7="Proprietary - Internal Service Fund",ROUND('Fund 0106 Journal Entries'!$K$37,0),0)</f>
        <v>0</v>
      </c>
      <c r="E25" s="22" t="s">
        <v>1553</v>
      </c>
      <c r="F25" s="10">
        <f>IF('Fund 0106 Journal Entries'!$F$7="Proprietary - Internal Service Fund",ROUND('Fund 0106 Journal Entries'!$J$56,0),0)</f>
        <v>0</v>
      </c>
      <c r="G25" s="22" t="s">
        <v>1553</v>
      </c>
      <c r="H25" s="10">
        <f>IF('Fund 0106 Journal Entries'!$F$7="Proprietary - Internal Service Fund",ROUND('Fund 0106 Journal Entries'!$J$76,0),0)</f>
        <v>0</v>
      </c>
      <c r="I25" s="22" t="s">
        <v>1551</v>
      </c>
      <c r="J25" s="10">
        <f>IF('Fund 0106 Journal Entries'!$F$7="Proprietary - Internal Service Fund",ROUND('Fund 0106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0106 Journal Entries'!$F$7="Proprietary - Enterprise Fund",ROUND('Fund 0106 Journal Entries'!$K$19,0),0)</f>
        <v>0</v>
      </c>
      <c r="C34" s="21" t="s">
        <v>1551</v>
      </c>
      <c r="D34" s="10">
        <f>IF('Fund 0106 Journal Entries'!$F$7="Proprietary - Enterprise Fund",ROUND('Fund 0106 Journal Entries'!$K$37,0),0)</f>
        <v>0</v>
      </c>
      <c r="E34" s="22" t="s">
        <v>1553</v>
      </c>
      <c r="F34" s="10">
        <f>IF('Fund 0106 Journal Entries'!$F$7="Proprietary - Enterprise Fund",ROUND('Fund 0106 Journal Entries'!$J$56,0),0)</f>
        <v>0</v>
      </c>
      <c r="G34" s="22" t="s">
        <v>1553</v>
      </c>
      <c r="H34" s="10">
        <f>IF('Fund 0106 Journal Entries'!$F$7="Proprietary - Enterprise Fund",ROUND('Fund 0106 Journal Entries'!$J$76,0),0)</f>
        <v>0</v>
      </c>
      <c r="I34" s="22" t="s">
        <v>1551</v>
      </c>
      <c r="J34" s="10">
        <f>IF('Fund 0106 Journal Entries'!$F$7="Proprietary - Enterprise Fund",ROUND('Fund 0106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0106 Journal Entries'!$F$7="Governmental Fund",ROUND('Fund 0106 Journal Entries'!$K$62,0),0)</f>
        <v>81449</v>
      </c>
      <c r="C42" s="160"/>
      <c r="D42" s="159"/>
      <c r="E42" s="159"/>
      <c r="F42" s="159"/>
      <c r="G42" s="145"/>
      <c r="H42" s="159"/>
      <c r="I42" s="149"/>
      <c r="J42" s="159"/>
      <c r="K42" s="145"/>
      <c r="L42" s="158"/>
      <c r="M42" s="23"/>
      <c r="N42" s="12">
        <f>ROUND('Department Note Disclosure'!$B$16,0)</f>
        <v>81449</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0106 Journal Entries'!$F$7="Proprietary - Internal Service Fund",ROUND('Fund 0106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0106 Journal Entries'!$F$7="Proprietary - Enterprise Fund",ROUND('Fund 0106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220682</v>
      </c>
      <c r="I64" s="25" t="s">
        <v>1555</v>
      </c>
      <c r="J64" s="14">
        <f>SUM(D64)</f>
        <v>220682</v>
      </c>
      <c r="L64" s="164" t="str">
        <f>CONCATENATE("Balance July 1, ",LEFT('Department Note Disclosure'!$B$11,4))</f>
        <v>Balance July 1, 2023</v>
      </c>
      <c r="N64" s="14">
        <f>ROUND('SBITA Liabilities'!$F$10,0)</f>
        <v>220682</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139233</v>
      </c>
      <c r="E66" s="165" t="s">
        <v>1551</v>
      </c>
      <c r="F66" s="150" t="s">
        <v>1645</v>
      </c>
      <c r="H66" s="14">
        <f>H17</f>
        <v>0</v>
      </c>
      <c r="I66" s="25" t="s">
        <v>1555</v>
      </c>
      <c r="J66" s="14">
        <f>SUM(D66,H66)</f>
        <v>139233</v>
      </c>
      <c r="L66" s="164" t="s">
        <v>10</v>
      </c>
      <c r="N66" s="14">
        <f>ROUND('SBITA Liabilities'!$J$10,0)</f>
        <v>139233</v>
      </c>
      <c r="P66" s="13">
        <f>J66-N66</f>
        <v>0</v>
      </c>
    </row>
    <row r="67" spans="1:16383" x14ac:dyDescent="0.25">
      <c r="B67" s="162" t="s">
        <v>1558</v>
      </c>
      <c r="D67" s="14">
        <f>$B$42</f>
        <v>81449</v>
      </c>
      <c r="I67" s="25" t="s">
        <v>1555</v>
      </c>
      <c r="J67" s="14">
        <f>SUM(D67)</f>
        <v>81449</v>
      </c>
      <c r="L67" s="164" t="s">
        <v>11</v>
      </c>
      <c r="N67" s="14">
        <f>ROUND('SBITA Liabilities'!$N$10,0)</f>
        <v>81449</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85546875" style="1" bestFit="1" customWidth="1"/>
    <col min="3" max="3" width="9.140625" style="1"/>
    <col min="4" max="4" width="42.85546875" style="1" bestFit="1" customWidth="1"/>
    <col min="5" max="5" width="57.42578125" style="1" bestFit="1" customWidth="1"/>
    <col min="6" max="6" width="62.85546875" style="1" bestFit="1" customWidth="1"/>
    <col min="7" max="7" width="58.855468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140625" bestFit="1" customWidth="1"/>
    <col min="2" max="2" width="34.85546875" bestFit="1" customWidth="1"/>
    <col min="3" max="3" width="5.140625" bestFit="1" customWidth="1"/>
    <col min="4" max="4" width="33.42578125" bestFit="1" customWidth="1"/>
    <col min="5" max="5" width="8.85546875" customWidth="1"/>
    <col min="6" max="9" width="5.140625" bestFit="1" customWidth="1"/>
    <col min="10" max="10" width="12.140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vt:lpstr>
      <vt:lpstr>Fund 0106 Journal Entries</vt:lpstr>
      <vt:lpstr>Fund 3288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0106 Journal Entries'!Print_Area</vt:lpstr>
      <vt:lpstr>'Fund 3288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2025-02-27T01:48:06Z</dcterms:modified>
</cp:coreProperties>
</file>