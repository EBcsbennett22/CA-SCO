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B6587412-053F-4675-BED7-C2B27C80445B}"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Fund 0099 Journal Entries" sheetId="11" r:id="rId2"/>
    <sheet name="Fund 0203 Journal Entries " sheetId="12" r:id="rId3"/>
    <sheet name="Fund 0367 Journal Entries" sheetId="13" r:id="rId4"/>
    <sheet name="Fund 0890 Journal Entries " sheetId="14" r:id="rId5"/>
    <sheet name="Department Note Disclosure" sheetId="3" r:id="rId6"/>
    <sheet name="SBITA Liabilities" sheetId="4" r:id="rId7"/>
    <sheet name="Check Figures " sheetId="9" r:id="rId8"/>
    <sheet name="Drop Down Menus" sheetId="1" state="hidden" r:id="rId9"/>
    <sheet name="GAAP02Aindex" sheetId="7" state="hidden" r:id="rId10"/>
  </sheets>
  <externalReferences>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5">'Department Note Disclosure'!$A$3:$D$101</definedName>
    <definedName name="_xlnm.Print_Area" localSheetId="0">'Fund 0001 Journal Entries'!$A$1:$K$99</definedName>
    <definedName name="_xlnm.Print_Area" localSheetId="1">'Fund 0099 Journal Entries'!$A$1:$K$99</definedName>
    <definedName name="_xlnm.Print_Area" localSheetId="2">'Fund 0203 Journal Entries '!$A$1:$K$99</definedName>
    <definedName name="_xlnm.Print_Area" localSheetId="3">'Fund 0367 Journal Entries'!$A$1:$K$99</definedName>
    <definedName name="_xlnm.Print_Area" localSheetId="4">'Fund 0890 Journal Entries '!$A$1:$K$99</definedName>
    <definedName name="_xlnm.Print_Area" localSheetId="6">'SBITA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0" i="4" l="1"/>
  <c r="H17" i="9"/>
  <c r="F17" i="9"/>
  <c r="H10" i="4"/>
  <c r="J17" i="9"/>
  <c r="D17" i="9"/>
  <c r="N10" i="4"/>
  <c r="B42" i="9"/>
  <c r="F10" i="4"/>
  <c r="B17" i="9"/>
  <c r="B78" i="14"/>
  <c r="B78" i="13"/>
  <c r="B78" i="12"/>
  <c r="B78" i="11"/>
  <c r="B78" i="2"/>
  <c r="K86" i="14"/>
  <c r="J86" i="14"/>
  <c r="L86" i="14" s="1"/>
  <c r="K81" i="14"/>
  <c r="J81" i="14"/>
  <c r="L81" i="14" s="1"/>
  <c r="K70" i="14"/>
  <c r="J63" i="14"/>
  <c r="K62" i="14"/>
  <c r="K97" i="14" s="1"/>
  <c r="K57" i="14"/>
  <c r="L50" i="14" s="1"/>
  <c r="J53" i="14"/>
  <c r="K52" i="14"/>
  <c r="K53" i="14" s="1"/>
  <c r="B51" i="14"/>
  <c r="J47" i="14"/>
  <c r="K46" i="14"/>
  <c r="K47" i="14" s="1"/>
  <c r="K39" i="14"/>
  <c r="J39" i="14"/>
  <c r="L39" i="14" s="1"/>
  <c r="K31" i="14"/>
  <c r="L31" i="14" s="1"/>
  <c r="J31" i="14"/>
  <c r="A26" i="14"/>
  <c r="S21" i="14"/>
  <c r="Q20" i="14"/>
  <c r="S20" i="14" s="1"/>
  <c r="S19" i="14"/>
  <c r="K19" i="14"/>
  <c r="S18" i="14"/>
  <c r="K18" i="14"/>
  <c r="S17" i="14"/>
  <c r="P16" i="14"/>
  <c r="S16" i="14" s="1"/>
  <c r="S15" i="14"/>
  <c r="J15" i="14"/>
  <c r="B14" i="14"/>
  <c r="A12" i="14"/>
  <c r="F8" i="14"/>
  <c r="C30" i="14" s="1"/>
  <c r="K86" i="13"/>
  <c r="J86" i="13"/>
  <c r="L86" i="13" s="1"/>
  <c r="L81" i="13"/>
  <c r="K81" i="13"/>
  <c r="J81" i="13"/>
  <c r="K70" i="13"/>
  <c r="J70" i="13"/>
  <c r="J63" i="13"/>
  <c r="K62" i="13"/>
  <c r="K97" i="13" s="1"/>
  <c r="K57" i="13"/>
  <c r="L50" i="13" s="1"/>
  <c r="K53" i="13"/>
  <c r="J53" i="13"/>
  <c r="L53" i="13" s="1"/>
  <c r="K52" i="13"/>
  <c r="B51" i="13"/>
  <c r="J47" i="13"/>
  <c r="K46" i="13"/>
  <c r="K47" i="13" s="1"/>
  <c r="K39" i="13"/>
  <c r="J39" i="13"/>
  <c r="K31" i="13"/>
  <c r="J31" i="13"/>
  <c r="A26" i="13"/>
  <c r="S21" i="13"/>
  <c r="Q20" i="13"/>
  <c r="S20" i="13" s="1"/>
  <c r="K20" i="13"/>
  <c r="S19" i="13"/>
  <c r="K19" i="13"/>
  <c r="S18" i="13"/>
  <c r="K18" i="13"/>
  <c r="S17" i="13"/>
  <c r="P16" i="13"/>
  <c r="S16" i="13" s="1"/>
  <c r="J16" i="13"/>
  <c r="S15" i="13"/>
  <c r="J15" i="13"/>
  <c r="B14" i="13"/>
  <c r="A12" i="13"/>
  <c r="F8" i="13"/>
  <c r="C52" i="13" s="1"/>
  <c r="K86" i="12"/>
  <c r="J86" i="12"/>
  <c r="L86" i="12" s="1"/>
  <c r="L81" i="12"/>
  <c r="K81" i="12"/>
  <c r="J81" i="12"/>
  <c r="K70" i="12"/>
  <c r="J68" i="12"/>
  <c r="J63" i="12"/>
  <c r="K62" i="12"/>
  <c r="K63" i="12" s="1"/>
  <c r="K57" i="12"/>
  <c r="L50" i="12" s="1"/>
  <c r="J53" i="12"/>
  <c r="K52" i="12"/>
  <c r="K53" i="12" s="1"/>
  <c r="B51" i="12"/>
  <c r="J47" i="12"/>
  <c r="K46" i="12"/>
  <c r="K47" i="12" s="1"/>
  <c r="K39" i="12"/>
  <c r="J39" i="12"/>
  <c r="K31" i="12"/>
  <c r="J31" i="12"/>
  <c r="A26" i="12"/>
  <c r="S21" i="12"/>
  <c r="Q20" i="12"/>
  <c r="S20" i="12" s="1"/>
  <c r="S19" i="12"/>
  <c r="K19" i="12"/>
  <c r="S18" i="12"/>
  <c r="K18" i="12"/>
  <c r="S17" i="12"/>
  <c r="P16" i="12"/>
  <c r="S16" i="12" s="1"/>
  <c r="S15" i="12"/>
  <c r="J15" i="12"/>
  <c r="B14" i="12"/>
  <c r="A12" i="12"/>
  <c r="F8" i="12"/>
  <c r="C30" i="12" s="1"/>
  <c r="L86" i="11"/>
  <c r="K86" i="11"/>
  <c r="J86" i="11"/>
  <c r="K81" i="11"/>
  <c r="J81" i="11"/>
  <c r="L81" i="11" s="1"/>
  <c r="K70" i="11"/>
  <c r="J68" i="11"/>
  <c r="J70" i="11" s="1"/>
  <c r="L70" i="11" s="1"/>
  <c r="J63" i="11"/>
  <c r="K62" i="11"/>
  <c r="K97" i="11" s="1"/>
  <c r="K57" i="11"/>
  <c r="K58" i="11" s="1"/>
  <c r="K53" i="11"/>
  <c r="J53" i="11"/>
  <c r="L53" i="11" s="1"/>
  <c r="K52" i="11"/>
  <c r="B51" i="11"/>
  <c r="L50" i="11"/>
  <c r="K47" i="11"/>
  <c r="J47" i="11"/>
  <c r="K46" i="11"/>
  <c r="K39" i="11"/>
  <c r="J39" i="11"/>
  <c r="K31" i="11"/>
  <c r="J31" i="11"/>
  <c r="A26" i="11"/>
  <c r="S21" i="11"/>
  <c r="Q20" i="11"/>
  <c r="S20" i="11" s="1"/>
  <c r="S19" i="11"/>
  <c r="K19" i="11"/>
  <c r="S18" i="11"/>
  <c r="K18" i="11"/>
  <c r="K95" i="11" s="1"/>
  <c r="S17" i="11"/>
  <c r="P16" i="11"/>
  <c r="S16" i="11" s="1"/>
  <c r="J16" i="11"/>
  <c r="S15" i="11"/>
  <c r="J15" i="11"/>
  <c r="B14" i="11"/>
  <c r="A12" i="11"/>
  <c r="F8" i="11"/>
  <c r="C52" i="11" s="1"/>
  <c r="N18" i="4"/>
  <c r="K19" i="2"/>
  <c r="K18" i="2"/>
  <c r="J15" i="2"/>
  <c r="K94" i="2" s="1"/>
  <c r="S21" i="2"/>
  <c r="S19" i="2"/>
  <c r="S18" i="2"/>
  <c r="S17" i="2"/>
  <c r="S15" i="2"/>
  <c r="K57" i="2"/>
  <c r="L57" i="2" s="1"/>
  <c r="K63" i="14" l="1"/>
  <c r="L63" i="14" s="1"/>
  <c r="J56" i="14"/>
  <c r="J58" i="14" s="1"/>
  <c r="K95" i="14"/>
  <c r="J16" i="14"/>
  <c r="K20" i="14"/>
  <c r="K21" i="14" s="1"/>
  <c r="K22" i="14" s="1"/>
  <c r="L70" i="13"/>
  <c r="L57" i="13"/>
  <c r="J56" i="13"/>
  <c r="J58" i="13" s="1"/>
  <c r="K95" i="13"/>
  <c r="L39" i="13"/>
  <c r="L31" i="13"/>
  <c r="J56" i="12"/>
  <c r="J58" i="12" s="1"/>
  <c r="L39" i="12"/>
  <c r="L31" i="12"/>
  <c r="K20" i="12"/>
  <c r="K21" i="12" s="1"/>
  <c r="K22" i="12" s="1"/>
  <c r="K95" i="12"/>
  <c r="J16" i="12"/>
  <c r="J17" i="12" s="1"/>
  <c r="J22" i="12" s="1"/>
  <c r="J56" i="11"/>
  <c r="J58" i="11" s="1"/>
  <c r="L58" i="11" s="1"/>
  <c r="K96" i="11"/>
  <c r="L57" i="11"/>
  <c r="L47" i="11"/>
  <c r="L39" i="11"/>
  <c r="L31" i="11"/>
  <c r="L53" i="14"/>
  <c r="L47" i="14"/>
  <c r="C52" i="14"/>
  <c r="C38" i="14"/>
  <c r="K94" i="14"/>
  <c r="J70" i="14"/>
  <c r="L70" i="14" s="1"/>
  <c r="L57" i="14"/>
  <c r="C80" i="14"/>
  <c r="K58" i="14"/>
  <c r="L47" i="13"/>
  <c r="K21" i="13"/>
  <c r="K22" i="13" s="1"/>
  <c r="J17" i="13"/>
  <c r="J22" i="13" s="1"/>
  <c r="L22" i="13" s="1"/>
  <c r="C80" i="13"/>
  <c r="K63" i="13"/>
  <c r="L63" i="13" s="1"/>
  <c r="K94" i="13"/>
  <c r="K58" i="13"/>
  <c r="C38" i="13"/>
  <c r="C30" i="13"/>
  <c r="L63" i="12"/>
  <c r="L47" i="12"/>
  <c r="L53" i="12"/>
  <c r="C38" i="12"/>
  <c r="J70" i="12"/>
  <c r="L70" i="12" s="1"/>
  <c r="K96" i="12"/>
  <c r="K97" i="12"/>
  <c r="K58" i="12"/>
  <c r="L58" i="12" s="1"/>
  <c r="C52" i="12"/>
  <c r="K94" i="12"/>
  <c r="L57" i="12"/>
  <c r="C80" i="12"/>
  <c r="C80" i="11"/>
  <c r="C30" i="11"/>
  <c r="C38" i="11"/>
  <c r="K20" i="11"/>
  <c r="K63" i="11"/>
  <c r="L63" i="11" s="1"/>
  <c r="K94" i="11"/>
  <c r="L50" i="2"/>
  <c r="L58" i="14" l="1"/>
  <c r="K96" i="14"/>
  <c r="J17" i="14"/>
  <c r="J22" i="14" s="1"/>
  <c r="L22" i="14" s="1"/>
  <c r="L58" i="13"/>
  <c r="K96" i="13"/>
  <c r="L22" i="12"/>
  <c r="K21" i="11"/>
  <c r="K22" i="11" s="1"/>
  <c r="J17" i="11"/>
  <c r="J22" i="11" s="1"/>
  <c r="J56" i="2"/>
  <c r="K96" i="2" s="1"/>
  <c r="J14" i="4"/>
  <c r="H18" i="4"/>
  <c r="H14" i="4"/>
  <c r="L22" i="11" l="1"/>
  <c r="L84" i="9"/>
  <c r="L74" i="9"/>
  <c r="L64" i="9"/>
  <c r="H34" i="9"/>
  <c r="H86" i="9" s="1"/>
  <c r="J34" i="9"/>
  <c r="H85" i="9" s="1"/>
  <c r="J25" i="9"/>
  <c r="H75" i="9" s="1"/>
  <c r="H25" i="9"/>
  <c r="H76" i="9" s="1"/>
  <c r="H66" i="9"/>
  <c r="H65" i="9"/>
  <c r="K62" i="2"/>
  <c r="K97" i="2" s="1"/>
  <c r="K52" i="2"/>
  <c r="K46" i="2"/>
  <c r="K95" i="2" s="1"/>
  <c r="J18" i="4" l="1"/>
  <c r="Q20" i="2"/>
  <c r="P16" i="2"/>
  <c r="K20" i="2" l="1"/>
  <c r="S20" i="2"/>
  <c r="J16" i="2"/>
  <c r="S16" i="2"/>
  <c r="D89" i="3"/>
  <c r="D58" i="3"/>
  <c r="K21" i="2" l="1"/>
  <c r="K22" i="2" s="1"/>
  <c r="J17" i="2"/>
  <c r="J22" i="2" s="1"/>
  <c r="D27" i="3"/>
  <c r="B25" i="9" l="1"/>
  <c r="D25" i="9"/>
  <c r="F25" i="9"/>
  <c r="B34" i="9"/>
  <c r="D34" i="9"/>
  <c r="F34" i="9"/>
  <c r="B49" i="9"/>
  <c r="B56" i="9"/>
  <c r="N14" i="4"/>
  <c r="F14" i="4"/>
  <c r="N74" i="9" s="1"/>
  <c r="F18" i="4"/>
  <c r="K53" i="2"/>
  <c r="C5" i="4" l="1"/>
  <c r="D86" i="3"/>
  <c r="D55" i="3"/>
  <c r="D24" i="3"/>
  <c r="D52" i="3" l="1"/>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l="1"/>
</calcChain>
</file>

<file path=xl/sharedStrings.xml><?xml version="1.0" encoding="utf-8"?>
<sst xmlns="http://schemas.openxmlformats.org/spreadsheetml/2006/main" count="7919" uniqueCount="1656">
  <si>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</si>
  <si>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</si>
  <si>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</si>
  <si>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</si>
  <si>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</si>
  <si>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</si>
  <si>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</si>
  <si>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</si>
  <si>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</si>
  <si>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</si>
  <si>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</si>
  <si>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</si>
  <si>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</si>
  <si>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</si>
  <si>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</si>
  <si>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</si>
  <si>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</si>
  <si>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</si>
  <si>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</si>
  <si>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</si>
  <si>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</si>
  <si>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</si>
  <si>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</si>
  <si>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</si>
  <si>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</si>
  <si>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</si>
  <si>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</si>
  <si>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</si>
  <si>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</si>
  <si>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</si>
  <si>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</si>
  <si>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</si>
  <si>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</si>
  <si>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</si>
  <si>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</si>
  <si>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</si>
  <si>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</si>
  <si>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</si>
  <si>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</si>
  <si>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</si>
  <si>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</si>
  <si>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</si>
  <si>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</si>
  <si>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</si>
  <si>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</si>
  <si>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</si>
  <si>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</si>
  <si>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</si>
  <si>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</si>
  <si>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</si>
  <si>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</si>
  <si>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</si>
  <si>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</si>
  <si>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</si>
  <si>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</si>
  <si>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</si>
  <si>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</si>
  <si>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</si>
  <si>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</si>
  <si>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</si>
  <si>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</si>
  <si>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</si>
  <si>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</si>
  <si>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</si>
  <si>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</si>
  <si>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</si>
  <si>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</si>
  <si>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</si>
  <si>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</si>
  <si>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</si>
  <si>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</si>
  <si>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</si>
  <si>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</si>
  <si>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</si>
  <si>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</si>
  <si>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</si>
  <si>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</si>
  <si>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</si>
  <si>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</si>
  <si>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</si>
  <si>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</si>
  <si>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</si>
  <si>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</si>
  <si>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</si>
  <si>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</si>
  <si>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</si>
  <si>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</si>
  <si>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</si>
  <si>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</si>
  <si>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</si>
  <si>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</si>
  <si>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</si>
  <si>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</si>
  <si>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</si>
  <si>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</si>
  <si>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</si>
  <si>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</si>
  <si>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</si>
  <si>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</si>
  <si>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</si>
  <si>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</si>
  <si>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</si>
  <si>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</si>
  <si>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</si>
  <si>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</si>
  <si>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</si>
  <si>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</si>
  <si>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</si>
  <si>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</si>
  <si>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</si>
  <si>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</si>
  <si>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</si>
  <si>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</si>
  <si>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</si>
  <si>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</si>
  <si>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</si>
  <si>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</si>
  <si>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</si>
  <si>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</si>
  <si>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</si>
  <si>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</si>
  <si>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</si>
  <si>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</si>
  <si>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</si>
  <si>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</si>
  <si>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</si>
  <si>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</si>
  <si>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</si>
  <si>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</si>
  <si>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</si>
  <si>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</si>
  <si>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</si>
  <si>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</si>
  <si>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</si>
  <si>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</si>
  <si>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</si>
  <si>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</si>
  <si>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</si>
  <si>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</si>
  <si>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</si>
  <si>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</si>
  <si>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</si>
  <si>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</si>
  <si>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</si>
  <si>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</si>
  <si>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</si>
  <si>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</si>
  <si>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</si>
  <si>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</si>
  <si>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</si>
  <si>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</si>
  <si>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</si>
  <si>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</si>
  <si>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</si>
  <si>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</si>
  <si>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</si>
  <si>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</si>
  <si>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</si>
  <si>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</si>
  <si>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</si>
  <si>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</si>
  <si>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</si>
  <si>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</si>
  <si>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</si>
  <si>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</si>
  <si>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</si>
  <si>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</si>
  <si>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</si>
  <si>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</si>
  <si>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</si>
  <si>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</si>
  <si>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</si>
  <si>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</si>
  <si>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</si>
  <si>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</si>
  <si>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</si>
  <si>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</si>
  <si>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</si>
  <si>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</si>
  <si>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</si>
  <si>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</si>
  <si>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</si>
  <si>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</si>
  <si>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</si>
  <si>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</si>
  <si>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</si>
  <si>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</si>
  <si>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</si>
  <si>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</si>
  <si>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</si>
  <si>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</si>
  <si>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</si>
  <si>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</si>
  <si>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</si>
  <si>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</si>
  <si>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</si>
  <si>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</si>
  <si>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</si>
  <si>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</si>
  <si>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</si>
  <si>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</si>
  <si>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</si>
  <si>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</si>
  <si>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</si>
  <si>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</si>
  <si>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</si>
  <si>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</si>
  <si>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</si>
  <si>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</si>
  <si>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</si>
  <si>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</si>
  <si>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</si>
  <si>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</si>
  <si>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</si>
  <si>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</si>
  <si>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</si>
  <si>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</si>
  <si>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</si>
  <si>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</si>
  <si>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</si>
  <si>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</si>
  <si>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</si>
  <si>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</si>
  <si>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</si>
  <si>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</si>
  <si>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</si>
  <si>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</si>
  <si>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</si>
  <si>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</si>
  <si>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</si>
  <si>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</si>
  <si>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</si>
  <si>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</si>
  <si>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</si>
  <si>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</si>
  <si>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</si>
  <si>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</si>
  <si>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</si>
  <si>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</si>
  <si>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</si>
  <si>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</si>
  <si>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</si>
  <si>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</si>
  <si>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</si>
  <si>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</si>
  <si>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</si>
  <si>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</si>
  <si>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</si>
  <si>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</si>
  <si>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</si>
  <si>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</si>
  <si>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</si>
  <si>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</si>
  <si>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</si>
  <si>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</si>
  <si>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</si>
  <si>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</si>
  <si>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</si>
  <si>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</si>
  <si>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</si>
  <si>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</si>
  <si>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</si>
  <si>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</si>
  <si>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</si>
  <si>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</si>
  <si>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</si>
  <si>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</si>
  <si>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</si>
  <si>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</si>
  <si>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</si>
  <si>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</si>
  <si>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</si>
  <si>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</si>
  <si>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</si>
  <si>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</si>
  <si>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</si>
  <si>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</si>
  <si>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</si>
  <si>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</si>
  <si>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</si>
  <si>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</si>
  <si>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</si>
  <si>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</si>
  <si>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</si>
  <si>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</si>
  <si>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</si>
  <si>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</si>
  <si>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</si>
  <si>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</si>
  <si>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</si>
  <si>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</si>
  <si>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</si>
  <si>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</si>
  <si>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</si>
  <si>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</si>
  <si>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</si>
  <si>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</si>
  <si>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</si>
  <si>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</si>
  <si>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</si>
  <si>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</si>
  <si>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</si>
  <si>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</si>
  <si>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</si>
  <si>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</si>
  <si>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</si>
  <si>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</si>
  <si>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</si>
  <si>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</si>
  <si>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</si>
  <si>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</si>
  <si>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</si>
  <si>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</si>
  <si>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</si>
  <si>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</si>
  <si>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</si>
  <si>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</si>
  <si>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</si>
  <si>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</si>
  <si>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</si>
  <si>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</si>
  <si>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</si>
  <si>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</si>
  <si>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</si>
  <si>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</si>
  <si>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</si>
  <si>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</si>
  <si>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</si>
  <si>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</si>
  <si>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</si>
  <si>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</si>
  <si>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</si>
  <si>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</si>
  <si>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</si>
  <si>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</si>
  <si>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</si>
  <si>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</si>
  <si>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</si>
  <si>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</si>
  <si>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</si>
  <si>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</si>
  <si>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</si>
  <si>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</si>
  <si>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</si>
  <si>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</si>
  <si>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</si>
  <si>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</si>
  <si>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</si>
  <si>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</si>
  <si>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</si>
  <si>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</si>
  <si>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</si>
  <si>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</si>
  <si>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</si>
  <si>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</si>
  <si>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</si>
  <si>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</si>
  <si>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</si>
  <si>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</si>
  <si>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</si>
  <si>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</si>
  <si>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</si>
  <si>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</si>
  <si>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</si>
  <si>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</si>
  <si>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</si>
  <si>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</si>
  <si>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</si>
  <si>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</si>
  <si>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</si>
  <si>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</si>
  <si>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</si>
  <si>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</si>
  <si>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</si>
  <si>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</si>
  <si>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</si>
  <si>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</si>
  <si>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</si>
  <si>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</si>
  <si>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</si>
  <si>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</si>
  <si>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</si>
  <si>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</si>
  <si>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</si>
  <si>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</si>
  <si>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</si>
  <si>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</si>
  <si>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</si>
  <si>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</si>
  <si>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</si>
  <si>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</si>
  <si>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</si>
  <si>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</si>
  <si>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</si>
  <si>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</si>
  <si>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</si>
  <si>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</si>
  <si>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</si>
  <si>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</si>
  <si>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</si>
  <si>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</si>
  <si>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</si>
  <si>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</si>
  <si>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</si>
  <si>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</si>
  <si>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</si>
  <si>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</si>
  <si>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</si>
  <si>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</si>
  <si>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</si>
  <si>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</si>
  <si>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</si>
  <si>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</si>
  <si>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</si>
  <si>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</si>
  <si>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</si>
  <si>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</si>
  <si>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</si>
  <si>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</si>
  <si>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</si>
  <si>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</si>
  <si>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</si>
  <si>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</si>
  <si>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</si>
  <si>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</si>
  <si>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</si>
  <si>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</si>
  <si>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</si>
  <si>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</si>
  <si>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</si>
  <si>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</si>
  <si>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</si>
  <si>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</si>
  <si>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</si>
  <si>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</si>
  <si>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</si>
  <si>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</si>
  <si>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</si>
  <si>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</si>
  <si>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</si>
  <si>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</si>
  <si>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</si>
  <si>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</si>
  <si>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</si>
  <si>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</si>
  <si>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</si>
  <si>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</si>
  <si>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</si>
  <si>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</si>
  <si>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</si>
  <si>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</si>
  <si>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</si>
  <si>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</si>
  <si>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</si>
  <si>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</si>
  <si>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</si>
  <si>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</si>
  <si>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</si>
  <si>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</si>
  <si>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</si>
  <si>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</si>
  <si>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</si>
  <si>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</si>
  <si>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</si>
  <si>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</si>
  <si>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</si>
  <si>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</si>
  <si>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</si>
  <si>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</si>
  <si>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</si>
  <si>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</si>
  <si>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</si>
  <si>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</si>
  <si>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</si>
  <si>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</si>
  <si>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</si>
  <si>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</si>
  <si>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</si>
  <si>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</si>
  <si>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</si>
  <si>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</si>
  <si>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</si>
  <si>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</si>
  <si>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</si>
  <si>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</si>
  <si>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</si>
  <si>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</si>
  <si>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</si>
  <si>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</si>
  <si>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</si>
  <si>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</si>
  <si>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</si>
  <si>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</si>
  <si>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</si>
  <si>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</si>
  <si>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</si>
  <si>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</si>
  <si>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</si>
  <si>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</si>
  <si>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</si>
  <si>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</si>
  <si>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</si>
  <si>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</si>
  <si>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</si>
  <si>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</si>
  <si>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</si>
  <si>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</si>
  <si>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</si>
  <si>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</si>
  <si>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</si>
  <si>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</si>
  <si>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</si>
  <si>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</si>
  <si>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</si>
  <si>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</si>
  <si>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</si>
  <si>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</si>
  <si>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</si>
  <si>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</si>
  <si>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</si>
  <si>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</si>
  <si>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</si>
  <si>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</si>
  <si>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</si>
  <si>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</si>
  <si>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</si>
  <si>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</si>
  <si>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</si>
  <si>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</si>
  <si>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</si>
  <si>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</si>
  <si>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</si>
  <si>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</si>
  <si>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</si>
  <si>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</si>
  <si>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</si>
  <si>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</si>
  <si>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</si>
  <si>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</si>
  <si>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</si>
  <si>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</si>
  <si>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</si>
  <si>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</si>
  <si>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</si>
  <si>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</si>
  <si>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</si>
  <si>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</si>
  <si>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</si>
  <si>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</si>
  <si>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</si>
  <si>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</si>
  <si>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</si>
  <si>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</si>
  <si>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</si>
  <si>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</si>
  <si>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</si>
  <si>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</si>
  <si>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</si>
  <si>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</si>
  <si>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</si>
  <si>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</si>
  <si>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</si>
  <si>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</si>
  <si>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</si>
  <si>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</si>
  <si>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</si>
  <si>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</si>
  <si>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</si>
  <si>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</si>
  <si>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</si>
  <si>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</si>
  <si>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</si>
  <si>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</si>
  <si>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</si>
  <si>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</si>
  <si>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</si>
  <si>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</si>
  <si>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</si>
  <si>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</si>
  <si>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</si>
  <si>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</si>
  <si>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</si>
  <si>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</si>
  <si>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</si>
  <si>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</si>
  <si>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</si>
  <si>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</si>
  <si>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</si>
  <si>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</si>
  <si>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</si>
  <si>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</si>
  <si>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</si>
  <si>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</si>
  <si>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</si>
  <si>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</si>
  <si>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</si>
  <si>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</si>
  <si>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</si>
  <si>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</si>
  <si>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</si>
  <si>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</si>
  <si>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</si>
  <si>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</si>
  <si>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</si>
  <si>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</si>
  <si>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</si>
  <si>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</si>
  <si>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</si>
  <si>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</si>
  <si>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</si>
  <si>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</si>
  <si>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</si>
  <si>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</si>
  <si>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</si>
  <si>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</si>
  <si>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</si>
  <si>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</si>
  <si>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</si>
  <si>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</si>
  <si>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</si>
  <si>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</si>
  <si>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</si>
  <si>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</si>
  <si>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</si>
  <si>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</si>
  <si>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</si>
  <si>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</si>
  <si>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</si>
  <si>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</si>
  <si>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</si>
  <si>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</si>
  <si>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</si>
  <si>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</si>
  <si>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</si>
  <si>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</si>
  <si>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</si>
  <si>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</si>
  <si>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</si>
  <si>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</si>
  <si>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</si>
  <si>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</si>
  <si>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</si>
  <si>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</si>
  <si>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</si>
  <si>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</si>
  <si>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</si>
  <si>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</si>
  <si>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</si>
  <si>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</si>
  <si>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</si>
  <si>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</si>
  <si>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</si>
  <si>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</si>
  <si>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</si>
  <si>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</si>
  <si>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</si>
  <si>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</si>
  <si>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</si>
  <si>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</si>
  <si>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</si>
  <si>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</si>
  <si>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</si>
  <si>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</si>
  <si>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</si>
  <si>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</si>
  <si>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</si>
  <si>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</si>
  <si>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</si>
  <si>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</si>
  <si>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</si>
  <si>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</si>
  <si>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</si>
  <si>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</si>
  <si>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</si>
  <si>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</si>
  <si>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</si>
  <si>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</si>
  <si>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</si>
  <si>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</si>
  <si>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</si>
  <si>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</si>
  <si>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</si>
  <si>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</si>
  <si>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</si>
  <si>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</si>
  <si>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</si>
  <si>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</si>
  <si>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</si>
  <si>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</si>
  <si>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</si>
  <si>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</si>
  <si>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</si>
  <si>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</si>
  <si>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</si>
  <si>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</si>
  <si>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</si>
  <si>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</si>
  <si>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</si>
  <si>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</si>
  <si>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</si>
  <si>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</si>
  <si>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</si>
  <si>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</si>
  <si>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</si>
  <si>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</si>
  <si>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</si>
  <si>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</si>
  <si>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</si>
  <si>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</si>
  <si>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</si>
  <si>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</si>
  <si>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</si>
  <si>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</si>
  <si>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</si>
  <si>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</si>
  <si>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</si>
  <si>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</si>
  <si>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</si>
  <si>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</si>
  <si>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</si>
  <si>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</si>
  <si>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</si>
  <si>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</si>
  <si>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</si>
  <si>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</si>
  <si>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</si>
  <si>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</si>
  <si>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</si>
  <si>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</si>
  <si>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</si>
  <si>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</si>
  <si>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</si>
  <si>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</si>
  <si>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</si>
  <si>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</si>
  <si>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</si>
  <si>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</si>
  <si>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</si>
  <si>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</si>
  <si>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</si>
  <si>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</si>
  <si>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</si>
  <si>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</si>
  <si>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</si>
  <si>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</si>
  <si>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</si>
  <si>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</si>
  <si>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</si>
  <si>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</si>
  <si>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</si>
  <si>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</si>
  <si>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</si>
  <si>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</si>
  <si>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</si>
  <si>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</si>
  <si>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</si>
  <si>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</si>
  <si>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</si>
  <si>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</si>
  <si>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</si>
  <si>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</si>
  <si>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</si>
  <si>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</si>
  <si>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</si>
  <si>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</si>
  <si>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</si>
  <si>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</si>
  <si>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</si>
  <si>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</si>
  <si>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</si>
  <si>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</si>
  <si>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</si>
  <si>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</si>
  <si>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</si>
  <si>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</si>
  <si>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</si>
  <si>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</si>
  <si>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</si>
  <si>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</si>
  <si>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</si>
  <si>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</si>
  <si>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</si>
  <si>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</si>
  <si>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</si>
  <si>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</si>
  <si>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</si>
  <si>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</si>
  <si>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</si>
  <si>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</si>
  <si>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</si>
  <si>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</si>
  <si>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</si>
  <si>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</si>
  <si>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</si>
  <si>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</si>
  <si>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</si>
  <si>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</si>
  <si>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</si>
  <si>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</si>
  <si>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</si>
  <si>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</si>
  <si>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</si>
  <si>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</si>
  <si>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</si>
  <si>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</si>
  <si>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</si>
  <si>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</si>
  <si>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</si>
  <si>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</si>
  <si>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</si>
  <si>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</si>
  <si>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</si>
  <si>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</si>
  <si>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</si>
  <si>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</si>
  <si>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</si>
  <si>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</si>
  <si>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</si>
  <si>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</si>
  <si>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</si>
  <si>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</si>
  <si>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</si>
  <si>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</si>
  <si>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</si>
  <si>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</si>
  <si>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</si>
  <si>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</si>
  <si>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</si>
  <si>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</si>
  <si>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</si>
  <si>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</si>
  <si>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</si>
  <si>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</si>
  <si>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</si>
  <si>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</si>
  <si>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</si>
  <si>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</si>
  <si>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</si>
  <si>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</si>
  <si>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</si>
  <si>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</si>
  <si>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</si>
  <si>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</si>
  <si>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</si>
  <si>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</si>
  <si>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</si>
  <si>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</si>
  <si>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</si>
  <si>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</si>
  <si>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</si>
  <si>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</si>
  <si>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</si>
  <si>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</si>
  <si>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</si>
  <si>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</si>
  <si>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</si>
  <si>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</si>
  <si>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</si>
  <si>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</si>
  <si>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</si>
  <si>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</si>
  <si>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</si>
  <si>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</si>
  <si>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</si>
  <si>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</si>
  <si>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</si>
  <si>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</si>
  <si>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</si>
  <si>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</si>
  <si>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</si>
  <si>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</si>
  <si>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</si>
  <si>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</si>
  <si>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</si>
  <si>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</si>
  <si>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</si>
  <si>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</si>
  <si>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</si>
  <si>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</si>
  <si>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</si>
  <si>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</si>
  <si>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</si>
  <si>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</si>
  <si>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</si>
  <si>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</si>
  <si>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</si>
  <si>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</si>
  <si>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</si>
  <si>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</si>
  <si>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</si>
  <si>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</si>
  <si>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</si>
  <si>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</si>
  <si>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</si>
  <si>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</si>
  <si>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</si>
  <si>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</si>
  <si>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</si>
  <si>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</si>
  <si>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</si>
  <si>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</si>
  <si>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</si>
  <si>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</si>
  <si>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</si>
  <si>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</si>
  <si>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</si>
  <si>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</si>
  <si>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</si>
  <si>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</si>
  <si>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</si>
  <si>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</si>
  <si>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</si>
  <si>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</si>
  <si>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</si>
  <si>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</si>
  <si>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</si>
  <si>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</si>
  <si>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</si>
  <si>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</si>
  <si>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</si>
  <si>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</si>
  <si>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</si>
  <si>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</si>
  <si>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</si>
  <si>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</si>
  <si>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</si>
  <si>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</si>
  <si>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</si>
  <si>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</si>
  <si>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</si>
  <si>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</si>
  <si>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</si>
  <si>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</si>
  <si>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</si>
  <si>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</si>
  <si>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</si>
  <si>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</si>
  <si>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</si>
  <si>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</si>
  <si>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</si>
  <si>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</si>
  <si>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</si>
  <si>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</si>
  <si>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</si>
  <si>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</si>
  <si>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</si>
  <si>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</si>
  <si>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</si>
  <si>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</si>
  <si>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</si>
  <si>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</si>
  <si>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</si>
  <si>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</si>
  <si>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</si>
  <si>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</si>
  <si>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</si>
  <si>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</si>
  <si>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</si>
  <si>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</si>
  <si>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</si>
  <si>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</si>
  <si>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</si>
  <si>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</si>
  <si>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</si>
  <si>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</si>
  <si>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</si>
  <si>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</si>
  <si>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</si>
  <si>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</si>
  <si>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</si>
  <si>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</si>
  <si>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</si>
  <si>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</si>
  <si>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</si>
  <si>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</si>
  <si>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</si>
  <si>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</si>
  <si>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</si>
  <si>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</si>
  <si>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</si>
  <si>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</si>
  <si>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</si>
  <si>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</si>
  <si>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</si>
  <si>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</si>
  <si>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</si>
  <si>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</si>
  <si>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</si>
  <si>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</si>
  <si>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</si>
  <si>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</si>
  <si>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</si>
  <si>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</si>
  <si>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</si>
  <si>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</si>
  <si>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</si>
  <si>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</si>
  <si>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</si>
  <si>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</si>
  <si>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</si>
  <si>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</si>
  <si>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</si>
  <si>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</si>
  <si>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</si>
  <si>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</si>
  <si>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</si>
  <si>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</si>
  <si>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</si>
  <si>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</si>
  <si>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</si>
  <si>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</si>
  <si>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</si>
  <si>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</si>
  <si>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</si>
  <si>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</si>
  <si>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</si>
  <si>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</si>
  <si>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</si>
  <si>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</si>
  <si>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</si>
  <si>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</si>
  <si>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</si>
  <si>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</si>
  <si>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</si>
  <si>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</si>
  <si>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</si>
  <si>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</si>
  <si>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</si>
  <si>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</si>
  <si>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</si>
  <si>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</si>
  <si>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</si>
  <si>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</si>
  <si>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</si>
  <si>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</si>
  <si>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</si>
  <si>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</si>
  <si>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</si>
  <si>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</si>
  <si>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</si>
  <si>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</si>
  <si>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</si>
  <si>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</si>
  <si>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</si>
  <si>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</si>
  <si>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</si>
  <si>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</si>
  <si>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</si>
  <si>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</si>
  <si>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</si>
  <si>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</si>
  <si>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</si>
  <si>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</si>
  <si>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</si>
  <si>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</si>
  <si>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</si>
  <si>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</si>
  <si>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</si>
  <si>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</si>
  <si>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</si>
  <si>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</si>
  <si>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</si>
  <si>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</si>
  <si>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</si>
  <si>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</si>
  <si>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</si>
  <si>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</si>
  <si>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</si>
  <si>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</si>
  <si>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</si>
  <si>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</si>
  <si>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</si>
  <si>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</si>
  <si>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</si>
  <si>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</si>
  <si>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</si>
  <si>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</si>
  <si>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</si>
  <si>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</si>
  <si>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</si>
  <si>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</si>
  <si>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</si>
  <si>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</si>
  <si>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</si>
  <si>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</si>
  <si>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</si>
  <si>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</si>
  <si>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</si>
  <si>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</si>
  <si>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</si>
  <si>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</si>
  <si>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</si>
  <si>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</si>
  <si>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</si>
  <si>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</si>
  <si>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</si>
  <si>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</si>
  <si>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</si>
  <si>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</si>
  <si>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</si>
  <si>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</si>
  <si>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</si>
  <si>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</si>
  <si>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</si>
  <si>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</si>
  <si>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</si>
  <si>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</si>
  <si>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</si>
  <si>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</si>
  <si>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</si>
  <si>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</si>
  <si>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</si>
  <si>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</si>
  <si>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</si>
  <si>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</si>
  <si>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</si>
  <si>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</si>
  <si>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</si>
  <si>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</si>
  <si>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</si>
  <si>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</si>
  <si>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</si>
  <si>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</si>
  <si>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</si>
  <si>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</si>
  <si>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</si>
  <si>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</si>
  <si>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</si>
  <si>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</si>
  <si>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</si>
  <si>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</si>
  <si>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</si>
  <si>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</si>
  <si>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</si>
  <si>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</si>
  <si>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</si>
  <si>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</si>
  <si>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</si>
  <si>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</si>
  <si>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</si>
  <si>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</si>
  <si>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</si>
  <si>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</si>
  <si>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</si>
  <si>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</si>
  <si>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</si>
  <si>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</si>
  <si>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</si>
  <si>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</si>
  <si>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</si>
  <si>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</si>
  <si>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</si>
  <si>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</si>
  <si>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</si>
  <si>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</si>
  <si>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</si>
  <si>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</si>
  <si>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</si>
  <si>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</si>
  <si>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</si>
  <si>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</si>
  <si>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</si>
  <si>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</si>
  <si>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</si>
  <si>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</si>
  <si>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</si>
  <si>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</si>
  <si>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</si>
  <si>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</si>
  <si>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</si>
  <si>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</si>
  <si>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</si>
  <si>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</si>
  <si>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</si>
  <si>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</si>
  <si>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</si>
  <si>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</si>
  <si>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</si>
  <si>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</si>
  <si>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</si>
  <si>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</si>
  <si>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</si>
  <si>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</si>
  <si>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</si>
  <si>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</si>
  <si>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</si>
  <si>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</si>
  <si>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</si>
  <si>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</si>
  <si>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</si>
  <si>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</si>
  <si>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</si>
  <si>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</si>
  <si>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</si>
  <si>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</si>
  <si>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</si>
  <si>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</si>
  <si>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</si>
  <si>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</si>
  <si>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</si>
  <si>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</si>
  <si>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</si>
  <si>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</si>
  <si>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</si>
  <si>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</si>
  <si>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</si>
  <si>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</si>
  <si>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</si>
  <si>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</si>
  <si>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</si>
  <si>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</si>
  <si>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</si>
  <si>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</si>
  <si>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</si>
  <si>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</si>
  <si>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</si>
  <si>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</si>
  <si>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</si>
  <si>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</si>
  <si>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</si>
  <si>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</si>
  <si>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</si>
  <si>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</si>
  <si>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</si>
  <si>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</si>
  <si>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</si>
  <si>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</si>
  <si>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</si>
  <si>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</si>
  <si>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</si>
  <si>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</si>
  <si>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</si>
  <si>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</si>
  <si>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</si>
  <si>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</si>
  <si>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</si>
  <si>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</si>
  <si>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</si>
  <si>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</si>
  <si>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</si>
  <si>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</si>
  <si>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</si>
  <si>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</si>
  <si>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</si>
  <si>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</si>
  <si>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</si>
  <si>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</si>
  <si>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</si>
  <si>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</si>
  <si>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</si>
  <si>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</si>
  <si>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</si>
  <si>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</si>
  <si>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</si>
  <si>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</si>
  <si>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</si>
  <si>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</si>
  <si>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</si>
  <si>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</si>
  <si>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</si>
  <si>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</si>
  <si>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</si>
  <si>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</si>
  <si>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</si>
  <si>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</si>
  <si>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</si>
  <si>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</si>
  <si>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</si>
  <si>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</si>
  <si>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</si>
  <si>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</si>
  <si>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</si>
  <si>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</si>
  <si>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</si>
  <si>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</si>
  <si>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</si>
  <si>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</si>
  <si>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</si>
  <si>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</si>
  <si>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</si>
  <si>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</si>
  <si>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</si>
  <si>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</si>
  <si>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</si>
  <si>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</si>
  <si>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</si>
  <si>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</si>
  <si>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</si>
  <si>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</si>
  <si>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</si>
  <si>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</si>
  <si>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</si>
  <si>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</si>
  <si>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</si>
  <si>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</si>
  <si>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</si>
  <si>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</si>
  <si>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</si>
  <si>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</si>
  <si>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</si>
  <si>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</si>
  <si>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</si>
  <si>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</si>
  <si>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</si>
  <si>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</si>
  <si>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</si>
  <si>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</si>
  <si>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</si>
  <si>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</si>
  <si>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</si>
  <si>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</si>
  <si>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</si>
  <si>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</si>
  <si>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</si>
  <si>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</si>
  <si>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</si>
  <si>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</si>
  <si>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</si>
  <si>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</si>
  <si>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</si>
  <si>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</si>
  <si>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</si>
  <si>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</si>
  <si>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</si>
  <si>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</si>
  <si>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</si>
  <si>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</si>
  <si>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</si>
  <si>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</si>
  <si>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</si>
  <si>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</si>
  <si>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</si>
  <si>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</si>
  <si>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</si>
  <si>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</si>
  <si>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</si>
  <si>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</si>
  <si>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</si>
  <si>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</si>
  <si>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</si>
  <si>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</si>
  <si>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</si>
  <si>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</si>
  <si>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</si>
  <si>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</si>
  <si>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</si>
  <si>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</si>
  <si>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</si>
  <si>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</si>
  <si>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</si>
  <si>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</si>
  <si>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</si>
  <si>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</si>
  <si>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</si>
  <si>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</si>
  <si>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</si>
  <si>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</si>
  <si>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</si>
  <si>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</si>
  <si>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</si>
  <si>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</si>
  <si>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</si>
  <si>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</si>
  <si>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</si>
  <si>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</si>
  <si>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</si>
  <si>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</si>
  <si>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</si>
  <si>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</si>
  <si>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</si>
  <si>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</si>
  <si>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</si>
  <si>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</si>
  <si>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</si>
  <si>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</si>
  <si>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</si>
  <si>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</si>
  <si>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</si>
  <si>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</si>
  <si>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</si>
  <si>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</si>
  <si>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</si>
  <si>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</si>
  <si>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</si>
  <si>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</si>
  <si>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</si>
  <si>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</si>
  <si>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</si>
  <si>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</si>
  <si>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</si>
  <si>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</si>
  <si>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</si>
  <si>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</si>
  <si>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</si>
  <si>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</si>
  <si>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</si>
  <si>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</si>
  <si>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</si>
  <si>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</si>
  <si>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</si>
  <si>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</si>
  <si>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</si>
  <si>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</si>
  <si>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</si>
  <si>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</si>
  <si>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</si>
  <si>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</si>
  <si>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</si>
  <si>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</si>
  <si>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</si>
  <si>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</si>
  <si>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</si>
  <si>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</si>
  <si>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</si>
  <si>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</si>
  <si>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</si>
  <si>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</si>
  <si>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</si>
  <si>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</si>
  <si>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</si>
  <si>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</si>
  <si>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</si>
  <si>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</si>
  <si>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</si>
  <si>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</si>
  <si>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</si>
  <si>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</si>
  <si>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</si>
  <si>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</si>
  <si>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</si>
  <si>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</si>
  <si>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</si>
  <si>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</si>
  <si>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</si>
  <si>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</si>
  <si>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</si>
  <si>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</si>
  <si>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</si>
  <si>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</si>
  <si>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</si>
  <si>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</si>
  <si>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</si>
  <si>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</si>
  <si>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</si>
  <si>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</si>
  <si>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</si>
  <si>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</si>
  <si>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</si>
  <si>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</si>
  <si>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</si>
  <si>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</si>
  <si>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</si>
  <si>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</si>
  <si>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</si>
  <si>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</si>
  <si>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</si>
  <si>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</si>
  <si>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</si>
  <si>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</si>
  <si>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</si>
  <si>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</si>
  <si>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</si>
  <si>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</si>
  <si>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</si>
  <si>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</si>
  <si>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</si>
  <si>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</si>
  <si>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</si>
  <si>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</si>
  <si>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</si>
  <si>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</si>
  <si>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</si>
  <si>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</si>
  <si>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</si>
  <si>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</si>
  <si>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</si>
  <si>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</si>
  <si>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</si>
  <si>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</si>
  <si>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</si>
  <si>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</si>
  <si>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</si>
  <si>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</si>
  <si>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</si>
  <si>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</si>
  <si>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</si>
  <si>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</si>
  <si>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</si>
  <si>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</si>
  <si>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</si>
  <si>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</si>
  <si>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</si>
  <si>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</si>
  <si>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</si>
  <si>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</si>
  <si>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</si>
  <si>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</si>
  <si>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</si>
  <si>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</si>
  <si>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</si>
  <si>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</si>
  <si>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</si>
  <si>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</si>
  <si>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</si>
  <si>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</si>
  <si>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</si>
  <si>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</si>
  <si>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</si>
  <si>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</si>
  <si>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</si>
  <si>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</si>
  <si>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</si>
  <si>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</si>
  <si>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</si>
  <si>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</si>
  <si>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</si>
  <si>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</si>
  <si>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</si>
  <si>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</si>
  <si>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</si>
  <si>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</si>
  <si>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</si>
  <si>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</si>
  <si>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</si>
  <si>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</si>
  <si>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</si>
  <si>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</si>
  <si>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</si>
  <si>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</si>
  <si>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</si>
  <si>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</si>
  <si>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</si>
  <si>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</si>
  <si>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</si>
  <si>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</si>
  <si>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</si>
  <si>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</si>
  <si>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</si>
  <si>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</si>
  <si>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</si>
  <si>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</si>
  <si>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</si>
  <si>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</si>
  <si>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</si>
  <si>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</si>
  <si>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</si>
  <si>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</si>
  <si>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</si>
  <si>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</si>
  <si>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</si>
  <si>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</si>
  <si>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</si>
  <si>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</si>
  <si>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</si>
  <si>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</si>
  <si>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</si>
  <si>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</si>
  <si>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</si>
  <si>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</si>
  <si>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</si>
  <si>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</si>
  <si>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</si>
  <si>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</si>
  <si>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</si>
  <si>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</si>
  <si>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</si>
  <si>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</si>
  <si>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</si>
  <si>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</si>
  <si>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</si>
  <si>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</si>
  <si>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</si>
  <si>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</si>
  <si>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</si>
  <si>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</si>
  <si>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</si>
  <si>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</si>
  <si>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</si>
  <si>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</si>
  <si>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</si>
  <si>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</si>
  <si>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</si>
  <si>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</si>
  <si>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</si>
  <si>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</si>
  <si>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</si>
  <si>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</si>
  <si>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</si>
  <si>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</si>
  <si>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</si>
  <si>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</si>
  <si>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</si>
  <si>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</si>
  <si>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</si>
  <si>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</si>
  <si>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</si>
  <si>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</si>
  <si>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</si>
  <si>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</si>
  <si>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</si>
  <si>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</si>
  <si>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</si>
  <si>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</si>
  <si>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</si>
  <si>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</si>
  <si>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</si>
  <si>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</si>
  <si>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</si>
  <si>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</si>
  <si>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</si>
  <si>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</si>
  <si>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</si>
  <si>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</si>
  <si>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</si>
  <si>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</si>
  <si>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</si>
  <si>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</si>
  <si>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</si>
  <si>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</si>
  <si>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</si>
  <si>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</si>
  <si>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</si>
  <si>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</si>
  <si>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</si>
  <si>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</si>
  <si>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</si>
  <si>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</si>
  <si>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</si>
  <si>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</si>
  <si>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</si>
  <si>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</si>
  <si>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</si>
  <si>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</si>
  <si>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</si>
  <si>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</si>
  <si>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</si>
  <si>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</si>
  <si>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</si>
  <si>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</si>
  <si>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</si>
  <si>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</si>
  <si>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</si>
  <si>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</si>
  <si>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</si>
  <si>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</si>
  <si>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</si>
  <si>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</si>
  <si>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</si>
  <si>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</si>
  <si>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</si>
  <si>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</si>
  <si>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</si>
  <si>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</si>
  <si>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</si>
  <si>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</si>
  <si>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CA Department of Public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</si>
</sst>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topLeftCell="A37" zoomScale="70" zoomScaleNormal="70" workbookViewId="0">
      <selection activeCell="J78" sqref="J78"/>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756</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30483845</v>
      </c>
      <c r="K15" s="42"/>
      <c r="M15" s="105">
        <v>30483845</v>
      </c>
      <c r="P15" s="105">
        <v>30483845</v>
      </c>
      <c r="S15" s="43">
        <f>M15-P15</f>
        <v>0</v>
      </c>
      <c r="T15" s="44" t="s">
        <v>1634</v>
      </c>
    </row>
    <row r="16" spans="1:25" ht="16.5" customHeight="1" x14ac:dyDescent="0.2">
      <c r="A16" s="45"/>
      <c r="B16" s="181" t="s">
        <v>1582</v>
      </c>
      <c r="C16" s="181"/>
      <c r="D16" s="181"/>
      <c r="E16" s="181"/>
      <c r="F16" s="181"/>
      <c r="G16" s="181"/>
      <c r="H16" s="181"/>
      <c r="I16" s="181"/>
      <c r="J16" s="41">
        <f>ROUND(P16,0)</f>
        <v>3895628</v>
      </c>
      <c r="K16" s="42"/>
      <c r="M16" s="105"/>
      <c r="P16" s="46">
        <f>IF(SUM($Q$18:$Q$19)&gt;$P$15,SUM($Q$18:$Q$19)-$P$15,0)</f>
        <v>3895628</v>
      </c>
      <c r="S16" s="43">
        <f>M16-P16</f>
        <v>-3895628</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10308705</v>
      </c>
      <c r="N18" s="105">
        <v>10308705</v>
      </c>
      <c r="Q18" s="105">
        <v>10308705</v>
      </c>
      <c r="S18" s="43">
        <f>N18-Q18</f>
        <v>0</v>
      </c>
      <c r="T18" s="47" t="s">
        <v>1635</v>
      </c>
    </row>
    <row r="19" spans="1:25" ht="16.5" customHeight="1" x14ac:dyDescent="0.25">
      <c r="A19" s="45"/>
      <c r="B19" s="49"/>
      <c r="C19" s="181" t="s">
        <v>1618</v>
      </c>
      <c r="D19" s="181"/>
      <c r="E19" s="181"/>
      <c r="F19" s="181"/>
      <c r="G19" s="181"/>
      <c r="H19" s="181"/>
      <c r="I19" s="181"/>
      <c r="J19" s="42"/>
      <c r="K19" s="41">
        <f>ROUND(N19,0)</f>
        <v>24070768</v>
      </c>
      <c r="N19" s="105">
        <v>24070768</v>
      </c>
      <c r="Q19" s="105">
        <v>24070768</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34379473</v>
      </c>
      <c r="K22" s="51">
        <f>ROUND(SUM(K18:K21),0)</f>
        <v>34379473</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2544240</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2544240</v>
      </c>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2544240</v>
      </c>
      <c r="K31" s="51">
        <f>ROUND(SUM(K28:K30),2)</f>
        <v>2544240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2544240</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2544240</v>
      </c>
      <c r="K35" s="68"/>
    </row>
    <row r="36" spans="1:20" ht="16.5" customHeight="1" x14ac:dyDescent="0.2">
      <c r="A36" s="45"/>
      <c r="B36" s="69"/>
      <c r="C36" s="181" t="s">
        <v>1575</v>
      </c>
      <c r="D36" s="181"/>
      <c r="E36" s="181"/>
      <c r="F36" s="181"/>
      <c r="G36" s="181"/>
      <c r="H36" s="181"/>
      <c r="I36" s="181"/>
      <c r="J36" s="68"/>
      <c r="K36" s="105">
        <v>2544240</v>
      </c>
    </row>
    <row r="37" spans="1:20" ht="16.5" customHeight="1" x14ac:dyDescent="0.2">
      <c r="A37" s="45"/>
      <c r="C37" s="181" t="s">
        <v>1618</v>
      </c>
      <c r="D37" s="181"/>
      <c r="E37" s="181"/>
      <c r="F37" s="181"/>
      <c r="G37" s="181"/>
      <c r="H37" s="181"/>
      <c r="I37" s="181"/>
      <c r="J37" s="68"/>
      <c r="K37" s="105">
        <v>2544240</v>
      </c>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5088480</v>
      </c>
      <c r="K39" s="51">
        <f>ROUND(SUM(K36:K38),2)</f>
        <v>5088480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10641801</v>
      </c>
      <c r="K45" s="78"/>
    </row>
    <row r="46" spans="1:20" ht="16.5" customHeight="1" x14ac:dyDescent="0.2">
      <c r="A46" s="45"/>
      <c r="B46" s="69"/>
      <c r="C46" s="181" t="s">
        <v>1581</v>
      </c>
      <c r="D46" s="181"/>
      <c r="E46" s="181"/>
      <c r="F46" s="181"/>
      <c r="G46" s="181"/>
      <c r="H46" s="181"/>
      <c r="I46" s="181"/>
      <c r="J46" s="68"/>
      <c r="K46" s="105">
        <f>J45</f>
        <v>10641801</v>
      </c>
    </row>
    <row r="47" spans="1:20" ht="16.5" customHeight="1" x14ac:dyDescent="0.2">
      <c r="A47" s="65"/>
      <c r="B47" s="50"/>
      <c r="C47" s="50"/>
      <c r="D47" s="50"/>
      <c r="E47" s="50"/>
      <c r="F47" s="50"/>
      <c r="G47" s="50"/>
      <c r="H47" s="50"/>
      <c r="I47" s="50"/>
      <c r="J47" s="79">
        <f>ROUND(SUM(J45:J45),2)</f>
        <v>10641801</v>
      </c>
      <c r="K47" s="79">
        <f>ROUND(SUM(K46),2)</f>
        <v>10641801</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11194888</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498441</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11693329</v>
      </c>
    </row>
    <row r="53" spans="1:20" ht="16.5" customHeight="1" x14ac:dyDescent="0.2">
      <c r="A53" s="65"/>
      <c r="B53" s="50"/>
      <c r="C53" s="50"/>
      <c r="D53" s="50"/>
      <c r="E53" s="50"/>
      <c r="F53" s="50"/>
      <c r="G53" s="50"/>
      <c r="H53" s="50"/>
      <c r="I53" s="50"/>
      <c r="J53" s="79">
        <f>ROUND(SUM(J50:J51),2)</f>
        <v>11693329</v>
      </c>
      <c r="K53" s="79">
        <f>ROUND(SUM(K52,),2)</f>
        <v>11693329</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11194888</v>
      </c>
      <c r="K56" s="68"/>
    </row>
    <row r="57" spans="1:20" ht="16.5" customHeight="1" x14ac:dyDescent="0.25">
      <c r="A57" s="45"/>
      <c r="B57" s="49"/>
      <c r="C57" s="181" t="s">
        <v>1607</v>
      </c>
      <c r="D57" s="181"/>
      <c r="E57" s="181"/>
      <c r="F57" s="181"/>
      <c r="G57" s="181"/>
      <c r="H57" s="181"/>
      <c r="I57" s="181"/>
      <c r="J57" s="68"/>
      <c r="K57" s="105">
        <f>J50</f>
        <v>11194888</v>
      </c>
      <c r="L57" s="27" t="str">
        <f>IF($J$50=$K$57,"","&lt;- Accts 0848 must agree")</f>
        <v/>
      </c>
    </row>
    <row r="58" spans="1:20" ht="16.5" customHeight="1" x14ac:dyDescent="0.2">
      <c r="A58" s="65"/>
      <c r="B58" s="50"/>
      <c r="C58" s="50"/>
      <c r="D58" s="50"/>
      <c r="E58" s="50"/>
      <c r="F58" s="50"/>
      <c r="G58" s="50"/>
      <c r="H58" s="50"/>
      <c r="I58" s="50"/>
      <c r="J58" s="79">
        <f>ROUND(SUM(J56:J56),2)</f>
        <v>11194888</v>
      </c>
      <c r="K58" s="79">
        <f>ROUND(SUM(K57),2)</f>
        <v>11194888</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5606365</v>
      </c>
      <c r="K61" s="78"/>
    </row>
    <row r="62" spans="1:20" ht="16.5" customHeight="1" x14ac:dyDescent="0.25">
      <c r="A62" s="45"/>
      <c r="B62" s="49"/>
      <c r="C62" s="181" t="s">
        <v>1616</v>
      </c>
      <c r="D62" s="181"/>
      <c r="E62" s="181"/>
      <c r="F62" s="181"/>
      <c r="G62" s="181"/>
      <c r="H62" s="181"/>
      <c r="I62" s="181"/>
      <c r="J62" s="78"/>
      <c r="K62" s="105">
        <f>J61</f>
        <v>5606365</v>
      </c>
    </row>
    <row r="63" spans="1:20" ht="16.5" customHeight="1" x14ac:dyDescent="0.2">
      <c r="A63" s="45"/>
      <c r="B63" s="176" t="s">
        <v>1615</v>
      </c>
      <c r="C63" s="176"/>
      <c r="D63" s="176"/>
      <c r="E63" s="176"/>
      <c r="F63" s="176"/>
      <c r="G63" s="176"/>
      <c r="H63" s="176"/>
      <c r="I63" s="176"/>
      <c r="J63" s="79">
        <f>ROUND(SUM(J61:J61),2)</f>
        <v>5606365</v>
      </c>
      <c r="K63" s="79">
        <f>ROUND(SUM(K62),2)</f>
        <v>5606365</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v>9254145</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9254145</v>
      </c>
    </row>
    <row r="70" spans="1:20" ht="16.5" customHeight="1" x14ac:dyDescent="0.2">
      <c r="B70" s="50"/>
      <c r="H70" s="27"/>
      <c r="J70" s="51">
        <f>SUM(J68)</f>
        <v>9254145</v>
      </c>
      <c r="K70" s="51">
        <f>SUM(K69)</f>
        <v>9254145</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23773940</v>
      </c>
      <c r="N94" s="104"/>
    </row>
    <row r="95" spans="1:20" ht="16.5" customHeight="1" x14ac:dyDescent="0.25">
      <c r="D95" s="49" t="s">
        <v>1631</v>
      </c>
      <c r="E95" s="100"/>
      <c r="F95" s="100"/>
      <c r="G95" s="100"/>
      <c r="H95" s="27"/>
      <c r="I95" s="100"/>
      <c r="J95" s="100"/>
      <c r="K95" s="103">
        <f>-K18-K46+J68+J77</f>
        <v>-11696361</v>
      </c>
      <c r="N95" s="102"/>
    </row>
    <row r="96" spans="1:20" ht="16.5" customHeight="1" x14ac:dyDescent="0.25">
      <c r="D96" s="49" t="s">
        <v>1629</v>
      </c>
      <c r="E96" s="100"/>
      <c r="F96" s="100"/>
      <c r="G96" s="100"/>
      <c r="H96" s="27"/>
      <c r="I96" s="100"/>
      <c r="J96" s="100"/>
      <c r="K96" s="103">
        <f>-K19-K37+J56+J61+J76-K85</f>
        <v>-9813755</v>
      </c>
    </row>
    <row r="97" spans="1:11" ht="16.5" customHeight="1" x14ac:dyDescent="0.25">
      <c r="D97" s="49" t="s">
        <v>1630</v>
      </c>
      <c r="E97" s="100"/>
      <c r="F97" s="100"/>
      <c r="G97" s="100"/>
      <c r="H97" s="27"/>
      <c r="I97" s="100"/>
      <c r="J97" s="100"/>
      <c r="K97" s="103">
        <f>-K62</f>
        <v>-5606365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2jrhGuUCoT1jQiWRi0UTLtBK6QjMazcwsD+TgXg/s2UjEQjT+6psWunIX2texwIUNXQ1Fr6H7bF1dzgj+9kG5Q==" saltValue="VZuTFCXuiRY++cgoGYmtq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30"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9"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72899-079A-4687-A10C-C911C938B1AA}">
  <sheetPr>
    <tabColor rgb="FF92D050"/>
    <pageSetUpPr fitToPage="1"/>
  </sheetPr>
  <dimension ref="A1:XFC115"/>
  <sheetViews>
    <sheetView topLeftCell="A26" zoomScale="70" zoomScaleNormal="70" workbookViewId="0">
      <selection activeCell="S90" sqref="S90"/>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756</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99</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0</v>
      </c>
      <c r="K15" s="42"/>
      <c r="M15" s="105"/>
      <c r="P15" s="105"/>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0</v>
      </c>
      <c r="N18" s="105"/>
      <c r="Q18" s="105"/>
      <c r="S18" s="43">
        <f>N18-Q18</f>
        <v>0</v>
      </c>
      <c r="T18" s="47" t="s">
        <v>1635</v>
      </c>
    </row>
    <row r="19" spans="1:25" ht="16.5" customHeight="1" x14ac:dyDescent="0.25">
      <c r="A19" s="45"/>
      <c r="B19" s="49"/>
      <c r="C19" s="181" t="s">
        <v>1618</v>
      </c>
      <c r="D19" s="181"/>
      <c r="E19" s="181"/>
      <c r="F19" s="181"/>
      <c r="G19" s="181"/>
      <c r="H19" s="181"/>
      <c r="I19" s="181"/>
      <c r="J19" s="42"/>
      <c r="K19" s="41">
        <f>ROUND(N19,0)</f>
        <v>0</v>
      </c>
      <c r="N19" s="105"/>
      <c r="Q19" s="105"/>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0</v>
      </c>
      <c r="K22" s="51">
        <f>ROUND(SUM(K18:K21),0)</f>
        <v>0</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117237.6811373791</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117237.6811373791</v>
      </c>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117237.68</v>
      </c>
      <c r="K31" s="51">
        <f>ROUND(SUM(K28:K30),2)</f>
        <v>117237.68</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117237.6811373791</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117237.6811373791</v>
      </c>
      <c r="K35" s="68"/>
    </row>
    <row r="36" spans="1:20" ht="16.5" customHeight="1" x14ac:dyDescent="0.2">
      <c r="A36" s="45"/>
      <c r="B36" s="69"/>
      <c r="C36" s="181" t="s">
        <v>1575</v>
      </c>
      <c r="D36" s="181"/>
      <c r="E36" s="181"/>
      <c r="F36" s="181"/>
      <c r="G36" s="181"/>
      <c r="H36" s="181"/>
      <c r="I36" s="181"/>
      <c r="J36" s="68"/>
      <c r="K36" s="105">
        <v>117237.6811373791</v>
      </c>
    </row>
    <row r="37" spans="1:20" ht="16.5" customHeight="1" x14ac:dyDescent="0.2">
      <c r="A37" s="45"/>
      <c r="C37" s="181" t="s">
        <v>1618</v>
      </c>
      <c r="D37" s="181"/>
      <c r="E37" s="181"/>
      <c r="F37" s="181"/>
      <c r="G37" s="181"/>
      <c r="H37" s="181"/>
      <c r="I37" s="181"/>
      <c r="J37" s="68"/>
      <c r="K37" s="105">
        <v>117237.6811373791</v>
      </c>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234475.36</v>
      </c>
      <c r="K39" s="51">
        <f>ROUND(SUM(K36:K38),2)</f>
        <v>234475.36</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19539.613522896518</v>
      </c>
      <c r="K45" s="78"/>
    </row>
    <row r="46" spans="1:20" ht="16.5" customHeight="1" x14ac:dyDescent="0.2">
      <c r="A46" s="45"/>
      <c r="B46" s="69"/>
      <c r="C46" s="181" t="s">
        <v>1581</v>
      </c>
      <c r="D46" s="181"/>
      <c r="E46" s="181"/>
      <c r="F46" s="181"/>
      <c r="G46" s="181"/>
      <c r="H46" s="181"/>
      <c r="I46" s="181"/>
      <c r="J46" s="68"/>
      <c r="K46" s="105">
        <f>J45</f>
        <v>19539.613522896518</v>
      </c>
    </row>
    <row r="47" spans="1:20" ht="16.5" customHeight="1" x14ac:dyDescent="0.2">
      <c r="A47" s="65"/>
      <c r="B47" s="50"/>
      <c r="C47" s="50"/>
      <c r="D47" s="50"/>
      <c r="E47" s="50"/>
      <c r="F47" s="50"/>
      <c r="G47" s="50"/>
      <c r="H47" s="50"/>
      <c r="I47" s="50"/>
      <c r="J47" s="79">
        <f>ROUND(SUM(J45:J45),2)</f>
        <v>19539.61</v>
      </c>
      <c r="K47" s="79">
        <f>ROUND(SUM(K46),2)</f>
        <v>19539.61</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18903.616008093475</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1438.3639919065245</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20341.98</v>
      </c>
    </row>
    <row r="53" spans="1:20" ht="16.5" customHeight="1" x14ac:dyDescent="0.2">
      <c r="A53" s="65"/>
      <c r="B53" s="50"/>
      <c r="C53" s="50"/>
      <c r="D53" s="50"/>
      <c r="E53" s="50"/>
      <c r="F53" s="50"/>
      <c r="G53" s="50"/>
      <c r="H53" s="50"/>
      <c r="I53" s="50"/>
      <c r="J53" s="79">
        <f>ROUND(SUM(J50:J51),2)</f>
        <v>20341.98</v>
      </c>
      <c r="K53" s="79">
        <f>ROUND(SUM(K52,),2)</f>
        <v>20341.98</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18903.616008093475</v>
      </c>
      <c r="K56" s="68"/>
    </row>
    <row r="57" spans="1:20" ht="16.5" customHeight="1" x14ac:dyDescent="0.25">
      <c r="A57" s="45"/>
      <c r="B57" s="49"/>
      <c r="C57" s="181" t="s">
        <v>1607</v>
      </c>
      <c r="D57" s="181"/>
      <c r="E57" s="181"/>
      <c r="F57" s="181"/>
      <c r="G57" s="181"/>
      <c r="H57" s="181"/>
      <c r="I57" s="181"/>
      <c r="J57" s="68"/>
      <c r="K57" s="105">
        <f>J50</f>
        <v>18903.616008093475</v>
      </c>
      <c r="L57" s="27" t="str">
        <f>IF($J$50=$K$57,"","&lt;- Accts 0848 must agree")</f>
        <v/>
      </c>
    </row>
    <row r="58" spans="1:20" ht="16.5" customHeight="1" x14ac:dyDescent="0.2">
      <c r="A58" s="65"/>
      <c r="B58" s="50"/>
      <c r="C58" s="50"/>
      <c r="D58" s="50"/>
      <c r="E58" s="50"/>
      <c r="F58" s="50"/>
      <c r="G58" s="50"/>
      <c r="H58" s="50"/>
      <c r="I58" s="50"/>
      <c r="J58" s="79">
        <f>ROUND(SUM(J56:J56),2)</f>
        <v>18903.62</v>
      </c>
      <c r="K58" s="79">
        <f>ROUND(SUM(K57),2)</f>
        <v>18903.62</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38560.382588808745</v>
      </c>
      <c r="K61" s="78"/>
    </row>
    <row r="62" spans="1:20" ht="16.5" customHeight="1" x14ac:dyDescent="0.25">
      <c r="A62" s="45"/>
      <c r="B62" s="49"/>
      <c r="C62" s="181" t="s">
        <v>1616</v>
      </c>
      <c r="D62" s="181"/>
      <c r="E62" s="181"/>
      <c r="F62" s="181"/>
      <c r="G62" s="181"/>
      <c r="H62" s="181"/>
      <c r="I62" s="181"/>
      <c r="J62" s="78"/>
      <c r="K62" s="105">
        <f>J61</f>
        <v>38560.382588808745</v>
      </c>
    </row>
    <row r="63" spans="1:20" ht="16.5" customHeight="1" x14ac:dyDescent="0.2">
      <c r="A63" s="45"/>
      <c r="B63" s="176" t="s">
        <v>1615</v>
      </c>
      <c r="C63" s="176"/>
      <c r="D63" s="176"/>
      <c r="E63" s="176"/>
      <c r="F63" s="176"/>
      <c r="G63" s="176"/>
      <c r="H63" s="176"/>
      <c r="I63" s="176"/>
      <c r="J63" s="79">
        <f>ROUND(SUM(J61:J61),2)</f>
        <v>38560.379999999997</v>
      </c>
      <c r="K63" s="79">
        <f>ROUND(SUM(K62),2)</f>
        <v>38560.379999999997</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117237.6811373791</v>
      </c>
      <c r="N94" s="104"/>
    </row>
    <row r="95" spans="1:20" ht="16.5" customHeight="1" x14ac:dyDescent="0.25">
      <c r="D95" s="49" t="s">
        <v>1631</v>
      </c>
      <c r="E95" s="100"/>
      <c r="F95" s="100"/>
      <c r="G95" s="100"/>
      <c r="H95" s="27"/>
      <c r="I95" s="100"/>
      <c r="J95" s="100"/>
      <c r="K95" s="103">
        <f>-K18-K46+J68+J77</f>
        <v>-19539.613522896518</v>
      </c>
      <c r="N95" s="102"/>
    </row>
    <row r="96" spans="1:20" ht="16.5" customHeight="1" x14ac:dyDescent="0.25">
      <c r="D96" s="49" t="s">
        <v>1629</v>
      </c>
      <c r="E96" s="100"/>
      <c r="F96" s="100"/>
      <c r="G96" s="100"/>
      <c r="H96" s="27"/>
      <c r="I96" s="100"/>
      <c r="J96" s="100"/>
      <c r="K96" s="103">
        <f>-K19-K37+J56+J61+J76-K85</f>
        <v>-59773.682540476875</v>
      </c>
    </row>
    <row r="97" spans="1:11" ht="16.5" customHeight="1" x14ac:dyDescent="0.25">
      <c r="D97" s="49" t="s">
        <v>1630</v>
      </c>
      <c r="E97" s="100"/>
      <c r="F97" s="100"/>
      <c r="G97" s="100"/>
      <c r="H97" s="27"/>
      <c r="I97" s="100"/>
      <c r="J97" s="100"/>
      <c r="K97" s="103">
        <f>-K62</f>
        <v>-38560.382588808745</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b6J7N1v9jGILi6f8FXl/B5FmtI4ziSn4ZhwRwVtKHISBao9alzeDAfq/aXLZrEDK0dMEaJfr4n0dPnIOiELNNA==" saltValue="yh5d0Dq9jg3KDX+cXnqkyQ=="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8"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7"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4F938D4D-6386-40E4-BD7D-3AD8BD4ACDF8}">
      <formula1>0</formula1>
    </dataValidation>
    <dataValidation type="whole" operator="greaterThanOrEqual" allowBlank="1" showErrorMessage="1" errorTitle="Whole Numbers Only" error="Enter amounts as whole numbers only." promptTitle="Whole Numbers" prompt="Enter whole numbers only." sqref="J15:J17 K18:K21" xr:uid="{6ACEDB05-1645-4E43-931A-62FD87CA8F01}">
      <formula1>0</formula1>
    </dataValidation>
    <dataValidation type="textLength" operator="equal" allowBlank="1" showInputMessage="1" showErrorMessage="1" errorTitle="4-Digit Org Code" error="Enter the Org Code/BU as 4 digits." sqref="F5" xr:uid="{2374F033-66ED-4209-B14D-AB383A7EEFA4}">
      <formula1>4</formula1>
    </dataValidation>
    <dataValidation type="textLength" operator="lessThan" allowBlank="1" showInputMessage="1" showErrorMessage="1" sqref="E11 A6:A8" xr:uid="{5A2CC9F7-7A2B-4829-B559-8DACC8AE648D}">
      <formula1>0</formula1>
    </dataValidation>
    <dataValidation operator="lessThan" allowBlank="1" showInputMessage="1" showErrorMessage="1" sqref="A3:A5 A7:A8 A11" xr:uid="{9B6D804D-04C4-46FA-852D-B47420339D6C}"/>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B41AD21-AF40-441A-A86C-28A5FC25F59F}">
          <x14:formula1>
            <xm:f>'Drop Down Menus'!$B$1:$B$3</xm:f>
          </x14:formula1>
          <xm:sqref>F7</xm:sqref>
        </x14:dataValidation>
        <x14:dataValidation type="list" allowBlank="1" showInputMessage="1" showErrorMessage="1" xr:uid="{33ECC30F-0AC0-4CFA-BF1A-2C4C80167616}">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FF866-DBE4-4609-81C9-49EF15DA5D17}">
  <sheetPr>
    <tabColor rgb="FF92D050"/>
    <pageSetUpPr fitToPage="1"/>
  </sheetPr>
  <dimension ref="A1:XFC115"/>
  <sheetViews>
    <sheetView topLeftCell="A10" zoomScale="70" zoomScaleNormal="70" workbookViewId="0">
      <selection activeCell="J61" sqref="J61"/>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756</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203</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113837</v>
      </c>
      <c r="K15" s="42"/>
      <c r="M15" s="105">
        <v>113837</v>
      </c>
      <c r="P15" s="105">
        <v>113837</v>
      </c>
      <c r="S15" s="43">
        <f>M15-P15</f>
        <v>0</v>
      </c>
      <c r="T15" s="44" t="s">
        <v>1634</v>
      </c>
    </row>
    <row r="16" spans="1:25" ht="16.5" customHeight="1" x14ac:dyDescent="0.2">
      <c r="A16" s="45"/>
      <c r="B16" s="181" t="s">
        <v>1582</v>
      </c>
      <c r="C16" s="181"/>
      <c r="D16" s="181"/>
      <c r="E16" s="181"/>
      <c r="F16" s="181"/>
      <c r="G16" s="181"/>
      <c r="H16" s="181"/>
      <c r="I16" s="181"/>
      <c r="J16" s="41">
        <f>ROUND(P16,0)</f>
        <v>14956</v>
      </c>
      <c r="K16" s="42"/>
      <c r="M16" s="105"/>
      <c r="P16" s="46">
        <f>IF(SUM($Q$18:$Q$19)&gt;$P$15,SUM($Q$18:$Q$19)-$P$15,0)</f>
        <v>14956</v>
      </c>
      <c r="S16" s="43">
        <f>M16-P16</f>
        <v>-14956</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48761</v>
      </c>
      <c r="N18" s="105">
        <v>48761</v>
      </c>
      <c r="Q18" s="105">
        <v>48761</v>
      </c>
      <c r="S18" s="43">
        <f>N18-Q18</f>
        <v>0</v>
      </c>
      <c r="T18" s="47" t="s">
        <v>1635</v>
      </c>
    </row>
    <row r="19" spans="1:25" ht="16.5" customHeight="1" x14ac:dyDescent="0.25">
      <c r="A19" s="45"/>
      <c r="B19" s="49"/>
      <c r="C19" s="181" t="s">
        <v>1618</v>
      </c>
      <c r="D19" s="181"/>
      <c r="E19" s="181"/>
      <c r="F19" s="181"/>
      <c r="G19" s="181"/>
      <c r="H19" s="181"/>
      <c r="I19" s="181"/>
      <c r="J19" s="42"/>
      <c r="K19" s="41">
        <f>ROUND(N19,0)</f>
        <v>80032</v>
      </c>
      <c r="N19" s="105">
        <v>80032</v>
      </c>
      <c r="Q19" s="105">
        <v>80032</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128793</v>
      </c>
      <c r="K22" s="51">
        <f>ROUND(SUM(K18:K21),0)</f>
        <v>128793</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682064</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682064</v>
      </c>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682064</v>
      </c>
      <c r="K31" s="51">
        <f>ROUND(SUM(K28:K30),2)</f>
        <v>682064</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682064</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682064</v>
      </c>
      <c r="K35" s="68"/>
    </row>
    <row r="36" spans="1:20" ht="16.5" customHeight="1" x14ac:dyDescent="0.2">
      <c r="A36" s="45"/>
      <c r="B36" s="69"/>
      <c r="C36" s="181" t="s">
        <v>1575</v>
      </c>
      <c r="D36" s="181"/>
      <c r="E36" s="181"/>
      <c r="F36" s="181"/>
      <c r="G36" s="181"/>
      <c r="H36" s="181"/>
      <c r="I36" s="181"/>
      <c r="J36" s="68"/>
      <c r="K36" s="105">
        <v>682064</v>
      </c>
    </row>
    <row r="37" spans="1:20" ht="16.5" customHeight="1" x14ac:dyDescent="0.2">
      <c r="A37" s="45"/>
      <c r="C37" s="181" t="s">
        <v>1618</v>
      </c>
      <c r="D37" s="181"/>
      <c r="E37" s="181"/>
      <c r="F37" s="181"/>
      <c r="G37" s="181"/>
      <c r="H37" s="181"/>
      <c r="I37" s="181"/>
      <c r="J37" s="68"/>
      <c r="K37" s="105">
        <v>682064</v>
      </c>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1364128</v>
      </c>
      <c r="K39" s="51">
        <f>ROUND(SUM(K36:K38),2)</f>
        <v>1364128</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267022</v>
      </c>
      <c r="K45" s="78"/>
    </row>
    <row r="46" spans="1:20" ht="16.5" customHeight="1" x14ac:dyDescent="0.2">
      <c r="A46" s="45"/>
      <c r="B46" s="69"/>
      <c r="C46" s="181" t="s">
        <v>1581</v>
      </c>
      <c r="D46" s="181"/>
      <c r="E46" s="181"/>
      <c r="F46" s="181"/>
      <c r="G46" s="181"/>
      <c r="H46" s="181"/>
      <c r="I46" s="181"/>
      <c r="J46" s="68"/>
      <c r="K46" s="105">
        <f>J45</f>
        <v>267022</v>
      </c>
    </row>
    <row r="47" spans="1:20" ht="16.5" customHeight="1" x14ac:dyDescent="0.2">
      <c r="A47" s="65"/>
      <c r="B47" s="50"/>
      <c r="C47" s="50"/>
      <c r="D47" s="50"/>
      <c r="E47" s="50"/>
      <c r="F47" s="50"/>
      <c r="G47" s="50"/>
      <c r="H47" s="50"/>
      <c r="I47" s="50"/>
      <c r="J47" s="79">
        <f>ROUND(SUM(J45:J45),2)</f>
        <v>267022</v>
      </c>
      <c r="K47" s="79">
        <f>ROUND(SUM(K46),2)</f>
        <v>267022</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248837.8952</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11825.8748</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260663.77</v>
      </c>
    </row>
    <row r="53" spans="1:20" ht="16.5" customHeight="1" x14ac:dyDescent="0.2">
      <c r="A53" s="65"/>
      <c r="B53" s="50"/>
      <c r="C53" s="50"/>
      <c r="D53" s="50"/>
      <c r="E53" s="50"/>
      <c r="F53" s="50"/>
      <c r="G53" s="50"/>
      <c r="H53" s="50"/>
      <c r="I53" s="50"/>
      <c r="J53" s="79">
        <f>ROUND(SUM(J50:J51),2)</f>
        <v>260663.77</v>
      </c>
      <c r="K53" s="79">
        <f>ROUND(SUM(K52,),2)</f>
        <v>260663.77</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248837.8952</v>
      </c>
      <c r="K56" s="68"/>
    </row>
    <row r="57" spans="1:20" ht="16.5" customHeight="1" x14ac:dyDescent="0.25">
      <c r="A57" s="45"/>
      <c r="B57" s="49"/>
      <c r="C57" s="181" t="s">
        <v>1607</v>
      </c>
      <c r="D57" s="181"/>
      <c r="E57" s="181"/>
      <c r="F57" s="181"/>
      <c r="G57" s="181"/>
      <c r="H57" s="181"/>
      <c r="I57" s="181"/>
      <c r="J57" s="68"/>
      <c r="K57" s="105">
        <f>J50</f>
        <v>248837.8952</v>
      </c>
      <c r="L57" s="27" t="str">
        <f>IF($J$50=$K$57,"","&lt;- Accts 0848 must agree")</f>
        <v/>
      </c>
    </row>
    <row r="58" spans="1:20" ht="16.5" customHeight="1" x14ac:dyDescent="0.2">
      <c r="A58" s="65"/>
      <c r="B58" s="50"/>
      <c r="C58" s="50"/>
      <c r="D58" s="50"/>
      <c r="E58" s="50"/>
      <c r="F58" s="50"/>
      <c r="G58" s="50"/>
      <c r="H58" s="50"/>
      <c r="I58" s="50"/>
      <c r="J58" s="79">
        <f>ROUND(SUM(J56:J56),2)</f>
        <v>248837.9</v>
      </c>
      <c r="K58" s="79">
        <f>ROUND(SUM(K57),2)</f>
        <v>248837.9</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364293.62609999999</v>
      </c>
      <c r="K61" s="78"/>
    </row>
    <row r="62" spans="1:20" ht="16.5" customHeight="1" x14ac:dyDescent="0.25">
      <c r="A62" s="45"/>
      <c r="B62" s="49"/>
      <c r="C62" s="181" t="s">
        <v>1616</v>
      </c>
      <c r="D62" s="181"/>
      <c r="E62" s="181"/>
      <c r="F62" s="181"/>
      <c r="G62" s="181"/>
      <c r="H62" s="181"/>
      <c r="I62" s="181"/>
      <c r="J62" s="78"/>
      <c r="K62" s="105">
        <f>J61</f>
        <v>364293.62609999999</v>
      </c>
    </row>
    <row r="63" spans="1:20" ht="16.5" customHeight="1" x14ac:dyDescent="0.2">
      <c r="A63" s="45"/>
      <c r="B63" s="176" t="s">
        <v>1615</v>
      </c>
      <c r="C63" s="176"/>
      <c r="D63" s="176"/>
      <c r="E63" s="176"/>
      <c r="F63" s="176"/>
      <c r="G63" s="176"/>
      <c r="H63" s="176"/>
      <c r="I63" s="176"/>
      <c r="J63" s="79">
        <f>ROUND(SUM(J61:J61),2)</f>
        <v>364293.63</v>
      </c>
      <c r="K63" s="79">
        <f>ROUND(SUM(K62),2)</f>
        <v>364293.63</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795901</v>
      </c>
      <c r="N94" s="104"/>
    </row>
    <row r="95" spans="1:20" ht="16.5" customHeight="1" x14ac:dyDescent="0.25">
      <c r="D95" s="49" t="s">
        <v>1631</v>
      </c>
      <c r="E95" s="100"/>
      <c r="F95" s="100"/>
      <c r="G95" s="100"/>
      <c r="H95" s="27"/>
      <c r="I95" s="100"/>
      <c r="J95" s="100"/>
      <c r="K95" s="103">
        <f>-K18-K46+J68+J77</f>
        <v>-315783</v>
      </c>
      <c r="N95" s="102"/>
    </row>
    <row r="96" spans="1:20" ht="16.5" customHeight="1" x14ac:dyDescent="0.25">
      <c r="D96" s="49" t="s">
        <v>1629</v>
      </c>
      <c r="E96" s="100"/>
      <c r="F96" s="100"/>
      <c r="G96" s="100"/>
      <c r="H96" s="27"/>
      <c r="I96" s="100"/>
      <c r="J96" s="100"/>
      <c r="K96" s="103">
        <f>-K19-K37+J56+J61+J76-K85</f>
        <v>-148964.47869999998</v>
      </c>
    </row>
    <row r="97" spans="1:11" ht="16.5" customHeight="1" x14ac:dyDescent="0.25">
      <c r="D97" s="49" t="s">
        <v>1630</v>
      </c>
      <c r="E97" s="100"/>
      <c r="F97" s="100"/>
      <c r="G97" s="100"/>
      <c r="H97" s="27"/>
      <c r="I97" s="100"/>
      <c r="J97" s="100"/>
      <c r="K97" s="103">
        <f>-K62</f>
        <v>-364293.62609999999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O0s4sBzNCfJTtkCuRfZOWaCReA0LrYrRr5MClX/LM/F5zZYWIdy9+zPM4UICbmZ7z6qLarnW7Rsg3zGED1C9dA==" saltValue="J3TIbhFuForz5FgkSkxMRQ=="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6"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5" priority="2" operator="equal">
      <formula>"&lt;- Debits and Credits do not equal each other."</formula>
    </cfRule>
  </conditionalFormatting>
  <dataValidations count="5">
    <dataValidation operator="lessThan" allowBlank="1" showInputMessage="1" showErrorMessage="1" sqref="A3:A5 A7:A8 A11" xr:uid="{B3B5B627-9B40-4991-949E-B3060B3311C9}"/>
    <dataValidation type="textLength" operator="lessThan" allowBlank="1" showInputMessage="1" showErrorMessage="1" sqref="E11 A6:A8" xr:uid="{7B825BB2-CB70-4E7F-94D0-EEE833DA9026}">
      <formula1>0</formula1>
    </dataValidation>
    <dataValidation type="textLength" operator="equal" allowBlank="1" showInputMessage="1" showErrorMessage="1" errorTitle="4-Digit Org Code" error="Enter the Org Code/BU as 4 digits." sqref="F5" xr:uid="{8DA55180-7A45-49A3-922D-DDF8151B2674}">
      <formula1>4</formula1>
    </dataValidation>
    <dataValidation type="whole" operator="greaterThanOrEqual" allowBlank="1" showErrorMessage="1" errorTitle="Whole Numbers Only" error="Enter amounts as whole numbers only." promptTitle="Whole Numbers" prompt="Enter whole numbers only." sqref="J15:J17 K18:K21" xr:uid="{3D08BB27-8F54-4ADB-8D8D-879D97E9EC05}">
      <formula1>0</formula1>
    </dataValidation>
    <dataValidation type="whole" operator="greaterThanOrEqual" allowBlank="1" showInputMessage="1" showErrorMessage="1" sqref="M15:M17 N18:N21 P15 Q18:Q19 J28 K85 K29:K30 J34:J35 J45 K46 J50:J51 K52 J56 K57 J61 K62 J68 K69 J76:J78 K79:K80 J84 K36:K38" xr:uid="{442E6C0E-C16A-418F-BDFD-4E28D77B54BE}">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883AB99-7B6A-4900-B806-9CC57FD887DF}">
          <x14:formula1>
            <xm:f>'Drop Down Menus'!$A$1:$A$101</xm:f>
          </x14:formula1>
          <xm:sqref>F3</xm:sqref>
        </x14:dataValidation>
        <x14:dataValidation type="list" allowBlank="1" showInputMessage="1" showErrorMessage="1" xr:uid="{CC0AB7CC-36F8-4D28-9A49-D3074279860C}">
          <x14:formula1>
            <xm:f>'Drop Down Menus'!$B$1:$B$3</xm:f>
          </x14:formula1>
          <xm:sqref>F7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62741-2FE0-4678-9818-E2CC540B99AF}">
  <sheetPr>
    <tabColor rgb="FF92D050"/>
    <pageSetUpPr fitToPage="1"/>
  </sheetPr>
  <dimension ref="A1:XFC115"/>
  <sheetViews>
    <sheetView topLeftCell="A34" zoomScale="70" zoomScaleNormal="70" workbookViewId="0">
      <selection activeCell="B77" sqref="B77:I7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756</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367</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0</v>
      </c>
      <c r="K15" s="42"/>
      <c r="M15" s="105"/>
      <c r="P15" s="105"/>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0</v>
      </c>
      <c r="N18" s="105"/>
      <c r="Q18" s="105"/>
      <c r="S18" s="43">
        <f>N18-Q18</f>
        <v>0</v>
      </c>
      <c r="T18" s="47" t="s">
        <v>1635</v>
      </c>
    </row>
    <row r="19" spans="1:25" ht="16.5" customHeight="1" x14ac:dyDescent="0.25">
      <c r="A19" s="45"/>
      <c r="B19" s="49"/>
      <c r="C19" s="181" t="s">
        <v>1618</v>
      </c>
      <c r="D19" s="181"/>
      <c r="E19" s="181"/>
      <c r="F19" s="181"/>
      <c r="G19" s="181"/>
      <c r="H19" s="181"/>
      <c r="I19" s="181"/>
      <c r="J19" s="42"/>
      <c r="K19" s="41">
        <f>ROUND(N19,0)</f>
        <v>0</v>
      </c>
      <c r="N19" s="105"/>
      <c r="Q19" s="105"/>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0</v>
      </c>
      <c r="K22" s="51">
        <f>ROUND(SUM(K18:K21),0)</f>
        <v>0</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v>346000.89465533762</v>
      </c>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v>346000.89465533762</v>
      </c>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346000.89</v>
      </c>
      <c r="K31" s="51">
        <f>ROUND(SUM(K28:K30),2)</f>
        <v>346000.89</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v>346000.89465533762</v>
      </c>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v>346000.89465533762</v>
      </c>
      <c r="K35" s="68"/>
    </row>
    <row r="36" spans="1:20" ht="16.5" customHeight="1" x14ac:dyDescent="0.2">
      <c r="A36" s="45"/>
      <c r="B36" s="69"/>
      <c r="C36" s="181" t="s">
        <v>1575</v>
      </c>
      <c r="D36" s="181"/>
      <c r="E36" s="181"/>
      <c r="F36" s="181"/>
      <c r="G36" s="181"/>
      <c r="H36" s="181"/>
      <c r="I36" s="181"/>
      <c r="J36" s="68"/>
      <c r="K36" s="105">
        <v>346000.89465533762</v>
      </c>
    </row>
    <row r="37" spans="1:20" ht="16.5" customHeight="1" x14ac:dyDescent="0.2">
      <c r="A37" s="45"/>
      <c r="C37" s="181" t="s">
        <v>1618</v>
      </c>
      <c r="D37" s="181"/>
      <c r="E37" s="181"/>
      <c r="F37" s="181"/>
      <c r="G37" s="181"/>
      <c r="H37" s="181"/>
      <c r="I37" s="181"/>
      <c r="J37" s="68"/>
      <c r="K37" s="105">
        <v>346000.89465533762</v>
      </c>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692001.79</v>
      </c>
      <c r="K39" s="51">
        <f>ROUND(SUM(K36:K38),2)</f>
        <v>692001.79</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108743.138320249</v>
      </c>
      <c r="K45" s="78"/>
    </row>
    <row r="46" spans="1:20" ht="16.5" customHeight="1" x14ac:dyDescent="0.2">
      <c r="A46" s="45"/>
      <c r="B46" s="69"/>
      <c r="C46" s="181" t="s">
        <v>1581</v>
      </c>
      <c r="D46" s="181"/>
      <c r="E46" s="181"/>
      <c r="F46" s="181"/>
      <c r="G46" s="181"/>
      <c r="H46" s="181"/>
      <c r="I46" s="181"/>
      <c r="J46" s="68"/>
      <c r="K46" s="105">
        <f>J45</f>
        <v>108743.138320249</v>
      </c>
    </row>
    <row r="47" spans="1:20" ht="16.5" customHeight="1" x14ac:dyDescent="0.2">
      <c r="A47" s="65"/>
      <c r="B47" s="50"/>
      <c r="C47" s="50"/>
      <c r="D47" s="50"/>
      <c r="E47" s="50"/>
      <c r="F47" s="50"/>
      <c r="G47" s="50"/>
      <c r="H47" s="50"/>
      <c r="I47" s="50"/>
      <c r="J47" s="79">
        <f>ROUND(SUM(J45:J45),2)</f>
        <v>108743.14</v>
      </c>
      <c r="K47" s="79">
        <f>ROUND(SUM(K46),2)</f>
        <v>108743.14</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105900.17330092646</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7186.0966990735396</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113086.26999999999</v>
      </c>
    </row>
    <row r="53" spans="1:20" ht="16.5" customHeight="1" x14ac:dyDescent="0.2">
      <c r="A53" s="65"/>
      <c r="B53" s="50"/>
      <c r="C53" s="50"/>
      <c r="D53" s="50"/>
      <c r="E53" s="50"/>
      <c r="F53" s="50"/>
      <c r="G53" s="50"/>
      <c r="H53" s="50"/>
      <c r="I53" s="50"/>
      <c r="J53" s="79">
        <f>ROUND(SUM(J50:J51),2)</f>
        <v>113086.27</v>
      </c>
      <c r="K53" s="79">
        <f>ROUND(SUM(K52,),2)</f>
        <v>113086.27</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105900.17330092646</v>
      </c>
      <c r="K56" s="68"/>
    </row>
    <row r="57" spans="1:20" ht="16.5" customHeight="1" x14ac:dyDescent="0.25">
      <c r="A57" s="45"/>
      <c r="B57" s="49"/>
      <c r="C57" s="181" t="s">
        <v>1607</v>
      </c>
      <c r="D57" s="181"/>
      <c r="E57" s="181"/>
      <c r="F57" s="181"/>
      <c r="G57" s="181"/>
      <c r="H57" s="181"/>
      <c r="I57" s="181"/>
      <c r="J57" s="68"/>
      <c r="K57" s="105">
        <f>J50</f>
        <v>105900.17330092646</v>
      </c>
      <c r="L57" s="27" t="str">
        <f>IF($J$50=$K$57,"","&lt;- Accts 0848 must agree")</f>
        <v/>
      </c>
    </row>
    <row r="58" spans="1:20" ht="16.5" customHeight="1" x14ac:dyDescent="0.2">
      <c r="A58" s="65"/>
      <c r="B58" s="50"/>
      <c r="C58" s="50"/>
      <c r="D58" s="50"/>
      <c r="E58" s="50"/>
      <c r="F58" s="50"/>
      <c r="G58" s="50"/>
      <c r="H58" s="50"/>
      <c r="I58" s="50"/>
      <c r="J58" s="79">
        <f>ROUND(SUM(J56:J56),2)</f>
        <v>105900.17</v>
      </c>
      <c r="K58" s="79">
        <f>ROUND(SUM(K57),2)</f>
        <v>105900.17</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v>118473.51655226896</v>
      </c>
      <c r="K61" s="78"/>
    </row>
    <row r="62" spans="1:20" ht="16.5" customHeight="1" x14ac:dyDescent="0.25">
      <c r="A62" s="45"/>
      <c r="B62" s="49"/>
      <c r="C62" s="181" t="s">
        <v>1616</v>
      </c>
      <c r="D62" s="181"/>
      <c r="E62" s="181"/>
      <c r="F62" s="181"/>
      <c r="G62" s="181"/>
      <c r="H62" s="181"/>
      <c r="I62" s="181"/>
      <c r="J62" s="78"/>
      <c r="K62" s="105">
        <f>J61</f>
        <v>118473.51655226896</v>
      </c>
    </row>
    <row r="63" spans="1:20" ht="16.5" customHeight="1" x14ac:dyDescent="0.2">
      <c r="A63" s="45"/>
      <c r="B63" s="176" t="s">
        <v>1615</v>
      </c>
      <c r="C63" s="176"/>
      <c r="D63" s="176"/>
      <c r="E63" s="176"/>
      <c r="F63" s="176"/>
      <c r="G63" s="176"/>
      <c r="H63" s="176"/>
      <c r="I63" s="176"/>
      <c r="J63" s="79">
        <f>ROUND(SUM(J61:J61),2)</f>
        <v>118473.52</v>
      </c>
      <c r="K63" s="79">
        <f>ROUND(SUM(K62),2)</f>
        <v>118473.52</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346000.89465533762</v>
      </c>
      <c r="N94" s="104"/>
    </row>
    <row r="95" spans="1:20" ht="16.5" customHeight="1" x14ac:dyDescent="0.25">
      <c r="D95" s="49" t="s">
        <v>1631</v>
      </c>
      <c r="E95" s="100"/>
      <c r="F95" s="100"/>
      <c r="G95" s="100"/>
      <c r="H95" s="27"/>
      <c r="I95" s="100"/>
      <c r="J95" s="100"/>
      <c r="K95" s="103">
        <f>-K18-K46+J68+J77</f>
        <v>-108743.138320249</v>
      </c>
      <c r="N95" s="102"/>
    </row>
    <row r="96" spans="1:20" ht="16.5" customHeight="1" x14ac:dyDescent="0.25">
      <c r="D96" s="49" t="s">
        <v>1629</v>
      </c>
      <c r="E96" s="100"/>
      <c r="F96" s="100"/>
      <c r="G96" s="100"/>
      <c r="H96" s="27"/>
      <c r="I96" s="100"/>
      <c r="J96" s="100"/>
      <c r="K96" s="103">
        <f>-K19-K37+J56+J61+J76-K85</f>
        <v>-121627.20480214219</v>
      </c>
    </row>
    <row r="97" spans="1:11" ht="16.5" customHeight="1" x14ac:dyDescent="0.25">
      <c r="D97" s="49" t="s">
        <v>1630</v>
      </c>
      <c r="E97" s="100"/>
      <c r="F97" s="100"/>
      <c r="G97" s="100"/>
      <c r="H97" s="27"/>
      <c r="I97" s="100"/>
      <c r="J97" s="100"/>
      <c r="K97" s="103">
        <f>-K62</f>
        <v>-118473.51655226896</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EClBaChE/jAT7eSEeow41XkC/22O0iC1yZ55nTKqV1niA7gjHppG0rKqCvRkiqlYjnrvcVYd5veCDq4H6bG7ng==" saltValue="CbukQTzUb12MpFfPHsjsXQ=="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68F9F852-3CF8-4AEA-90D8-5B9A8E651095}">
      <formula1>0</formula1>
    </dataValidation>
    <dataValidation type="whole" operator="greaterThanOrEqual" allowBlank="1" showErrorMessage="1" errorTitle="Whole Numbers Only" error="Enter amounts as whole numbers only." promptTitle="Whole Numbers" prompt="Enter whole numbers only." sqref="J15:J17 K18:K21" xr:uid="{3C73AD69-CC15-41C7-8453-E10D6DEFA91A}">
      <formula1>0</formula1>
    </dataValidation>
    <dataValidation type="textLength" operator="equal" allowBlank="1" showInputMessage="1" showErrorMessage="1" errorTitle="4-Digit Org Code" error="Enter the Org Code/BU as 4 digits." sqref="F5" xr:uid="{6E76CC5F-F141-405A-BA26-E62387D7B7BE}">
      <formula1>4</formula1>
    </dataValidation>
    <dataValidation type="textLength" operator="lessThan" allowBlank="1" showInputMessage="1" showErrorMessage="1" sqref="E11 A6:A8" xr:uid="{2C771390-2D62-4993-9F67-99F20C200392}">
      <formula1>0</formula1>
    </dataValidation>
    <dataValidation operator="lessThan" allowBlank="1" showInputMessage="1" showErrorMessage="1" sqref="A3:A5 A7:A8 A11" xr:uid="{076DC432-64C4-4AA1-8BBF-533EAFF22733}"/>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3E861E09-48B8-479D-AD83-125E1B4761F4}">
          <x14:formula1>
            <xm:f>'Drop Down Menus'!$B$1:$B$3</xm:f>
          </x14:formula1>
          <xm:sqref>F7</xm:sqref>
        </x14:dataValidation>
        <x14:dataValidation type="list" allowBlank="1" showInputMessage="1" showErrorMessage="1" xr:uid="{68CD5420-7BFA-4348-BA13-CD830FDD288C}">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550D-22EF-466B-8DF9-A734CB75E54C}">
  <sheetPr>
    <tabColor rgb="FF92D050"/>
    <pageSetUpPr fitToPage="1"/>
  </sheetPr>
  <dimension ref="A1:XFC115"/>
  <sheetViews>
    <sheetView zoomScale="70" zoomScaleNormal="70" workbookViewId="0">
      <selection activeCell="B77" sqref="B77:I7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756</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890</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597629</v>
      </c>
      <c r="K15" s="42"/>
      <c r="M15" s="105">
        <v>597629</v>
      </c>
      <c r="P15" s="105">
        <v>597629</v>
      </c>
      <c r="S15" s="43">
        <f>M15-P15</f>
        <v>0</v>
      </c>
      <c r="T15" s="44" t="s">
        <v>1634</v>
      </c>
    </row>
    <row r="16" spans="1:25" ht="16.5" customHeight="1" x14ac:dyDescent="0.2">
      <c r="A16" s="45"/>
      <c r="B16" s="181" t="s">
        <v>1582</v>
      </c>
      <c r="C16" s="181"/>
      <c r="D16" s="181"/>
      <c r="E16" s="181"/>
      <c r="F16" s="181"/>
      <c r="G16" s="181"/>
      <c r="H16" s="181"/>
      <c r="I16" s="181"/>
      <c r="J16" s="41">
        <f>ROUND(P16,0)</f>
        <v>206418</v>
      </c>
      <c r="K16" s="42"/>
      <c r="M16" s="105">
        <v>206417</v>
      </c>
      <c r="P16" s="46">
        <f>IF(SUM($Q$18:$Q$19)&gt;$P$15,SUM($Q$18:$Q$19)-$P$15,0)</f>
        <v>206418</v>
      </c>
      <c r="S16" s="43">
        <f>M16-P16</f>
        <v>-1</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199210</v>
      </c>
      <c r="N18" s="105">
        <v>199210</v>
      </c>
      <c r="Q18" s="105">
        <v>199210</v>
      </c>
      <c r="S18" s="43">
        <f>N18-Q18</f>
        <v>0</v>
      </c>
      <c r="T18" s="47" t="s">
        <v>1635</v>
      </c>
    </row>
    <row r="19" spans="1:25" ht="16.5" customHeight="1" x14ac:dyDescent="0.25">
      <c r="A19" s="45"/>
      <c r="B19" s="49"/>
      <c r="C19" s="181" t="s">
        <v>1618</v>
      </c>
      <c r="D19" s="181"/>
      <c r="E19" s="181"/>
      <c r="F19" s="181"/>
      <c r="G19" s="181"/>
      <c r="H19" s="181"/>
      <c r="I19" s="181"/>
      <c r="J19" s="42"/>
      <c r="K19" s="41">
        <f>ROUND(N19,0)</f>
        <v>604837</v>
      </c>
      <c r="N19" s="105">
        <v>604837</v>
      </c>
      <c r="Q19" s="105">
        <v>604837</v>
      </c>
      <c r="S19" s="43">
        <f>N19-Q19</f>
        <v>0</v>
      </c>
      <c r="T19" s="47" t="s">
        <v>1635</v>
      </c>
      <c r="X19" s="18"/>
    </row>
    <row r="20" spans="1:25" ht="16.5" customHeight="1" x14ac:dyDescent="0.25">
      <c r="A20" s="45"/>
      <c r="B20" s="49"/>
      <c r="C20" s="181" t="s">
        <v>1584</v>
      </c>
      <c r="D20" s="181"/>
      <c r="E20" s="181"/>
      <c r="F20" s="181"/>
      <c r="G20" s="181"/>
      <c r="H20" s="181"/>
      <c r="I20" s="181"/>
      <c r="K20" s="41">
        <f>ROUND(Q20,0)</f>
        <v>0</v>
      </c>
      <c r="N20" s="105"/>
      <c r="Q20" s="46">
        <f>IF(SUM($Q$18:$Q$19)&lt;$P$15,-SUM($Q$18:$Q$19)+$P$15,0)</f>
        <v>0</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804047</v>
      </c>
      <c r="K22" s="51">
        <f>ROUND(SUM(K18:K21),0)</f>
        <v>804047</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398419</v>
      </c>
      <c r="K45" s="78"/>
    </row>
    <row r="46" spans="1:20" ht="16.5" customHeight="1" x14ac:dyDescent="0.2">
      <c r="A46" s="45"/>
      <c r="B46" s="69"/>
      <c r="C46" s="181" t="s">
        <v>1581</v>
      </c>
      <c r="D46" s="181"/>
      <c r="E46" s="181"/>
      <c r="F46" s="181"/>
      <c r="G46" s="181"/>
      <c r="H46" s="181"/>
      <c r="I46" s="181"/>
      <c r="J46" s="68"/>
      <c r="K46" s="105">
        <f>J45</f>
        <v>398419</v>
      </c>
    </row>
    <row r="47" spans="1:20" ht="16.5" customHeight="1" x14ac:dyDescent="0.2">
      <c r="A47" s="65"/>
      <c r="B47" s="50"/>
      <c r="C47" s="50"/>
      <c r="D47" s="50"/>
      <c r="E47" s="50"/>
      <c r="F47" s="50"/>
      <c r="G47" s="50"/>
      <c r="H47" s="50"/>
      <c r="I47" s="50"/>
      <c r="J47" s="79">
        <f>ROUND(SUM(J45:J45),2)</f>
        <v>398419</v>
      </c>
      <c r="K47" s="79">
        <f>ROUND(SUM(K46),2)</f>
        <v>398419</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604837</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v>10963</v>
      </c>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f>+J50+J51</f>
        <v>615800</v>
      </c>
    </row>
    <row r="53" spans="1:20" ht="16.5" customHeight="1" x14ac:dyDescent="0.2">
      <c r="A53" s="65"/>
      <c r="B53" s="50"/>
      <c r="C53" s="50"/>
      <c r="D53" s="50"/>
      <c r="E53" s="50"/>
      <c r="F53" s="50"/>
      <c r="G53" s="50"/>
      <c r="H53" s="50"/>
      <c r="I53" s="50"/>
      <c r="J53" s="79">
        <f>ROUND(SUM(J50:J51),2)</f>
        <v>615800</v>
      </c>
      <c r="K53" s="79">
        <f>ROUND(SUM(K52,),2)</f>
        <v>615800</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f>K57</f>
        <v>604837</v>
      </c>
      <c r="K56" s="68"/>
    </row>
    <row r="57" spans="1:20" ht="16.5" customHeight="1" x14ac:dyDescent="0.25">
      <c r="A57" s="45"/>
      <c r="B57" s="49"/>
      <c r="C57" s="181" t="s">
        <v>1607</v>
      </c>
      <c r="D57" s="181"/>
      <c r="E57" s="181"/>
      <c r="F57" s="181"/>
      <c r="G57" s="181"/>
      <c r="H57" s="181"/>
      <c r="I57" s="181"/>
      <c r="J57" s="68"/>
      <c r="K57" s="105">
        <f>J50</f>
        <v>604837</v>
      </c>
      <c r="L57" s="27" t="str">
        <f>IF($J$50=$K$57,"","&lt;- Accts 0848 must agree")</f>
        <v/>
      </c>
    </row>
    <row r="58" spans="1:20" ht="16.5" customHeight="1" x14ac:dyDescent="0.2">
      <c r="A58" s="65"/>
      <c r="B58" s="50"/>
      <c r="C58" s="50"/>
      <c r="D58" s="50"/>
      <c r="E58" s="50"/>
      <c r="F58" s="50"/>
      <c r="G58" s="50"/>
      <c r="H58" s="50"/>
      <c r="I58" s="50"/>
      <c r="J58" s="79">
        <f>ROUND(SUM(J56:J56),2)</f>
        <v>604837</v>
      </c>
      <c r="K58" s="79">
        <f>ROUND(SUM(K57),2)</f>
        <v>604837</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c r="K61" s="78"/>
    </row>
    <row r="62" spans="1:20" ht="16.5" customHeight="1" x14ac:dyDescent="0.25">
      <c r="A62" s="45"/>
      <c r="B62" s="49"/>
      <c r="C62" s="181" t="s">
        <v>1616</v>
      </c>
      <c r="D62" s="181"/>
      <c r="E62" s="181"/>
      <c r="F62" s="181"/>
      <c r="G62" s="181"/>
      <c r="H62" s="181"/>
      <c r="I62" s="181"/>
      <c r="J62" s="78"/>
      <c r="K62" s="105">
        <f>J61</f>
        <v>0</v>
      </c>
    </row>
    <row r="63" spans="1:20" ht="16.5" customHeight="1" x14ac:dyDescent="0.2">
      <c r="A63" s="45"/>
      <c r="B63" s="176" t="s">
        <v>1615</v>
      </c>
      <c r="C63" s="176"/>
      <c r="D63" s="176"/>
      <c r="E63" s="176"/>
      <c r="F63" s="176"/>
      <c r="G63" s="176"/>
      <c r="H63" s="176"/>
      <c r="I63" s="176"/>
      <c r="J63" s="79">
        <f>ROUND(SUM(J61:J61),2)</f>
        <v>0</v>
      </c>
      <c r="K63" s="79">
        <f>ROUND(SUM(K62),2)</f>
        <v>0</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v>597629</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v>597629</v>
      </c>
    </row>
    <row r="70" spans="1:20" ht="16.5" customHeight="1" x14ac:dyDescent="0.2">
      <c r="B70" s="50"/>
      <c r="H70" s="27"/>
      <c r="J70" s="51">
        <f>SUM(J68)</f>
        <v>597629</v>
      </c>
      <c r="K70" s="51">
        <f>SUM(K69)</f>
        <v>597629</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1619</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Menus'!$D$2:$G$10,3,FALSE)</f>
        <v>Dr: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0</v>
      </c>
      <c r="N94" s="104"/>
    </row>
    <row r="95" spans="1:20" ht="16.5" customHeight="1" x14ac:dyDescent="0.25">
      <c r="D95" s="49" t="s">
        <v>1631</v>
      </c>
      <c r="E95" s="100"/>
      <c r="F95" s="100"/>
      <c r="G95" s="100"/>
      <c r="H95" s="27"/>
      <c r="I95" s="100"/>
      <c r="J95" s="100"/>
      <c r="K95" s="103">
        <f>-K18-K46+J68+J77</f>
        <v>0</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tIxtFNRF0DwEX9MHssoNVdpCfGjyRspoF+qtZry7N0pBjEJZpT4qEVTUZZ+7u3yVMHtOvqXE1StcC74CX/X17Q==" saltValue="MXtbV/z65sPCpcenR1Ny4w==" spinCount="100000" sheet="1" formatColumns="0" formatRows="0"/>
  <mergeCells count="70">
    <mergeCell ref="B84:I84"/>
    <mergeCell ref="C85:I85"/>
    <mergeCell ref="L86:P86"/>
    <mergeCell ref="B88:K88"/>
    <mergeCell ref="B77:I77"/>
    <mergeCell ref="B78:I78"/>
    <mergeCell ref="C79:I79"/>
    <mergeCell ref="C80:I80"/>
    <mergeCell ref="L81:P81"/>
    <mergeCell ref="B83:K83"/>
    <mergeCell ref="B76:I76"/>
    <mergeCell ref="C57:I57"/>
    <mergeCell ref="L58:P58"/>
    <mergeCell ref="B61:I61"/>
    <mergeCell ref="C62:I62"/>
    <mergeCell ref="B63:I64"/>
    <mergeCell ref="L63:P63"/>
    <mergeCell ref="B68:I68"/>
    <mergeCell ref="C69:I69"/>
    <mergeCell ref="L70:P70"/>
    <mergeCell ref="B72:K72"/>
    <mergeCell ref="B75:K75"/>
    <mergeCell ref="B56:I56"/>
    <mergeCell ref="C37:I37"/>
    <mergeCell ref="C38:I38"/>
    <mergeCell ref="L39:P39"/>
    <mergeCell ref="B41:K41"/>
    <mergeCell ref="B45:I45"/>
    <mergeCell ref="C46:I46"/>
    <mergeCell ref="L47:P47"/>
    <mergeCell ref="B50:I50"/>
    <mergeCell ref="B51:I51"/>
    <mergeCell ref="C52:I52"/>
    <mergeCell ref="L53:P53"/>
    <mergeCell ref="C36:I36"/>
    <mergeCell ref="C21:I21"/>
    <mergeCell ref="L22:P22"/>
    <mergeCell ref="B24:K24"/>
    <mergeCell ref="B27:K27"/>
    <mergeCell ref="B28:I28"/>
    <mergeCell ref="C29:I29"/>
    <mergeCell ref="C30:I30"/>
    <mergeCell ref="L31:P31"/>
    <mergeCell ref="B33:K33"/>
    <mergeCell ref="B34:I34"/>
    <mergeCell ref="B35:I35"/>
    <mergeCell ref="C20:I20"/>
    <mergeCell ref="A8:E8"/>
    <mergeCell ref="F8:I8"/>
    <mergeCell ref="A12:K12"/>
    <mergeCell ref="B14:K14"/>
    <mergeCell ref="B15:I15"/>
    <mergeCell ref="B16:I16"/>
    <mergeCell ref="B17:I17"/>
    <mergeCell ref="C18:I18"/>
    <mergeCell ref="C19:I19"/>
    <mergeCell ref="M14:N14"/>
    <mergeCell ref="P14:Q14"/>
    <mergeCell ref="A5:E5"/>
    <mergeCell ref="F5:I5"/>
    <mergeCell ref="A6:E6"/>
    <mergeCell ref="F6:I6"/>
    <mergeCell ref="A7:E7"/>
    <mergeCell ref="F7:I7"/>
    <mergeCell ref="A1:K1"/>
    <mergeCell ref="A2:K2"/>
    <mergeCell ref="A3:E3"/>
    <mergeCell ref="F3:I3"/>
    <mergeCell ref="A4:E4"/>
    <mergeCell ref="F4:I4"/>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operator="lessThan" allowBlank="1" showInputMessage="1" showErrorMessage="1" sqref="A3:A5 A7:A8 A11" xr:uid="{E186F52C-3013-4D15-B6CF-72754157D566}"/>
    <dataValidation type="textLength" operator="lessThan" allowBlank="1" showInputMessage="1" showErrorMessage="1" sqref="E11 A6:A8" xr:uid="{E0460AAF-9CD4-4F1A-AE71-16FF18BC4096}">
      <formula1>0</formula1>
    </dataValidation>
    <dataValidation type="textLength" operator="equal" allowBlank="1" showInputMessage="1" showErrorMessage="1" errorTitle="4-Digit Org Code" error="Enter the Org Code/BU as 4 digits." sqref="F5" xr:uid="{FC6F69C7-E407-4E80-8F9A-630479271E92}">
      <formula1>4</formula1>
    </dataValidation>
    <dataValidation type="whole" operator="greaterThanOrEqual" allowBlank="1" showErrorMessage="1" errorTitle="Whole Numbers Only" error="Enter amounts as whole numbers only." promptTitle="Whole Numbers" prompt="Enter whole numbers only." sqref="J15:J17 K18:K21" xr:uid="{268BFBC6-EEC0-49A5-95B9-1B5DE7477071}">
      <formula1>0</formula1>
    </dataValidation>
    <dataValidation type="whole" operator="greaterThanOrEqual" allowBlank="1" showInputMessage="1" showErrorMessage="1" sqref="M15:M17 N18:N21 P15 Q18:Q19 J28 K85 K29:K30 J34:J35 J45 K46 J50:J51 K52 J56 K57 J61 K62 J68 K69 J76:J78 K79:K80 J84 K36:K38" xr:uid="{FBC9F3B0-F8B8-4363-BD7C-FA5E958C75D3}">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4921D20E-9039-453E-9622-E71D498A5CD9}">
          <x14:formula1>
            <xm:f>'Drop Down Menus'!$A$1:$A$101</xm:f>
          </x14:formula1>
          <xm:sqref>F3</xm:sqref>
        </x14:dataValidation>
        <x14:dataValidation type="list" allowBlank="1" showInputMessage="1" showErrorMessage="1" xr:uid="{67F6E10A-DDB1-446F-97E3-D45EAF7FFC83}">
          <x14:formula1>
            <xm:f>'Drop Down Menus'!$B$1:$B$3</xm:f>
          </x14:formula1>
          <xm:sqref>F7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C31" sqref="C31"/>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4265</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6127693</v>
      </c>
      <c r="C16" s="2">
        <v>321263</v>
      </c>
      <c r="D16" s="199" t="s">
        <v>1536</v>
      </c>
      <c r="E16" s="118"/>
      <c r="F16" s="118"/>
      <c r="G16" s="118"/>
      <c r="H16" s="118"/>
      <c r="I16" s="118"/>
      <c r="J16" s="118"/>
      <c r="K16" s="118"/>
    </row>
    <row r="17" spans="1:11" ht="15" customHeight="1" x14ac:dyDescent="0.2">
      <c r="A17" s="115" t="str">
        <f>LEFT(A16,4)+1&amp;"–"&amp;RIGHT(A16,4)+1</f>
        <v>2025–2026</v>
      </c>
      <c r="B17" s="2">
        <v>8645132</v>
      </c>
      <c r="C17" s="2">
        <v>166788</v>
      </c>
      <c r="D17" s="199"/>
      <c r="E17" s="118"/>
      <c r="F17" s="118"/>
      <c r="G17" s="118"/>
      <c r="H17" s="118"/>
      <c r="I17" s="118"/>
      <c r="J17" s="118"/>
      <c r="K17" s="118"/>
    </row>
    <row r="18" spans="1:11" ht="15" customHeight="1" x14ac:dyDescent="0.2">
      <c r="A18" s="115" t="str">
        <f>LEFT(A17,4)+1&amp;"–"&amp;RIGHT(A17,4)+1</f>
        <v>2026–2027</v>
      </c>
      <c r="B18" s="2">
        <v>1384071</v>
      </c>
      <c r="C18" s="2">
        <v>22385</v>
      </c>
      <c r="D18" s="17" t="s">
        <v>115</v>
      </c>
      <c r="E18" s="118"/>
      <c r="F18" s="118"/>
      <c r="G18" s="118"/>
      <c r="H18" s="118"/>
      <c r="I18" s="118"/>
      <c r="J18" s="118"/>
      <c r="K18" s="118"/>
    </row>
    <row r="19" spans="1:11" ht="15" customHeight="1" x14ac:dyDescent="0.2">
      <c r="A19" s="115" t="str">
        <f>LEFT(A18,4)+1&amp;"–"&amp;RIGHT(A18,4)+1</f>
        <v>2027–2028</v>
      </c>
      <c r="B19" s="2">
        <v>72458</v>
      </c>
      <c r="C19" s="2">
        <v>1471</v>
      </c>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v>26627</v>
      </c>
      <c r="C20" s="2">
        <v>733</v>
      </c>
      <c r="D20" s="16">
        <v>0</v>
      </c>
      <c r="E20" s="118"/>
      <c r="F20" s="118"/>
      <c r="G20" s="118"/>
      <c r="H20" s="118"/>
      <c r="I20" s="118"/>
      <c r="J20" s="118"/>
      <c r="K20" s="118"/>
    </row>
    <row r="21" spans="1:11" ht="15" customHeight="1" x14ac:dyDescent="0.25">
      <c r="A21" s="115" t="str">
        <f>LEFT(A20,4)+1&amp;"–"&amp;RIGHT(A20,4)+5</f>
        <v>2029–2034</v>
      </c>
      <c r="B21" s="2">
        <v>15832</v>
      </c>
      <c r="C21" s="2">
        <v>128</v>
      </c>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4265</v>
      </c>
      <c r="C43" s="198"/>
    </row>
    <row r="44" spans="1:11" ht="15.75" x14ac:dyDescent="0.25">
      <c r="A44" s="113" t="s">
        <v>1594</v>
      </c>
      <c r="B44" s="197" t="str">
        <f>B13</f>
        <v>CA Department of Public Health</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4265</v>
      </c>
      <c r="C74" s="198"/>
    </row>
    <row r="75" spans="1:4" ht="15.75" x14ac:dyDescent="0.25">
      <c r="A75" s="113" t="s">
        <v>1594</v>
      </c>
      <c r="B75" s="197" t="str">
        <f>B13</f>
        <v>CA Department of Public Health</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J11" sqref="J11"/>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4265 CA Department of Public Health</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+'Fund 0001 Journal Entries'!K19+'Fund 0099 Journal Entries'!K19+'Fund 0203 Journal Entries '!K19+'Fund 0367 Journal Entries'!K19+'Fund 0890 Journal Entries '!K19</f>
        <v>24755637</v>
      </c>
      <c r="H10" s="3">
        <f>+'Fund 0001 Journal Entries'!K37+'Fund 0099 Journal Entries'!K37+'Fund 0203 Journal Entries '!K37+'Fund 0367 Journal Entries'!K37+'Fund 0890 Journal Entries '!K37+'Fund 0001 Journal Entries'!K85+'Fund 0099 Journal Entries'!K85+'Fund 0203 Journal Entries '!K85+'Fund 0367 Journal Entries'!K85+'Fund 0890 Journal Entries '!K85</f>
        <v>3689542.5757927168</v>
      </c>
      <c r="J10" s="3">
        <f>+'Fund 0001 Journal Entries'!J56+'Fund 0099 Journal Entries'!J56+'Fund 0203 Journal Entries '!J56+'Fund 0367 Journal Entries'!J56+'Fund 0890 Journal Entries '!J56+'Fund 0001 Journal Entries'!J76+'Fund 0099 Journal Entries'!J76+'Fund 0203 Journal Entries '!J76+'Fund 0367 Journal Entries'!J76+'Fund 0890 Journal Entries '!J76</f>
        <v>12173366.684509018</v>
      </c>
      <c r="L10" s="134">
        <f>SUM(F10+H10-J10)</f>
        <v>16271812.891283697</v>
      </c>
      <c r="N10" s="3">
        <f>+'Fund 0001 Journal Entries'!J61+'Fund 0099 Journal Entries'!J61+'Fund 0203 Journal Entries '!J61+'Fund 0367 Journal Entries'!J61+'Fund 0890 Journal Entries '!J61</f>
        <v>6127692.5252410769</v>
      </c>
      <c r="P10" s="134">
        <f>L10-N10</f>
        <v>10144120.36604262</v>
      </c>
      <c r="Q10" s="129"/>
    </row>
    <row r="11" spans="2:17" ht="19.5" thickTop="1" thickBot="1" x14ac:dyDescent="0.3">
      <c r="B11" s="128"/>
      <c r="C11" s="208" t="s">
        <v>14</v>
      </c>
      <c r="D11" s="208"/>
      <c r="F11" s="135">
        <f>SUM(F10:F10)</f>
        <v>24755637</v>
      </c>
      <c r="H11" s="135">
        <f>SUM(H10:H10)</f>
        <v>3689542.5757927168</v>
      </c>
      <c r="J11" s="135">
        <f>SUM(J10:J10)</f>
        <v>12173366.684509018</v>
      </c>
      <c r="L11" s="135">
        <f>SUM(L10:L10)</f>
        <v>16271812.891283697</v>
      </c>
      <c r="N11" s="135">
        <f>SUM(N10:N10)</f>
        <v>6127692.5252410769</v>
      </c>
      <c r="P11" s="135">
        <f>SUM(P10:P10)</f>
        <v>10144120.36604262</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H18" sqref="H18"/>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+'Fund 0001 Journal Entries'!K19+'Fund 0099 Journal Entries'!K19+'Fund 0203 Journal Entries '!K19+'Fund 0367 Journal Entries'!K19+'Fund 0890 Journal Entries '!K19</f>
        <v>24755637</v>
      </c>
      <c r="C17" s="21" t="s">
        <v>1551</v>
      </c>
      <c r="D17" s="10">
        <f>+'Fund 0001 Journal Entries'!K37+'Fund 0099 Journal Entries'!K37+'Fund 0203 Journal Entries '!K37+'Fund 0367 Journal Entries'!K37+'Fund 0890 Journal Entries '!K37</f>
        <v>3689542.5757927168</v>
      </c>
      <c r="E17" s="22" t="s">
        <v>1553</v>
      </c>
      <c r="F17" s="10">
        <f>+'Fund 0001 Journal Entries'!J56+'Fund 0099 Journal Entries'!J56+'Fund 0203 Journal Entries '!J56+'Fund 0367 Journal Entries'!J56+'Fund 0890 Journal Entries '!J56</f>
        <v>12173366.684509018</v>
      </c>
      <c r="G17" s="22" t="s">
        <v>1553</v>
      </c>
      <c r="H17" s="10">
        <f>+'Fund 0001 Journal Entries'!J76+'Fund 0099 Journal Entries'!J76+'Fund 0203 Journal Entries '!J76+'Fund 0367 Journal Entries'!J76+'Fund 0890 Journal Entries '!J76</f>
        <v>0</v>
      </c>
      <c r="I17" s="22" t="s">
        <v>1551</v>
      </c>
      <c r="J17" s="10">
        <f>+'Fund 0001 Journal Entries'!K85+'Fund 0099 Journal Entries'!K85+'Fund 0203 Journal Entries '!K85+'Fund 0367 Journal Entries'!K85+'Fund 0890 Journal Entries '!K85</f>
        <v>0</v>
      </c>
      <c r="K17" s="22" t="s">
        <v>1555</v>
      </c>
      <c r="L17" s="11">
        <f>+B17+D17-F17</f>
        <v>16271812.891283697</v>
      </c>
      <c r="M17" s="22"/>
      <c r="N17" s="12">
        <f>ROUND(SUM('Department Note Disclosure'!$B$16:$B$39),0)</f>
        <v>16271813</v>
      </c>
      <c r="O17" s="21"/>
      <c r="P17" s="13">
        <f>L17-N17</f>
        <v>-0.10871630348265171</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+'Fund 0001 Journal Entries'!J61+'Fund 0099 Journal Entries'!J61+'Fund 0203 Journal Entries '!J61+'Fund 0367 Journal Entries'!J61+'Fund 0890 Journal Entries '!J61</f>
        <v>6127692.5252410769</v>
      </c>
      <c r="C42" s="160"/>
      <c r="D42" s="159"/>
      <c r="E42" s="159"/>
      <c r="F42" s="159"/>
      <c r="G42" s="145"/>
      <c r="H42" s="159"/>
      <c r="I42" s="149"/>
      <c r="J42" s="159"/>
      <c r="K42" s="145"/>
      <c r="L42" s="158"/>
      <c r="M42" s="23"/>
      <c r="N42" s="12">
        <f>ROUND('Department Note Disclosure'!$B$16,0)</f>
        <v>6127693</v>
      </c>
      <c r="O42" s="24"/>
      <c r="P42" s="13">
        <f>B42-N42</f>
        <v>-0.47475892305374146</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24755637</v>
      </c>
      <c r="I64" s="25" t="s">
        <v>1555</v>
      </c>
      <c r="J64" s="14">
        <f>SUM(D64)</f>
        <v>24755637</v>
      </c>
      <c r="L64" s="164" t="str">
        <f>CONCATENATE("Balance July 1, ",LEFT('Department Note Disclosure'!$B$11,4))</f>
        <v>Balance July 1, 2023</v>
      </c>
      <c r="N64" s="14">
        <f>ROUND('SBITA Liabilities'!$F$10,0)</f>
        <v>24755637</v>
      </c>
      <c r="P64" s="13">
        <f>J64-N64</f>
        <v>0</v>
      </c>
    </row>
    <row r="65" spans="1:16383" x14ac:dyDescent="0.25">
      <c r="B65" s="162" t="s">
        <v>1620</v>
      </c>
      <c r="D65" s="14">
        <f>$D$17</f>
        <v>3689542.5757927168</v>
      </c>
      <c r="E65" s="165" t="s">
        <v>1551</v>
      </c>
      <c r="F65" s="150" t="s">
        <v>1646</v>
      </c>
      <c r="H65" s="14">
        <f>J17</f>
        <v>0</v>
      </c>
      <c r="I65" s="25" t="s">
        <v>1555</v>
      </c>
      <c r="J65" s="14">
        <f>SUM(D65,H65)</f>
        <v>3689542.5757927168</v>
      </c>
      <c r="L65" s="164" t="s">
        <v>9</v>
      </c>
      <c r="N65" s="14">
        <f>ROUND('SBITA Liabilities'!$H$10,0)</f>
        <v>3689543</v>
      </c>
      <c r="P65" s="13">
        <f>J65-N65</f>
        <v>-0.4242072831839323</v>
      </c>
    </row>
    <row r="66" spans="1:16383" x14ac:dyDescent="0.25">
      <c r="B66" s="162" t="s">
        <v>1554</v>
      </c>
      <c r="D66" s="14">
        <f>$F$17</f>
        <v>12173366.684509018</v>
      </c>
      <c r="E66" s="165" t="s">
        <v>1551</v>
      </c>
      <c r="F66" s="150" t="s">
        <v>1645</v>
      </c>
      <c r="H66" s="14">
        <f>H17</f>
        <v>0</v>
      </c>
      <c r="I66" s="25" t="s">
        <v>1555</v>
      </c>
      <c r="J66" s="14">
        <f>SUM(D66,H66)</f>
        <v>12173366.684509018</v>
      </c>
      <c r="L66" s="164" t="s">
        <v>10</v>
      </c>
      <c r="N66" s="14">
        <f>ROUND('SBITA Liabilities'!$J$10,0)</f>
        <v>12173367</v>
      </c>
      <c r="P66" s="13">
        <f>J66-N66</f>
        <v>-0.31549098156392574</v>
      </c>
    </row>
    <row r="67" spans="1:16383" x14ac:dyDescent="0.25">
      <c r="B67" s="162" t="s">
        <v>1558</v>
      </c>
      <c r="D67" s="14">
        <f>$B$42</f>
        <v>6127692.5252410769</v>
      </c>
      <c r="I67" s="25" t="s">
        <v>1555</v>
      </c>
      <c r="J67" s="14">
        <f>SUM(D67)</f>
        <v>6127692.5252410769</v>
      </c>
      <c r="L67" s="164" t="s">
        <v>11</v>
      </c>
      <c r="N67" s="14">
        <f>ROUND('SBITA Liabilities'!$N$10,0)</f>
        <v>6127693</v>
      </c>
      <c r="P67" s="13">
        <f>J67-N67</f>
        <v>-0.47475892305374146</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fAKYVsyfNwB15RdDb+dZfTn/wy5z7/6GuaWOwl1NkYSTdneaGIGkMnQC1eL/vOMV6quyuCklQedckfFY9msW8A==" saltValue="qArgxKehS3PPiLwG5eKceA=="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Fund 0001 Journal Entries</vt:lpstr>
      <vt:lpstr>Fund 0099 Journal Entries</vt:lpstr>
      <vt:lpstr>Fund 0203 Journal Entries </vt:lpstr>
      <vt:lpstr>Fund 0367 Journal Entries</vt:lpstr>
      <vt:lpstr>Fund 0890 Journal Entries </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0099 Journal Entries'!Print_Area</vt:lpstr>
      <vt:lpstr>'Fund 0203 Journal Entries '!Print_Area</vt:lpstr>
      <vt:lpstr>'Fund 0367 Journal Entries'!Print_Area</vt:lpstr>
      <vt:lpstr>'Fund 0890 Journal Entries '!Print_Area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2025-02-26T21:49:36Z</dcterms:modified>
</cp:coreProperties>
</file>