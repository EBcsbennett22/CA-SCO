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FA73DF2F-4A80-4924-AD06-CD9CAF708BD3}"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Fund 0228 Journal Entries"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Entries'!$A$1:$K$99</definedName>
    <definedName name="_xlnm.Print_Area" localSheetId="1">'Fund 0228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9" l="1"/>
  <c r="H17" i="9"/>
  <c r="F10" i="4" l="1"/>
  <c r="H10" i="4"/>
  <c r="J10" i="4"/>
  <c r="B42" i="9"/>
  <c r="F17" i="9"/>
  <c r="D17" i="9"/>
  <c r="B17" i="9"/>
  <c r="N10" i="4" l="1"/>
  <c r="K37" i="2"/>
  <c r="K36" i="2"/>
  <c r="J35" i="2"/>
  <c r="J34" i="2"/>
  <c r="K29" i="2"/>
  <c r="J28" i="2"/>
  <c r="N20" i="2" l="1"/>
  <c r="K19" i="2"/>
  <c r="N18" i="2"/>
  <c r="M15" i="2"/>
  <c r="J15" i="2"/>
  <c r="K94" i="2" s="1"/>
  <c r="L86" i="11"/>
  <c r="K86" i="11"/>
  <c r="J86" i="11"/>
  <c r="K81" i="11"/>
  <c r="J81" i="11"/>
  <c r="L81" i="11" s="1"/>
  <c r="K70" i="11"/>
  <c r="J68" i="11"/>
  <c r="J70" i="11" s="1"/>
  <c r="L70" i="11" s="1"/>
  <c r="J63" i="11"/>
  <c r="K62" i="11"/>
  <c r="K97" i="11" s="1"/>
  <c r="L57" i="11"/>
  <c r="K57" i="11"/>
  <c r="J56" i="11" s="1"/>
  <c r="J58" i="11" s="1"/>
  <c r="J53" i="11"/>
  <c r="K52" i="11"/>
  <c r="K53" i="11" s="1"/>
  <c r="B51" i="11"/>
  <c r="L50" i="11"/>
  <c r="J47" i="11"/>
  <c r="K46" i="11"/>
  <c r="K47" i="11" s="1"/>
  <c r="K39" i="11"/>
  <c r="J39" i="11"/>
  <c r="L39" i="11" s="1"/>
  <c r="K31" i="11"/>
  <c r="J31" i="11"/>
  <c r="L31" i="11" s="1"/>
  <c r="A26" i="11"/>
  <c r="S21" i="11"/>
  <c r="Q20" i="11"/>
  <c r="S20" i="11" s="1"/>
  <c r="S19" i="11"/>
  <c r="K19" i="11"/>
  <c r="S18" i="11"/>
  <c r="K18" i="11"/>
  <c r="K95" i="11" s="1"/>
  <c r="S17" i="11"/>
  <c r="P16" i="11"/>
  <c r="S16" i="11" s="1"/>
  <c r="S15" i="11"/>
  <c r="J15" i="11"/>
  <c r="B14" i="11"/>
  <c r="A12" i="11"/>
  <c r="F8" i="11"/>
  <c r="C38" i="11" s="1"/>
  <c r="N18" i="4"/>
  <c r="K18" i="2"/>
  <c r="S21" i="2"/>
  <c r="S18" i="2"/>
  <c r="S17" i="2"/>
  <c r="K57" i="2"/>
  <c r="L57" i="2" s="1"/>
  <c r="L53" i="11" l="1"/>
  <c r="K58" i="11"/>
  <c r="L58" i="11" s="1"/>
  <c r="L47" i="11"/>
  <c r="S19" i="2"/>
  <c r="S15" i="2"/>
  <c r="J16" i="11"/>
  <c r="K96" i="11"/>
  <c r="C30" i="11"/>
  <c r="C52" i="11"/>
  <c r="K20" i="11"/>
  <c r="K63" i="11"/>
  <c r="L63" i="11" s="1"/>
  <c r="K94" i="11"/>
  <c r="B78" i="11"/>
  <c r="C80" i="11"/>
  <c r="L50" i="2"/>
  <c r="K21" i="11" l="1"/>
  <c r="K22" i="11" s="1"/>
  <c r="J17" i="11"/>
  <c r="J22" i="11" s="1"/>
  <c r="J56" i="2"/>
  <c r="K96" i="2" s="1"/>
  <c r="J14" i="4"/>
  <c r="H18" i="4"/>
  <c r="H14" i="4"/>
  <c r="L22" i="11" l="1"/>
  <c r="L84" i="9"/>
  <c r="L74" i="9"/>
  <c r="L64" i="9"/>
  <c r="H34" i="9"/>
  <c r="H86" i="9" s="1"/>
  <c r="J34" i="9"/>
  <c r="H85" i="9" s="1"/>
  <c r="J25" i="9"/>
  <c r="H75" i="9" s="1"/>
  <c r="H25" i="9"/>
  <c r="H76" i="9" s="1"/>
  <c r="H66" i="9"/>
  <c r="H65" i="9"/>
  <c r="K62" i="2"/>
  <c r="K97" i="2" s="1"/>
  <c r="K52" i="2"/>
  <c r="K46" i="2"/>
  <c r="J18" i="4" l="1"/>
  <c r="Q20" i="2"/>
  <c r="P16" i="2"/>
  <c r="J16" i="2" l="1"/>
  <c r="S16" i="2"/>
  <c r="S20" i="2"/>
  <c r="K20" i="2"/>
  <c r="D89" i="3"/>
  <c r="D58" i="3"/>
  <c r="K21" i="2" l="1"/>
  <c r="K22" i="2" s="1"/>
  <c r="J17" i="2"/>
  <c r="J22" i="2" s="1"/>
  <c r="D27" i="3"/>
  <c r="B25" i="9" l="1"/>
  <c r="D25" i="9"/>
  <c r="F25" i="9"/>
  <c r="B34" i="9"/>
  <c r="D34" i="9"/>
  <c r="F34" i="9"/>
  <c r="B49" i="9"/>
  <c r="B56" i="9"/>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l="1"/>
  <c r="L70" i="2" s="1"/>
  <c r="K95" i="2"/>
</calcChain>
</file>

<file path=xl/sharedStrings.xml><?xml version="1.0" encoding="utf-8"?>
<sst xmlns="http://schemas.openxmlformats.org/spreadsheetml/2006/main" count="7702" uniqueCount="1657">
  <si>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</si>
  <si>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</si>
  <si>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</si>
  <si>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</si>
  <si>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</si>
  <si>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</si>
  <si>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</si>
  <si>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</si>
  <si>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</si>
  <si>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</si>
  <si>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</si>
  <si>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</si>
  <si>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</si>
  <si>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</si>
  <si>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</si>
  <si>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</si>
  <si>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</si>
  <si>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</si>
  <si>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</si>
  <si>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</si>
  <si>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</si>
  <si>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</si>
  <si>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</si>
  <si>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</si>
  <si>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</si>
  <si>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</si>
  <si>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</si>
  <si>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</si>
  <si>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</si>
  <si>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</si>
  <si>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</si>
  <si>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</si>
  <si>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</si>
  <si>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</si>
  <si>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</si>
  <si>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</si>
  <si>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</si>
  <si>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</si>
  <si>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</si>
  <si>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</si>
  <si>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</si>
  <si>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</si>
  <si>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</si>
  <si>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</si>
  <si>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</si>
  <si>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</si>
  <si>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</si>
  <si>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</si>
  <si>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</si>
  <si>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</si>
  <si>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</si>
  <si>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</si>
  <si>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</si>
  <si>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</si>
  <si>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</si>
  <si>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</si>
  <si>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</si>
  <si>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</si>
  <si>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</si>
  <si>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</si>
  <si>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</si>
  <si>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</si>
  <si>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</si>
  <si>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</si>
  <si>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</si>
  <si>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</si>
  <si>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</si>
  <si>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</si>
  <si>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</si>
  <si>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</si>
  <si>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</si>
  <si>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</si>
  <si>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</si>
  <si>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</si>
  <si>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</si>
  <si>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</si>
  <si>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</si>
  <si>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</si>
  <si>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</si>
  <si>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</si>
  <si>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</si>
  <si>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</si>
  <si>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</si>
  <si>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</si>
  <si>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</si>
  <si>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</si>
  <si>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</si>
  <si>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</si>
  <si>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</si>
  <si>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</si>
  <si>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</si>
  <si>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</si>
  <si>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</si>
  <si>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</si>
  <si>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</si>
  <si>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</si>
  <si>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</si>
  <si>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</si>
  <si>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</si>
  <si>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</si>
  <si>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</si>
  <si>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</si>
  <si>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</si>
  <si>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</si>
  <si>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</si>
  <si>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</si>
  <si>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</si>
  <si>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</si>
  <si>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</si>
  <si>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</si>
  <si>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</si>
  <si>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</si>
  <si>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</si>
  <si>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</si>
  <si>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</si>
  <si>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</si>
  <si>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</si>
  <si>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</si>
  <si>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</si>
  <si>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</si>
  <si>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</si>
  <si>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</si>
  <si>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</si>
  <si>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</si>
  <si>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</si>
  <si>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</si>
  <si>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</si>
  <si>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</si>
  <si>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</si>
  <si>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</si>
  <si>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</si>
  <si>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</si>
  <si>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</si>
  <si>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</si>
  <si>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</si>
  <si>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</si>
  <si>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</si>
  <si>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</si>
  <si>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</si>
  <si>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</si>
  <si>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</si>
  <si>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</si>
  <si>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</si>
  <si>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</si>
  <si>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</si>
  <si>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</si>
  <si>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</si>
  <si>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</si>
  <si>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</si>
  <si>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</si>
  <si>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</si>
  <si>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</si>
  <si>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</si>
  <si>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</si>
  <si>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</si>
  <si>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</si>
  <si>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</si>
  <si>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</si>
  <si>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</si>
  <si>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</si>
  <si>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</si>
  <si>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</si>
  <si>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</si>
  <si>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</si>
  <si>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</si>
  <si>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</si>
  <si>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</si>
  <si>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</si>
  <si>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</si>
  <si>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</si>
  <si>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</si>
  <si>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</si>
  <si>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</si>
  <si>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</si>
  <si>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</si>
  <si>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</si>
  <si>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</si>
  <si>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</si>
  <si>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</si>
  <si>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</si>
  <si>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</si>
  <si>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</si>
  <si>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</si>
  <si>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</si>
  <si>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</si>
  <si>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</si>
  <si>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</si>
  <si>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</si>
  <si>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</si>
  <si>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</si>
  <si>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</si>
  <si>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</si>
  <si>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</si>
  <si>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</si>
  <si>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</si>
  <si>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</si>
  <si>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</si>
  <si>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</si>
  <si>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</si>
  <si>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</si>
  <si>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</si>
  <si>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</si>
  <si>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</si>
  <si>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</si>
  <si>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</si>
  <si>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</si>
  <si>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</si>
  <si>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</si>
  <si>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</si>
  <si>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</si>
  <si>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</si>
  <si>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</si>
  <si>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</si>
  <si>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</si>
  <si>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</si>
  <si>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</si>
  <si>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</si>
  <si>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</si>
  <si>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</si>
  <si>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</si>
  <si>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</si>
  <si>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</si>
  <si>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</si>
  <si>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</si>
  <si>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</si>
  <si>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</si>
  <si>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</si>
  <si>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</si>
  <si>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</si>
  <si>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</si>
  <si>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</si>
  <si>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</si>
  <si>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</si>
  <si>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</si>
  <si>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</si>
  <si>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</si>
  <si>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</si>
  <si>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</si>
  <si>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</si>
  <si>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</si>
  <si>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</si>
  <si>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</si>
  <si>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</si>
  <si>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</si>
  <si>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</si>
  <si>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</si>
  <si>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</si>
  <si>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</si>
  <si>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</si>
  <si>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</si>
  <si>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</si>
  <si>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</si>
  <si>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</si>
  <si>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</si>
  <si>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</si>
  <si>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</si>
  <si>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</si>
  <si>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</si>
  <si>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</si>
  <si>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</si>
  <si>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</si>
  <si>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</si>
  <si>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</si>
  <si>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</si>
  <si>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</si>
  <si>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</si>
  <si>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</si>
  <si>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</si>
  <si>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</si>
  <si>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</si>
  <si>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</si>
  <si>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</si>
  <si>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</si>
  <si>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</si>
  <si>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</si>
  <si>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</si>
  <si>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</si>
  <si>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</si>
  <si>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</si>
  <si>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</si>
  <si>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</si>
  <si>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</si>
  <si>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</si>
  <si>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</si>
  <si>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</si>
  <si>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</si>
  <si>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</si>
  <si>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</si>
  <si>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</si>
  <si>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</si>
  <si>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</si>
  <si>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</si>
  <si>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</si>
  <si>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</si>
  <si>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</si>
  <si>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</si>
  <si>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</si>
  <si>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</si>
  <si>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</si>
  <si>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</si>
  <si>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</si>
  <si>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</si>
  <si>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</si>
  <si>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</si>
  <si>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</si>
  <si>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</si>
  <si>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</si>
  <si>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</si>
  <si>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</si>
  <si>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</si>
  <si>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</si>
  <si>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</si>
  <si>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</si>
  <si>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</si>
  <si>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</si>
  <si>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</si>
  <si>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</si>
  <si>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</si>
  <si>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</si>
  <si>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</si>
  <si>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</si>
  <si>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</si>
  <si>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</si>
  <si>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</si>
  <si>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</si>
  <si>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</si>
  <si>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</si>
  <si>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</si>
  <si>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</si>
  <si>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</si>
  <si>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</si>
  <si>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</si>
  <si>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</si>
  <si>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</si>
  <si>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</si>
  <si>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</si>
  <si>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</si>
  <si>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</si>
  <si>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</si>
  <si>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</si>
  <si>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</si>
  <si>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</si>
  <si>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</si>
  <si>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</si>
  <si>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</si>
  <si>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</si>
  <si>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</si>
  <si>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</si>
  <si>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</si>
  <si>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</si>
  <si>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</si>
  <si>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</si>
  <si>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</si>
  <si>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</si>
  <si>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</si>
  <si>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</si>
  <si>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</si>
  <si>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</si>
  <si>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</si>
  <si>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</si>
  <si>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</si>
  <si>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</si>
  <si>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</si>
  <si>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</si>
  <si>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</si>
  <si>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</si>
  <si>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</si>
  <si>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</si>
  <si>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</si>
  <si>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</si>
  <si>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</si>
  <si>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</si>
  <si>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</si>
  <si>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</si>
  <si>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</si>
  <si>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</si>
  <si>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</si>
  <si>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</si>
  <si>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</si>
  <si>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</si>
  <si>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</si>
  <si>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</si>
  <si>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</si>
  <si>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</si>
  <si>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</si>
  <si>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</si>
  <si>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</si>
  <si>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</si>
  <si>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</si>
  <si>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</si>
  <si>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</si>
  <si>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</si>
  <si>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</si>
  <si>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</si>
  <si>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</si>
  <si>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</si>
  <si>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</si>
  <si>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</si>
  <si>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</si>
  <si>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</si>
  <si>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</si>
  <si>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</si>
  <si>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</si>
  <si>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</si>
  <si>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</si>
  <si>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</si>
  <si>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</si>
  <si>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</si>
  <si>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</si>
  <si>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</si>
  <si>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</si>
  <si>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</si>
  <si>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</si>
  <si>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</si>
  <si>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</si>
  <si>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</si>
  <si>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</si>
  <si>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</si>
  <si>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</si>
  <si>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</si>
  <si>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</si>
  <si>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</si>
  <si>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</si>
  <si>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</si>
  <si>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</si>
  <si>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</si>
  <si>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</si>
  <si>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</si>
  <si>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</si>
  <si>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</si>
  <si>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</si>
  <si>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</si>
  <si>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</si>
  <si>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</si>
  <si>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</si>
  <si>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</si>
  <si>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</si>
  <si>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</si>
  <si>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</si>
  <si>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</si>
  <si>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</si>
  <si>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</si>
  <si>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</si>
  <si>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</si>
  <si>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</si>
  <si>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</si>
  <si>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</si>
  <si>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</si>
  <si>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</si>
  <si>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</si>
  <si>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</si>
  <si>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</si>
  <si>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</si>
  <si>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</si>
  <si>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</si>
  <si>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</si>
  <si>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</si>
  <si>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</si>
  <si>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</si>
  <si>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</si>
  <si>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</si>
  <si>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</si>
  <si>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</si>
  <si>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</si>
  <si>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</si>
  <si>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</si>
  <si>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</si>
  <si>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</si>
  <si>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</si>
  <si>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</si>
  <si>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</si>
  <si>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</si>
  <si>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</si>
  <si>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</si>
  <si>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</si>
  <si>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</si>
  <si>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</si>
  <si>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</si>
  <si>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</si>
  <si>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</si>
  <si>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</si>
  <si>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</si>
  <si>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</si>
  <si>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</si>
  <si>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</si>
  <si>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</si>
  <si>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</si>
  <si>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</si>
  <si>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</si>
  <si>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</si>
  <si>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</si>
  <si>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</si>
  <si>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</si>
  <si>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</si>
  <si>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</si>
  <si>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</si>
  <si>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</si>
  <si>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</si>
  <si>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</si>
  <si>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</si>
  <si>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</si>
  <si>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</si>
  <si>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</si>
  <si>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</si>
  <si>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</si>
  <si>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</si>
  <si>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</si>
  <si>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</si>
  <si>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</si>
  <si>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</si>
  <si>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</si>
  <si>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</si>
  <si>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</si>
  <si>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</si>
  <si>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</si>
  <si>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</si>
  <si>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</si>
  <si>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</si>
  <si>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</si>
  <si>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</si>
  <si>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</si>
  <si>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</si>
  <si>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</si>
  <si>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</si>
  <si>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</si>
  <si>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</si>
  <si>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</si>
  <si>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</si>
  <si>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</si>
  <si>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</si>
  <si>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</si>
  <si>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</si>
  <si>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</si>
  <si>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</si>
  <si>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</si>
  <si>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</si>
  <si>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</si>
  <si>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</si>
  <si>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</si>
  <si>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</si>
  <si>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</si>
  <si>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</si>
  <si>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</si>
  <si>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</si>
  <si>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</si>
  <si>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</si>
  <si>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</si>
  <si>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</si>
  <si>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</si>
  <si>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</si>
  <si>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</si>
  <si>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</si>
  <si>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</si>
  <si>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</si>
  <si>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</si>
  <si>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</si>
  <si>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</si>
  <si>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</si>
  <si>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</si>
  <si>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</si>
  <si>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</si>
  <si>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</si>
  <si>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</si>
  <si>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</si>
  <si>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</si>
  <si>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</si>
  <si>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</si>
  <si>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</si>
  <si>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</si>
  <si>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</si>
  <si>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</si>
  <si>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</si>
  <si>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</si>
  <si>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</si>
  <si>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</si>
  <si>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</si>
  <si>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</si>
  <si>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</si>
  <si>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</si>
  <si>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</si>
  <si>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</si>
  <si>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</si>
  <si>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</si>
  <si>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</si>
  <si>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</si>
  <si>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</si>
  <si>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</si>
  <si>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</si>
  <si>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</si>
  <si>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</si>
  <si>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</si>
  <si>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</si>
  <si>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</si>
  <si>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</si>
  <si>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</si>
  <si>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</si>
  <si>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</si>
  <si>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</si>
  <si>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</si>
  <si>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</si>
  <si>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</si>
  <si>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</si>
  <si>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</si>
  <si>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</si>
  <si>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</si>
  <si>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</si>
  <si>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</si>
  <si>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</si>
  <si>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</si>
  <si>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</si>
  <si>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</si>
  <si>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</si>
  <si>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</si>
  <si>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</si>
  <si>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</si>
  <si>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</si>
  <si>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</si>
  <si>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</si>
  <si>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</si>
  <si>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</si>
  <si>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</si>
  <si>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</si>
  <si>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</si>
  <si>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</si>
  <si>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</si>
  <si>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</si>
  <si>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</si>
  <si>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</si>
  <si>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</si>
  <si>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</si>
  <si>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</si>
  <si>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</si>
  <si>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</si>
  <si>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</si>
  <si>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</si>
  <si>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</si>
  <si>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</si>
  <si>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</si>
  <si>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</si>
  <si>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</si>
  <si>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</si>
  <si>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</si>
  <si>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</si>
  <si>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</si>
  <si>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</si>
  <si>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</si>
  <si>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</si>
  <si>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</si>
  <si>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</si>
  <si>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</si>
  <si>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</si>
  <si>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</si>
  <si>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</si>
  <si>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</si>
  <si>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</si>
  <si>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</si>
  <si>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</si>
  <si>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</si>
  <si>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</si>
  <si>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</si>
  <si>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</si>
  <si>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</si>
  <si>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</si>
  <si>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</si>
  <si>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</si>
  <si>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</si>
  <si>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</si>
  <si>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</si>
  <si>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</si>
  <si>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</si>
  <si>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</si>
  <si>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</si>
  <si>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</si>
  <si>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</si>
  <si>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</si>
  <si>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</si>
  <si>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</si>
  <si>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</si>
  <si>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</si>
  <si>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</si>
  <si>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</si>
  <si>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</si>
  <si>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</si>
  <si>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</si>
  <si>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</si>
  <si>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</si>
  <si>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</si>
  <si>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</si>
  <si>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</si>
  <si>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</si>
  <si>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</si>
  <si>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</si>
  <si>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</si>
  <si>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</si>
  <si>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</si>
  <si>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</si>
  <si>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</si>
  <si>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</si>
  <si>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</si>
  <si>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</si>
  <si>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</si>
  <si>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</si>
  <si>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</si>
  <si>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</si>
  <si>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</si>
  <si>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</si>
  <si>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</si>
  <si>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</si>
  <si>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</si>
  <si>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</si>
  <si>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</si>
  <si>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</si>
  <si>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</si>
  <si>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</si>
  <si>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</si>
  <si>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</si>
  <si>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</si>
  <si>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</si>
  <si>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</si>
  <si>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</si>
  <si>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</si>
  <si>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</si>
  <si>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</si>
  <si>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</si>
  <si>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</si>
  <si>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</si>
  <si>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</si>
  <si>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</si>
  <si>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</si>
  <si>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</si>
  <si>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</si>
  <si>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</si>
  <si>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</si>
  <si>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</si>
  <si>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</si>
  <si>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</si>
  <si>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</si>
  <si>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</si>
  <si>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</si>
  <si>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</si>
  <si>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</si>
  <si>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</si>
  <si>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</si>
  <si>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</si>
  <si>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</si>
  <si>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</si>
  <si>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</si>
  <si>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</si>
  <si>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</si>
  <si>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</si>
  <si>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</si>
  <si>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</si>
  <si>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</si>
  <si>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</si>
  <si>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</si>
  <si>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</si>
  <si>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</si>
  <si>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</si>
  <si>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</si>
  <si>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</si>
  <si>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</si>
  <si>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</si>
  <si>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</si>
  <si>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</si>
  <si>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</si>
  <si>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</si>
  <si>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</si>
  <si>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</si>
  <si>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</si>
  <si>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</si>
  <si>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</si>
  <si>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</si>
  <si>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</si>
  <si>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</si>
  <si>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</si>
  <si>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</si>
  <si>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</si>
  <si>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</si>
  <si>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</si>
  <si>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</si>
  <si>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</si>
  <si>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</si>
  <si>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</si>
  <si>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</si>
  <si>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</si>
  <si>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</si>
  <si>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</si>
  <si>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</si>
  <si>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</si>
  <si>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</si>
  <si>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</si>
  <si>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</si>
  <si>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</si>
  <si>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</si>
  <si>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</si>
  <si>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</si>
  <si>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</si>
  <si>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</si>
  <si>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</si>
  <si>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</si>
  <si>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</si>
  <si>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</si>
  <si>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</si>
  <si>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</si>
  <si>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</si>
  <si>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</si>
  <si>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</si>
  <si>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</si>
  <si>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</si>
  <si>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</si>
  <si>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</si>
  <si>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</si>
  <si>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</si>
  <si>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</si>
  <si>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</si>
  <si>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</si>
  <si>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</si>
  <si>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</si>
  <si>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</si>
  <si>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</si>
  <si>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</si>
  <si>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</si>
  <si>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</si>
  <si>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</si>
  <si>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</si>
  <si>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</si>
  <si>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</si>
  <si>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</si>
  <si>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</si>
  <si>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</si>
  <si>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</si>
  <si>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</si>
  <si>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</si>
  <si>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</si>
  <si>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</si>
  <si>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</si>
  <si>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</si>
  <si>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</si>
  <si>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</si>
  <si>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</si>
  <si>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</si>
  <si>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</si>
  <si>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</si>
  <si>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</si>
  <si>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</si>
  <si>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</si>
  <si>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</si>
  <si>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</si>
  <si>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</si>
  <si>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</si>
  <si>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</si>
  <si>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</si>
  <si>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</si>
  <si>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</si>
  <si>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</si>
  <si>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</si>
  <si>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</si>
  <si>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</si>
  <si>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</si>
  <si>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</si>
  <si>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</si>
  <si>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</si>
  <si>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</si>
  <si>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</si>
  <si>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</si>
  <si>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</si>
  <si>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</si>
  <si>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</si>
  <si>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</si>
  <si>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</si>
  <si>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</si>
  <si>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</si>
  <si>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</si>
  <si>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</si>
  <si>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</si>
  <si>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</si>
  <si>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</si>
  <si>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</si>
  <si>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</si>
  <si>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</si>
  <si>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</si>
  <si>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</si>
  <si>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</si>
  <si>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</si>
  <si>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</si>
  <si>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</si>
  <si>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</si>
  <si>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</si>
  <si>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</si>
  <si>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</si>
  <si>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</si>
  <si>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</si>
  <si>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</si>
  <si>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</si>
  <si>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</si>
  <si>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</si>
  <si>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</si>
  <si>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</si>
  <si>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</si>
  <si>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</si>
  <si>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</si>
  <si>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</si>
  <si>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</si>
  <si>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</si>
  <si>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</si>
  <si>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</si>
  <si>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</si>
  <si>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</si>
  <si>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</si>
  <si>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</si>
  <si>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</si>
  <si>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</si>
  <si>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</si>
  <si>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</si>
  <si>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</si>
  <si>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</si>
  <si>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</si>
  <si>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</si>
  <si>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</si>
  <si>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</si>
  <si>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</si>
  <si>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</si>
  <si>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</si>
  <si>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</si>
  <si>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</si>
  <si>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</si>
  <si>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</si>
  <si>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</si>
  <si>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</si>
  <si>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</si>
  <si>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</si>
  <si>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</si>
  <si>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</si>
  <si>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</si>
  <si>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</si>
  <si>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</si>
  <si>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</si>
  <si>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</si>
  <si>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</si>
  <si>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</si>
  <si>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</si>
  <si>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</si>
  <si>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</si>
  <si>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</si>
  <si>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</si>
  <si>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</si>
  <si>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</si>
  <si>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</si>
  <si>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</si>
  <si>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</si>
  <si>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</si>
  <si>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</si>
  <si>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</si>
  <si>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</si>
  <si>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</si>
  <si>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</si>
  <si>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</si>
  <si>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</si>
  <si>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</si>
  <si>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</si>
  <si>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</si>
  <si>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</si>
  <si>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</si>
  <si>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</si>
  <si>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</si>
  <si>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</si>
  <si>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</si>
  <si>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</si>
  <si>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</si>
  <si>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</si>
  <si>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</si>
  <si>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</si>
  <si>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</si>
  <si>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</si>
  <si>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</si>
  <si>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</si>
  <si>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</si>
  <si>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</si>
  <si>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</si>
  <si>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</si>
  <si>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</si>
  <si>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</si>
  <si>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</si>
  <si>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</si>
  <si>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</si>
  <si>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</si>
  <si>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</si>
  <si>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</si>
  <si>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</si>
  <si>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</si>
  <si>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</si>
  <si>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</si>
  <si>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</si>
  <si>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</si>
  <si>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</si>
  <si>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</si>
  <si>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</si>
  <si>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</si>
  <si>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</si>
  <si>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</si>
  <si>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</si>
  <si>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</si>
  <si>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</si>
  <si>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</si>
  <si>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</si>
  <si>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</si>
  <si>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</si>
  <si>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</si>
  <si>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</si>
  <si>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</si>
  <si>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</si>
  <si>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</si>
  <si>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</si>
  <si>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</si>
  <si>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</si>
  <si>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</si>
  <si>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</si>
  <si>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</si>
  <si>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</si>
  <si>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</si>
  <si>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</si>
  <si>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</si>
  <si>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</si>
  <si>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</si>
  <si>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</si>
  <si>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</si>
  <si>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</si>
  <si>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</si>
  <si>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</si>
  <si>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</si>
  <si>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</si>
  <si>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</si>
  <si>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</si>
  <si>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</si>
  <si>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</si>
  <si>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</si>
  <si>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</si>
  <si>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</si>
  <si>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</si>
  <si>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</si>
  <si>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</si>
  <si>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</si>
  <si>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</si>
  <si>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</si>
  <si>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</si>
  <si>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</si>
  <si>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</si>
  <si>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</si>
  <si>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</si>
  <si>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</si>
  <si>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</si>
  <si>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</si>
  <si>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</si>
  <si>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</si>
  <si>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</si>
  <si>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</si>
  <si>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</si>
  <si>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</si>
  <si>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</si>
  <si>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</si>
  <si>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</si>
  <si>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</si>
  <si>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</si>
  <si>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</si>
  <si>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</si>
  <si>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</si>
  <si>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</si>
  <si>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</si>
  <si>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</si>
  <si>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</si>
  <si>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</si>
  <si>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</si>
  <si>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</si>
  <si>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</si>
  <si>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</si>
  <si>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</si>
  <si>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</si>
  <si>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</si>
  <si>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</si>
  <si>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</si>
  <si>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</si>
  <si>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</si>
  <si>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</si>
  <si>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</si>
  <si>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</si>
  <si>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</si>
  <si>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</si>
  <si>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</si>
  <si>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</si>
  <si>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</si>
  <si>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</si>
  <si>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</si>
  <si>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</si>
  <si>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</si>
  <si>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</si>
  <si>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</si>
  <si>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</si>
  <si>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</si>
  <si>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</si>
  <si>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</si>
  <si>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</si>
  <si>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</si>
  <si>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</si>
  <si>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</si>
  <si>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</si>
  <si>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</si>
  <si>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</si>
  <si>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</si>
  <si>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</si>
  <si>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</si>
  <si>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</si>
  <si>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</si>
  <si>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</si>
  <si>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</si>
  <si>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</si>
  <si>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</si>
  <si>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</si>
  <si>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</si>
  <si>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</si>
  <si>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</si>
  <si>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</si>
  <si>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</si>
  <si>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</si>
  <si>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</si>
  <si>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</si>
  <si>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</si>
  <si>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</si>
  <si>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</si>
  <si>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</si>
  <si>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</si>
  <si>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</si>
  <si>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</si>
  <si>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</si>
  <si>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</si>
  <si>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</si>
  <si>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</si>
  <si>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</si>
  <si>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</si>
  <si>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</si>
  <si>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</si>
  <si>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</si>
  <si>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</si>
  <si>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</si>
  <si>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</si>
  <si>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</si>
  <si>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</si>
  <si>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</si>
  <si>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</si>
  <si>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</si>
  <si>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</si>
  <si>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</si>
  <si>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</si>
  <si>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</si>
  <si>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</si>
  <si>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</si>
  <si>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</si>
  <si>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</si>
  <si>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</si>
  <si>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</si>
  <si>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</si>
  <si>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</si>
  <si>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</si>
  <si>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</si>
  <si>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</si>
  <si>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</si>
  <si>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</si>
  <si>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</si>
  <si>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</si>
  <si>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</si>
  <si>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</si>
  <si>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</si>
  <si>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</si>
  <si>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</si>
  <si>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</si>
  <si>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</si>
  <si>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</si>
  <si>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</si>
  <si>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</si>
  <si>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</si>
  <si>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</si>
  <si>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</si>
  <si>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</si>
  <si>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</si>
  <si>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</si>
  <si>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</si>
  <si>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</si>
  <si>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</si>
  <si>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</si>
  <si>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</si>
  <si>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</si>
  <si>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</si>
  <si>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</si>
  <si>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</si>
  <si>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</si>
  <si>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</si>
  <si>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</si>
  <si>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</si>
  <si>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</si>
  <si>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</si>
  <si>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</si>
  <si>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</si>
  <si>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</si>
  <si>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</si>
  <si>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</si>
  <si>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</si>
  <si>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</si>
  <si>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</si>
  <si>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</si>
  <si>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</si>
  <si>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</si>
  <si>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</si>
  <si>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</si>
  <si>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</si>
  <si>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</si>
  <si>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</si>
  <si>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</si>
  <si>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</si>
  <si>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</si>
  <si>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</si>
  <si>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</si>
  <si>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</si>
  <si>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</si>
  <si>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</si>
  <si>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</si>
  <si>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</si>
  <si>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</si>
  <si>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</si>
  <si>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</si>
  <si>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</si>
  <si>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</si>
  <si>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</si>
  <si>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</si>
  <si>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</si>
  <si>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</si>
  <si>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</si>
  <si>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</si>
  <si>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</si>
  <si>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</si>
  <si>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</si>
  <si>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</si>
  <si>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</si>
  <si>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</si>
  <si>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</si>
  <si>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</si>
  <si>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</si>
  <si>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</si>
  <si>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</si>
  <si>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</si>
  <si>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</si>
  <si>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</si>
  <si>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</si>
  <si>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</si>
  <si>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</si>
  <si>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</si>
  <si>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</si>
  <si>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</si>
  <si>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</si>
  <si>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</si>
  <si>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</si>
  <si>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</si>
  <si>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</si>
  <si>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</si>
  <si>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</si>
  <si>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</si>
  <si>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</si>
  <si>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</si>
  <si>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</si>
  <si>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</si>
  <si>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</si>
  <si>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</si>
  <si>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</si>
  <si>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</si>
  <si>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</si>
  <si>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</si>
  <si>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</si>
  <si>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</si>
  <si>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</si>
  <si>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</si>
  <si>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</si>
  <si>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</si>
  <si>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</si>
  <si>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</si>
  <si>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</si>
  <si>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</si>
  <si>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</si>
  <si>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</si>
  <si>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</si>
  <si>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</si>
  <si>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</si>
  <si>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</si>
  <si>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</si>
  <si>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</si>
  <si>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</si>
  <si>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</si>
  <si>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</si>
  <si>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</si>
  <si>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</si>
  <si>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</si>
  <si>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</si>
  <si>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</si>
  <si>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</si>
  <si>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</si>
  <si>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</si>
  <si>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</si>
  <si>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</si>
  <si>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</si>
  <si>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</si>
  <si>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</si>
  <si>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</si>
  <si>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</si>
  <si>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</si>
  <si>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</si>
  <si>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</si>
  <si>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</si>
  <si>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</si>
  <si>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</si>
  <si>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</si>
  <si>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</si>
  <si>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</si>
  <si>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</si>
  <si>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</si>
  <si>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</si>
  <si>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</si>
  <si>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</si>
  <si>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</si>
  <si>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</si>
  <si>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</si>
  <si>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</si>
  <si>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</si>
  <si>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</si>
  <si>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</si>
  <si>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</si>
  <si>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</si>
  <si>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</si>
  <si>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</si>
  <si>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</si>
  <si>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</si>
  <si>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</si>
  <si>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</si>
  <si>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</si>
  <si>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</si>
  <si>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</si>
  <si>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</si>
  <si>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</si>
  <si>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</si>
  <si>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</si>
  <si>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</si>
  <si>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</si>
  <si>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</si>
  <si>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</si>
  <si>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</si>
  <si>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</si>
  <si>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</si>
  <si>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</si>
  <si>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</si>
  <si>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</si>
  <si>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</si>
  <si>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</si>
  <si>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</si>
  <si>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</si>
  <si>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</si>
  <si>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</si>
  <si>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</si>
  <si>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</si>
  <si>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</si>
  <si>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</si>
  <si>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</si>
  <si>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</si>
  <si>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</si>
  <si>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</si>
  <si>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</si>
  <si>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</si>
  <si>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</si>
  <si>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</si>
  <si>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</si>
  <si>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</si>
  <si>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</si>
  <si>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</si>
  <si>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</si>
  <si>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</si>
  <si>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</si>
  <si>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</si>
  <si>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</si>
  <si>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</si>
  <si>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</si>
  <si>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</si>
  <si>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</si>
  <si>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</si>
  <si>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</si>
  <si>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</si>
  <si>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</si>
  <si>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</si>
  <si>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</si>
  <si>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</si>
  <si>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</si>
  <si>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</si>
  <si>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</si>
  <si>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</si>
  <si>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</si>
  <si>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</si>
  <si>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</si>
  <si>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</si>
  <si>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</si>
  <si>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</si>
  <si>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</si>
  <si>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</si>
  <si>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</si>
  <si>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</si>
  <si>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</si>
  <si>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</si>
  <si>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</si>
  <si>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</si>
  <si>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</si>
  <si>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</si>
  <si>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</si>
  <si>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</si>
  <si>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</si>
  <si>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</si>
  <si>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</si>
  <si>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</si>
  <si>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</si>
  <si>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</si>
  <si>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</si>
  <si>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</si>
  <si>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</si>
  <si>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</si>
  <si>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</si>
  <si>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</si>
  <si>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</si>
  <si>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</si>
  <si>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</si>
  <si>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</si>
  <si>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</si>
  <si>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</si>
  <si>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</si>
  <si>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</si>
  <si>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</si>
  <si>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</si>
  <si>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</si>
  <si>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</si>
  <si>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</si>
  <si>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</si>
  <si>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</si>
  <si>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</si>
  <si>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</si>
  <si>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</si>
  <si>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</si>
  <si>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</si>
  <si>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</si>
  <si>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</si>
  <si>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</si>
  <si>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</si>
  <si>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</si>
  <si>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</si>
  <si>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</si>
  <si>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</si>
  <si>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</si>
  <si>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</si>
  <si>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</si>
  <si>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</si>
  <si>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</si>
  <si>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</si>
  <si>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</si>
  <si>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</si>
  <si>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</si>
  <si>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</si>
  <si>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</si>
  <si>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</si>
  <si>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</si>
  <si>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</si>
  <si>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</si>
  <si>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</si>
  <si>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</si>
  <si>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</si>
  <si>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</si>
  <si>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</si>
  <si>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</si>
  <si>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</si>
  <si>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</si>
  <si>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</si>
  <si>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</si>
  <si>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</si>
  <si>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</si>
  <si>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</si>
  <si>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</si>
  <si>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</si>
  <si>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</si>
  <si>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</si>
  <si>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</si>
  <si>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</si>
  <si>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</si>
  <si>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</si>
  <si>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</si>
  <si>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</si>
  <si>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</si>
  <si>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</si>
  <si>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</si>
  <si>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</si>
  <si>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</si>
  <si>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</si>
  <si>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</si>
  <si>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</si>
  <si>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</si>
  <si>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</si>
  <si>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</si>
  <si>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</si>
  <si>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</si>
  <si>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</si>
  <si>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</si>
  <si>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</si>
  <si>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</si>
  <si>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</si>
  <si>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</si>
  <si>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</si>
  <si>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</si>
  <si>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</si>
  <si>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</si>
  <si>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</si>
  <si>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</si>
  <si>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</si>
  <si>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</si>
  <si>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</si>
  <si>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</si>
  <si>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</si>
  <si>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</si>
  <si>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</si>
  <si>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</si>
  <si>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</si>
  <si>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</si>
  <si>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</si>
  <si>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</si>
  <si>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</si>
  <si>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</si>
  <si>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</si>
  <si>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</si>
  <si>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</si>
  <si>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</si>
  <si>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</si>
  <si>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</si>
  <si>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</si>
  <si>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</si>
  <si>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</si>
  <si>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</si>
  <si>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</si>
  <si>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</si>
  <si>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</si>
  <si>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</si>
  <si>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</si>
  <si>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</si>
  <si>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</si>
  <si>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</si>
  <si>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</si>
  <si>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</si>
  <si>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</si>
  <si>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</si>
  <si>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</si>
  <si>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</si>
  <si>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</si>
  <si>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</si>
  <si>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</si>
  <si>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</si>
  <si>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</si>
  <si>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</si>
  <si>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</si>
  <si>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</si>
  <si>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</si>
  <si>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</si>
  <si>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</si>
  <si>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</si>
  <si>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</si>
  <si>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</si>
  <si>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</si>
  <si>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</si>
  <si>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</si>
  <si>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</si>
  <si>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</si>
  <si>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</si>
  <si>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</si>
  <si>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</si>
  <si>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</si>
  <si>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</si>
  <si>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</si>
  <si>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</si>
  <si>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</si>
  <si>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</si>
  <si>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</si>
  <si>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</si>
  <si>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</si>
  <si>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</si>
  <si>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</si>
  <si>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</si>
  <si>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</si>
  <si>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</si>
  <si>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</si>
  <si>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</si>
  <si>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</si>
  <si>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</si>
  <si>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</si>
  <si>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</si>
  <si>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</si>
  <si>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</si>
  <si>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</si>
  <si>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</si>
  <si>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</si>
  <si>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</si>
  <si>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</si>
  <si>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</si>
  <si>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</si>
  <si>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</si>
  <si>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</si>
  <si>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</si>
  <si>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</si>
  <si>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</si>
  <si>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</si>
  <si>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</si>
  <si>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</si>
  <si>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</si>
  <si>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</si>
  <si>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</si>
  <si>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</si>
  <si>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</si>
  <si>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</si>
  <si>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</si>
  <si>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</si>
  <si>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</si>
  <si>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</si>
  <si>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</si>
  <si>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</si>
  <si>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</si>
  <si>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</si>
  <si>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</si>
  <si>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</si>
  <si>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</si>
  <si>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</si>
  <si>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</si>
  <si>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</si>
  <si>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</si>
  <si>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</si>
  <si>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</si>
  <si>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</si>
  <si>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</si>
  <si>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</si>
  <si>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</si>
  <si>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</si>
  <si>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</si>
  <si>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</si>
  <si>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</si>
  <si>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</si>
  <si>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</si>
  <si>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</si>
  <si>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</si>
  <si>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</si>
  <si>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</si>
  <si>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</si>
  <si>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</si>
  <si>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Secretary of State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</si>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</sst>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J28" sqref="J2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321</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185744</v>
      </c>
      <c r="K15" s="42"/>
      <c r="M15" s="105">
        <f>49965+135779</f>
        <v>185744</v>
      </c>
      <c r="P15" s="105">
        <v>185744</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72481</v>
      </c>
      <c r="N18" s="105">
        <f>18169+54312</f>
        <v>72481</v>
      </c>
      <c r="Q18" s="105">
        <v>72481</v>
      </c>
      <c r="S18" s="43">
        <f>N18-Q18</f>
        <v>0</v>
      </c>
      <c r="T18" s="47" t="s">
        <v>1635</v>
      </c>
    </row>
    <row r="19" spans="1:25" ht="16.5" customHeight="1" x14ac:dyDescent="0.25">
      <c r="A19" s="45"/>
      <c r="B19" s="49"/>
      <c r="C19" s="178" t="s">
        <v>1618</v>
      </c>
      <c r="D19" s="178"/>
      <c r="E19" s="178"/>
      <c r="F19" s="178"/>
      <c r="G19" s="178"/>
      <c r="H19" s="178"/>
      <c r="I19" s="178"/>
      <c r="J19" s="42"/>
      <c r="K19" s="41">
        <f>ROUND(N19,0)</f>
        <v>61629</v>
      </c>
      <c r="N19" s="105">
        <v>61629</v>
      </c>
      <c r="Q19" s="105">
        <v>61629</v>
      </c>
      <c r="S19" s="43">
        <f>N19-Q19</f>
        <v>0</v>
      </c>
      <c r="T19" s="47" t="s">
        <v>1635</v>
      </c>
      <c r="X19" s="18"/>
    </row>
    <row r="20" spans="1:25" ht="16.5" customHeight="1" x14ac:dyDescent="0.25">
      <c r="A20" s="45"/>
      <c r="B20" s="49"/>
      <c r="C20" s="178" t="s">
        <v>1584</v>
      </c>
      <c r="D20" s="178"/>
      <c r="E20" s="178"/>
      <c r="F20" s="178"/>
      <c r="G20" s="178"/>
      <c r="H20" s="178"/>
      <c r="I20" s="178"/>
      <c r="K20" s="41">
        <f>ROUND(Q20,0)</f>
        <v>51634</v>
      </c>
      <c r="N20" s="105">
        <f>15602+36032</f>
        <v>51634</v>
      </c>
      <c r="Q20" s="46">
        <f>IF(SUM($Q$18:$Q$19)&lt;$P$15,-SUM($Q$18:$Q$19)+$P$15,0)</f>
        <v>51634</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185744</v>
      </c>
      <c r="K22" s="51">
        <f>ROUND(SUM(K18:K21),0)</f>
        <v>185744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f>326402+177089+737864+67310+130028</f>
        <v>1438693</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f>326402+177089+676772+67310+130028</f>
        <v>1377601</v>
      </c>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v>61092</v>
      </c>
    </row>
    <row r="31" spans="1:25" ht="16.5" customHeight="1" x14ac:dyDescent="0.2">
      <c r="A31" s="65"/>
      <c r="B31" s="50"/>
      <c r="C31" s="50"/>
      <c r="D31" s="50"/>
      <c r="E31" s="50"/>
      <c r="F31" s="50"/>
      <c r="G31" s="50"/>
      <c r="H31" s="50"/>
      <c r="I31" s="50"/>
      <c r="J31" s="51">
        <f>ROUND(SUM(J28:J30),2)</f>
        <v>1438693</v>
      </c>
      <c r="K31" s="51">
        <f>ROUND(SUM(K28:K30),2)</f>
        <v>1438693</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f>326402+177089+737864+67310+130028</f>
        <v>1438693</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f>326402+177089+676772+67310+130028</f>
        <v>1377601</v>
      </c>
      <c r="K35" s="68"/>
    </row>
    <row r="36" spans="1:20" ht="16.5" customHeight="1" x14ac:dyDescent="0.2">
      <c r="A36" s="45"/>
      <c r="B36" s="69"/>
      <c r="C36" s="178" t="s">
        <v>1575</v>
      </c>
      <c r="D36" s="178"/>
      <c r="E36" s="178"/>
      <c r="F36" s="178"/>
      <c r="G36" s="178"/>
      <c r="H36" s="178"/>
      <c r="I36" s="178"/>
      <c r="J36" s="68"/>
      <c r="K36" s="105">
        <f>326402+177089+737864+67310+130028</f>
        <v>1438693</v>
      </c>
    </row>
    <row r="37" spans="1:20" ht="16.5" customHeight="1" x14ac:dyDescent="0.2">
      <c r="A37" s="45"/>
      <c r="C37" s="178" t="s">
        <v>1618</v>
      </c>
      <c r="D37" s="178"/>
      <c r="E37" s="178"/>
      <c r="F37" s="178"/>
      <c r="G37" s="178"/>
      <c r="H37" s="178"/>
      <c r="I37" s="178"/>
      <c r="J37" s="68"/>
      <c r="K37" s="105">
        <f>326402+177089+676772+67310+130028</f>
        <v>1377601</v>
      </c>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2816294</v>
      </c>
      <c r="K39" s="51">
        <f>ROUND(SUM(K36:K38),2)</f>
        <v>2816294</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353924</v>
      </c>
      <c r="K45" s="78"/>
    </row>
    <row r="46" spans="1:20" ht="16.5" customHeight="1" x14ac:dyDescent="0.2">
      <c r="A46" s="45"/>
      <c r="B46" s="69"/>
      <c r="C46" s="178" t="s">
        <v>1581</v>
      </c>
      <c r="D46" s="178"/>
      <c r="E46" s="178"/>
      <c r="F46" s="178"/>
      <c r="G46" s="178"/>
      <c r="H46" s="178"/>
      <c r="I46" s="178"/>
      <c r="J46" s="68"/>
      <c r="K46" s="105">
        <f>J45</f>
        <v>353924</v>
      </c>
    </row>
    <row r="47" spans="1:20" ht="16.5" customHeight="1" x14ac:dyDescent="0.2">
      <c r="A47" s="65"/>
      <c r="B47" s="50"/>
      <c r="C47" s="50"/>
      <c r="D47" s="50"/>
      <c r="E47" s="50"/>
      <c r="F47" s="50"/>
      <c r="G47" s="50"/>
      <c r="H47" s="50"/>
      <c r="I47" s="50"/>
      <c r="J47" s="79">
        <f>ROUND(SUM(J45:J45),2)</f>
        <v>353924</v>
      </c>
      <c r="K47" s="79">
        <f>ROUND(SUM(K46),2)</f>
        <v>353924</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756106</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13191</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769297</v>
      </c>
    </row>
    <row r="53" spans="1:20" ht="16.5" customHeight="1" x14ac:dyDescent="0.2">
      <c r="A53" s="65"/>
      <c r="B53" s="50"/>
      <c r="C53" s="50"/>
      <c r="D53" s="50"/>
      <c r="E53" s="50"/>
      <c r="F53" s="50"/>
      <c r="G53" s="50"/>
      <c r="H53" s="50"/>
      <c r="I53" s="50"/>
      <c r="J53" s="79">
        <f>ROUND(SUM(J50:J51),2)</f>
        <v>769297</v>
      </c>
      <c r="K53" s="79">
        <f>ROUND(SUM(K52,),2)</f>
        <v>769297</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756106</v>
      </c>
      <c r="K56" s="68"/>
    </row>
    <row r="57" spans="1:20" ht="16.5" customHeight="1" x14ac:dyDescent="0.25">
      <c r="A57" s="45"/>
      <c r="B57" s="49"/>
      <c r="C57" s="178" t="s">
        <v>1607</v>
      </c>
      <c r="D57" s="178"/>
      <c r="E57" s="178"/>
      <c r="F57" s="178"/>
      <c r="G57" s="178"/>
      <c r="H57" s="178"/>
      <c r="I57" s="178"/>
      <c r="J57" s="68"/>
      <c r="K57" s="105">
        <f>J50</f>
        <v>756106</v>
      </c>
      <c r="L57" s="27" t="str">
        <f>IF($J$50=$K$57,"","&lt;- Accts 0848 must agree")</f>
        <v/>
      </c>
    </row>
    <row r="58" spans="1:20" ht="16.5" customHeight="1" x14ac:dyDescent="0.2">
      <c r="A58" s="65"/>
      <c r="B58" s="50"/>
      <c r="C58" s="50"/>
      <c r="D58" s="50"/>
      <c r="E58" s="50"/>
      <c r="F58" s="50"/>
      <c r="G58" s="50"/>
      <c r="H58" s="50"/>
      <c r="I58" s="50"/>
      <c r="J58" s="79">
        <f>ROUND(SUM(J56:J56),2)</f>
        <v>756106</v>
      </c>
      <c r="K58" s="79">
        <f>ROUND(SUM(K57),2)</f>
        <v>756106</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395411</v>
      </c>
      <c r="K61" s="78"/>
    </row>
    <row r="62" spans="1:20" ht="16.5" customHeight="1" x14ac:dyDescent="0.25">
      <c r="A62" s="45"/>
      <c r="B62" s="49"/>
      <c r="C62" s="178" t="s">
        <v>1616</v>
      </c>
      <c r="D62" s="178"/>
      <c r="E62" s="178"/>
      <c r="F62" s="178"/>
      <c r="G62" s="178"/>
      <c r="H62" s="178"/>
      <c r="I62" s="178"/>
      <c r="J62" s="78"/>
      <c r="K62" s="105">
        <f>J61</f>
        <v>395411</v>
      </c>
    </row>
    <row r="63" spans="1:20" ht="16.5" customHeight="1" x14ac:dyDescent="0.2">
      <c r="A63" s="45"/>
      <c r="B63" s="192" t="s">
        <v>1615</v>
      </c>
      <c r="C63" s="192"/>
      <c r="D63" s="192"/>
      <c r="E63" s="192"/>
      <c r="F63" s="192"/>
      <c r="G63" s="192"/>
      <c r="H63" s="192"/>
      <c r="I63" s="192"/>
      <c r="J63" s="79">
        <f>ROUND(SUM(J61:J61),2)</f>
        <v>395411</v>
      </c>
      <c r="K63" s="79">
        <f>ROUND(SUM(K62),2)</f>
        <v>395411</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1624437</v>
      </c>
      <c r="N94" s="104"/>
    </row>
    <row r="95" spans="1:20" ht="16.5" customHeight="1" x14ac:dyDescent="0.25">
      <c r="D95" s="49" t="s">
        <v>1631</v>
      </c>
      <c r="E95" s="100"/>
      <c r="F95" s="100"/>
      <c r="G95" s="100"/>
      <c r="H95" s="27"/>
      <c r="I95" s="100"/>
      <c r="J95" s="100"/>
      <c r="K95" s="103">
        <f>-K18-K46+J68+J77</f>
        <v>-426405</v>
      </c>
      <c r="N95" s="102"/>
    </row>
    <row r="96" spans="1:20" ht="16.5" customHeight="1" x14ac:dyDescent="0.25">
      <c r="D96" s="49" t="s">
        <v>1629</v>
      </c>
      <c r="E96" s="100"/>
      <c r="F96" s="100"/>
      <c r="G96" s="100"/>
      <c r="H96" s="27"/>
      <c r="I96" s="100"/>
      <c r="J96" s="100"/>
      <c r="K96" s="103">
        <f>-K19-K37+J56+J61+J76-K85</f>
        <v>-287713</v>
      </c>
    </row>
    <row r="97" spans="1:11" ht="16.5" customHeight="1" x14ac:dyDescent="0.25">
      <c r="D97" s="49" t="s">
        <v>1630</v>
      </c>
      <c r="E97" s="100"/>
      <c r="F97" s="100"/>
      <c r="G97" s="100"/>
      <c r="H97" s="27"/>
      <c r="I97" s="100"/>
      <c r="J97" s="100"/>
      <c r="K97" s="103">
        <f>-K62</f>
        <v>-395411</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5D96-783C-45C2-BDEF-FF3692343CBE}">
  <sheetPr>
    <tabColor rgb="FF92D050"/>
    <pageSetUpPr fitToPage="1"/>
  </sheetPr>
  <dimension ref="A1:XFC115"/>
  <sheetViews>
    <sheetView topLeftCell="A48" zoomScale="70" zoomScaleNormal="70" workbookViewId="0">
      <selection activeCell="J61" sqref="J6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321</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228</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152586</v>
      </c>
      <c r="K15" s="42"/>
      <c r="M15" s="105">
        <v>152586</v>
      </c>
      <c r="P15" s="105">
        <v>152586</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55486</v>
      </c>
      <c r="N18" s="105">
        <v>55486</v>
      </c>
      <c r="Q18" s="105">
        <v>55486</v>
      </c>
      <c r="S18" s="43">
        <f>N18-Q18</f>
        <v>0</v>
      </c>
      <c r="T18" s="47" t="s">
        <v>1635</v>
      </c>
    </row>
    <row r="19" spans="1:25" ht="16.5" customHeight="1" x14ac:dyDescent="0.25">
      <c r="A19" s="45"/>
      <c r="B19" s="49"/>
      <c r="C19" s="178" t="s">
        <v>1618</v>
      </c>
      <c r="D19" s="178"/>
      <c r="E19" s="178"/>
      <c r="F19" s="178"/>
      <c r="G19" s="178"/>
      <c r="H19" s="178"/>
      <c r="I19" s="178"/>
      <c r="J19" s="42"/>
      <c r="K19" s="41">
        <f>ROUND(N19,0)</f>
        <v>51382</v>
      </c>
      <c r="N19" s="105">
        <v>51382</v>
      </c>
      <c r="Q19" s="105">
        <v>51383</v>
      </c>
      <c r="S19" s="43">
        <f>N19-Q19</f>
        <v>-1</v>
      </c>
      <c r="T19" s="47" t="s">
        <v>1635</v>
      </c>
      <c r="X19" s="18"/>
    </row>
    <row r="20" spans="1:25" ht="16.5" customHeight="1" x14ac:dyDescent="0.25">
      <c r="A20" s="45"/>
      <c r="B20" s="49"/>
      <c r="C20" s="178" t="s">
        <v>1584</v>
      </c>
      <c r="D20" s="178"/>
      <c r="E20" s="178"/>
      <c r="F20" s="178"/>
      <c r="G20" s="178"/>
      <c r="H20" s="178"/>
      <c r="I20" s="178"/>
      <c r="K20" s="41">
        <f>ROUND(Q20,0)</f>
        <v>45717</v>
      </c>
      <c r="N20" s="105">
        <v>45718</v>
      </c>
      <c r="Q20" s="46">
        <f>IF(SUM($Q$18:$Q$19)&lt;$P$15,-SUM($Q$18:$Q$19)+$P$15,0)</f>
        <v>45717</v>
      </c>
      <c r="S20" s="43">
        <f>N20-Q20</f>
        <v>1</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1</v>
      </c>
      <c r="N21" s="105"/>
      <c r="S21" s="43">
        <f>N21-Q21</f>
        <v>0</v>
      </c>
      <c r="T21" s="47" t="s">
        <v>1635</v>
      </c>
      <c r="Y21" s="19"/>
    </row>
    <row r="22" spans="1:25" ht="16.5" customHeight="1" x14ac:dyDescent="0.2">
      <c r="A22" s="45"/>
      <c r="B22" s="50"/>
      <c r="C22" s="50"/>
      <c r="D22" s="50"/>
      <c r="E22" s="50"/>
      <c r="F22" s="50"/>
      <c r="G22" s="50"/>
      <c r="H22" s="50"/>
      <c r="I22" s="50"/>
      <c r="J22" s="51">
        <f>ROUND(SUM(J15:J17),0)</f>
        <v>152586</v>
      </c>
      <c r="K22" s="51">
        <f>ROUND(SUM(K18:K21),0)</f>
        <v>152586</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55486</v>
      </c>
      <c r="K45" s="78"/>
    </row>
    <row r="46" spans="1:20" ht="16.5" customHeight="1" x14ac:dyDescent="0.2">
      <c r="A46" s="45"/>
      <c r="B46" s="69"/>
      <c r="C46" s="178" t="s">
        <v>1581</v>
      </c>
      <c r="D46" s="178"/>
      <c r="E46" s="178"/>
      <c r="F46" s="178"/>
      <c r="G46" s="178"/>
      <c r="H46" s="178"/>
      <c r="I46" s="178"/>
      <c r="J46" s="68"/>
      <c r="K46" s="105">
        <f>J45</f>
        <v>55486</v>
      </c>
    </row>
    <row r="47" spans="1:20" ht="16.5" customHeight="1" x14ac:dyDescent="0.2">
      <c r="A47" s="65"/>
      <c r="B47" s="50"/>
      <c r="C47" s="50"/>
      <c r="D47" s="50"/>
      <c r="E47" s="50"/>
      <c r="F47" s="50"/>
      <c r="G47" s="50"/>
      <c r="H47" s="50"/>
      <c r="I47" s="50"/>
      <c r="J47" s="79">
        <f>ROUND(SUM(J45:J45),2)</f>
        <v>55486</v>
      </c>
      <c r="K47" s="79">
        <f>ROUND(SUM(K46),2)</f>
        <v>55486</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51382</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932</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52314</v>
      </c>
    </row>
    <row r="53" spans="1:20" ht="16.5" customHeight="1" x14ac:dyDescent="0.2">
      <c r="A53" s="65"/>
      <c r="B53" s="50"/>
      <c r="C53" s="50"/>
      <c r="D53" s="50"/>
      <c r="E53" s="50"/>
      <c r="F53" s="50"/>
      <c r="G53" s="50"/>
      <c r="H53" s="50"/>
      <c r="I53" s="50"/>
      <c r="J53" s="79">
        <f>ROUND(SUM(J50:J51),2)</f>
        <v>52314</v>
      </c>
      <c r="K53" s="79">
        <f>ROUND(SUM(K52,),2)</f>
        <v>52314</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51382</v>
      </c>
      <c r="K56" s="68"/>
    </row>
    <row r="57" spans="1:20" ht="16.5" customHeight="1" x14ac:dyDescent="0.25">
      <c r="A57" s="45"/>
      <c r="B57" s="49"/>
      <c r="C57" s="178" t="s">
        <v>1607</v>
      </c>
      <c r="D57" s="178"/>
      <c r="E57" s="178"/>
      <c r="F57" s="178"/>
      <c r="G57" s="178"/>
      <c r="H57" s="178"/>
      <c r="I57" s="178"/>
      <c r="J57" s="68"/>
      <c r="K57" s="105">
        <f>J50</f>
        <v>51382</v>
      </c>
      <c r="L57" s="27" t="str">
        <f>IF($J$50=$K$57,"","&lt;- Accts 0848 must agree")</f>
        <v/>
      </c>
    </row>
    <row r="58" spans="1:20" ht="16.5" customHeight="1" x14ac:dyDescent="0.2">
      <c r="A58" s="65"/>
      <c r="B58" s="50"/>
      <c r="C58" s="50"/>
      <c r="D58" s="50"/>
      <c r="E58" s="50"/>
      <c r="F58" s="50"/>
      <c r="G58" s="50"/>
      <c r="H58" s="50"/>
      <c r="I58" s="50"/>
      <c r="J58" s="79">
        <f>ROUND(SUM(J56:J56),2)</f>
        <v>51382</v>
      </c>
      <c r="K58" s="79">
        <f>ROUND(SUM(K57),2)</f>
        <v>51382</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0</v>
      </c>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152586</v>
      </c>
      <c r="N94" s="104"/>
    </row>
    <row r="95" spans="1:20" ht="16.5" customHeight="1" x14ac:dyDescent="0.25">
      <c r="D95" s="49" t="s">
        <v>1631</v>
      </c>
      <c r="E95" s="100"/>
      <c r="F95" s="100"/>
      <c r="G95" s="100"/>
      <c r="H95" s="27"/>
      <c r="I95" s="100"/>
      <c r="J95" s="100"/>
      <c r="K95" s="103">
        <f>-K18-K46+J68+J77</f>
        <v>-110972</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674920C4-9DD8-4C17-9A5E-11E8738874DC}">
      <formula1>0</formula1>
    </dataValidation>
    <dataValidation type="whole" operator="greaterThanOrEqual" allowBlank="1" showErrorMessage="1" errorTitle="Whole Numbers Only" error="Enter amounts as whole numbers only." promptTitle="Whole Numbers" prompt="Enter whole numbers only." sqref="J15:J17 K18:K21" xr:uid="{A5A8ABBD-071F-4C1B-831F-2958D49FD420}">
      <formula1>0</formula1>
    </dataValidation>
    <dataValidation type="textLength" operator="equal" allowBlank="1" showInputMessage="1" showErrorMessage="1" errorTitle="4-Digit Org Code" error="Enter the Org Code/BU as 4 digits." sqref="F5" xr:uid="{A169337E-DD87-48F7-AE62-6B9EDE96162C}">
      <formula1>4</formula1>
    </dataValidation>
    <dataValidation type="textLength" operator="lessThan" allowBlank="1" showInputMessage="1" showErrorMessage="1" sqref="E11 A6:A8" xr:uid="{A1BB88A6-648C-4F62-B849-EAE9354DE78C}">
      <formula1>0</formula1>
    </dataValidation>
    <dataValidation operator="lessThan" allowBlank="1" showInputMessage="1" showErrorMessage="1" sqref="A3:A5 A7:A8 A11" xr:uid="{3183547B-7423-455A-97A8-25F8550E567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C2CE58FB-C634-4683-B5DD-794B5CD033F4}">
          <x14:formula1>
            <xm:f>'Drop Down Menus'!$B$1:$B$3</xm:f>
          </x14:formula1>
          <xm:sqref>F7</xm:sqref>
        </x14:dataValidation>
        <x14:dataValidation type="list" allowBlank="1" showInputMessage="1" showErrorMessage="1" xr:uid="{98870F55-1C25-49D6-9A37-39EE1A1C3272}">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31" sqref="B3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890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395411</v>
      </c>
      <c r="C16" s="2">
        <v>15324</v>
      </c>
      <c r="D16" s="207" t="s">
        <v>1536</v>
      </c>
      <c r="E16" s="118"/>
      <c r="F16" s="118"/>
      <c r="G16" s="118"/>
      <c r="H16" s="118"/>
      <c r="I16" s="118"/>
      <c r="J16" s="118"/>
      <c r="K16" s="118"/>
    </row>
    <row r="17" spans="1:11" ht="15" customHeight="1" x14ac:dyDescent="0.2">
      <c r="A17" s="115" t="str">
        <f>LEFT(A16,4)+1&amp;"–"&amp;RIGHT(A16,4)+1</f>
        <v>2025–2026</v>
      </c>
      <c r="B17" s="2">
        <v>287713</v>
      </c>
      <c r="C17" s="2">
        <v>5057</v>
      </c>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1656</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890</v>
      </c>
      <c r="C43" s="203"/>
    </row>
    <row r="44" spans="1:11" ht="15.75" x14ac:dyDescent="0.25">
      <c r="A44" s="113" t="s">
        <v>1594</v>
      </c>
      <c r="B44" s="204" t="str">
        <f>B13</f>
        <v>Secretary of State</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890</v>
      </c>
      <c r="C74" s="203"/>
    </row>
    <row r="75" spans="1:4" ht="15.75" x14ac:dyDescent="0.25">
      <c r="A75" s="113" t="s">
        <v>1594</v>
      </c>
      <c r="B75" s="204" t="str">
        <f>B13</f>
        <v>Secretary of State</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N10" sqref="N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0890 Secretary of State</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Entries'!$K$19,0)+IF('Fund 0228 Journal Entries'!$F$7="Governmental Fund",'Fund 0228 Journal Entries'!$K$19,0)</f>
        <v>113011</v>
      </c>
      <c r="H10" s="3">
        <f>IF('Fund 0001 Journal Entries'!$F$7="Governmental Fund",SUM('Fund 0001 Journal Entries'!$K$37,'Fund 0001 Journal Entries'!$K$85),0)+IF('Fund 0228 Journal Entries'!$F$7="Governmental Fund",SUM('Fund 0228 Journal Entries'!$K$37,'Fund 0228 Journal Entries'!$K$85),0)</f>
        <v>1377601</v>
      </c>
      <c r="J10" s="3">
        <f>IF('Fund 0001 Journal Entries'!$F$7="Governmental Fund",SUM('Fund 0001 Journal Entries'!$J$56,'Fund 0001 Journal Entries'!$J$76),0)+IF('Fund 0228 Journal Entries'!$F$7="Governmental Fund",SUM('Fund 0228 Journal Entries'!$J$56,'Fund 0228 Journal Entries'!$J$76),0)</f>
        <v>807488</v>
      </c>
      <c r="L10" s="134">
        <f>SUM(F10+H10-J10)</f>
        <v>683124</v>
      </c>
      <c r="N10" s="3">
        <f>IF('Fund 0001 Journal Entries'!$F$7="Governmental Fund",'Fund 0001 Journal Entries'!$J$61,0)+IF('Fund 0228 Journal Entries'!$F$7="Governmental Fund",'Fund 0228 Journal Entries'!$J$61,0)</f>
        <v>395411</v>
      </c>
      <c r="P10" s="134">
        <f>L10-N10</f>
        <v>287713</v>
      </c>
      <c r="Q10" s="129"/>
    </row>
    <row r="11" spans="2:17" ht="19.5" thickTop="1" thickBot="1" x14ac:dyDescent="0.3">
      <c r="B11" s="128"/>
      <c r="C11" s="208" t="s">
        <v>14</v>
      </c>
      <c r="D11" s="208"/>
      <c r="F11" s="135">
        <f>SUM(F10:F10)</f>
        <v>113011</v>
      </c>
      <c r="H11" s="135">
        <f>SUM(H10:H10)</f>
        <v>1377601</v>
      </c>
      <c r="J11" s="135">
        <f>SUM(J10:J10)</f>
        <v>807488</v>
      </c>
      <c r="L11" s="135">
        <f>SUM(L10:L10)</f>
        <v>683124</v>
      </c>
      <c r="N11" s="135">
        <f>SUM(N10:N10)</f>
        <v>395411</v>
      </c>
      <c r="P11" s="135">
        <f>SUM(P10:P10)</f>
        <v>287713</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J18" sqref="J18"/>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Entries'!$K$19,0),0)+IF('Fund 0228 Journal Entries'!$F$7="Governmental Fund",ROUND('Fund 0228 Journal Entries'!$K$19,0),0)</f>
        <v>113011</v>
      </c>
      <c r="C17" s="21" t="s">
        <v>1551</v>
      </c>
      <c r="D17" s="10">
        <f>IF('Fund 0001 Journal Entries'!$F$7="Governmental Fund",ROUND('Fund 0001 Journal Entries'!$K$37,0),0)+IF('Fund 0228 Journal Entries'!$F$7="Governmental Fund",ROUND('Fund 0228 Journal Entries'!$K$37,0),0)</f>
        <v>1377601</v>
      </c>
      <c r="E17" s="22" t="s">
        <v>1553</v>
      </c>
      <c r="F17" s="10">
        <f>IF('Fund 0001 Journal Entries'!$F$7="Governmental Fund",ROUND('Fund 0001 Journal Entries'!$J$56,0),0)+IF('Fund 0228 Journal Entries'!$F$7="Governmental Fund",ROUND('Fund 0228 Journal Entries'!$J$56,0),0)</f>
        <v>807488</v>
      </c>
      <c r="G17" s="22" t="s">
        <v>1553</v>
      </c>
      <c r="H17" s="10">
        <f>IF('Fund 0001 Journal Entries'!$F$7="Governmental Fund",ROUND('Fund 0001 Journal Entries'!$J$76,0),0)+IF('Fund 0228 Journal Entries'!$F$7="Governmental Fund",ROUND('Fund 0228 Journal Entries'!$J$76,0),0)</f>
        <v>0</v>
      </c>
      <c r="I17" s="22" t="s">
        <v>1551</v>
      </c>
      <c r="J17" s="10">
        <f>IF('Fund 0001 Journal Entries'!$F$7="Governmental Fund",ROUND('Fund 0001 Journal Entries'!$K$85,0),0)+IF('Fund 0228 Journal Entries'!$F$7="Governmental Fund",ROUND('Fund 0228 Journal Entries'!$K$85,0),0)</f>
        <v>0</v>
      </c>
      <c r="K17" s="22" t="s">
        <v>1555</v>
      </c>
      <c r="L17" s="11">
        <f>+B17+D17-F17</f>
        <v>683124</v>
      </c>
      <c r="M17" s="22"/>
      <c r="N17" s="12">
        <f>ROUND(SUM('Department Note Disclosure'!$B$16:$B$39),0)</f>
        <v>683124</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Entries'!$K$62,0),0)+IF('Fund 0228 Journal Entries'!$F$7="Governmental Fund",ROUND('Fund 0228 Journal Entries'!$K$62,0),0)</f>
        <v>395411</v>
      </c>
      <c r="C42" s="160"/>
      <c r="D42" s="159"/>
      <c r="E42" s="159"/>
      <c r="F42" s="159"/>
      <c r="G42" s="145"/>
      <c r="H42" s="159"/>
      <c r="I42" s="149"/>
      <c r="J42" s="159"/>
      <c r="K42" s="145"/>
      <c r="L42" s="158"/>
      <c r="M42" s="23"/>
      <c r="N42" s="12">
        <f>ROUND('Department Note Disclosure'!$B$16,0)</f>
        <v>395411</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113011</v>
      </c>
      <c r="I64" s="25" t="s">
        <v>1555</v>
      </c>
      <c r="J64" s="14">
        <f>SUM(D64)</f>
        <v>113011</v>
      </c>
      <c r="L64" s="164" t="str">
        <f>CONCATENATE("Balance July 1, ",LEFT('Department Note Disclosure'!$B$11,4))</f>
        <v>Balance July 1, 2023</v>
      </c>
      <c r="N64" s="14">
        <f>ROUND('SBITA Liabilities'!$F$10,0)</f>
        <v>113011</v>
      </c>
      <c r="P64" s="13">
        <f>J64-N64</f>
        <v>0</v>
      </c>
    </row>
    <row r="65" spans="1:16383" x14ac:dyDescent="0.25">
      <c r="B65" s="162" t="s">
        <v>1620</v>
      </c>
      <c r="D65" s="14">
        <f>$D$17</f>
        <v>1377601</v>
      </c>
      <c r="E65" s="165" t="s">
        <v>1551</v>
      </c>
      <c r="F65" s="150" t="s">
        <v>1646</v>
      </c>
      <c r="H65" s="14">
        <f>J17</f>
        <v>0</v>
      </c>
      <c r="I65" s="25" t="s">
        <v>1555</v>
      </c>
      <c r="J65" s="14">
        <f>SUM(D65,H65)</f>
        <v>1377601</v>
      </c>
      <c r="L65" s="164" t="s">
        <v>9</v>
      </c>
      <c r="N65" s="14">
        <f>ROUND('SBITA Liabilities'!$H$10,0)</f>
        <v>1377601</v>
      </c>
      <c r="P65" s="13">
        <f>J65-N65</f>
        <v>0</v>
      </c>
    </row>
    <row r="66" spans="1:16383" x14ac:dyDescent="0.25">
      <c r="B66" s="162" t="s">
        <v>1554</v>
      </c>
      <c r="D66" s="14">
        <f>$F$17</f>
        <v>807488</v>
      </c>
      <c r="E66" s="165" t="s">
        <v>1551</v>
      </c>
      <c r="F66" s="150" t="s">
        <v>1645</v>
      </c>
      <c r="H66" s="14">
        <f>H17</f>
        <v>0</v>
      </c>
      <c r="I66" s="25" t="s">
        <v>1555</v>
      </c>
      <c r="J66" s="14">
        <f>SUM(D66,H66)</f>
        <v>807488</v>
      </c>
      <c r="L66" s="164" t="s">
        <v>10</v>
      </c>
      <c r="N66" s="14">
        <f>ROUND('SBITA Liabilities'!$J$10,0)</f>
        <v>807488</v>
      </c>
      <c r="P66" s="13">
        <f>J66-N66</f>
        <v>0</v>
      </c>
    </row>
    <row r="67" spans="1:16383" x14ac:dyDescent="0.25">
      <c r="B67" s="162" t="s">
        <v>1558</v>
      </c>
      <c r="D67" s="14">
        <f>$B$42</f>
        <v>395411</v>
      </c>
      <c r="I67" s="25" t="s">
        <v>1555</v>
      </c>
      <c r="J67" s="14">
        <f>SUM(D67)</f>
        <v>395411</v>
      </c>
      <c r="L67" s="164" t="s">
        <v>11</v>
      </c>
      <c r="N67" s="14">
        <f>ROUND('SBITA Liabilities'!$N$10,0)</f>
        <v>395411</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0228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0228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2025-02-26T19:13:39Z</dcterms:modified>
</cp:coreProperties>
</file>