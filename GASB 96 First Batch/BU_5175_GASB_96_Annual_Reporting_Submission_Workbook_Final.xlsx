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88E264DF-B1E2-42B3-8EE5-AD6C9605BDDF}" xr6:coauthVersionLast="47" xr6:coauthVersionMax="47" xr10:uidLastSave="{00000000-0000-0000-0000-000000000000}"/>
  <bookViews>
    <workbookView xWindow="20370" yWindow="-120" windowWidth="38640" windowHeight="15840" xr2:uid="{00000000-000D-0000-FFFF-FFFF00000000}"/>
  </bookViews>
  <sheets>
    <sheet name="Fund 0890 Journal Entries" sheetId="11" r:id="rId1"/>
    <sheet name="Fund 0001 Journal Entries" sheetId="2"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1">'Fund 0001 Journal Entries'!$A$1:$K$99</definedName>
    <definedName name="_xlnm.Print_Area" localSheetId="0">'Fund 0890 Journal Entries'!$A$1:$K$99</definedName>
    <definedName name="_xlnm.Print_Area" localSheetId="3">'SBITA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9" l="1"/>
  <c r="N10" i="4"/>
  <c r="F17" i="9"/>
  <c r="B17" i="9"/>
  <c r="J10" i="4"/>
  <c r="F10" i="4"/>
  <c r="K86" i="11" l="1"/>
  <c r="J86" i="11"/>
  <c r="L86" i="11" s="1"/>
  <c r="L81" i="11"/>
  <c r="K81" i="11"/>
  <c r="J81" i="11"/>
  <c r="K70" i="11"/>
  <c r="J68" i="11"/>
  <c r="J70" i="11" s="1"/>
  <c r="L70" i="11" s="1"/>
  <c r="J63" i="11"/>
  <c r="K62" i="11"/>
  <c r="K97" i="11" s="1"/>
  <c r="K57" i="11"/>
  <c r="L50" i="11" s="1"/>
  <c r="J56" i="11"/>
  <c r="J58" i="11" s="1"/>
  <c r="J53" i="11"/>
  <c r="K52" i="11"/>
  <c r="K53" i="11" s="1"/>
  <c r="B51" i="11"/>
  <c r="J47" i="11"/>
  <c r="K46" i="11"/>
  <c r="K47" i="11" s="1"/>
  <c r="K39" i="11"/>
  <c r="J39" i="11"/>
  <c r="L39" i="11" s="1"/>
  <c r="K31" i="11"/>
  <c r="J31" i="11"/>
  <c r="L31" i="11" s="1"/>
  <c r="A26" i="11"/>
  <c r="S21" i="11"/>
  <c r="Q20" i="11"/>
  <c r="S20" i="11" s="1"/>
  <c r="K20" i="11"/>
  <c r="S19" i="11"/>
  <c r="K19" i="11"/>
  <c r="S18" i="11"/>
  <c r="K18" i="11"/>
  <c r="S17" i="11"/>
  <c r="P16" i="11"/>
  <c r="S16" i="11" s="1"/>
  <c r="J16" i="11"/>
  <c r="S15" i="11"/>
  <c r="J15" i="11"/>
  <c r="B14" i="11"/>
  <c r="A12" i="11"/>
  <c r="F8" i="11"/>
  <c r="C38" i="11" s="1"/>
  <c r="L47" i="11" l="1"/>
  <c r="L58" i="11"/>
  <c r="L57" i="11"/>
  <c r="K58" i="11"/>
  <c r="K96" i="11"/>
  <c r="K21" i="11"/>
  <c r="K22" i="11" s="1"/>
  <c r="L53" i="11"/>
  <c r="C52" i="11"/>
  <c r="J17" i="11"/>
  <c r="J22" i="11" s="1"/>
  <c r="B78" i="11"/>
  <c r="C80" i="11"/>
  <c r="C30" i="11"/>
  <c r="K95" i="11"/>
  <c r="K63" i="11"/>
  <c r="L63" i="11" s="1"/>
  <c r="K94" i="11"/>
  <c r="L22" i="11" l="1"/>
  <c r="N18" i="4" l="1"/>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8" i="4" l="1"/>
  <c r="Q20" i="2"/>
  <c r="P16" i="2"/>
  <c r="S16" i="2" l="1"/>
  <c r="J16" i="2"/>
  <c r="S20" i="2"/>
  <c r="K20" i="2"/>
  <c r="D89" i="3"/>
  <c r="D58" i="3"/>
  <c r="K21" i="2" l="1"/>
  <c r="K22" i="2" s="1"/>
  <c r="J17" i="2"/>
  <c r="J22" i="2" s="1"/>
  <c r="D27" i="3"/>
  <c r="D17" i="9" l="1"/>
  <c r="B25" i="9"/>
  <c r="D25" i="9"/>
  <c r="F25" i="9"/>
  <c r="B34" i="9"/>
  <c r="D34" i="9"/>
  <c r="F34" i="9"/>
  <c r="B49" i="9"/>
  <c r="B56" i="9"/>
  <c r="N14" i="4"/>
  <c r="F14" i="4"/>
  <c r="N74" i="9" s="1"/>
  <c r="F18" i="4"/>
  <c r="K53" i="2"/>
  <c r="L34" i="9" l="1"/>
  <c r="L25" i="9"/>
  <c r="C5" i="4"/>
  <c r="D86" i="3"/>
  <c r="D55" i="3"/>
  <c r="D24" i="3"/>
  <c r="L17" i="9" l="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<sst xmlns="http://schemas.openxmlformats.org/spreadsheetml/2006/main" count="7704" uniqueCount="1657">
  <si>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</si>
  <si>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</si>
  <si>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</si>
  <si>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</si>
  <si>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</si>
  <si>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</si>
  <si>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</si>
  <si>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</si>
  <si>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</si>
  <si>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</si>
  <si>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</si>
  <si>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</si>
  <si>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</si>
  <si>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</si>
  <si>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</si>
  <si>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</si>
  <si>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</si>
  <si>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</si>
  <si>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</si>
  <si>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</si>
  <si>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</si>
  <si>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</si>
  <si>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</si>
  <si>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</si>
  <si>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</si>
  <si>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</si>
  <si>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</si>
  <si>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</si>
  <si>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</si>
  <si>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</si>
  <si>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</si>
  <si>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</si>
  <si>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</si>
  <si>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</si>
  <si>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</si>
  <si>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</si>
  <si>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</si>
  <si>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</si>
  <si>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</si>
  <si>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</si>
  <si>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</si>
  <si>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</si>
  <si>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</si>
  <si>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</si>
  <si>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</si>
  <si>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</si>
  <si>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</si>
  <si>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</si>
  <si>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</si>
  <si>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</si>
  <si>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</si>
  <si>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</si>
  <si>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</si>
  <si>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</si>
  <si>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</si>
  <si>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</si>
  <si>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</si>
  <si>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</si>
  <si>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</si>
  <si>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</si>
  <si>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</si>
  <si>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</si>
  <si>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</si>
  <si>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</si>
  <si>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</si>
  <si>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</si>
  <si>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</si>
  <si>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</si>
  <si>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</si>
  <si>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</si>
  <si>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</si>
  <si>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</si>
  <si>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</si>
  <si>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</si>
  <si>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</si>
  <si>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</si>
  <si>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</si>
  <si>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</si>
  <si>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</si>
  <si>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</si>
  <si>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</si>
  <si>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</si>
  <si>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</si>
  <si>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</si>
  <si>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</si>
  <si>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</si>
  <si>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</si>
  <si>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</si>
  <si>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</si>
  <si>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</si>
  <si>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</si>
  <si>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</si>
  <si>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</si>
  <si>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</si>
  <si>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</si>
  <si>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</si>
  <si>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</si>
  <si>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</si>
  <si>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</si>
  <si>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</si>
  <si>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</si>
  <si>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</si>
  <si>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</si>
  <si>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</si>
  <si>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</si>
  <si>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</si>
  <si>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</si>
  <si>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</si>
  <si>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</si>
  <si>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</si>
  <si>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</si>
  <si>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</si>
  <si>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</si>
  <si>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</si>
  <si>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</si>
  <si>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</si>
  <si>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</si>
  <si>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</si>
  <si>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</si>
  <si>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</si>
  <si>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</si>
  <si>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</si>
  <si>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</si>
  <si>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</si>
  <si>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</si>
  <si>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</si>
  <si>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</si>
  <si>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</si>
  <si>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</si>
  <si>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</si>
  <si>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</si>
  <si>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</si>
  <si>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</si>
  <si>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</si>
  <si>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</si>
  <si>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</si>
  <si>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</si>
  <si>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</si>
  <si>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</si>
  <si>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</si>
  <si>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</si>
  <si>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</si>
  <si>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</si>
  <si>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</si>
  <si>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</si>
  <si>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</si>
  <si>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</si>
  <si>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</si>
  <si>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</si>
  <si>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</si>
  <si>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</si>
  <si>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</si>
  <si>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</si>
  <si>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</si>
  <si>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</si>
  <si>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</si>
  <si>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</si>
  <si>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</si>
  <si>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</si>
  <si>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</si>
  <si>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</si>
  <si>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</si>
  <si>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</si>
  <si>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</si>
  <si>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</si>
  <si>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</si>
  <si>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</si>
  <si>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</si>
  <si>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</si>
  <si>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</si>
  <si>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</si>
  <si>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</si>
  <si>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</si>
  <si>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</si>
  <si>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</si>
  <si>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</si>
  <si>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</si>
  <si>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</si>
  <si>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</si>
  <si>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</si>
  <si>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</si>
  <si>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</si>
  <si>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</si>
  <si>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</si>
  <si>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</si>
  <si>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</si>
  <si>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</si>
  <si>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</si>
  <si>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</si>
  <si>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</si>
  <si>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</si>
  <si>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</si>
  <si>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</si>
  <si>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</si>
  <si>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</si>
  <si>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</si>
  <si>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</si>
  <si>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</si>
  <si>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</si>
  <si>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</si>
  <si>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</si>
  <si>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</si>
  <si>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</si>
  <si>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</si>
  <si>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</si>
  <si>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</si>
  <si>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</si>
  <si>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</si>
  <si>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</si>
  <si>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</si>
  <si>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</si>
  <si>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</si>
  <si>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</si>
  <si>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</si>
  <si>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</si>
  <si>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</si>
  <si>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</si>
  <si>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</si>
  <si>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</si>
  <si>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</si>
  <si>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</si>
  <si>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</si>
  <si>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</si>
  <si>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</si>
  <si>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</si>
  <si>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</si>
  <si>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</si>
  <si>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</si>
  <si>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</si>
  <si>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</si>
  <si>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</si>
  <si>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</si>
  <si>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</si>
  <si>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</si>
  <si>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</si>
  <si>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</si>
  <si>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</si>
  <si>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</si>
  <si>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</si>
  <si>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</si>
  <si>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</si>
  <si>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</si>
  <si>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</si>
  <si>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</si>
  <si>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</si>
  <si>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</si>
  <si>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</si>
  <si>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</si>
  <si>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</si>
  <si>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</si>
  <si>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</si>
  <si>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</si>
  <si>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</si>
  <si>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</si>
  <si>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</si>
  <si>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</si>
  <si>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</si>
  <si>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</si>
  <si>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</si>
  <si>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</si>
  <si>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</si>
  <si>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</si>
  <si>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</si>
  <si>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</si>
  <si>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</si>
  <si>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</si>
  <si>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</si>
  <si>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</si>
  <si>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</si>
  <si>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</si>
  <si>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</si>
  <si>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</si>
  <si>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</si>
  <si>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</si>
  <si>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</si>
  <si>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</si>
  <si>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</si>
  <si>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</si>
  <si>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</si>
  <si>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</si>
  <si>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</si>
  <si>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</si>
  <si>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</si>
  <si>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</si>
  <si>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</si>
  <si>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</si>
  <si>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</si>
  <si>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</si>
  <si>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</si>
  <si>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</si>
  <si>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</si>
  <si>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</si>
  <si>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</si>
  <si>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</si>
  <si>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</si>
  <si>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</si>
  <si>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</si>
  <si>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</si>
  <si>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</si>
  <si>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</si>
  <si>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</si>
  <si>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</si>
  <si>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</si>
  <si>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</si>
  <si>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</si>
  <si>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</si>
  <si>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</si>
  <si>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</si>
  <si>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</si>
  <si>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</si>
  <si>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</si>
  <si>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</si>
  <si>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</si>
  <si>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</si>
  <si>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</si>
  <si>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</si>
  <si>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</si>
  <si>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</si>
  <si>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</si>
  <si>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</si>
  <si>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</si>
  <si>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</si>
  <si>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</si>
  <si>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</si>
  <si>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</si>
  <si>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</si>
  <si>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</si>
  <si>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</si>
  <si>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</si>
  <si>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</si>
  <si>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</si>
  <si>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</si>
  <si>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</si>
  <si>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</si>
  <si>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</si>
  <si>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</si>
  <si>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</si>
  <si>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</si>
  <si>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</si>
  <si>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</si>
  <si>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</si>
  <si>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</si>
  <si>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</si>
  <si>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</si>
  <si>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</si>
  <si>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</si>
  <si>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</si>
  <si>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</si>
  <si>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</si>
  <si>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</si>
  <si>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</si>
  <si>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</si>
  <si>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</si>
  <si>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</si>
  <si>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</si>
  <si>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</si>
  <si>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</si>
  <si>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</si>
  <si>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</si>
  <si>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</si>
  <si>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</si>
  <si>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</si>
  <si>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</si>
  <si>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</si>
  <si>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</si>
  <si>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</si>
  <si>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</si>
  <si>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</si>
  <si>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</si>
  <si>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</si>
  <si>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</si>
  <si>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</si>
  <si>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</si>
  <si>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</si>
  <si>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</si>
  <si>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</si>
  <si>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</si>
  <si>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</si>
  <si>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</si>
  <si>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</si>
  <si>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</si>
  <si>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</si>
  <si>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</si>
  <si>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</si>
  <si>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</si>
  <si>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</si>
  <si>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</si>
  <si>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</si>
  <si>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</si>
  <si>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</si>
  <si>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</si>
  <si>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</si>
  <si>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</si>
  <si>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</si>
  <si>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</si>
  <si>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</si>
  <si>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</si>
  <si>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</si>
  <si>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</si>
  <si>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</si>
  <si>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</si>
  <si>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</si>
  <si>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</si>
  <si>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</si>
  <si>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</si>
  <si>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</si>
  <si>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</si>
  <si>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</si>
  <si>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</si>
  <si>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</si>
  <si>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</si>
  <si>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</si>
  <si>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</si>
  <si>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</si>
  <si>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</si>
  <si>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</si>
  <si>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</si>
  <si>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</si>
  <si>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</si>
  <si>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</si>
  <si>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</si>
  <si>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</si>
  <si>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</si>
  <si>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</si>
  <si>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</si>
  <si>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</si>
  <si>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</si>
  <si>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</si>
  <si>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</si>
  <si>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</si>
  <si>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</si>
  <si>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</si>
  <si>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</si>
  <si>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</si>
  <si>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</si>
  <si>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</si>
  <si>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</si>
  <si>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</si>
  <si>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</si>
  <si>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</si>
  <si>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</si>
  <si>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</si>
  <si>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</si>
  <si>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</si>
  <si>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</si>
  <si>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</si>
  <si>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</si>
  <si>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</si>
  <si>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</si>
  <si>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</si>
  <si>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</si>
  <si>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</si>
  <si>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</si>
  <si>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</si>
  <si>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</si>
  <si>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</si>
  <si>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</si>
  <si>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</si>
  <si>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</si>
  <si>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</si>
  <si>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</si>
  <si>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</si>
  <si>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</si>
  <si>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</si>
  <si>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</si>
  <si>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</si>
  <si>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</si>
  <si>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</si>
  <si>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</si>
  <si>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</si>
  <si>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</si>
  <si>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</si>
  <si>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</si>
  <si>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</si>
  <si>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</si>
  <si>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</si>
  <si>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</si>
  <si>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</si>
  <si>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</si>
  <si>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</si>
  <si>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</si>
  <si>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</si>
  <si>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</si>
  <si>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</si>
  <si>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</si>
  <si>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</si>
  <si>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</si>
  <si>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</si>
  <si>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</si>
  <si>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</si>
  <si>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</si>
  <si>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</si>
  <si>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</si>
  <si>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</si>
  <si>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</si>
  <si>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</si>
  <si>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</si>
  <si>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</si>
  <si>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</si>
  <si>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</si>
  <si>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</si>
  <si>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</si>
  <si>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</si>
  <si>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</si>
  <si>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</si>
  <si>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</si>
  <si>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</si>
  <si>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</si>
  <si>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</si>
  <si>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</si>
  <si>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</si>
  <si>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</si>
  <si>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</si>
  <si>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</si>
  <si>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</si>
  <si>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</si>
  <si>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</si>
  <si>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</si>
  <si>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</si>
  <si>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</si>
  <si>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</si>
  <si>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</si>
  <si>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</si>
  <si>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</si>
  <si>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</si>
  <si>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</si>
  <si>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</si>
  <si>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</si>
  <si>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</si>
  <si>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</si>
  <si>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</si>
  <si>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</si>
  <si>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</si>
  <si>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</si>
  <si>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</si>
  <si>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</si>
  <si>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</si>
  <si>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</si>
  <si>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</si>
  <si>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</si>
  <si>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</si>
  <si>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</si>
  <si>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</si>
  <si>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</si>
  <si>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</si>
  <si>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</si>
  <si>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</si>
  <si>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</si>
  <si>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</si>
  <si>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</si>
  <si>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</si>
  <si>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</si>
  <si>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</si>
  <si>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</si>
  <si>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</si>
  <si>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</si>
  <si>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</si>
  <si>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</si>
  <si>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</si>
  <si>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</si>
  <si>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</si>
  <si>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</si>
  <si>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</si>
  <si>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</si>
  <si>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</si>
  <si>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</si>
  <si>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</si>
  <si>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</si>
  <si>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</si>
  <si>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</si>
  <si>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</si>
  <si>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</si>
  <si>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</si>
  <si>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</si>
  <si>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</si>
  <si>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</si>
  <si>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</si>
  <si>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</si>
  <si>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</si>
  <si>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</si>
  <si>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</si>
  <si>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</si>
  <si>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</si>
  <si>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</si>
  <si>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</si>
  <si>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</si>
  <si>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</si>
  <si>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</si>
  <si>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</si>
  <si>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</si>
  <si>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</si>
  <si>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</si>
  <si>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</si>
  <si>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</si>
  <si>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</si>
  <si>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</si>
  <si>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</si>
  <si>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</si>
  <si>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</si>
  <si>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</si>
  <si>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</si>
  <si>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</si>
  <si>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</si>
  <si>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</si>
  <si>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</si>
  <si>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</si>
  <si>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</si>
  <si>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</si>
  <si>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</si>
  <si>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</si>
  <si>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</si>
  <si>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</si>
  <si>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</si>
  <si>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</si>
  <si>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</si>
  <si>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</si>
  <si>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</si>
  <si>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</si>
  <si>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</si>
  <si>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</si>
  <si>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</si>
  <si>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</si>
  <si>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</si>
  <si>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</si>
  <si>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</si>
  <si>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</si>
  <si>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</si>
  <si>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</si>
  <si>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</si>
  <si>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</si>
  <si>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</si>
  <si>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</si>
  <si>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</si>
  <si>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</si>
  <si>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</si>
  <si>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</si>
  <si>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</si>
  <si>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</si>
  <si>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</si>
  <si>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</si>
  <si>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</si>
  <si>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</si>
  <si>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</si>
  <si>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</si>
  <si>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</si>
  <si>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</si>
  <si>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</si>
  <si>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</si>
  <si>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</si>
  <si>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</si>
  <si>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</si>
  <si>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</si>
  <si>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</si>
  <si>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</si>
  <si>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</si>
  <si>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</si>
  <si>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</si>
  <si>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</si>
  <si>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</si>
  <si>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</si>
  <si>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</si>
  <si>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</si>
  <si>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</si>
  <si>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</si>
  <si>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</si>
  <si>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</si>
  <si>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</si>
  <si>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</si>
  <si>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</si>
  <si>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</si>
  <si>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</si>
  <si>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</si>
  <si>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</si>
  <si>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</si>
  <si>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</si>
  <si>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</si>
  <si>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</si>
  <si>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</si>
  <si>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</si>
  <si>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</si>
  <si>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</si>
  <si>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</si>
  <si>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</si>
  <si>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</si>
  <si>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</si>
  <si>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</si>
  <si>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</si>
  <si>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</si>
  <si>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</si>
  <si>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</si>
  <si>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</si>
  <si>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</si>
  <si>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</si>
  <si>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</si>
  <si>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</si>
  <si>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</si>
  <si>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</si>
  <si>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</si>
  <si>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</si>
  <si>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</si>
  <si>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</si>
  <si>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</si>
  <si>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</si>
  <si>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</si>
  <si>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</si>
  <si>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</si>
  <si>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</si>
  <si>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</si>
  <si>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</si>
  <si>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</si>
  <si>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</si>
  <si>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</si>
  <si>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</si>
  <si>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</si>
  <si>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</si>
  <si>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</si>
  <si>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</si>
  <si>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</si>
  <si>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</si>
  <si>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</si>
  <si>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</si>
  <si>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</si>
  <si>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</si>
  <si>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</si>
  <si>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</si>
  <si>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</si>
  <si>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</si>
  <si>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</si>
  <si>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</si>
  <si>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</si>
  <si>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</si>
  <si>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</si>
  <si>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</si>
  <si>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</si>
  <si>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</si>
  <si>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</si>
  <si>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</si>
  <si>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</si>
  <si>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</si>
  <si>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</si>
  <si>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</si>
  <si>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</si>
  <si>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</si>
  <si>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</si>
  <si>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</si>
  <si>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</si>
  <si>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</si>
  <si>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</si>
  <si>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</si>
  <si>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</si>
  <si>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</si>
  <si>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</si>
  <si>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</si>
  <si>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</si>
  <si>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</si>
  <si>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</si>
  <si>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</si>
  <si>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</si>
  <si>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</si>
  <si>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</si>
  <si>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</si>
  <si>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</si>
  <si>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</si>
  <si>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</si>
  <si>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</si>
  <si>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</si>
  <si>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</si>
  <si>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</si>
  <si>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</si>
  <si>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</si>
  <si>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</si>
  <si>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</si>
  <si>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</si>
  <si>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</si>
  <si>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</si>
  <si>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</si>
  <si>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</si>
  <si>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</si>
  <si>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</si>
  <si>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</si>
  <si>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</si>
  <si>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</si>
  <si>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</si>
  <si>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</si>
  <si>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</si>
  <si>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</si>
  <si>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</si>
  <si>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</si>
  <si>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</si>
  <si>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</si>
  <si>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</si>
  <si>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</si>
  <si>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</si>
  <si>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</si>
  <si>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</si>
  <si>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</si>
  <si>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</si>
  <si>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</si>
  <si>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</si>
  <si>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</si>
  <si>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</si>
  <si>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</si>
  <si>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</si>
  <si>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</si>
  <si>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</si>
  <si>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</si>
  <si>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</si>
  <si>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</si>
  <si>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</si>
  <si>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</si>
  <si>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</si>
  <si>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</si>
  <si>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</si>
  <si>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</si>
  <si>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</si>
  <si>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</si>
  <si>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</si>
  <si>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</si>
  <si>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</si>
  <si>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</si>
  <si>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</si>
  <si>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</si>
  <si>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</si>
  <si>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</si>
  <si>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</si>
  <si>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</si>
  <si>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</si>
  <si>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</si>
  <si>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</si>
  <si>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</si>
  <si>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</si>
  <si>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</si>
  <si>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</si>
  <si>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</si>
  <si>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</si>
  <si>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</si>
  <si>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</si>
  <si>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</si>
  <si>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</si>
  <si>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</si>
  <si>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</si>
  <si>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</si>
  <si>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</si>
  <si>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</si>
  <si>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</si>
  <si>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</si>
  <si>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</si>
  <si>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</si>
  <si>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</si>
  <si>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</si>
  <si>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</si>
  <si>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</si>
  <si>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</si>
  <si>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</si>
  <si>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</si>
  <si>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</si>
  <si>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</si>
  <si>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</si>
  <si>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</si>
  <si>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</si>
  <si>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</si>
  <si>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</si>
  <si>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</si>
  <si>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</si>
  <si>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</si>
  <si>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</si>
  <si>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</si>
  <si>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</si>
  <si>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</si>
  <si>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</si>
  <si>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</si>
  <si>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</si>
  <si>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</si>
  <si>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</si>
  <si>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</si>
  <si>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</si>
  <si>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</si>
  <si>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</si>
  <si>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</si>
  <si>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</si>
  <si>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</si>
  <si>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</si>
  <si>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</si>
  <si>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</si>
  <si>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</si>
  <si>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</si>
  <si>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</si>
  <si>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</si>
  <si>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</si>
  <si>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</si>
  <si>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</si>
  <si>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</si>
  <si>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</si>
  <si>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</si>
  <si>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</si>
  <si>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</si>
  <si>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</si>
  <si>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</si>
  <si>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</si>
  <si>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</si>
  <si>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</si>
  <si>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</si>
  <si>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</si>
  <si>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</si>
  <si>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</si>
  <si>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</si>
  <si>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</si>
  <si>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</si>
  <si>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</si>
  <si>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</si>
  <si>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</si>
  <si>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</si>
  <si>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</si>
  <si>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</si>
  <si>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</si>
  <si>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</si>
  <si>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</si>
  <si>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</si>
  <si>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</si>
  <si>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</si>
  <si>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</si>
  <si>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</si>
  <si>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</si>
  <si>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</si>
  <si>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</si>
  <si>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</si>
  <si>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</si>
  <si>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</si>
  <si>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</si>
  <si>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</si>
  <si>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</si>
  <si>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</si>
  <si>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</si>
  <si>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</si>
  <si>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</si>
  <si>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</si>
  <si>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</si>
  <si>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</si>
  <si>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</si>
  <si>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</si>
  <si>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</si>
  <si>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</si>
  <si>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</si>
  <si>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</si>
  <si>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</si>
  <si>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</si>
  <si>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</si>
  <si>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</si>
  <si>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</si>
  <si>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</si>
  <si>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</si>
  <si>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</si>
  <si>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</si>
  <si>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</si>
  <si>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</si>
  <si>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</si>
  <si>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</si>
  <si>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</si>
  <si>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</si>
  <si>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</si>
  <si>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</si>
  <si>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</si>
  <si>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</si>
  <si>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</si>
  <si>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</si>
  <si>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</si>
  <si>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</si>
  <si>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</si>
  <si>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</si>
  <si>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</si>
  <si>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</si>
  <si>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</si>
  <si>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</si>
  <si>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</si>
  <si>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</si>
  <si>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</si>
  <si>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</si>
  <si>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</si>
  <si>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</si>
  <si>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</si>
  <si>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</si>
  <si>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</si>
  <si>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</si>
  <si>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</si>
  <si>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</si>
  <si>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</si>
  <si>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</si>
  <si>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</si>
  <si>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</si>
  <si>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</si>
  <si>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</si>
  <si>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</si>
  <si>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</si>
  <si>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</si>
  <si>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</si>
  <si>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</si>
  <si>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</si>
  <si>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</si>
  <si>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</si>
  <si>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</si>
  <si>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</si>
  <si>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</si>
  <si>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</si>
  <si>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</si>
  <si>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</si>
  <si>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</si>
  <si>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</si>
  <si>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</si>
  <si>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</si>
  <si>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</si>
  <si>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</si>
  <si>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</si>
  <si>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</si>
  <si>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</si>
  <si>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</si>
  <si>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</si>
  <si>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</si>
  <si>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</si>
  <si>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</si>
  <si>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</si>
  <si>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</si>
  <si>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</si>
  <si>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</si>
  <si>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</si>
  <si>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</si>
  <si>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</si>
  <si>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</si>
  <si>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</si>
  <si>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</si>
  <si>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</si>
  <si>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</si>
  <si>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</si>
  <si>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</si>
  <si>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</si>
  <si>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</si>
  <si>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</si>
  <si>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</si>
  <si>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</si>
  <si>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</si>
  <si>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</si>
  <si>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</si>
  <si>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</si>
  <si>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</si>
  <si>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</si>
  <si>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</si>
  <si>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</si>
  <si>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</si>
  <si>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</si>
  <si>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</si>
  <si>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</si>
  <si>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</si>
  <si>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</si>
  <si>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</si>
  <si>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</si>
  <si>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</si>
  <si>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</si>
  <si>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</si>
  <si>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</si>
  <si>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</si>
  <si>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</si>
  <si>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</si>
  <si>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</si>
  <si>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</si>
  <si>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</si>
  <si>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</si>
  <si>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</si>
  <si>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</si>
  <si>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</si>
  <si>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</si>
  <si>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</si>
  <si>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</si>
  <si>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</si>
  <si>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</si>
  <si>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</si>
  <si>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</si>
  <si>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</si>
  <si>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</si>
  <si>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</si>
  <si>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</si>
  <si>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</si>
  <si>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</si>
  <si>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</si>
  <si>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</si>
  <si>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</si>
  <si>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</si>
  <si>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</si>
  <si>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</si>
  <si>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</si>
  <si>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</si>
  <si>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</si>
  <si>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</si>
  <si>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</si>
  <si>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</si>
  <si>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</si>
  <si>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</si>
  <si>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</si>
  <si>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</si>
  <si>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</si>
  <si>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</si>
  <si>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</si>
  <si>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</si>
  <si>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</si>
  <si>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</si>
  <si>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</si>
  <si>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</si>
  <si>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</si>
  <si>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</si>
  <si>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</si>
  <si>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</si>
  <si>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</si>
  <si>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</si>
  <si>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</si>
  <si>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</si>
  <si>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</si>
  <si>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</si>
  <si>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</si>
  <si>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</si>
  <si>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</si>
  <si>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</si>
  <si>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</si>
  <si>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</si>
  <si>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</si>
  <si>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</si>
  <si>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</si>
  <si>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</si>
  <si>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</si>
  <si>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</si>
  <si>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</si>
  <si>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</si>
  <si>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</si>
  <si>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</si>
  <si>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</si>
  <si>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</si>
  <si>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</si>
  <si>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</si>
  <si>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</si>
  <si>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</si>
  <si>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</si>
  <si>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</si>
  <si>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</si>
  <si>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</si>
  <si>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</si>
  <si>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</si>
  <si>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</si>
  <si>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</si>
  <si>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</si>
  <si>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</si>
  <si>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</si>
  <si>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</si>
  <si>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</si>
  <si>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</si>
  <si>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</si>
  <si>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</si>
  <si>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</si>
  <si>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</si>
  <si>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</si>
  <si>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</si>
  <si>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</si>
  <si>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</si>
  <si>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</si>
  <si>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</si>
  <si>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</si>
  <si>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</si>
  <si>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</si>
  <si>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</si>
  <si>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</si>
  <si>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</si>
  <si>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</si>
  <si>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</si>
  <si>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</si>
  <si>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</si>
  <si>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</si>
  <si>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</si>
  <si>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</si>
  <si>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</si>
  <si>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</si>
  <si>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</si>
  <si>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</si>
  <si>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</si>
  <si>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</si>
  <si>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</si>
  <si>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</si>
  <si>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</si>
  <si>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</si>
  <si>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</si>
  <si>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</si>
  <si>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</si>
  <si>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</si>
  <si>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</si>
  <si>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</si>
  <si>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</si>
  <si>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</si>
  <si>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</si>
  <si>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</si>
  <si>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</si>
  <si>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</si>
  <si>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</si>
  <si>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</si>
  <si>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</si>
  <si>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</si>
  <si>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</si>
  <si>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</si>
  <si>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</si>
  <si>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</si>
  <si>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</si>
  <si>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</si>
  <si>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</si>
  <si>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</si>
  <si>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</si>
  <si>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</si>
  <si>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</si>
  <si>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</si>
  <si>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</si>
  <si>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</si>
  <si>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</si>
  <si>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</si>
  <si>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</si>
  <si>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</si>
  <si>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</si>
  <si>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</si>
  <si>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</si>
  <si>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</si>
  <si>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</si>
  <si>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</si>
  <si>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</si>
  <si>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</si>
  <si>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</si>
  <si>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</si>
  <si>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</si>
  <si>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</si>
  <si>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</si>
  <si>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</si>
  <si>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</si>
  <si>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</si>
  <si>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</si>
  <si>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</si>
  <si>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</si>
  <si>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</si>
  <si>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</si>
  <si>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</si>
  <si>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</si>
  <si>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</si>
  <si>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</si>
  <si>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</si>
  <si>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</si>
  <si>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</si>
  <si>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</si>
  <si>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</si>
  <si>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</si>
  <si>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</si>
  <si>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</si>
  <si>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</si>
  <si>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</si>
  <si>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</si>
  <si>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</si>
  <si>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</si>
  <si>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</si>
  <si>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</si>
  <si>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</si>
  <si>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</si>
  <si>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</si>
  <si>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</si>
  <si>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</si>
  <si>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</si>
  <si>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</si>
  <si>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</si>
  <si>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</si>
  <si>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</si>
  <si>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</si>
  <si>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</si>
  <si>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</si>
  <si>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</si>
  <si>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</si>
  <si>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</si>
  <si>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</si>
  <si>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</si>
  <si>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</si>
  <si>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</si>
  <si>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</si>
  <si>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</si>
  <si>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</si>
  <si>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</si>
  <si>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</si>
  <si>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</si>
  <si>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</si>
  <si>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</si>
  <si>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</si>
  <si>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</si>
  <si>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</si>
  <si>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</si>
  <si>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</si>
  <si>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</si>
  <si>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</si>
  <si>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</si>
  <si>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</si>
  <si>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</si>
  <si>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</si>
  <si>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</si>
  <si>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</si>
  <si>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</si>
  <si>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</si>
  <si>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</si>
  <si>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</si>
  <si>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</si>
  <si>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</si>
  <si>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</si>
  <si>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</si>
  <si>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</si>
  <si>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</si>
  <si>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</si>
  <si>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</si>
  <si>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</si>
  <si>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</si>
  <si>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</si>
  <si>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</si>
  <si>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</si>
  <si>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</si>
  <si>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</si>
  <si>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</si>
  <si>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</si>
  <si>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</si>
  <si>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</si>
  <si>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</si>
  <si>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</si>
  <si>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</si>
  <si>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</si>
  <si>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</si>
  <si>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</si>
  <si>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</si>
  <si>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</si>
  <si>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</si>
  <si>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</si>
  <si>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</si>
  <si>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</si>
  <si>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</si>
  <si>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</si>
  <si>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</si>
  <si>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</si>
  <si>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</si>
  <si>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</si>
  <si>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</si>
  <si>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</si>
  <si>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</si>
  <si>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</si>
  <si>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</si>
  <si>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</si>
  <si>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</si>
  <si>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</si>
  <si>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</si>
  <si>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</si>
  <si>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</si>
  <si>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</si>
  <si>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</si>
  <si>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</si>
  <si>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</si>
  <si>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</si>
  <si>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</si>
  <si>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</si>
  <si>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</si>
  <si>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</si>
  <si>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</si>
  <si>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</si>
  <si>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</si>
  <si>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</si>
  <si>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</si>
  <si>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</si>
  <si>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</si>
  <si>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</si>
  <si>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</si>
  <si>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</si>
  <si>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</si>
  <si>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</si>
  <si>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</si>
  <si>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</si>
  <si>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</si>
  <si>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</si>
  <si>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</si>
  <si>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</si>
  <si>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</si>
  <si>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</si>
  <si>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</si>
  <si>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</si>
  <si>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</si>
  <si>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</si>
  <si>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</si>
  <si>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</si>
  <si>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</si>
  <si>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</si>
  <si>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</si>
  <si>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</si>
  <si>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</si>
  <si>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</si>
  <si>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</si>
  <si>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</si>
  <si>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</si>
  <si>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</si>
  <si>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</si>
  <si>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</si>
  <si>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</si>
  <si>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</si>
  <si>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</si>
  <si>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</si>
  <si>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</si>
  <si>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</si>
  <si>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</si>
  <si>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</si>
  <si>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</si>
  <si>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</si>
  <si>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</si>
  <si>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</si>
  <si>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</si>
  <si>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</si>
  <si>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</si>
  <si>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</si>
  <si>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</si>
  <si>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</si>
  <si>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</si>
  <si>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</si>
  <si>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</si>
  <si>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</si>
  <si>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</si>
  <si>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</si>
  <si>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</si>
  <si>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</si>
  <si>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</si>
  <si>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</si>
  <si>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</si>
  <si>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</si>
  <si>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</si>
  <si>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</si>
  <si>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</si>
  <si>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</si>
  <si>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</si>
  <si>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</si>
  <si>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</si>
  <si>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</si>
  <si>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</si>
  <si>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</si>
  <si>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</si>
  <si>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</si>
  <si>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</si>
  <si>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</si>
  <si>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</si>
  <si>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</si>
  <si>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</si>
  <si>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</si>
  <si>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</si>
  <si>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</si>
  <si>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</si>
  <si>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</si>
  <si>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</si>
  <si>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</si>
  <si>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</si>
  <si>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</si>
  <si>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</si>
  <si>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</si>
  <si>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</si>
  <si>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</si>
  <si>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</si>
  <si>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</si>
  <si>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</si>
  <si>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</si>
  <si>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</si>
  <si>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</si>
  <si>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</si>
  <si>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</si>
  <si>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</si>
  <si>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</si>
  <si>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</si>
  <si>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</si>
  <si>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</si>
  <si>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</si>
  <si>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</si>
  <si>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</si>
  <si>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</si>
  <si>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</si>
  <si>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</si>
  <si>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</si>
  <si>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</si>
  <si>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</si>
  <si>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</si>
  <si>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</si>
  <si>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</si>
  <si>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</si>
  <si>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</si>
  <si>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</si>
  <si>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</si>
  <si>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</si>
  <si>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</si>
  <si>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</si>
  <si>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</si>
  <si>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</si>
  <si>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</si>
  <si>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</si>
  <si>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</si>
  <si>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</si>
  <si>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</si>
  <si>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</si>
  <si>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</si>
  <si>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</si>
  <si>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</si>
  <si>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</si>
  <si>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</si>
  <si>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</si>
  <si>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</si>
  <si>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</si>
  <si>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</si>
  <si>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</si>
  <si>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</si>
  <si>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</si>
  <si>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</si>
  <si>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</si>
  <si>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</si>
  <si>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</si>
  <si>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</si>
  <si>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</si>
  <si>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</si>
  <si>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</si>
  <si>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</si>
  <si>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</si>
  <si>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</si>
  <si>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</si>
  <si>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</si>
  <si>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</si>
  <si>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</si>
  <si>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</si>
  <si>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</si>
  <si>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</si>
  <si>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</si>
  <si>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</si>
  <si>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</si>
  <si>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</si>
  <si>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</si>
  <si>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</si>
  <si>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</si>
  <si>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</si>
  <si>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</si>
  <si>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</si>
  <si>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</si>
  <si>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</si>
  <si>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</si>
  <si>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</si>
  <si>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</si>
  <si>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</si>
  <si>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</si>
  <si>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</si>
  <si>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</si>
  <si>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</si>
  <si>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</si>
  <si>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</si>
  <si>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</si>
  <si>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</si>
  <si>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</si>
  <si>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</si>
  <si>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</si>
  <si>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</si>
  <si>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</si>
  <si>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</si>
  <si>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</si>
  <si>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</si>
  <si>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</si>
  <si>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</si>
  <si>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</si>
  <si>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</si>
  <si>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</si>
  <si>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</si>
  <si>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</si>
  <si>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</si>
  <si>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</si>
  <si>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</si>
  <si>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</si>
  <si>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</si>
  <si>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</si>
  <si>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</si>
  <si>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</si>
  <si>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</si>
  <si>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</si>
  <si>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</si>
  <si>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</si>
  <si>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</si>
  <si>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</si>
  <si>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</si>
  <si>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</si>
  <si>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</si>
  <si>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</si>
  <si>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</si>
  <si>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</si>
  <si>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</si>
  <si>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</si>
  <si>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</si>
  <si>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</si>
  <si>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</si>
  <si>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</si>
  <si>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</si>
  <si>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</si>
  <si>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</si>
  <si>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</si>
  <si>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</si>
  <si>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</si>
  <si>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</si>
  <si>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</si>
  <si>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</si>
  <si>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</si>
  <si>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</si>
  <si>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</si>
  <si>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</si>
  <si>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</si>
  <si>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</si>
  <si>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</si>
  <si>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</si>
  <si>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</si>
  <si>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</si>
  <si>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</si>
  <si>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</si>
  <si>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</si>
  <si>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</si>
  <si>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</si>
  <si>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</si>
  <si>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</si>
  <si>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</si>
  <si>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</si>
  <si>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</si>
  <si>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</si>
  <si>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</si>
  <si>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</si>
  <si>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</si>
  <si>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</si>
  <si>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</si>
  <si>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</si>
  <si>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</si>
  <si>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</si>
  <si>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</si>
  <si>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</si>
  <si>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</si>
  <si>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</si>
  <si>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</si>
  <si>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</si>
  <si>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</si>
  <si>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</si>
  <si>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</si>
  <si>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</si>
  <si>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</si>
  <si>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</si>
  <si>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</si>
  <si>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</si>
  <si>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</si>
  <si>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</si>
  <si>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</si>
  <si>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</si>
  <si>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</si>
  <si>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</si>
  <si>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</si>
  <si>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</si>
  <si>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</si>
  <si>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</si>
  <si>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Child Support Services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</si>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</sst>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 fillId="0" borderId="0" xfId="0" applyNumberFormat="1" applyFont="1" applyAlignment="1" applyProtection="1">
      <alignment horizontal="left"/>
      <protection hidden="1"/>
    </xf>
    <xf numFmtId="0" fontId="6" fillId="0" borderId="0" xfId="0" applyFont="1" applyAlignment="1" applyProtection="1">
      <alignment horizontal="left" vertical="top"/>
      <protection hidden="1"/>
    </xf>
    <xf numFmtId="165" fontId="35" fillId="0" borderId="0" xfId="0" applyNumberFormat="1" applyFont="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0" fontId="32" fillId="7" borderId="0" xfId="0" applyFont="1" applyFill="1" applyAlignment="1" applyProtection="1">
      <alignment horizontal="left"/>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8C02A-C9F5-44F5-AE90-B8806FF949D0}">
  <sheetPr>
    <tabColor rgb="FF92D050"/>
    <pageSetUpPr fitToPage="1"/>
  </sheetPr>
  <dimension ref="A1:XFC115"/>
  <sheetViews>
    <sheetView tabSelected="1" zoomScale="70" zoomScaleNormal="70" workbookViewId="0">
      <selection activeCell="F31" sqref="F31"/>
    </sheetView>
  </sheetViews>
  <sheetFormatPr defaultColWidth="0" defaultRowHeight="15" customHeight="1"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93" t="s">
        <v>1602</v>
      </c>
      <c r="B1" s="193"/>
      <c r="C1" s="193"/>
      <c r="D1" s="193"/>
      <c r="E1" s="193"/>
      <c r="F1" s="193"/>
      <c r="G1" s="193"/>
      <c r="H1" s="193"/>
      <c r="I1" s="193"/>
      <c r="J1" s="193"/>
      <c r="K1" s="193"/>
      <c r="L1" s="26"/>
      <c r="M1" s="26"/>
      <c r="N1" s="26"/>
      <c r="O1" s="26"/>
      <c r="P1" s="26"/>
      <c r="Q1" s="26"/>
      <c r="R1" s="26"/>
      <c r="S1" s="26"/>
      <c r="T1" s="26"/>
    </row>
    <row r="2" spans="1:25" ht="18" x14ac:dyDescent="0.25">
      <c r="A2" s="194" t="s">
        <v>1564</v>
      </c>
      <c r="B2" s="194"/>
      <c r="C2" s="194"/>
      <c r="D2" s="194"/>
      <c r="E2" s="194"/>
      <c r="F2" s="194"/>
      <c r="G2" s="194"/>
      <c r="H2" s="194"/>
      <c r="I2" s="194"/>
      <c r="J2" s="194"/>
      <c r="K2" s="194"/>
      <c r="L2" s="28"/>
      <c r="M2" s="28"/>
      <c r="N2" s="28"/>
      <c r="O2" s="28"/>
      <c r="P2" s="28"/>
      <c r="Q2" s="28"/>
      <c r="R2" s="28"/>
      <c r="S2" s="28"/>
      <c r="T2" s="28"/>
    </row>
    <row r="3" spans="1:25" ht="15.75" x14ac:dyDescent="0.25">
      <c r="A3" s="185" t="s">
        <v>0</v>
      </c>
      <c r="B3" s="185"/>
      <c r="C3" s="185"/>
      <c r="D3" s="185"/>
      <c r="E3" s="185"/>
      <c r="F3" s="192" t="s">
        <v>16</v>
      </c>
      <c r="G3" s="192"/>
      <c r="H3" s="192"/>
      <c r="I3" s="192"/>
    </row>
    <row r="4" spans="1:25" ht="15.75" x14ac:dyDescent="0.25">
      <c r="A4" s="185" t="s">
        <v>1580</v>
      </c>
      <c r="B4" s="185"/>
      <c r="C4" s="185"/>
      <c r="D4" s="185"/>
      <c r="E4" s="185"/>
      <c r="F4" s="192" t="s">
        <v>1655</v>
      </c>
      <c r="G4" s="192"/>
      <c r="H4" s="192"/>
      <c r="I4" s="192"/>
    </row>
    <row r="5" spans="1:25" ht="15.75" x14ac:dyDescent="0.2">
      <c r="A5" s="185" t="s">
        <v>1596</v>
      </c>
      <c r="B5" s="185"/>
      <c r="C5" s="185"/>
      <c r="D5" s="185"/>
      <c r="E5" s="185"/>
      <c r="F5" s="190" t="s">
        <v>808</v>
      </c>
      <c r="G5" s="190"/>
      <c r="H5" s="190"/>
      <c r="I5" s="190"/>
      <c r="J5" s="30"/>
      <c r="K5" s="30"/>
      <c r="L5" s="31"/>
      <c r="M5" s="31"/>
      <c r="N5" s="31"/>
      <c r="O5" s="31"/>
      <c r="P5" s="31"/>
      <c r="Q5" s="31"/>
      <c r="R5" s="31"/>
      <c r="S5" s="31"/>
      <c r="T5" s="31"/>
      <c r="U5" s="31"/>
      <c r="V5" s="31"/>
    </row>
    <row r="6" spans="1:25" ht="15.75" x14ac:dyDescent="0.2">
      <c r="A6" s="185" t="s">
        <v>1</v>
      </c>
      <c r="B6" s="185"/>
      <c r="C6" s="185"/>
      <c r="D6" s="185"/>
      <c r="E6" s="185"/>
      <c r="F6" s="191">
        <v>890</v>
      </c>
      <c r="G6" s="191"/>
      <c r="H6" s="191"/>
      <c r="I6" s="191"/>
      <c r="L6" s="32"/>
      <c r="M6" s="32"/>
      <c r="N6" s="32"/>
      <c r="O6" s="32"/>
      <c r="P6" s="32"/>
      <c r="Q6" s="32"/>
      <c r="R6" s="32"/>
      <c r="S6" s="32"/>
      <c r="T6" s="32"/>
      <c r="U6" s="31"/>
      <c r="V6" s="31"/>
      <c r="X6" s="18"/>
    </row>
    <row r="7" spans="1:25" ht="15.75" x14ac:dyDescent="0.2">
      <c r="A7" s="185" t="s">
        <v>1568</v>
      </c>
      <c r="B7" s="185"/>
      <c r="C7" s="185"/>
      <c r="D7" s="185"/>
      <c r="E7" s="185"/>
      <c r="F7" s="192" t="s">
        <v>1565</v>
      </c>
      <c r="G7" s="192"/>
      <c r="H7" s="192"/>
      <c r="I7" s="192"/>
      <c r="L7" s="32"/>
      <c r="M7" s="32"/>
      <c r="N7" s="32"/>
      <c r="O7" s="32"/>
      <c r="P7" s="32"/>
      <c r="Q7" s="32"/>
      <c r="R7" s="32"/>
      <c r="S7" s="32"/>
      <c r="T7" s="32"/>
      <c r="U7" s="31"/>
      <c r="V7" s="31"/>
      <c r="X7" s="18"/>
    </row>
    <row r="8" spans="1:25" ht="15.75" x14ac:dyDescent="0.2">
      <c r="A8" s="185" t="s">
        <v>2</v>
      </c>
      <c r="B8" s="185"/>
      <c r="C8" s="185"/>
      <c r="D8" s="185"/>
      <c r="E8" s="185"/>
      <c r="F8" s="186" t="str">
        <f>IF(OR($F$7='Drop Down Menus'!B2,$F$7='Drop Down Menus'!$B$3),'Drop Down Menus'!$D$9,IFERROR(VLOOKUP($F$5,GAAP02Aindex!$A$2:$D$900,4,FALSE),"Unidentified"))</f>
        <v>HEALTH AND HUMAN SERVICES</v>
      </c>
      <c r="G8" s="186"/>
      <c r="H8" s="186"/>
      <c r="I8" s="186"/>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9" t="str">
        <f>IF($F$3="2022–2023","To establish the beginning balance of SBITAs as of 07/01/2022.","Roll forward prior year right-to-use SBITAs to record opening balances.")</f>
        <v>Roll forward prior year right-to-use SBITAs to record opening balances.</v>
      </c>
      <c r="C14" s="179"/>
      <c r="D14" s="179"/>
      <c r="E14" s="179"/>
      <c r="F14" s="179"/>
      <c r="G14" s="179"/>
      <c r="H14" s="179"/>
      <c r="I14" s="179"/>
      <c r="J14" s="179"/>
      <c r="K14" s="179"/>
      <c r="L14" s="37"/>
      <c r="M14" s="188" t="s">
        <v>1648</v>
      </c>
      <c r="N14" s="189"/>
      <c r="O14" s="37"/>
      <c r="P14" s="188" t="s">
        <v>1632</v>
      </c>
      <c r="Q14" s="189"/>
      <c r="R14" s="39"/>
      <c r="S14" s="40" t="s">
        <v>1633</v>
      </c>
    </row>
    <row r="15" spans="1:25" ht="16.5" customHeight="1" x14ac:dyDescent="0.2">
      <c r="B15" s="175" t="s">
        <v>1574</v>
      </c>
      <c r="C15" s="175"/>
      <c r="D15" s="175"/>
      <c r="E15" s="175"/>
      <c r="F15" s="175"/>
      <c r="G15" s="175"/>
      <c r="H15" s="175"/>
      <c r="I15" s="175"/>
      <c r="J15" s="41">
        <f>ROUND(M15,0)</f>
        <v>327718</v>
      </c>
      <c r="K15" s="42"/>
      <c r="M15" s="105">
        <v>327718</v>
      </c>
      <c r="P15" s="105">
        <v>327718</v>
      </c>
      <c r="S15" s="43">
        <f>M15-P15</f>
        <v>0</v>
      </c>
      <c r="T15" s="44" t="s">
        <v>1634</v>
      </c>
    </row>
    <row r="16" spans="1:25" ht="16.5" customHeight="1" x14ac:dyDescent="0.2">
      <c r="A16" s="45"/>
      <c r="B16" s="175" t="s">
        <v>1582</v>
      </c>
      <c r="C16" s="175"/>
      <c r="D16" s="175"/>
      <c r="E16" s="175"/>
      <c r="F16" s="175"/>
      <c r="G16" s="175"/>
      <c r="H16" s="175"/>
      <c r="I16" s="175"/>
      <c r="J16" s="41">
        <f>ROUND(P16,0)</f>
        <v>0</v>
      </c>
      <c r="K16" s="42"/>
      <c r="M16" s="105"/>
      <c r="P16" s="46">
        <f>IF(SUM($Q$18:$Q$19)&gt;$P$15,SUM($Q$18:$Q$19)-$P$15,0)</f>
        <v>0</v>
      </c>
      <c r="S16" s="43">
        <f>M16-P16</f>
        <v>0</v>
      </c>
      <c r="T16" s="47" t="s">
        <v>1635</v>
      </c>
    </row>
    <row r="17" spans="1:25" ht="16.5" customHeight="1" x14ac:dyDescent="0.2">
      <c r="A17" s="45"/>
      <c r="B17" s="175" t="s">
        <v>1583</v>
      </c>
      <c r="C17" s="175"/>
      <c r="D17" s="175"/>
      <c r="E17" s="175"/>
      <c r="F17" s="175"/>
      <c r="G17" s="175"/>
      <c r="H17" s="175"/>
      <c r="I17" s="175"/>
      <c r="J17" s="41">
        <f>ROUND(IF(SUM($K$18:$K$20)&gt;SUM($J$15:$J$16),SUM($K$18:$K$20)-SUM($J$15:$J$16),0),0)</f>
        <v>0</v>
      </c>
      <c r="K17" s="42"/>
      <c r="M17" s="105"/>
      <c r="P17" s="48"/>
      <c r="S17" s="43">
        <f>M17-P17</f>
        <v>0</v>
      </c>
      <c r="T17" s="47" t="s">
        <v>1635</v>
      </c>
    </row>
    <row r="18" spans="1:25" ht="16.5" customHeight="1" x14ac:dyDescent="0.2">
      <c r="A18" s="45"/>
      <c r="B18" s="20"/>
      <c r="C18" s="175" t="s">
        <v>1581</v>
      </c>
      <c r="D18" s="175"/>
      <c r="E18" s="175"/>
      <c r="F18" s="175"/>
      <c r="G18" s="175"/>
      <c r="H18" s="175"/>
      <c r="I18" s="175"/>
      <c r="J18" s="42"/>
      <c r="K18" s="41">
        <f>ROUND(N18,0)</f>
        <v>76496</v>
      </c>
      <c r="N18" s="105">
        <v>76496</v>
      </c>
      <c r="Q18" s="105">
        <v>76496</v>
      </c>
      <c r="S18" s="43">
        <f>N18-Q18</f>
        <v>0</v>
      </c>
      <c r="T18" s="47" t="s">
        <v>1635</v>
      </c>
    </row>
    <row r="19" spans="1:25" ht="16.5" customHeight="1" x14ac:dyDescent="0.25">
      <c r="A19" s="45"/>
      <c r="B19" s="49"/>
      <c r="C19" s="175" t="s">
        <v>1618</v>
      </c>
      <c r="D19" s="175"/>
      <c r="E19" s="175"/>
      <c r="F19" s="175"/>
      <c r="G19" s="175"/>
      <c r="H19" s="175"/>
      <c r="I19" s="175"/>
      <c r="J19" s="42"/>
      <c r="K19" s="41">
        <f>ROUND(N19,0)</f>
        <v>221058</v>
      </c>
      <c r="N19" s="105">
        <v>221058</v>
      </c>
      <c r="Q19" s="105">
        <v>221058</v>
      </c>
      <c r="S19" s="43">
        <f>N19-Q19</f>
        <v>0</v>
      </c>
      <c r="T19" s="47" t="s">
        <v>1635</v>
      </c>
      <c r="X19" s="18"/>
    </row>
    <row r="20" spans="1:25" ht="16.5" customHeight="1" x14ac:dyDescent="0.25">
      <c r="A20" s="45"/>
      <c r="B20" s="49"/>
      <c r="C20" s="175" t="s">
        <v>1584</v>
      </c>
      <c r="D20" s="175"/>
      <c r="E20" s="175"/>
      <c r="F20" s="175"/>
      <c r="G20" s="175"/>
      <c r="H20" s="175"/>
      <c r="I20" s="175"/>
      <c r="K20" s="41">
        <f>ROUND(Q20,0)</f>
        <v>30164</v>
      </c>
      <c r="N20" s="105"/>
      <c r="Q20" s="46">
        <f>IF(SUM($Q$18:$Q$19)&lt;$P$15,-SUM($Q$18:$Q$19)+$P$15,0)</f>
        <v>30164</v>
      </c>
      <c r="S20" s="43">
        <f>N20-Q20</f>
        <v>-30164</v>
      </c>
      <c r="T20" s="47" t="s">
        <v>1635</v>
      </c>
      <c r="Y20" s="19"/>
    </row>
    <row r="21" spans="1:25" ht="16.5" customHeight="1" x14ac:dyDescent="0.25">
      <c r="A21" s="45"/>
      <c r="B21" s="49"/>
      <c r="C21" s="175" t="s">
        <v>1585</v>
      </c>
      <c r="D21" s="175"/>
      <c r="E21" s="175"/>
      <c r="F21" s="175"/>
      <c r="G21" s="175"/>
      <c r="H21" s="175"/>
      <c r="I21" s="175"/>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327718</v>
      </c>
      <c r="K22" s="51">
        <f>ROUND(SUM(K18:K21),0)</f>
        <v>327718</v>
      </c>
      <c r="L22" s="176" t="str">
        <f>IF(J22=K22,"&lt;- Debits and Credits equal each other.","&lt;- Debits and Credits do not equal each other.")</f>
        <v>&lt;- Debits and Credits equal each other.</v>
      </c>
      <c r="M22" s="176"/>
      <c r="N22" s="176"/>
      <c r="O22" s="176"/>
      <c r="P22" s="176"/>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7" t="s">
        <v>1599</v>
      </c>
      <c r="C24" s="177"/>
      <c r="D24" s="177"/>
      <c r="E24" s="177"/>
      <c r="F24" s="177"/>
      <c r="G24" s="177"/>
      <c r="H24" s="177"/>
      <c r="I24" s="177"/>
      <c r="J24" s="177"/>
      <c r="K24" s="177"/>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8" t="s">
        <v>1600</v>
      </c>
      <c r="C27" s="179"/>
      <c r="D27" s="179"/>
      <c r="E27" s="179"/>
      <c r="F27" s="179"/>
      <c r="G27" s="179"/>
      <c r="H27" s="179"/>
      <c r="I27" s="179"/>
      <c r="J27" s="179"/>
      <c r="K27" s="179"/>
      <c r="L27" s="37"/>
      <c r="M27" s="37"/>
      <c r="N27" s="37"/>
      <c r="O27" s="37"/>
      <c r="P27" s="37"/>
      <c r="Q27" s="37"/>
      <c r="R27" s="37"/>
      <c r="S27" s="37"/>
      <c r="T27" s="37"/>
    </row>
    <row r="28" spans="1:25" ht="16.5" customHeight="1" x14ac:dyDescent="0.2">
      <c r="A28" s="45"/>
      <c r="B28" s="175" t="s">
        <v>1571</v>
      </c>
      <c r="C28" s="175"/>
      <c r="D28" s="175"/>
      <c r="E28" s="175"/>
      <c r="F28" s="175"/>
      <c r="G28" s="175"/>
      <c r="H28" s="175"/>
      <c r="I28" s="175"/>
      <c r="J28" s="105">
        <v>0</v>
      </c>
      <c r="K28" s="42"/>
      <c r="L28" s="37"/>
      <c r="M28" s="37"/>
      <c r="N28" s="37"/>
      <c r="O28" s="37"/>
      <c r="P28" s="37"/>
      <c r="Q28" s="37"/>
      <c r="R28" s="37"/>
      <c r="S28" s="37"/>
      <c r="T28" s="37"/>
    </row>
    <row r="29" spans="1:25" ht="16.5" customHeight="1" x14ac:dyDescent="0.25">
      <c r="A29" s="45"/>
      <c r="B29" s="49"/>
      <c r="C29" s="175" t="s">
        <v>1572</v>
      </c>
      <c r="D29" s="175"/>
      <c r="E29" s="175"/>
      <c r="F29" s="175"/>
      <c r="G29" s="175"/>
      <c r="H29" s="175"/>
      <c r="I29" s="175"/>
      <c r="J29" s="42"/>
      <c r="K29" s="105">
        <v>0</v>
      </c>
      <c r="L29" s="37"/>
      <c r="M29" s="37"/>
      <c r="N29" s="37"/>
      <c r="O29" s="37"/>
      <c r="P29" s="37"/>
      <c r="Q29" s="37"/>
      <c r="R29" s="37"/>
      <c r="S29" s="37"/>
      <c r="T29" s="37"/>
    </row>
    <row r="30" spans="1:25" ht="16.5" customHeight="1" x14ac:dyDescent="0.25">
      <c r="A30" s="45"/>
      <c r="B30" s="49"/>
      <c r="C30" s="175" t="str">
        <f>VLOOKUP($F$8,'Drop Down Menus'!$D$2:$G$10,4,FALSE)</f>
        <v>Cr: Acct 0815 - HLTH&amp;HUM SV SV.LAB(GAAP ADJ)</v>
      </c>
      <c r="D30" s="175"/>
      <c r="E30" s="175"/>
      <c r="F30" s="175"/>
      <c r="G30" s="175"/>
      <c r="H30" s="175"/>
      <c r="I30" s="175"/>
      <c r="J30" s="42"/>
      <c r="K30" s="105">
        <v>0</v>
      </c>
    </row>
    <row r="31" spans="1:25" ht="16.5" customHeight="1" x14ac:dyDescent="0.2">
      <c r="A31" s="65"/>
      <c r="B31" s="50"/>
      <c r="C31" s="50"/>
      <c r="D31" s="50"/>
      <c r="E31" s="50"/>
      <c r="F31" s="50"/>
      <c r="G31" s="50"/>
      <c r="H31" s="50"/>
      <c r="I31" s="50"/>
      <c r="J31" s="51">
        <f>ROUND(SUM(J28:J30),2)</f>
        <v>0</v>
      </c>
      <c r="K31" s="51">
        <f>ROUND(SUM(K28:K30),2)</f>
        <v>0</v>
      </c>
      <c r="L31" s="176" t="str">
        <f>IF(J31=K31,"&lt;- Debits and Credits equal each other.","&lt;- Debits and Credits do not equal each other.")</f>
        <v>&lt;- Debits and Credits equal each other.</v>
      </c>
      <c r="M31" s="176"/>
      <c r="N31" s="176"/>
      <c r="O31" s="176"/>
      <c r="P31" s="176"/>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3" t="s">
        <v>1601</v>
      </c>
      <c r="C33" s="184"/>
      <c r="D33" s="184"/>
      <c r="E33" s="184"/>
      <c r="F33" s="184"/>
      <c r="G33" s="184"/>
      <c r="H33" s="184"/>
      <c r="I33" s="184"/>
      <c r="J33" s="184"/>
      <c r="K33" s="184"/>
      <c r="L33" s="37"/>
      <c r="M33" s="37"/>
      <c r="N33" s="37"/>
      <c r="O33" s="37"/>
      <c r="P33" s="37"/>
      <c r="Q33" s="37"/>
      <c r="R33" s="37"/>
      <c r="S33" s="37"/>
      <c r="T33" s="37"/>
    </row>
    <row r="34" spans="1:20" ht="16.5" customHeight="1" x14ac:dyDescent="0.3">
      <c r="A34" s="65"/>
      <c r="B34" s="175" t="s">
        <v>1574</v>
      </c>
      <c r="C34" s="175"/>
      <c r="D34" s="175"/>
      <c r="E34" s="175"/>
      <c r="F34" s="175"/>
      <c r="G34" s="175"/>
      <c r="H34" s="175"/>
      <c r="I34" s="175"/>
      <c r="J34" s="105">
        <v>0</v>
      </c>
      <c r="K34" s="67"/>
      <c r="L34" s="37"/>
      <c r="M34" s="37"/>
      <c r="N34" s="37"/>
      <c r="O34" s="37"/>
      <c r="P34" s="37"/>
      <c r="Q34" s="37"/>
      <c r="R34" s="37"/>
      <c r="S34" s="37"/>
      <c r="T34" s="37"/>
    </row>
    <row r="35" spans="1:20" ht="16.5" customHeight="1" x14ac:dyDescent="0.2">
      <c r="B35" s="175" t="s">
        <v>1573</v>
      </c>
      <c r="C35" s="175"/>
      <c r="D35" s="175"/>
      <c r="E35" s="175"/>
      <c r="F35" s="175"/>
      <c r="G35" s="175"/>
      <c r="H35" s="175"/>
      <c r="I35" s="175"/>
      <c r="J35" s="105">
        <v>0</v>
      </c>
      <c r="K35" s="68"/>
    </row>
    <row r="36" spans="1:20" ht="16.5" customHeight="1" x14ac:dyDescent="0.2">
      <c r="A36" s="45"/>
      <c r="B36" s="69"/>
      <c r="C36" s="175" t="s">
        <v>1575</v>
      </c>
      <c r="D36" s="175"/>
      <c r="E36" s="175"/>
      <c r="F36" s="175"/>
      <c r="G36" s="175"/>
      <c r="H36" s="175"/>
      <c r="I36" s="175"/>
      <c r="J36" s="68"/>
      <c r="K36" s="105">
        <v>0</v>
      </c>
    </row>
    <row r="37" spans="1:20" ht="16.5" customHeight="1" x14ac:dyDescent="0.2">
      <c r="A37" s="45"/>
      <c r="C37" s="175" t="s">
        <v>1618</v>
      </c>
      <c r="D37" s="175"/>
      <c r="E37" s="175"/>
      <c r="F37" s="175"/>
      <c r="G37" s="175"/>
      <c r="H37" s="175"/>
      <c r="I37" s="175"/>
      <c r="J37" s="68"/>
      <c r="K37" s="105">
        <v>0</v>
      </c>
    </row>
    <row r="38" spans="1:20" ht="16.5" customHeight="1" x14ac:dyDescent="0.25">
      <c r="A38" s="45"/>
      <c r="B38" s="49"/>
      <c r="C38" s="175" t="str">
        <f>VLOOKUP($F$8,'Drop Down Menus'!$D$2:$G$10,4,FALSE)</f>
        <v>Cr: Acct 0815 - HLTH&amp;HUM SV SV.LAB(GAAP ADJ)</v>
      </c>
      <c r="D38" s="175"/>
      <c r="E38" s="175"/>
      <c r="F38" s="175"/>
      <c r="G38" s="175"/>
      <c r="H38" s="175"/>
      <c r="I38" s="175"/>
      <c r="J38" s="68"/>
      <c r="K38" s="105">
        <v>0</v>
      </c>
    </row>
    <row r="39" spans="1:20" ht="16.5" customHeight="1" x14ac:dyDescent="0.2">
      <c r="A39" s="45"/>
      <c r="B39" s="70"/>
      <c r="C39" s="70"/>
      <c r="D39" s="70"/>
      <c r="E39" s="70"/>
      <c r="F39" s="70"/>
      <c r="G39" s="70"/>
      <c r="H39" s="70"/>
      <c r="I39" s="70"/>
      <c r="J39" s="51">
        <f>ROUND(SUM(J34:J35),2)</f>
        <v>0</v>
      </c>
      <c r="K39" s="51">
        <f>ROUND(SUM(K36:K38),2)</f>
        <v>0</v>
      </c>
      <c r="L39" s="176" t="str">
        <f>IF(J39=K39,"&lt;- Debits and Credits equal each other.","&lt;- Debits and Credits do not equal each other.")</f>
        <v>&lt;- Debits and Credits equal each other.</v>
      </c>
      <c r="M39" s="176"/>
      <c r="N39" s="176"/>
      <c r="O39" s="176"/>
      <c r="P39" s="176"/>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7" t="s">
        <v>1603</v>
      </c>
      <c r="C41" s="177"/>
      <c r="D41" s="177"/>
      <c r="E41" s="177"/>
      <c r="F41" s="177"/>
      <c r="G41" s="177"/>
      <c r="H41" s="177"/>
      <c r="I41" s="177"/>
      <c r="J41" s="177"/>
      <c r="K41" s="177"/>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5" t="s">
        <v>1576</v>
      </c>
      <c r="C45" s="175"/>
      <c r="D45" s="175"/>
      <c r="E45" s="175"/>
      <c r="F45" s="175"/>
      <c r="G45" s="175"/>
      <c r="H45" s="175"/>
      <c r="I45" s="175"/>
      <c r="J45" s="105">
        <v>109239</v>
      </c>
      <c r="K45" s="78"/>
    </row>
    <row r="46" spans="1:20" ht="16.5" customHeight="1" x14ac:dyDescent="0.2">
      <c r="A46" s="45"/>
      <c r="B46" s="69"/>
      <c r="C46" s="175" t="s">
        <v>1581</v>
      </c>
      <c r="D46" s="175"/>
      <c r="E46" s="175"/>
      <c r="F46" s="175"/>
      <c r="G46" s="175"/>
      <c r="H46" s="175"/>
      <c r="I46" s="175"/>
      <c r="J46" s="68"/>
      <c r="K46" s="105">
        <f>J45</f>
        <v>109239</v>
      </c>
    </row>
    <row r="47" spans="1:20" ht="16.5" customHeight="1" x14ac:dyDescent="0.2">
      <c r="A47" s="65"/>
      <c r="B47" s="50"/>
      <c r="C47" s="50"/>
      <c r="D47" s="50"/>
      <c r="E47" s="50"/>
      <c r="F47" s="50"/>
      <c r="G47" s="50"/>
      <c r="H47" s="50"/>
      <c r="I47" s="50"/>
      <c r="J47" s="79">
        <f>ROUND(SUM(J45:J45),2)</f>
        <v>109239</v>
      </c>
      <c r="K47" s="79">
        <f>ROUND(SUM(K46),2)</f>
        <v>109239</v>
      </c>
      <c r="L47" s="176" t="str">
        <f>IF(J47=K47,"&lt;- Debits and Credits equal each other.","&lt;- Debits and Credits do not equal each other.")</f>
        <v>&lt;- Debits and Credits equal each other.</v>
      </c>
      <c r="M47" s="176"/>
      <c r="N47" s="176"/>
      <c r="O47" s="176"/>
      <c r="P47" s="176"/>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5" t="s">
        <v>1605</v>
      </c>
      <c r="C50" s="175"/>
      <c r="D50" s="175"/>
      <c r="E50" s="175"/>
      <c r="F50" s="175"/>
      <c r="G50" s="175"/>
      <c r="H50" s="175"/>
      <c r="I50" s="175"/>
      <c r="J50" s="106">
        <v>109219</v>
      </c>
      <c r="K50" s="81"/>
      <c r="L50" s="27" t="str">
        <f>IF($J$50=$K$57,"","&lt;- Accts 0848 must agree")</f>
        <v/>
      </c>
    </row>
    <row r="51" spans="1:20" ht="16.5" customHeight="1" x14ac:dyDescent="0.2">
      <c r="A51" s="45"/>
      <c r="B51" s="175" t="str">
        <f>IF(OR($F$7="Proprietary - Internal Service Fund",$F$7="Proprietary - Enterprise Fund"),"Dr: Acct 0894 - INTEREST EXPENSE AND FISCAL CHARGES","Dr: Acct 0851 - DEBT SERVICE - INTEREST LEASES")</f>
        <v>Dr: Acct 0851 - DEBT SERVICE - INTEREST LEASES</v>
      </c>
      <c r="C51" s="175"/>
      <c r="D51" s="175"/>
      <c r="E51" s="175"/>
      <c r="F51" s="175"/>
      <c r="G51" s="175"/>
      <c r="H51" s="175"/>
      <c r="I51" s="175"/>
      <c r="J51" s="106">
        <v>4771</v>
      </c>
      <c r="K51" s="81"/>
    </row>
    <row r="52" spans="1:20" ht="16.5" customHeight="1" x14ac:dyDescent="0.25">
      <c r="A52" s="45"/>
      <c r="B52" s="49"/>
      <c r="C52" s="175" t="str">
        <f>VLOOKUP($F$8,'Drop Down Menus'!$D$2:$G$10,4,FALSE)</f>
        <v>Cr: Acct 0815 - HLTH&amp;HUM SV SV.LAB(GAAP ADJ)</v>
      </c>
      <c r="D52" s="175"/>
      <c r="E52" s="175"/>
      <c r="F52" s="175"/>
      <c r="G52" s="175"/>
      <c r="H52" s="175"/>
      <c r="I52" s="175"/>
      <c r="J52" s="81"/>
      <c r="K52" s="107">
        <f>+J50+J51</f>
        <v>113990</v>
      </c>
    </row>
    <row r="53" spans="1:20" ht="16.5" customHeight="1" x14ac:dyDescent="0.2">
      <c r="A53" s="65"/>
      <c r="B53" s="50"/>
      <c r="C53" s="50"/>
      <c r="D53" s="50"/>
      <c r="E53" s="50"/>
      <c r="F53" s="50"/>
      <c r="G53" s="50"/>
      <c r="H53" s="50"/>
      <c r="I53" s="50"/>
      <c r="J53" s="79">
        <f>ROUND(SUM(J50:J51),2)</f>
        <v>113990</v>
      </c>
      <c r="K53" s="79">
        <f>ROUND(SUM(K52,),2)</f>
        <v>113990</v>
      </c>
      <c r="L53" s="176" t="str">
        <f>IF(J53=K53,"&lt;- Debits and Credits equal each other.","&lt;- Debits and Credits do not equal each other.")</f>
        <v>&lt;- Debits and Credits equal each other.</v>
      </c>
      <c r="M53" s="176"/>
      <c r="N53" s="176"/>
      <c r="O53" s="176"/>
      <c r="P53" s="176"/>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5" t="s">
        <v>1619</v>
      </c>
      <c r="C56" s="175"/>
      <c r="D56" s="175"/>
      <c r="E56" s="175"/>
      <c r="F56" s="175"/>
      <c r="G56" s="175"/>
      <c r="H56" s="175"/>
      <c r="I56" s="175"/>
      <c r="J56" s="105">
        <f>K57</f>
        <v>109219</v>
      </c>
      <c r="K56" s="68"/>
    </row>
    <row r="57" spans="1:20" ht="16.5" customHeight="1" x14ac:dyDescent="0.25">
      <c r="A57" s="45"/>
      <c r="B57" s="49"/>
      <c r="C57" s="175" t="s">
        <v>1607</v>
      </c>
      <c r="D57" s="175"/>
      <c r="E57" s="175"/>
      <c r="F57" s="175"/>
      <c r="G57" s="175"/>
      <c r="H57" s="175"/>
      <c r="I57" s="175"/>
      <c r="J57" s="68"/>
      <c r="K57" s="105">
        <f>J50</f>
        <v>109219</v>
      </c>
      <c r="L57" s="27" t="str">
        <f>IF($J$50=$K$57,"","&lt;- Accts 0848 must agree")</f>
        <v/>
      </c>
    </row>
    <row r="58" spans="1:20" ht="16.5" customHeight="1" x14ac:dyDescent="0.2">
      <c r="A58" s="65"/>
      <c r="B58" s="50"/>
      <c r="C58" s="50"/>
      <c r="D58" s="50"/>
      <c r="E58" s="50"/>
      <c r="F58" s="50"/>
      <c r="G58" s="50"/>
      <c r="H58" s="50"/>
      <c r="I58" s="50"/>
      <c r="J58" s="79">
        <f>ROUND(SUM(J56:J56),2)</f>
        <v>109219</v>
      </c>
      <c r="K58" s="79">
        <f>ROUND(SUM(K57),2)</f>
        <v>109219</v>
      </c>
      <c r="L58" s="176" t="str">
        <f>IF(J58=K58,"&lt;- Debits and Credits equal each other.","&lt;- Debits and Credits do not equal each other.")</f>
        <v>&lt;- Debits and Credits equal each other.</v>
      </c>
      <c r="M58" s="176"/>
      <c r="N58" s="176"/>
      <c r="O58" s="176"/>
      <c r="P58" s="176"/>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5" t="s">
        <v>1619</v>
      </c>
      <c r="C61" s="175"/>
      <c r="D61" s="175"/>
      <c r="E61" s="175"/>
      <c r="F61" s="175"/>
      <c r="G61" s="175"/>
      <c r="H61" s="175"/>
      <c r="I61" s="175"/>
      <c r="J61" s="108">
        <v>111839</v>
      </c>
      <c r="K61" s="78"/>
    </row>
    <row r="62" spans="1:20" ht="16.5" customHeight="1" x14ac:dyDescent="0.25">
      <c r="A62" s="45"/>
      <c r="B62" s="49"/>
      <c r="C62" s="175" t="s">
        <v>1616</v>
      </c>
      <c r="D62" s="175"/>
      <c r="E62" s="175"/>
      <c r="F62" s="175"/>
      <c r="G62" s="175"/>
      <c r="H62" s="175"/>
      <c r="I62" s="175"/>
      <c r="J62" s="78"/>
      <c r="K62" s="105">
        <f>J61</f>
        <v>111839</v>
      </c>
    </row>
    <row r="63" spans="1:20" ht="16.5" customHeight="1" x14ac:dyDescent="0.2">
      <c r="A63" s="45"/>
      <c r="B63" s="180" t="s">
        <v>1615</v>
      </c>
      <c r="C63" s="180"/>
      <c r="D63" s="180"/>
      <c r="E63" s="180"/>
      <c r="F63" s="180"/>
      <c r="G63" s="180"/>
      <c r="H63" s="180"/>
      <c r="I63" s="180"/>
      <c r="J63" s="79">
        <f>ROUND(SUM(J61:J61),2)</f>
        <v>111839</v>
      </c>
      <c r="K63" s="79">
        <f>ROUND(SUM(K62),2)</f>
        <v>111839</v>
      </c>
      <c r="L63" s="176" t="str">
        <f>IF(J63=K63,"&lt;- Debits and Credits equal each other.","&lt;- Debits and Credits do not equal each other.")</f>
        <v>&lt;- Debits and Credits equal each other.</v>
      </c>
      <c r="M63" s="176"/>
      <c r="N63" s="176"/>
      <c r="O63" s="176"/>
      <c r="P63" s="176"/>
      <c r="Q63" s="37"/>
      <c r="R63" s="37"/>
      <c r="S63" s="37"/>
      <c r="T63" s="37"/>
    </row>
    <row r="64" spans="1:20" ht="16.5" customHeight="1" x14ac:dyDescent="0.2">
      <c r="A64" s="45"/>
      <c r="B64" s="180"/>
      <c r="C64" s="180"/>
      <c r="D64" s="180"/>
      <c r="E64" s="180"/>
      <c r="F64" s="180"/>
      <c r="G64" s="180"/>
      <c r="H64" s="180"/>
      <c r="I64" s="180"/>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5" t="s">
        <v>1588</v>
      </c>
      <c r="C68" s="175"/>
      <c r="D68" s="175"/>
      <c r="E68" s="175"/>
      <c r="F68" s="175"/>
      <c r="G68" s="175"/>
      <c r="H68" s="175"/>
      <c r="I68" s="175"/>
      <c r="J68" s="108">
        <f>K69</f>
        <v>0</v>
      </c>
      <c r="K68" s="87"/>
      <c r="L68" s="37"/>
      <c r="M68" s="37"/>
      <c r="N68" s="37"/>
      <c r="O68" s="37"/>
      <c r="P68" s="37"/>
      <c r="Q68" s="37"/>
      <c r="R68" s="37"/>
      <c r="S68" s="37"/>
      <c r="T68" s="37"/>
    </row>
    <row r="69" spans="1:20" ht="16.5" customHeight="1" x14ac:dyDescent="0.2">
      <c r="A69" s="45"/>
      <c r="B69" s="88"/>
      <c r="C69" s="175" t="s">
        <v>1589</v>
      </c>
      <c r="D69" s="175"/>
      <c r="E69" s="175"/>
      <c r="F69" s="175"/>
      <c r="G69" s="175"/>
      <c r="H69" s="175"/>
      <c r="I69" s="175"/>
      <c r="J69" s="89"/>
      <c r="K69" s="108"/>
    </row>
    <row r="70" spans="1:20" ht="16.5" customHeight="1" x14ac:dyDescent="0.2">
      <c r="B70" s="50"/>
      <c r="H70" s="27"/>
      <c r="J70" s="51">
        <f>SUM(J68)</f>
        <v>0</v>
      </c>
      <c r="K70" s="51">
        <f>SUM(K69)</f>
        <v>0</v>
      </c>
      <c r="L70" s="176" t="str">
        <f>IF(J70=K70,"&lt;- Debits and Credits equal each other.","&lt;- Debits and Credits do not equal each other.")</f>
        <v>&lt;- Debits and Credits equal each other.</v>
      </c>
      <c r="M70" s="176"/>
      <c r="N70" s="176"/>
      <c r="O70" s="176"/>
      <c r="P70" s="176"/>
      <c r="Q70" s="37"/>
      <c r="R70" s="37"/>
      <c r="S70" s="37"/>
      <c r="T70" s="37"/>
    </row>
    <row r="71" spans="1:20" ht="16.5" customHeight="1" x14ac:dyDescent="0.2">
      <c r="B71" s="66"/>
      <c r="H71" s="27"/>
    </row>
    <row r="72" spans="1:20" ht="16.5" customHeight="1" x14ac:dyDescent="0.25">
      <c r="A72" s="45"/>
      <c r="B72" s="177" t="s">
        <v>1604</v>
      </c>
      <c r="C72" s="177"/>
      <c r="D72" s="177"/>
      <c r="E72" s="177"/>
      <c r="F72" s="177"/>
      <c r="G72" s="177"/>
      <c r="H72" s="177"/>
      <c r="I72" s="177"/>
      <c r="J72" s="177"/>
      <c r="K72" s="177"/>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81" t="s">
        <v>1606</v>
      </c>
      <c r="C75" s="182"/>
      <c r="D75" s="182"/>
      <c r="E75" s="182"/>
      <c r="F75" s="182"/>
      <c r="G75" s="182"/>
      <c r="H75" s="182"/>
      <c r="I75" s="182"/>
      <c r="J75" s="182"/>
      <c r="K75" s="182"/>
      <c r="L75" s="37"/>
      <c r="M75" s="37"/>
      <c r="N75" s="37"/>
      <c r="O75" s="37"/>
      <c r="P75" s="37"/>
      <c r="Q75" s="37"/>
      <c r="R75" s="37"/>
      <c r="S75" s="37"/>
      <c r="T75" s="37"/>
    </row>
    <row r="76" spans="1:20" ht="16.5" customHeight="1" x14ac:dyDescent="0.2">
      <c r="B76" s="175" t="s">
        <v>1619</v>
      </c>
      <c r="C76" s="175"/>
      <c r="D76" s="175"/>
      <c r="E76" s="175"/>
      <c r="F76" s="175"/>
      <c r="G76" s="175"/>
      <c r="H76" s="175"/>
      <c r="I76" s="175"/>
      <c r="J76" s="108"/>
      <c r="K76" s="48"/>
    </row>
    <row r="77" spans="1:20" ht="16.5" customHeight="1" x14ac:dyDescent="0.2">
      <c r="B77" s="175" t="s">
        <v>1588</v>
      </c>
      <c r="C77" s="175"/>
      <c r="D77" s="175"/>
      <c r="E77" s="175"/>
      <c r="F77" s="175"/>
      <c r="G77" s="175"/>
      <c r="H77" s="175"/>
      <c r="I77" s="175"/>
      <c r="J77" s="108"/>
      <c r="K77" s="48"/>
    </row>
    <row r="78" spans="1:20" ht="16.5" customHeight="1" x14ac:dyDescent="0.2">
      <c r="B78" s="175" t="str">
        <f>VLOOKUP($F$8,'Drop Down Menus'!$D$2:$G$10,3,FALSE)</f>
        <v>Dr: Acct 0815 - HLTH&amp;HUM SV SV.LAB(GAAP ADJ)</v>
      </c>
      <c r="C78" s="175"/>
      <c r="D78" s="175"/>
      <c r="E78" s="175"/>
      <c r="F78" s="175"/>
      <c r="G78" s="175"/>
      <c r="H78" s="175"/>
      <c r="I78" s="175"/>
      <c r="J78" s="108"/>
      <c r="K78" s="48"/>
    </row>
    <row r="79" spans="1:20" ht="16.5" customHeight="1" x14ac:dyDescent="0.2">
      <c r="C79" s="175" t="s">
        <v>1589</v>
      </c>
      <c r="D79" s="175"/>
      <c r="E79" s="175"/>
      <c r="F79" s="175"/>
      <c r="G79" s="175"/>
      <c r="H79" s="175"/>
      <c r="I79" s="175"/>
      <c r="J79" s="48"/>
      <c r="K79" s="108"/>
    </row>
    <row r="80" spans="1:20" ht="16.5" customHeight="1" x14ac:dyDescent="0.2">
      <c r="C80" s="175" t="str">
        <f>VLOOKUP($F$8,'Drop Down Menus'!$D$2:$G$10,4,FALSE)</f>
        <v>Cr: Acct 0815 - HLTH&amp;HUM SV SV.LAB(GAAP ADJ)</v>
      </c>
      <c r="D80" s="175"/>
      <c r="E80" s="175"/>
      <c r="F80" s="175"/>
      <c r="G80" s="175"/>
      <c r="H80" s="175"/>
      <c r="I80" s="175"/>
      <c r="J80" s="48"/>
      <c r="K80" s="108"/>
    </row>
    <row r="81" spans="1:20" ht="16.5" customHeight="1" x14ac:dyDescent="0.2">
      <c r="B81" s="53"/>
      <c r="H81" s="27"/>
      <c r="J81" s="51">
        <f>ROUND(SUM(J76:J78),2)</f>
        <v>0</v>
      </c>
      <c r="K81" s="51">
        <f>ROUND(SUM(K79:K80),2)</f>
        <v>0</v>
      </c>
      <c r="L81" s="176" t="str">
        <f>IF(J81=K81,"&lt;- Debits and Credits equal each other.","&lt;- Debits and Credits do not equal each other.")</f>
        <v>&lt;- Debits and Credits equal each other.</v>
      </c>
      <c r="M81" s="176"/>
      <c r="N81" s="176"/>
      <c r="O81" s="176"/>
      <c r="P81" s="176"/>
      <c r="Q81" s="37"/>
      <c r="R81" s="37"/>
      <c r="S81" s="37"/>
      <c r="T81" s="37"/>
    </row>
    <row r="82" spans="1:20" ht="16.5" customHeight="1" x14ac:dyDescent="0.25">
      <c r="H82" s="27"/>
    </row>
    <row r="83" spans="1:20" ht="16.5" customHeight="1" x14ac:dyDescent="0.3">
      <c r="A83" s="38">
        <v>9</v>
      </c>
      <c r="B83" s="178" t="s">
        <v>1608</v>
      </c>
      <c r="C83" s="179"/>
      <c r="D83" s="179"/>
      <c r="E83" s="179"/>
      <c r="F83" s="179"/>
      <c r="G83" s="179"/>
      <c r="H83" s="179"/>
      <c r="I83" s="179"/>
      <c r="J83" s="179"/>
      <c r="K83" s="179"/>
    </row>
    <row r="84" spans="1:20" ht="16.5" customHeight="1" x14ac:dyDescent="0.2">
      <c r="B84" s="175" t="s">
        <v>1574</v>
      </c>
      <c r="C84" s="175"/>
      <c r="D84" s="175"/>
      <c r="E84" s="175"/>
      <c r="F84" s="175"/>
      <c r="G84" s="175"/>
      <c r="H84" s="175"/>
      <c r="I84" s="175"/>
      <c r="J84" s="108"/>
      <c r="K84" s="48"/>
    </row>
    <row r="85" spans="1:20" ht="16.5" customHeight="1" x14ac:dyDescent="0.2">
      <c r="C85" s="175" t="s">
        <v>1618</v>
      </c>
      <c r="D85" s="175"/>
      <c r="E85" s="175"/>
      <c r="F85" s="175"/>
      <c r="G85" s="175"/>
      <c r="H85" s="175"/>
      <c r="I85" s="175"/>
      <c r="J85" s="48"/>
      <c r="K85" s="108"/>
    </row>
    <row r="86" spans="1:20" ht="16.5" customHeight="1" x14ac:dyDescent="0.2">
      <c r="H86" s="27"/>
      <c r="J86" s="51">
        <f>SUM(J84)</f>
        <v>0</v>
      </c>
      <c r="K86" s="51">
        <f>SUM(K85)</f>
        <v>0</v>
      </c>
      <c r="L86" s="176" t="str">
        <f>IF(J86=K86,"&lt;- Debits and Credits equal each other.","&lt;- Debits and Credits do not equal each other.")</f>
        <v>&lt;- Debits and Credits equal each other.</v>
      </c>
      <c r="M86" s="176"/>
      <c r="N86" s="176"/>
      <c r="O86" s="176"/>
      <c r="P86" s="176"/>
      <c r="Q86" s="37"/>
      <c r="R86" s="37"/>
      <c r="S86" s="37"/>
      <c r="T86" s="37"/>
    </row>
    <row r="87" spans="1:20" ht="16.5" customHeight="1" x14ac:dyDescent="0.25">
      <c r="H87" s="27"/>
    </row>
    <row r="88" spans="1:20" ht="16.5" customHeight="1" x14ac:dyDescent="0.25">
      <c r="B88" s="177" t="s">
        <v>1613</v>
      </c>
      <c r="C88" s="177"/>
      <c r="D88" s="177"/>
      <c r="E88" s="177"/>
      <c r="F88" s="177"/>
      <c r="G88" s="177"/>
      <c r="H88" s="177"/>
      <c r="I88" s="177"/>
      <c r="J88" s="177"/>
      <c r="K88" s="177"/>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327718</v>
      </c>
      <c r="N94" s="104"/>
    </row>
    <row r="95" spans="1:20" ht="16.5" customHeight="1" x14ac:dyDescent="0.25">
      <c r="D95" s="49" t="s">
        <v>1631</v>
      </c>
      <c r="E95" s="100"/>
      <c r="F95" s="100"/>
      <c r="G95" s="100"/>
      <c r="H95" s="27"/>
      <c r="I95" s="100"/>
      <c r="J95" s="100"/>
      <c r="K95" s="103">
        <f>-K18-K46+J68+J77</f>
        <v>-185735</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-111839</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DFF0D16D-DC51-4C57-8B31-23F70DA0E6E0}">
      <formula1>0</formula1>
    </dataValidation>
    <dataValidation type="whole" operator="greaterThanOrEqual" allowBlank="1" showErrorMessage="1" errorTitle="Whole Numbers Only" error="Enter amounts as whole numbers only." promptTitle="Whole Numbers" prompt="Enter whole numbers only." sqref="J15:J17 K18:K21" xr:uid="{7CE1F00E-5560-4624-94EC-1EFCDA424DD3}">
      <formula1>0</formula1>
    </dataValidation>
    <dataValidation type="textLength" operator="equal" allowBlank="1" showInputMessage="1" showErrorMessage="1" errorTitle="4-Digit Org Code" error="Enter the Org Code/BU as 4 digits." sqref="F5" xr:uid="{33D769A1-4372-4CB2-BAF1-E149550560D4}">
      <formula1>4</formula1>
    </dataValidation>
    <dataValidation type="textLength" operator="lessThan" allowBlank="1" showInputMessage="1" showErrorMessage="1" sqref="E11 A6:A8" xr:uid="{200AF863-57AF-4F58-935C-ACD4751E7256}">
      <formula1>0</formula1>
    </dataValidation>
    <dataValidation operator="lessThan" allowBlank="1" showInputMessage="1" showErrorMessage="1" sqref="A3:A5 A7:A8 A11" xr:uid="{23DF6BCF-8E78-4E55-BA9A-3972DDE64F9D}"/>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ACEF789-A957-4E05-8FEA-23EC6565B4DB}">
          <x14:formula1>
            <xm:f>'Drop Down Menus'!$B$1:$B$3</xm:f>
          </x14:formula1>
          <xm:sqref>F7</xm:sqref>
        </x14:dataValidation>
        <x14:dataValidation type="list" allowBlank="1" showInputMessage="1" showErrorMessage="1" xr:uid="{6F4BB0BB-446E-4A3F-84BB-F24BFB704FB7}">
          <x14:formula1>
            <xm:f>'Drop Down Menus'!$A$1:$A$101</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zoomScale="70" zoomScaleNormal="70" workbookViewId="0">
      <selection activeCell="P89" sqref="P8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93" t="s">
        <v>1602</v>
      </c>
      <c r="B1" s="193"/>
      <c r="C1" s="193"/>
      <c r="D1" s="193"/>
      <c r="E1" s="193"/>
      <c r="F1" s="193"/>
      <c r="G1" s="193"/>
      <c r="H1" s="193"/>
      <c r="I1" s="193"/>
      <c r="J1" s="193"/>
      <c r="K1" s="193"/>
      <c r="L1" s="26"/>
      <c r="M1" s="26"/>
      <c r="N1" s="26"/>
      <c r="O1" s="26"/>
      <c r="P1" s="26"/>
      <c r="Q1" s="26"/>
      <c r="R1" s="26"/>
      <c r="S1" s="26"/>
      <c r="T1" s="26"/>
    </row>
    <row r="2" spans="1:25" ht="18" x14ac:dyDescent="0.25">
      <c r="A2" s="194" t="s">
        <v>1564</v>
      </c>
      <c r="B2" s="194"/>
      <c r="C2" s="194"/>
      <c r="D2" s="194"/>
      <c r="E2" s="194"/>
      <c r="F2" s="194"/>
      <c r="G2" s="194"/>
      <c r="H2" s="194"/>
      <c r="I2" s="194"/>
      <c r="J2" s="194"/>
      <c r="K2" s="194"/>
      <c r="L2" s="28"/>
      <c r="M2" s="28"/>
      <c r="N2" s="28"/>
      <c r="O2" s="28"/>
      <c r="P2" s="28"/>
      <c r="Q2" s="28"/>
      <c r="R2" s="28"/>
      <c r="S2" s="28"/>
      <c r="T2" s="28"/>
    </row>
    <row r="3" spans="1:25" ht="15.75" x14ac:dyDescent="0.25">
      <c r="A3" s="185" t="s">
        <v>0</v>
      </c>
      <c r="B3" s="185"/>
      <c r="C3" s="185"/>
      <c r="D3" s="185"/>
      <c r="E3" s="185"/>
      <c r="F3" s="192" t="s">
        <v>16</v>
      </c>
      <c r="G3" s="192"/>
      <c r="H3" s="192"/>
      <c r="I3" s="192"/>
    </row>
    <row r="4" spans="1:25" ht="15.75" x14ac:dyDescent="0.25">
      <c r="A4" s="185" t="s">
        <v>1580</v>
      </c>
      <c r="B4" s="185"/>
      <c r="C4" s="185"/>
      <c r="D4" s="185"/>
      <c r="E4" s="185"/>
      <c r="F4" s="192" t="s">
        <v>1655</v>
      </c>
      <c r="G4" s="192"/>
      <c r="H4" s="192"/>
      <c r="I4" s="192"/>
    </row>
    <row r="5" spans="1:25" ht="15.75" x14ac:dyDescent="0.2">
      <c r="A5" s="185" t="s">
        <v>1596</v>
      </c>
      <c r="B5" s="185"/>
      <c r="C5" s="185"/>
      <c r="D5" s="185"/>
      <c r="E5" s="185"/>
      <c r="F5" s="190" t="s">
        <v>808</v>
      </c>
      <c r="G5" s="190"/>
      <c r="H5" s="190"/>
      <c r="I5" s="190"/>
      <c r="J5" s="30"/>
      <c r="K5" s="30"/>
      <c r="L5" s="31"/>
      <c r="M5" s="31"/>
      <c r="N5" s="31"/>
      <c r="O5" s="31"/>
      <c r="P5" s="31"/>
      <c r="Q5" s="31"/>
      <c r="R5" s="31"/>
      <c r="S5" s="31"/>
      <c r="T5" s="31"/>
      <c r="U5" s="31"/>
      <c r="V5" s="31"/>
    </row>
    <row r="6" spans="1:25" ht="15.75" x14ac:dyDescent="0.2">
      <c r="A6" s="185" t="s">
        <v>1</v>
      </c>
      <c r="B6" s="185"/>
      <c r="C6" s="185"/>
      <c r="D6" s="185"/>
      <c r="E6" s="185"/>
      <c r="F6" s="191">
        <v>1</v>
      </c>
      <c r="G6" s="191"/>
      <c r="H6" s="191"/>
      <c r="I6" s="191"/>
      <c r="L6" s="32"/>
      <c r="M6" s="32"/>
      <c r="N6" s="32"/>
      <c r="O6" s="32"/>
      <c r="P6" s="32"/>
      <c r="Q6" s="32"/>
      <c r="R6" s="32"/>
      <c r="S6" s="32"/>
      <c r="T6" s="32"/>
      <c r="U6" s="31"/>
      <c r="V6" s="31"/>
      <c r="X6" s="18"/>
    </row>
    <row r="7" spans="1:25" ht="15.75" x14ac:dyDescent="0.2">
      <c r="A7" s="185" t="s">
        <v>1568</v>
      </c>
      <c r="B7" s="185"/>
      <c r="C7" s="185"/>
      <c r="D7" s="185"/>
      <c r="E7" s="185"/>
      <c r="F7" s="192" t="s">
        <v>1565</v>
      </c>
      <c r="G7" s="192"/>
      <c r="H7" s="192"/>
      <c r="I7" s="192"/>
      <c r="L7" s="32"/>
      <c r="M7" s="32"/>
      <c r="N7" s="32"/>
      <c r="O7" s="32"/>
      <c r="P7" s="32"/>
      <c r="Q7" s="32"/>
      <c r="R7" s="32"/>
      <c r="S7" s="32"/>
      <c r="T7" s="32"/>
      <c r="U7" s="31"/>
      <c r="V7" s="31"/>
      <c r="X7" s="18"/>
    </row>
    <row r="8" spans="1:25" ht="15.75" x14ac:dyDescent="0.2">
      <c r="A8" s="185" t="s">
        <v>2</v>
      </c>
      <c r="B8" s="185"/>
      <c r="C8" s="185"/>
      <c r="D8" s="185"/>
      <c r="E8" s="185"/>
      <c r="F8" s="186" t="str">
        <f>IF(OR($F$7='Drop Down Menus'!B2,$F$7='Drop Down Menus'!$B$3),'Drop Down Menus'!$D$9,IFERROR(VLOOKUP($F$5,GAAP02Aindex!$A$2:$D$900,4,FALSE),"Unidentified"))</f>
        <v>HEALTH AND HUMAN SERVICES</v>
      </c>
      <c r="G8" s="186"/>
      <c r="H8" s="186"/>
      <c r="I8" s="186"/>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9" t="str">
        <f>IF($F$3="2022–2023","To establish the beginning balance of SBITAs as of 07/01/2022.","Roll forward prior year right-to-use SBITAs to record opening balances.")</f>
        <v>Roll forward prior year right-to-use SBITAs to record opening balances.</v>
      </c>
      <c r="C14" s="179"/>
      <c r="D14" s="179"/>
      <c r="E14" s="179"/>
      <c r="F14" s="179"/>
      <c r="G14" s="179"/>
      <c r="H14" s="179"/>
      <c r="I14" s="179"/>
      <c r="J14" s="179"/>
      <c r="K14" s="179"/>
      <c r="L14" s="37"/>
      <c r="M14" s="188" t="s">
        <v>1648</v>
      </c>
      <c r="N14" s="189"/>
      <c r="O14" s="37"/>
      <c r="P14" s="188" t="s">
        <v>1632</v>
      </c>
      <c r="Q14" s="189"/>
      <c r="R14" s="39"/>
      <c r="S14" s="40" t="s">
        <v>1633</v>
      </c>
    </row>
    <row r="15" spans="1:25" ht="16.5" customHeight="1" x14ac:dyDescent="0.2">
      <c r="B15" s="175" t="s">
        <v>1574</v>
      </c>
      <c r="C15" s="175"/>
      <c r="D15" s="175"/>
      <c r="E15" s="175"/>
      <c r="F15" s="175"/>
      <c r="G15" s="175"/>
      <c r="H15" s="175"/>
      <c r="I15" s="175"/>
      <c r="J15" s="41">
        <f>ROUND(M15,0)</f>
        <v>902578</v>
      </c>
      <c r="K15" s="42"/>
      <c r="M15" s="105">
        <v>902578</v>
      </c>
      <c r="P15" s="105">
        <v>902578</v>
      </c>
      <c r="S15" s="43">
        <f>M15-P15</f>
        <v>0</v>
      </c>
      <c r="T15" s="44" t="s">
        <v>1634</v>
      </c>
    </row>
    <row r="16" spans="1:25" ht="16.5" customHeight="1" x14ac:dyDescent="0.2">
      <c r="A16" s="45"/>
      <c r="B16" s="175" t="s">
        <v>1582</v>
      </c>
      <c r="C16" s="175"/>
      <c r="D16" s="175"/>
      <c r="E16" s="175"/>
      <c r="F16" s="175"/>
      <c r="G16" s="175"/>
      <c r="H16" s="175"/>
      <c r="I16" s="175"/>
      <c r="J16" s="41">
        <f>ROUND(P16,0)</f>
        <v>0</v>
      </c>
      <c r="K16" s="42"/>
      <c r="M16" s="105"/>
      <c r="P16" s="46">
        <f>IF(SUM($Q$18:$Q$19)&gt;$P$15,SUM($Q$18:$Q$19)-$P$15,0)</f>
        <v>0</v>
      </c>
      <c r="S16" s="43">
        <f>M16-P16</f>
        <v>0</v>
      </c>
      <c r="T16" s="47" t="s">
        <v>1635</v>
      </c>
    </row>
    <row r="17" spans="1:25" ht="16.5" customHeight="1" x14ac:dyDescent="0.2">
      <c r="A17" s="45"/>
      <c r="B17" s="175" t="s">
        <v>1583</v>
      </c>
      <c r="C17" s="175"/>
      <c r="D17" s="175"/>
      <c r="E17" s="175"/>
      <c r="F17" s="175"/>
      <c r="G17" s="175"/>
      <c r="H17" s="175"/>
      <c r="I17" s="175"/>
      <c r="J17" s="41">
        <f>ROUND(IF(SUM($K$18:$K$20)&gt;SUM($J$15:$J$16),SUM($K$18:$K$20)-SUM($J$15:$J$16),0),0)</f>
        <v>0</v>
      </c>
      <c r="K17" s="42"/>
      <c r="M17" s="105"/>
      <c r="P17" s="48"/>
      <c r="S17" s="43">
        <f>M17-P17</f>
        <v>0</v>
      </c>
      <c r="T17" s="47" t="s">
        <v>1635</v>
      </c>
    </row>
    <row r="18" spans="1:25" ht="16.5" customHeight="1" x14ac:dyDescent="0.2">
      <c r="A18" s="45"/>
      <c r="B18" s="20"/>
      <c r="C18" s="175" t="s">
        <v>1581</v>
      </c>
      <c r="D18" s="175"/>
      <c r="E18" s="175"/>
      <c r="F18" s="175"/>
      <c r="G18" s="175"/>
      <c r="H18" s="175"/>
      <c r="I18" s="175"/>
      <c r="J18" s="42"/>
      <c r="K18" s="41">
        <f>ROUND(N18,0)</f>
        <v>451844</v>
      </c>
      <c r="N18" s="105">
        <v>451844</v>
      </c>
      <c r="Q18" s="105">
        <v>451844</v>
      </c>
      <c r="S18" s="43">
        <f>N18-Q18</f>
        <v>0</v>
      </c>
      <c r="T18" s="47" t="s">
        <v>1635</v>
      </c>
    </row>
    <row r="19" spans="1:25" ht="16.5" customHeight="1" x14ac:dyDescent="0.25">
      <c r="A19" s="45"/>
      <c r="B19" s="49"/>
      <c r="C19" s="175" t="s">
        <v>1618</v>
      </c>
      <c r="D19" s="175"/>
      <c r="E19" s="175"/>
      <c r="F19" s="175"/>
      <c r="G19" s="175"/>
      <c r="H19" s="175"/>
      <c r="I19" s="175"/>
      <c r="J19" s="42"/>
      <c r="K19" s="41">
        <f>ROUND(N19,0)</f>
        <v>433916</v>
      </c>
      <c r="N19" s="105">
        <v>433916</v>
      </c>
      <c r="Q19" s="105">
        <v>433916</v>
      </c>
      <c r="S19" s="43">
        <f>N19-Q19</f>
        <v>0</v>
      </c>
      <c r="T19" s="47" t="s">
        <v>1635</v>
      </c>
      <c r="X19" s="18"/>
    </row>
    <row r="20" spans="1:25" ht="16.5" customHeight="1" x14ac:dyDescent="0.25">
      <c r="A20" s="45"/>
      <c r="B20" s="49"/>
      <c r="C20" s="175" t="s">
        <v>1584</v>
      </c>
      <c r="D20" s="175"/>
      <c r="E20" s="175"/>
      <c r="F20" s="175"/>
      <c r="G20" s="175"/>
      <c r="H20" s="175"/>
      <c r="I20" s="175"/>
      <c r="K20" s="41">
        <f>ROUND(Q20,0)</f>
        <v>16818</v>
      </c>
      <c r="N20" s="105"/>
      <c r="Q20" s="46">
        <f>IF(SUM($Q$18:$Q$19)&lt;$P$15,-SUM($Q$18:$Q$19)+$P$15,0)</f>
        <v>16818</v>
      </c>
      <c r="S20" s="43">
        <f>N20-Q20</f>
        <v>-16818</v>
      </c>
      <c r="T20" s="47" t="s">
        <v>1635</v>
      </c>
      <c r="Y20" s="19"/>
    </row>
    <row r="21" spans="1:25" ht="16.5" customHeight="1" x14ac:dyDescent="0.25">
      <c r="A21" s="45"/>
      <c r="B21" s="49"/>
      <c r="C21" s="175" t="s">
        <v>1585</v>
      </c>
      <c r="D21" s="175"/>
      <c r="E21" s="175"/>
      <c r="F21" s="175"/>
      <c r="G21" s="175"/>
      <c r="H21" s="175"/>
      <c r="I21" s="175"/>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902578</v>
      </c>
      <c r="K22" s="51">
        <f>ROUND(SUM(K18:K21),0)</f>
        <v>902578</v>
      </c>
      <c r="L22" s="176" t="str">
        <f>IF(J22=K22,"&lt;- Debits and Credits equal each other.","&lt;- Debits and Credits do not equal each other.")</f>
        <v>&lt;- Debits and Credits equal each other.</v>
      </c>
      <c r="M22" s="176"/>
      <c r="N22" s="176"/>
      <c r="O22" s="176"/>
      <c r="P22" s="176"/>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7" t="s">
        <v>1599</v>
      </c>
      <c r="C24" s="177"/>
      <c r="D24" s="177"/>
      <c r="E24" s="177"/>
      <c r="F24" s="177"/>
      <c r="G24" s="177"/>
      <c r="H24" s="177"/>
      <c r="I24" s="177"/>
      <c r="J24" s="177"/>
      <c r="K24" s="177"/>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8" t="s">
        <v>1600</v>
      </c>
      <c r="C27" s="179"/>
      <c r="D27" s="179"/>
      <c r="E27" s="179"/>
      <c r="F27" s="179"/>
      <c r="G27" s="179"/>
      <c r="H27" s="179"/>
      <c r="I27" s="179"/>
      <c r="J27" s="179"/>
      <c r="K27" s="179"/>
      <c r="L27" s="37"/>
      <c r="M27" s="37"/>
      <c r="N27" s="37"/>
      <c r="O27" s="37"/>
      <c r="P27" s="37"/>
      <c r="Q27" s="37"/>
      <c r="R27" s="37"/>
      <c r="S27" s="37"/>
      <c r="T27" s="37"/>
    </row>
    <row r="28" spans="1:25" ht="16.5" customHeight="1" x14ac:dyDescent="0.2">
      <c r="A28" s="45"/>
      <c r="B28" s="175" t="s">
        <v>1571</v>
      </c>
      <c r="C28" s="175"/>
      <c r="D28" s="175"/>
      <c r="E28" s="175"/>
      <c r="F28" s="175"/>
      <c r="G28" s="175"/>
      <c r="H28" s="175"/>
      <c r="I28" s="175"/>
      <c r="J28" s="105">
        <v>0</v>
      </c>
      <c r="K28" s="42"/>
      <c r="L28" s="37"/>
      <c r="M28" s="37"/>
      <c r="N28" s="37"/>
      <c r="O28" s="37"/>
      <c r="P28" s="37"/>
      <c r="Q28" s="37"/>
      <c r="R28" s="37"/>
      <c r="S28" s="37"/>
      <c r="T28" s="37"/>
    </row>
    <row r="29" spans="1:25" ht="16.5" customHeight="1" x14ac:dyDescent="0.25">
      <c r="A29" s="45"/>
      <c r="B29" s="49"/>
      <c r="C29" s="175" t="s">
        <v>1572</v>
      </c>
      <c r="D29" s="175"/>
      <c r="E29" s="175"/>
      <c r="F29" s="175"/>
      <c r="G29" s="175"/>
      <c r="H29" s="175"/>
      <c r="I29" s="175"/>
      <c r="J29" s="42"/>
      <c r="K29" s="105">
        <v>0</v>
      </c>
      <c r="L29" s="37"/>
      <c r="M29" s="37"/>
      <c r="N29" s="37"/>
      <c r="O29" s="37"/>
      <c r="P29" s="37"/>
      <c r="Q29" s="37"/>
      <c r="R29" s="37"/>
      <c r="S29" s="37"/>
      <c r="T29" s="37"/>
    </row>
    <row r="30" spans="1:25" ht="16.5" customHeight="1" x14ac:dyDescent="0.25">
      <c r="A30" s="45"/>
      <c r="B30" s="49"/>
      <c r="C30" s="175" t="str">
        <f>VLOOKUP($F$8,'Drop Down Menus'!$D$2:$G$10,4,FALSE)</f>
        <v>Cr: Acct 0815 - HLTH&amp;HUM SV SV.LAB(GAAP ADJ)</v>
      </c>
      <c r="D30" s="175"/>
      <c r="E30" s="175"/>
      <c r="F30" s="175"/>
      <c r="G30" s="175"/>
      <c r="H30" s="175"/>
      <c r="I30" s="175"/>
      <c r="J30" s="42"/>
      <c r="K30" s="105">
        <v>0</v>
      </c>
    </row>
    <row r="31" spans="1:25" ht="16.5" customHeight="1" x14ac:dyDescent="0.2">
      <c r="A31" s="65"/>
      <c r="B31" s="50"/>
      <c r="C31" s="50"/>
      <c r="D31" s="50"/>
      <c r="E31" s="50"/>
      <c r="F31" s="50"/>
      <c r="G31" s="50"/>
      <c r="H31" s="50"/>
      <c r="I31" s="50"/>
      <c r="J31" s="51">
        <f>ROUND(SUM(J28:J30),2)</f>
        <v>0</v>
      </c>
      <c r="K31" s="51">
        <f>ROUND(SUM(K28:K30),2)</f>
        <v>0</v>
      </c>
      <c r="L31" s="176" t="str">
        <f>IF(J31=K31,"&lt;- Debits and Credits equal each other.","&lt;- Debits and Credits do not equal each other.")</f>
        <v>&lt;- Debits and Credits equal each other.</v>
      </c>
      <c r="M31" s="176"/>
      <c r="N31" s="176"/>
      <c r="O31" s="176"/>
      <c r="P31" s="176"/>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3" t="s">
        <v>1601</v>
      </c>
      <c r="C33" s="184"/>
      <c r="D33" s="184"/>
      <c r="E33" s="184"/>
      <c r="F33" s="184"/>
      <c r="G33" s="184"/>
      <c r="H33" s="184"/>
      <c r="I33" s="184"/>
      <c r="J33" s="184"/>
      <c r="K33" s="184"/>
      <c r="L33" s="37"/>
      <c r="M33" s="37"/>
      <c r="N33" s="37"/>
      <c r="O33" s="37"/>
      <c r="P33" s="37"/>
      <c r="Q33" s="37"/>
      <c r="R33" s="37"/>
      <c r="S33" s="37"/>
      <c r="T33" s="37"/>
    </row>
    <row r="34" spans="1:20" ht="16.5" customHeight="1" x14ac:dyDescent="0.3">
      <c r="A34" s="65"/>
      <c r="B34" s="175" t="s">
        <v>1574</v>
      </c>
      <c r="C34" s="175"/>
      <c r="D34" s="175"/>
      <c r="E34" s="175"/>
      <c r="F34" s="175"/>
      <c r="G34" s="175"/>
      <c r="H34" s="175"/>
      <c r="I34" s="175"/>
      <c r="J34" s="105">
        <v>0</v>
      </c>
      <c r="K34" s="67"/>
      <c r="L34" s="37"/>
      <c r="M34" s="37"/>
      <c r="N34" s="37"/>
      <c r="O34" s="37"/>
      <c r="P34" s="37"/>
      <c r="Q34" s="37"/>
      <c r="R34" s="37"/>
      <c r="S34" s="37"/>
      <c r="T34" s="37"/>
    </row>
    <row r="35" spans="1:20" ht="16.5" customHeight="1" x14ac:dyDescent="0.2">
      <c r="B35" s="175" t="s">
        <v>1573</v>
      </c>
      <c r="C35" s="175"/>
      <c r="D35" s="175"/>
      <c r="E35" s="175"/>
      <c r="F35" s="175"/>
      <c r="G35" s="175"/>
      <c r="H35" s="175"/>
      <c r="I35" s="175"/>
      <c r="J35" s="105">
        <v>0</v>
      </c>
      <c r="K35" s="68"/>
    </row>
    <row r="36" spans="1:20" ht="16.5" customHeight="1" x14ac:dyDescent="0.2">
      <c r="A36" s="45"/>
      <c r="B36" s="69"/>
      <c r="C36" s="175" t="s">
        <v>1575</v>
      </c>
      <c r="D36" s="175"/>
      <c r="E36" s="175"/>
      <c r="F36" s="175"/>
      <c r="G36" s="175"/>
      <c r="H36" s="175"/>
      <c r="I36" s="175"/>
      <c r="J36" s="68"/>
      <c r="K36" s="105">
        <v>0</v>
      </c>
    </row>
    <row r="37" spans="1:20" ht="16.5" customHeight="1" x14ac:dyDescent="0.2">
      <c r="A37" s="45"/>
      <c r="C37" s="175" t="s">
        <v>1618</v>
      </c>
      <c r="D37" s="175"/>
      <c r="E37" s="175"/>
      <c r="F37" s="175"/>
      <c r="G37" s="175"/>
      <c r="H37" s="175"/>
      <c r="I37" s="175"/>
      <c r="J37" s="68"/>
      <c r="K37" s="105">
        <v>0</v>
      </c>
    </row>
    <row r="38" spans="1:20" ht="16.5" customHeight="1" x14ac:dyDescent="0.25">
      <c r="A38" s="45"/>
      <c r="B38" s="49"/>
      <c r="C38" s="175" t="str">
        <f>VLOOKUP($F$8,'Drop Down Menus'!$D$2:$G$10,4,FALSE)</f>
        <v>Cr: Acct 0815 - HLTH&amp;HUM SV SV.LAB(GAAP ADJ)</v>
      </c>
      <c r="D38" s="175"/>
      <c r="E38" s="175"/>
      <c r="F38" s="175"/>
      <c r="G38" s="175"/>
      <c r="H38" s="175"/>
      <c r="I38" s="175"/>
      <c r="J38" s="68"/>
      <c r="K38" s="105">
        <v>0</v>
      </c>
    </row>
    <row r="39" spans="1:20" ht="16.5" customHeight="1" x14ac:dyDescent="0.2">
      <c r="A39" s="45"/>
      <c r="B39" s="70"/>
      <c r="C39" s="70"/>
      <c r="D39" s="70"/>
      <c r="E39" s="70"/>
      <c r="F39" s="70"/>
      <c r="G39" s="70"/>
      <c r="H39" s="70"/>
      <c r="I39" s="70"/>
      <c r="J39" s="51">
        <f>ROUND(SUM(J34:J35),2)</f>
        <v>0</v>
      </c>
      <c r="K39" s="51">
        <f>ROUND(SUM(K36:K38),2)</f>
        <v>0</v>
      </c>
      <c r="L39" s="176" t="str">
        <f>IF(J39=K39,"&lt;- Debits and Credits equal each other.","&lt;- Debits and Credits do not equal each other.")</f>
        <v>&lt;- Debits and Credits equal each other.</v>
      </c>
      <c r="M39" s="176"/>
      <c r="N39" s="176"/>
      <c r="O39" s="176"/>
      <c r="P39" s="176"/>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7" t="s">
        <v>1603</v>
      </c>
      <c r="C41" s="177"/>
      <c r="D41" s="177"/>
      <c r="E41" s="177"/>
      <c r="F41" s="177"/>
      <c r="G41" s="177"/>
      <c r="H41" s="177"/>
      <c r="I41" s="177"/>
      <c r="J41" s="177"/>
      <c r="K41" s="177"/>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5" t="s">
        <v>1576</v>
      </c>
      <c r="C45" s="175"/>
      <c r="D45" s="175"/>
      <c r="E45" s="175"/>
      <c r="F45" s="175"/>
      <c r="G45" s="175"/>
      <c r="H45" s="175"/>
      <c r="I45" s="175"/>
      <c r="J45" s="105">
        <v>237007</v>
      </c>
      <c r="K45" s="78"/>
    </row>
    <row r="46" spans="1:20" ht="16.5" customHeight="1" x14ac:dyDescent="0.2">
      <c r="A46" s="45"/>
      <c r="B46" s="69"/>
      <c r="C46" s="175" t="s">
        <v>1581</v>
      </c>
      <c r="D46" s="175"/>
      <c r="E46" s="175"/>
      <c r="F46" s="175"/>
      <c r="G46" s="175"/>
      <c r="H46" s="175"/>
      <c r="I46" s="175"/>
      <c r="J46" s="68"/>
      <c r="K46" s="105">
        <f>J45</f>
        <v>237007</v>
      </c>
    </row>
    <row r="47" spans="1:20" ht="16.5" customHeight="1" x14ac:dyDescent="0.2">
      <c r="A47" s="65"/>
      <c r="B47" s="50"/>
      <c r="C47" s="50"/>
      <c r="D47" s="50"/>
      <c r="E47" s="50"/>
      <c r="F47" s="50"/>
      <c r="G47" s="50"/>
      <c r="H47" s="50"/>
      <c r="I47" s="50"/>
      <c r="J47" s="79">
        <f>ROUND(SUM(J45:J45),2)</f>
        <v>237007</v>
      </c>
      <c r="K47" s="79">
        <f>ROUND(SUM(K46),2)</f>
        <v>237007</v>
      </c>
      <c r="L47" s="176" t="str">
        <f>IF(J47=K47,"&lt;- Debits and Credits equal each other.","&lt;- Debits and Credits do not equal each other.")</f>
        <v>&lt;- Debits and Credits equal each other.</v>
      </c>
      <c r="M47" s="176"/>
      <c r="N47" s="176"/>
      <c r="O47" s="176"/>
      <c r="P47" s="176"/>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5" t="s">
        <v>1605</v>
      </c>
      <c r="C50" s="175"/>
      <c r="D50" s="175"/>
      <c r="E50" s="175"/>
      <c r="F50" s="175"/>
      <c r="G50" s="175"/>
      <c r="H50" s="175"/>
      <c r="I50" s="175"/>
      <c r="J50" s="106">
        <v>160423</v>
      </c>
      <c r="K50" s="81"/>
      <c r="L50" s="27" t="str">
        <f>IF($J$50=$K$57,"","&lt;- Accts 0848 must agree")</f>
        <v/>
      </c>
    </row>
    <row r="51" spans="1:20" ht="16.5" customHeight="1" x14ac:dyDescent="0.2">
      <c r="A51" s="45"/>
      <c r="B51" s="175" t="str">
        <f>IF(OR($F$7="Proprietary - Internal Service Fund",$F$7="Proprietary - Enterprise Fund"),"Dr: Acct 0894 - INTEREST EXPENSE AND FISCAL CHARGES","Dr: Acct 0851 - DEBT SERVICE - INTEREST LEASES")</f>
        <v>Dr: Acct 0851 - DEBT SERVICE - INTEREST LEASES</v>
      </c>
      <c r="C51" s="175"/>
      <c r="D51" s="175"/>
      <c r="E51" s="175"/>
      <c r="F51" s="175"/>
      <c r="G51" s="175"/>
      <c r="H51" s="175"/>
      <c r="I51" s="175"/>
      <c r="J51" s="106">
        <v>7518</v>
      </c>
      <c r="K51" s="81"/>
    </row>
    <row r="52" spans="1:20" ht="16.5" customHeight="1" x14ac:dyDescent="0.25">
      <c r="A52" s="45"/>
      <c r="B52" s="49"/>
      <c r="C52" s="175" t="str">
        <f>VLOOKUP($F$8,'Drop Down Menus'!$D$2:$G$10,4,FALSE)</f>
        <v>Cr: Acct 0815 - HLTH&amp;HUM SV SV.LAB(GAAP ADJ)</v>
      </c>
      <c r="D52" s="175"/>
      <c r="E52" s="175"/>
      <c r="F52" s="175"/>
      <c r="G52" s="175"/>
      <c r="H52" s="175"/>
      <c r="I52" s="175"/>
      <c r="J52" s="81"/>
      <c r="K52" s="107">
        <f>+J50+J51</f>
        <v>167941</v>
      </c>
    </row>
    <row r="53" spans="1:20" ht="16.5" customHeight="1" x14ac:dyDescent="0.2">
      <c r="A53" s="65"/>
      <c r="B53" s="50"/>
      <c r="C53" s="50"/>
      <c r="D53" s="50"/>
      <c r="E53" s="50"/>
      <c r="F53" s="50"/>
      <c r="G53" s="50"/>
      <c r="H53" s="50"/>
      <c r="I53" s="50"/>
      <c r="J53" s="79">
        <f>ROUND(SUM(J50:J51),2)</f>
        <v>167941</v>
      </c>
      <c r="K53" s="79">
        <f>ROUND(SUM(K52,),2)</f>
        <v>167941</v>
      </c>
      <c r="L53" s="176" t="str">
        <f>IF(J53=K53,"&lt;- Debits and Credits equal each other.","&lt;- Debits and Credits do not equal each other.")</f>
        <v>&lt;- Debits and Credits equal each other.</v>
      </c>
      <c r="M53" s="176"/>
      <c r="N53" s="176"/>
      <c r="O53" s="176"/>
      <c r="P53" s="176"/>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5" t="s">
        <v>1619</v>
      </c>
      <c r="C56" s="175"/>
      <c r="D56" s="175"/>
      <c r="E56" s="175"/>
      <c r="F56" s="175"/>
      <c r="G56" s="175"/>
      <c r="H56" s="175"/>
      <c r="I56" s="175"/>
      <c r="J56" s="105">
        <f>K57</f>
        <v>160423</v>
      </c>
      <c r="K56" s="68"/>
    </row>
    <row r="57" spans="1:20" ht="16.5" customHeight="1" x14ac:dyDescent="0.25">
      <c r="A57" s="45"/>
      <c r="B57" s="49"/>
      <c r="C57" s="175" t="s">
        <v>1607</v>
      </c>
      <c r="D57" s="175"/>
      <c r="E57" s="175"/>
      <c r="F57" s="175"/>
      <c r="G57" s="175"/>
      <c r="H57" s="175"/>
      <c r="I57" s="175"/>
      <c r="J57" s="68"/>
      <c r="K57" s="105">
        <f>J50</f>
        <v>160423</v>
      </c>
      <c r="L57" s="27" t="str">
        <f>IF($J$50=$K$57,"","&lt;- Accts 0848 must agree")</f>
        <v/>
      </c>
    </row>
    <row r="58" spans="1:20" ht="16.5" customHeight="1" x14ac:dyDescent="0.2">
      <c r="A58" s="65"/>
      <c r="B58" s="50"/>
      <c r="C58" s="50"/>
      <c r="D58" s="50"/>
      <c r="E58" s="50"/>
      <c r="F58" s="50"/>
      <c r="G58" s="50"/>
      <c r="H58" s="50"/>
      <c r="I58" s="50"/>
      <c r="J58" s="79">
        <f>ROUND(SUM(J56:J56),2)</f>
        <v>160423</v>
      </c>
      <c r="K58" s="79">
        <f>ROUND(SUM(K57),2)</f>
        <v>160423</v>
      </c>
      <c r="L58" s="176" t="str">
        <f>IF(J58=K58,"&lt;- Debits and Credits equal each other.","&lt;- Debits and Credits do not equal each other.")</f>
        <v>&lt;- Debits and Credits equal each other.</v>
      </c>
      <c r="M58" s="176"/>
      <c r="N58" s="176"/>
      <c r="O58" s="176"/>
      <c r="P58" s="176"/>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5" t="s">
        <v>1619</v>
      </c>
      <c r="C61" s="175"/>
      <c r="D61" s="175"/>
      <c r="E61" s="175"/>
      <c r="F61" s="175"/>
      <c r="G61" s="175"/>
      <c r="H61" s="175"/>
      <c r="I61" s="175"/>
      <c r="J61" s="108">
        <v>273493</v>
      </c>
      <c r="K61" s="78"/>
    </row>
    <row r="62" spans="1:20" ht="16.5" customHeight="1" x14ac:dyDescent="0.25">
      <c r="A62" s="45"/>
      <c r="B62" s="49"/>
      <c r="C62" s="175" t="s">
        <v>1616</v>
      </c>
      <c r="D62" s="175"/>
      <c r="E62" s="175"/>
      <c r="F62" s="175"/>
      <c r="G62" s="175"/>
      <c r="H62" s="175"/>
      <c r="I62" s="175"/>
      <c r="J62" s="78"/>
      <c r="K62" s="105">
        <f>J61</f>
        <v>273493</v>
      </c>
    </row>
    <row r="63" spans="1:20" ht="16.5" customHeight="1" x14ac:dyDescent="0.2">
      <c r="A63" s="45"/>
      <c r="B63" s="180" t="s">
        <v>1615</v>
      </c>
      <c r="C63" s="180"/>
      <c r="D63" s="180"/>
      <c r="E63" s="180"/>
      <c r="F63" s="180"/>
      <c r="G63" s="180"/>
      <c r="H63" s="180"/>
      <c r="I63" s="180"/>
      <c r="J63" s="79">
        <f>ROUND(SUM(J61:J61),2)</f>
        <v>273493</v>
      </c>
      <c r="K63" s="79">
        <f>ROUND(SUM(K62),2)</f>
        <v>273493</v>
      </c>
      <c r="L63" s="176" t="str">
        <f>IF(J63=K63,"&lt;- Debits and Credits equal each other.","&lt;- Debits and Credits do not equal each other.")</f>
        <v>&lt;- Debits and Credits equal each other.</v>
      </c>
      <c r="M63" s="176"/>
      <c r="N63" s="176"/>
      <c r="O63" s="176"/>
      <c r="P63" s="176"/>
      <c r="Q63" s="37"/>
      <c r="R63" s="37"/>
      <c r="S63" s="37"/>
      <c r="T63" s="37"/>
    </row>
    <row r="64" spans="1:20" ht="16.5" customHeight="1" x14ac:dyDescent="0.2">
      <c r="A64" s="45"/>
      <c r="B64" s="180"/>
      <c r="C64" s="180"/>
      <c r="D64" s="180"/>
      <c r="E64" s="180"/>
      <c r="F64" s="180"/>
      <c r="G64" s="180"/>
      <c r="H64" s="180"/>
      <c r="I64" s="180"/>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5" t="s">
        <v>1588</v>
      </c>
      <c r="C68" s="175"/>
      <c r="D68" s="175"/>
      <c r="E68" s="175"/>
      <c r="F68" s="175"/>
      <c r="G68" s="175"/>
      <c r="H68" s="175"/>
      <c r="I68" s="175"/>
      <c r="J68" s="108">
        <f>K69</f>
        <v>0</v>
      </c>
      <c r="K68" s="87"/>
      <c r="L68" s="37"/>
      <c r="M68" s="37"/>
      <c r="N68" s="37"/>
      <c r="O68" s="37"/>
      <c r="P68" s="37"/>
      <c r="Q68" s="37"/>
      <c r="R68" s="37"/>
      <c r="S68" s="37"/>
      <c r="T68" s="37"/>
    </row>
    <row r="69" spans="1:20" ht="16.5" customHeight="1" x14ac:dyDescent="0.2">
      <c r="A69" s="45"/>
      <c r="B69" s="88"/>
      <c r="C69" s="175" t="s">
        <v>1589</v>
      </c>
      <c r="D69" s="175"/>
      <c r="E69" s="175"/>
      <c r="F69" s="175"/>
      <c r="G69" s="175"/>
      <c r="H69" s="175"/>
      <c r="I69" s="175"/>
      <c r="J69" s="89"/>
      <c r="K69" s="108"/>
    </row>
    <row r="70" spans="1:20" ht="16.5" customHeight="1" x14ac:dyDescent="0.2">
      <c r="B70" s="50"/>
      <c r="H70" s="27"/>
      <c r="J70" s="51">
        <f>SUM(J68)</f>
        <v>0</v>
      </c>
      <c r="K70" s="51">
        <f>SUM(K69)</f>
        <v>0</v>
      </c>
      <c r="L70" s="176" t="str">
        <f>IF(J70=K70,"&lt;- Debits and Credits equal each other.","&lt;- Debits and Credits do not equal each other.")</f>
        <v>&lt;- Debits and Credits equal each other.</v>
      </c>
      <c r="M70" s="176"/>
      <c r="N70" s="176"/>
      <c r="O70" s="176"/>
      <c r="P70" s="176"/>
      <c r="Q70" s="37"/>
      <c r="R70" s="37"/>
      <c r="S70" s="37"/>
      <c r="T70" s="37"/>
    </row>
    <row r="71" spans="1:20" ht="16.5" customHeight="1" x14ac:dyDescent="0.2">
      <c r="B71" s="66"/>
      <c r="H71" s="27"/>
    </row>
    <row r="72" spans="1:20" ht="16.5" customHeight="1" x14ac:dyDescent="0.25">
      <c r="A72" s="45"/>
      <c r="B72" s="177" t="s">
        <v>1604</v>
      </c>
      <c r="C72" s="177"/>
      <c r="D72" s="177"/>
      <c r="E72" s="177"/>
      <c r="F72" s="177"/>
      <c r="G72" s="177"/>
      <c r="H72" s="177"/>
      <c r="I72" s="177"/>
      <c r="J72" s="177"/>
      <c r="K72" s="177"/>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81" t="s">
        <v>1606</v>
      </c>
      <c r="C75" s="182"/>
      <c r="D75" s="182"/>
      <c r="E75" s="182"/>
      <c r="F75" s="182"/>
      <c r="G75" s="182"/>
      <c r="H75" s="182"/>
      <c r="I75" s="182"/>
      <c r="J75" s="182"/>
      <c r="K75" s="182"/>
      <c r="L75" s="37"/>
      <c r="M75" s="37"/>
      <c r="N75" s="37"/>
      <c r="O75" s="37"/>
      <c r="P75" s="37"/>
      <c r="Q75" s="37"/>
      <c r="R75" s="37"/>
      <c r="S75" s="37"/>
      <c r="T75" s="37"/>
    </row>
    <row r="76" spans="1:20" ht="16.5" customHeight="1" x14ac:dyDescent="0.2">
      <c r="B76" s="175" t="s">
        <v>1619</v>
      </c>
      <c r="C76" s="175"/>
      <c r="D76" s="175"/>
      <c r="E76" s="175"/>
      <c r="F76" s="175"/>
      <c r="G76" s="175"/>
      <c r="H76" s="175"/>
      <c r="I76" s="175"/>
      <c r="J76" s="108"/>
      <c r="K76" s="48"/>
    </row>
    <row r="77" spans="1:20" ht="16.5" customHeight="1" x14ac:dyDescent="0.2">
      <c r="B77" s="175" t="s">
        <v>1588</v>
      </c>
      <c r="C77" s="175"/>
      <c r="D77" s="175"/>
      <c r="E77" s="175"/>
      <c r="F77" s="175"/>
      <c r="G77" s="175"/>
      <c r="H77" s="175"/>
      <c r="I77" s="175"/>
      <c r="J77" s="108"/>
      <c r="K77" s="48"/>
    </row>
    <row r="78" spans="1:20" ht="16.5" customHeight="1" x14ac:dyDescent="0.2">
      <c r="B78" s="175" t="str">
        <f>VLOOKUP($F$8,'Drop Down Menus'!$D$2:$G$10,3,FALSE)</f>
        <v>Dr: Acct 0815 - HLTH&amp;HUM SV SV.LAB(GAAP ADJ)</v>
      </c>
      <c r="C78" s="175"/>
      <c r="D78" s="175"/>
      <c r="E78" s="175"/>
      <c r="F78" s="175"/>
      <c r="G78" s="175"/>
      <c r="H78" s="175"/>
      <c r="I78" s="175"/>
      <c r="J78" s="108"/>
      <c r="K78" s="48"/>
    </row>
    <row r="79" spans="1:20" ht="16.5" customHeight="1" x14ac:dyDescent="0.2">
      <c r="C79" s="175" t="s">
        <v>1589</v>
      </c>
      <c r="D79" s="175"/>
      <c r="E79" s="175"/>
      <c r="F79" s="175"/>
      <c r="G79" s="175"/>
      <c r="H79" s="175"/>
      <c r="I79" s="175"/>
      <c r="J79" s="48"/>
      <c r="K79" s="108"/>
    </row>
    <row r="80" spans="1:20" ht="16.5" customHeight="1" x14ac:dyDescent="0.2">
      <c r="C80" s="175" t="str">
        <f>VLOOKUP($F$8,'Drop Down Menus'!$D$2:$G$10,4,FALSE)</f>
        <v>Cr: Acct 0815 - HLTH&amp;HUM SV SV.LAB(GAAP ADJ)</v>
      </c>
      <c r="D80" s="175"/>
      <c r="E80" s="175"/>
      <c r="F80" s="175"/>
      <c r="G80" s="175"/>
      <c r="H80" s="175"/>
      <c r="I80" s="175"/>
      <c r="J80" s="48"/>
      <c r="K80" s="108"/>
    </row>
    <row r="81" spans="1:20" ht="16.5" customHeight="1" x14ac:dyDescent="0.2">
      <c r="B81" s="53"/>
      <c r="H81" s="27"/>
      <c r="J81" s="51">
        <f>ROUND(SUM(J76:J78),2)</f>
        <v>0</v>
      </c>
      <c r="K81" s="51">
        <f>ROUND(SUM(K79:K80),2)</f>
        <v>0</v>
      </c>
      <c r="L81" s="176" t="str">
        <f>IF(J81=K81,"&lt;- Debits and Credits equal each other.","&lt;- Debits and Credits do not equal each other.")</f>
        <v>&lt;- Debits and Credits equal each other.</v>
      </c>
      <c r="M81" s="176"/>
      <c r="N81" s="176"/>
      <c r="O81" s="176"/>
      <c r="P81" s="176"/>
      <c r="Q81" s="37"/>
      <c r="R81" s="37"/>
      <c r="S81" s="37"/>
      <c r="T81" s="37"/>
    </row>
    <row r="82" spans="1:20" ht="16.5" customHeight="1" x14ac:dyDescent="0.25">
      <c r="H82" s="27"/>
    </row>
    <row r="83" spans="1:20" ht="16.5" customHeight="1" x14ac:dyDescent="0.3">
      <c r="A83" s="38">
        <v>9</v>
      </c>
      <c r="B83" s="178" t="s">
        <v>1608</v>
      </c>
      <c r="C83" s="179"/>
      <c r="D83" s="179"/>
      <c r="E83" s="179"/>
      <c r="F83" s="179"/>
      <c r="G83" s="179"/>
      <c r="H83" s="179"/>
      <c r="I83" s="179"/>
      <c r="J83" s="179"/>
      <c r="K83" s="179"/>
    </row>
    <row r="84" spans="1:20" ht="16.5" customHeight="1" x14ac:dyDescent="0.2">
      <c r="B84" s="175" t="s">
        <v>1574</v>
      </c>
      <c r="C84" s="175"/>
      <c r="D84" s="175"/>
      <c r="E84" s="175"/>
      <c r="F84" s="175"/>
      <c r="G84" s="175"/>
      <c r="H84" s="175"/>
      <c r="I84" s="175"/>
      <c r="J84" s="108"/>
      <c r="K84" s="48"/>
    </row>
    <row r="85" spans="1:20" ht="16.5" customHeight="1" x14ac:dyDescent="0.2">
      <c r="C85" s="175" t="s">
        <v>1618</v>
      </c>
      <c r="D85" s="175"/>
      <c r="E85" s="175"/>
      <c r="F85" s="175"/>
      <c r="G85" s="175"/>
      <c r="H85" s="175"/>
      <c r="I85" s="175"/>
      <c r="J85" s="48"/>
      <c r="K85" s="108"/>
    </row>
    <row r="86" spans="1:20" ht="16.5" customHeight="1" x14ac:dyDescent="0.2">
      <c r="H86" s="27"/>
      <c r="J86" s="51">
        <f>SUM(J84)</f>
        <v>0</v>
      </c>
      <c r="K86" s="51">
        <f>SUM(K85)</f>
        <v>0</v>
      </c>
      <c r="L86" s="176" t="str">
        <f>IF(J86=K86,"&lt;- Debits and Credits equal each other.","&lt;- Debits and Credits do not equal each other.")</f>
        <v>&lt;- Debits and Credits equal each other.</v>
      </c>
      <c r="M86" s="176"/>
      <c r="N86" s="176"/>
      <c r="O86" s="176"/>
      <c r="P86" s="176"/>
      <c r="Q86" s="37"/>
      <c r="R86" s="37"/>
      <c r="S86" s="37"/>
      <c r="T86" s="37"/>
    </row>
    <row r="87" spans="1:20" ht="16.5" customHeight="1" x14ac:dyDescent="0.25">
      <c r="H87" s="27"/>
    </row>
    <row r="88" spans="1:20" ht="16.5" customHeight="1" x14ac:dyDescent="0.25">
      <c r="B88" s="177" t="s">
        <v>1613</v>
      </c>
      <c r="C88" s="177"/>
      <c r="D88" s="177"/>
      <c r="E88" s="177"/>
      <c r="F88" s="177"/>
      <c r="G88" s="177"/>
      <c r="H88" s="177"/>
      <c r="I88" s="177"/>
      <c r="J88" s="177"/>
      <c r="K88" s="177"/>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902578</v>
      </c>
      <c r="N94" s="104"/>
    </row>
    <row r="95" spans="1:20" ht="16.5" customHeight="1" x14ac:dyDescent="0.25">
      <c r="D95" s="49" t="s">
        <v>1631</v>
      </c>
      <c r="E95" s="100"/>
      <c r="F95" s="100"/>
      <c r="G95" s="100"/>
      <c r="H95" s="27"/>
      <c r="I95" s="100"/>
      <c r="J95" s="100"/>
      <c r="K95" s="103">
        <f>-K18-K46+J68+J77</f>
        <v>-688851</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-273493</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16" sqref="C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5175</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385332</v>
      </c>
      <c r="C16" s="2">
        <v>5817</v>
      </c>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t="s">
        <v>1656</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t="s">
        <v>1656</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t="s">
        <v>1656</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5175</v>
      </c>
      <c r="C43" s="203"/>
    </row>
    <row r="44" spans="1:11" ht="15.75" x14ac:dyDescent="0.25">
      <c r="A44" s="113" t="s">
        <v>1594</v>
      </c>
      <c r="B44" s="204" t="str">
        <f>B13</f>
        <v>Department of Child Support Services</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5175</v>
      </c>
      <c r="C74" s="203"/>
    </row>
    <row r="75" spans="1:4" ht="15.75" x14ac:dyDescent="0.25">
      <c r="A75" s="113" t="s">
        <v>1594</v>
      </c>
      <c r="B75" s="204" t="str">
        <f>B13</f>
        <v>Department of Child Support Services</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F10" sqref="F10"/>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5175 Department of Child Support Services</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Entries'!$K$19,0)+IF('Fund 0890 Journal Entries'!$F$7="Governmental Fund",'Fund 0890 Journal Entries'!$K$19,0)</f>
        <v>654974</v>
      </c>
      <c r="H10" s="3">
        <f>IF('Fund 0001 Journal Entries'!$F$7="Governmental Fund",SUM('Fund 0001 Journal Entries'!$K$37,'Fund 0001 Journal Entries'!$K$85),0)</f>
        <v>0</v>
      </c>
      <c r="J10" s="3">
        <f>IF('Fund 0001 Journal Entries'!$F$7="Governmental Fund",SUM('Fund 0001 Journal Entries'!$J$56,'Fund 0001 Journal Entries'!$J$76),0)+IF('Fund 0890 Journal Entries'!$F$7="Governmental Fund",SUM('Fund 0890 Journal Entries'!$J$56,'Fund 0890 Journal Entries'!$J$76),0)</f>
        <v>269642</v>
      </c>
      <c r="L10" s="134">
        <f>SUM(F10+H10-J10)</f>
        <v>385332</v>
      </c>
      <c r="N10" s="3">
        <f>IF('Fund 0001 Journal Entries'!$F$7="Governmental Fund",'Fund 0001 Journal Entries'!$J$61,0)+IF('Fund 0890 Journal Entries'!$F$7="Governmental Fund",'Fund 0890 Journal Entries'!$J$61,0)</f>
        <v>385332</v>
      </c>
      <c r="P10" s="134">
        <f>L10-N10</f>
        <v>0</v>
      </c>
      <c r="Q10" s="129"/>
    </row>
    <row r="11" spans="2:17" ht="19.5" thickTop="1" thickBot="1" x14ac:dyDescent="0.3">
      <c r="B11" s="128"/>
      <c r="C11" s="208" t="s">
        <v>14</v>
      </c>
      <c r="D11" s="208"/>
      <c r="F11" s="135">
        <f>SUM(F10:F10)</f>
        <v>654974</v>
      </c>
      <c r="H11" s="135">
        <f>SUM(H10:H10)</f>
        <v>0</v>
      </c>
      <c r="J11" s="135">
        <f>SUM(J10:J10)</f>
        <v>269642</v>
      </c>
      <c r="L11" s="135">
        <f>SUM(L10:L10)</f>
        <v>385332</v>
      </c>
      <c r="N11" s="135">
        <f>SUM(N10:N10)</f>
        <v>385332</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B17" sqref="B17"/>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Entries'!$K$19,0),0)+IF('Fund 0890 Journal Entries'!$F$7="Governmental Fund",ROUND('Fund 0890 Journal Entries'!$K$19,0),0)</f>
        <v>654974</v>
      </c>
      <c r="C17" s="21" t="s">
        <v>1551</v>
      </c>
      <c r="D17" s="10">
        <f>IF('Fund 0001 Journal Entries'!$F$7="Governmental Fund",ROUND('Fund 0001 Journal Entries'!$K$37,0),0)</f>
        <v>0</v>
      </c>
      <c r="E17" s="22" t="s">
        <v>1553</v>
      </c>
      <c r="F17" s="10">
        <f>IF('Fund 0001 Journal Entries'!$F$7="Governmental Fund",ROUND('Fund 0001 Journal Entries'!$J$56,0),0)+IF('Fund 0890 Journal Entries'!$F$7="Governmental Fund",ROUND('Fund 0890 Journal Entries'!$J$56,0),0)</f>
        <v>269642</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+B17+D17-F17-H17+J17</f>
        <v>385332</v>
      </c>
      <c r="M17" s="22"/>
      <c r="N17" s="12">
        <f>ROUND(SUM('Department Note Disclosure'!$B$16:$B$39),0)</f>
        <v>385332</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Entries'!$K$62,0),0)+IF('Fund 0890 Journal Entries'!$F$7="Governmental Fund",ROUND('Fund 0890 Journal Entries'!$K$62,0),0)</f>
        <v>385332</v>
      </c>
      <c r="C42" s="160"/>
      <c r="D42" s="159"/>
      <c r="E42" s="159"/>
      <c r="F42" s="159"/>
      <c r="G42" s="145"/>
      <c r="H42" s="159"/>
      <c r="I42" s="149"/>
      <c r="J42" s="159"/>
      <c r="K42" s="145"/>
      <c r="L42" s="158"/>
      <c r="M42" s="23"/>
      <c r="N42" s="12">
        <f>ROUND('Department Note Disclosure'!$B$16,0)</f>
        <v>385332</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654974</v>
      </c>
      <c r="I64" s="25" t="s">
        <v>1555</v>
      </c>
      <c r="J64" s="14">
        <f>SUM(D64)</f>
        <v>654974</v>
      </c>
      <c r="L64" s="164" t="str">
        <f>CONCATENATE("Balance July 1, ",LEFT('Department Note Disclosure'!$B$11,4))</f>
        <v>Balance July 1, 2023</v>
      </c>
      <c r="N64" s="14">
        <f>ROUND('SBITA Liabilities'!$F$10,0)</f>
        <v>654974</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269642</v>
      </c>
      <c r="E66" s="165" t="s">
        <v>1551</v>
      </c>
      <c r="F66" s="150" t="s">
        <v>1645</v>
      </c>
      <c r="H66" s="14">
        <f>H17</f>
        <v>0</v>
      </c>
      <c r="I66" s="25" t="s">
        <v>1555</v>
      </c>
      <c r="J66" s="14">
        <f>SUM(D66,H66)</f>
        <v>269642</v>
      </c>
      <c r="L66" s="164" t="s">
        <v>10</v>
      </c>
      <c r="N66" s="14">
        <f>ROUND('SBITA Liabilities'!$J$10,0)</f>
        <v>269642</v>
      </c>
      <c r="P66" s="13">
        <f>J66-N66</f>
        <v>0</v>
      </c>
    </row>
    <row r="67" spans="1:16383" x14ac:dyDescent="0.25">
      <c r="B67" s="162" t="s">
        <v>1558</v>
      </c>
      <c r="D67" s="14">
        <f>$B$42</f>
        <v>385332</v>
      </c>
      <c r="I67" s="25" t="s">
        <v>1555</v>
      </c>
      <c r="J67" s="14">
        <f>SUM(D67)</f>
        <v>385332</v>
      </c>
      <c r="L67" s="164" t="s">
        <v>11</v>
      </c>
      <c r="N67" s="14">
        <f>ROUND('SBITA Liabilities'!$N$10,0)</f>
        <v>385332</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0890 Journal Entries</vt: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0890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2025-03-03T17:16:19Z</dcterms:modified>
</cp:coreProperties>
</file>