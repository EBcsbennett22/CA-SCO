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8_{87C786F5-DFD9-4D26-90D7-01E09FECB7E1}"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J16" i="2" l="1"/>
  <c r="S16" i="2"/>
  <c r="K20" i="2"/>
  <c r="S20" i="2"/>
  <c r="D89" i="3"/>
  <c r="D58" i="3"/>
  <c r="J17" i="2" l="1"/>
  <c r="J22" i="2" s="1"/>
  <c r="K21" i="2"/>
  <c r="K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sharedStrings.xml><?xml version="1.0" encoding="utf-8"?>
<sst xmlns="http://schemas.openxmlformats.org/spreadsheetml/2006/main" count="7629" uniqueCount="1656">
  <si>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</si>
  <si>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</si>
  <si>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</si>
  <si>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</si>
  <si>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</si>
  <si>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</si>
  <si>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</si>
  <si>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</si>
  <si>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</si>
  <si>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</si>
  <si>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</si>
  <si>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</si>
  <si>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</si>
  <si>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</si>
  <si>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</si>
  <si>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</si>
  <si>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</si>
  <si>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</si>
  <si>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</si>
  <si>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</si>
  <si>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</si>
  <si>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</si>
  <si>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</si>
  <si>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</si>
  <si>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</si>
  <si>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</si>
  <si>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</si>
  <si>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</si>
  <si>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</si>
  <si>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</si>
  <si>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</si>
  <si>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</si>
  <si>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</si>
  <si>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</si>
  <si>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</si>
  <si>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</si>
  <si>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</si>
  <si>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</si>
  <si>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</si>
  <si>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</si>
  <si>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</si>
  <si>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</si>
  <si>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</si>
  <si>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</si>
  <si>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</si>
  <si>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</si>
  <si>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</si>
  <si>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</si>
  <si>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</si>
  <si>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</si>
  <si>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</si>
  <si>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</si>
  <si>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</si>
  <si>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</si>
  <si>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</si>
  <si>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</si>
  <si>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</si>
  <si>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</si>
  <si>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</si>
  <si>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</si>
  <si>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</si>
  <si>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</si>
  <si>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</si>
  <si>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</si>
  <si>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</si>
  <si>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</si>
  <si>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</si>
  <si>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</si>
  <si>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</si>
  <si>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</si>
  <si>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</si>
  <si>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</si>
  <si>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</si>
  <si>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</si>
  <si>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</si>
  <si>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</si>
  <si>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</si>
  <si>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</si>
  <si>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</si>
  <si>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</si>
  <si>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</si>
  <si>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</si>
  <si>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</si>
  <si>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</si>
  <si>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</si>
  <si>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</si>
  <si>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</si>
  <si>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</si>
  <si>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</si>
  <si>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</si>
  <si>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</si>
  <si>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</si>
  <si>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</si>
  <si>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</si>
  <si>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</si>
  <si>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</si>
  <si>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</si>
  <si>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</si>
  <si>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</si>
  <si>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</si>
  <si>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</si>
  <si>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</si>
  <si>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</si>
  <si>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</si>
  <si>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</si>
  <si>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</si>
  <si>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</si>
  <si>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</si>
  <si>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</si>
  <si>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</si>
  <si>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</si>
  <si>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</si>
  <si>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</si>
  <si>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</si>
  <si>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</si>
  <si>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</si>
  <si>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</si>
  <si>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</si>
  <si>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</si>
  <si>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</si>
  <si>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</si>
  <si>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</si>
  <si>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</si>
  <si>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</si>
  <si>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</si>
  <si>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</si>
  <si>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</si>
  <si>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</si>
  <si>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</si>
  <si>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</si>
  <si>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</si>
  <si>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</si>
  <si>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</si>
  <si>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</si>
  <si>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</si>
  <si>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</si>
  <si>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</si>
  <si>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</si>
  <si>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</si>
  <si>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</si>
  <si>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</si>
  <si>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</si>
  <si>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</si>
  <si>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</si>
  <si>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</si>
  <si>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</si>
  <si>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</si>
  <si>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</si>
  <si>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</si>
  <si>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</si>
  <si>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</si>
  <si>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</si>
  <si>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</si>
  <si>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</si>
  <si>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</si>
  <si>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</si>
  <si>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</si>
  <si>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</si>
  <si>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</si>
  <si>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</si>
  <si>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</si>
  <si>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</si>
  <si>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</si>
  <si>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</si>
  <si>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</si>
  <si>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</si>
  <si>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</si>
  <si>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</si>
  <si>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</si>
  <si>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</si>
  <si>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</si>
  <si>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</si>
  <si>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</si>
  <si>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</si>
  <si>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</si>
  <si>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</si>
  <si>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</si>
  <si>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</si>
  <si>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</si>
  <si>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</si>
  <si>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</si>
  <si>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</si>
  <si>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</si>
  <si>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</si>
  <si>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</si>
  <si>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</si>
  <si>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</si>
  <si>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</si>
  <si>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</si>
  <si>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</si>
  <si>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</si>
  <si>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</si>
  <si>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</si>
  <si>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</si>
  <si>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</si>
  <si>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</si>
  <si>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</si>
  <si>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</si>
  <si>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</si>
  <si>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</si>
  <si>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</si>
  <si>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</si>
  <si>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</si>
  <si>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</si>
  <si>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</si>
  <si>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</si>
  <si>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</si>
  <si>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</si>
  <si>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</si>
  <si>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</si>
  <si>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</si>
  <si>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</si>
  <si>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</si>
  <si>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</si>
  <si>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</si>
  <si>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</si>
  <si>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</si>
  <si>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</si>
  <si>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</si>
  <si>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</si>
  <si>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</si>
  <si>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</si>
  <si>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</si>
  <si>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</si>
  <si>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</si>
  <si>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</si>
  <si>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</si>
  <si>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</si>
  <si>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</si>
  <si>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</si>
  <si>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</si>
  <si>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</si>
  <si>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</si>
  <si>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</si>
  <si>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</si>
  <si>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</si>
  <si>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</si>
  <si>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</si>
  <si>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</si>
  <si>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</si>
  <si>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</si>
  <si>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</si>
  <si>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</si>
  <si>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</si>
  <si>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</si>
  <si>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</si>
  <si>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</si>
  <si>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</si>
  <si>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</si>
  <si>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</si>
  <si>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</si>
  <si>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</si>
  <si>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</si>
  <si>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</si>
  <si>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</si>
  <si>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</si>
  <si>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</si>
  <si>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</si>
  <si>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</si>
  <si>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</si>
  <si>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</si>
  <si>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</si>
  <si>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</si>
  <si>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</si>
  <si>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</si>
  <si>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</si>
  <si>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</si>
  <si>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</si>
  <si>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</si>
  <si>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</si>
  <si>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</si>
  <si>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</si>
  <si>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</si>
  <si>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</si>
  <si>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</si>
  <si>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</si>
  <si>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</si>
  <si>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</si>
  <si>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</si>
  <si>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</si>
  <si>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</si>
  <si>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</si>
  <si>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</si>
  <si>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</si>
  <si>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</si>
  <si>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</si>
  <si>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</si>
  <si>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</si>
  <si>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</si>
  <si>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</si>
  <si>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</si>
  <si>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</si>
  <si>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</si>
  <si>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</si>
  <si>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</si>
  <si>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</si>
  <si>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</si>
  <si>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</si>
  <si>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</si>
  <si>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</si>
  <si>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</si>
  <si>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</si>
  <si>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</si>
  <si>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</si>
  <si>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</si>
  <si>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</si>
  <si>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</si>
  <si>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</si>
  <si>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</si>
  <si>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</si>
  <si>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</si>
  <si>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</si>
  <si>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</si>
  <si>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</si>
  <si>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</si>
  <si>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</si>
  <si>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</si>
  <si>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</si>
  <si>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</si>
  <si>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</si>
  <si>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</si>
  <si>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</si>
  <si>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</si>
  <si>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</si>
  <si>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</si>
  <si>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</si>
  <si>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</si>
  <si>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</si>
  <si>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</si>
  <si>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</si>
  <si>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</si>
  <si>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</si>
  <si>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</si>
  <si>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</si>
  <si>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</si>
  <si>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</si>
  <si>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</si>
  <si>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</si>
  <si>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</si>
  <si>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</si>
  <si>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</si>
  <si>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</si>
  <si>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</si>
  <si>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</si>
  <si>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</si>
  <si>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</si>
  <si>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</si>
  <si>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</si>
  <si>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</si>
  <si>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</si>
  <si>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</si>
  <si>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</si>
  <si>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</si>
  <si>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</si>
  <si>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</si>
  <si>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</si>
  <si>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</si>
  <si>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</si>
  <si>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</si>
  <si>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</si>
  <si>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</si>
  <si>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</si>
  <si>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</si>
  <si>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</si>
  <si>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</si>
  <si>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</si>
  <si>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</si>
  <si>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</si>
  <si>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</si>
  <si>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</si>
  <si>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</si>
  <si>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</si>
  <si>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</si>
  <si>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</si>
  <si>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</si>
  <si>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</si>
  <si>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</si>
  <si>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</si>
  <si>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</si>
  <si>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</si>
  <si>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</si>
  <si>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</si>
  <si>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</si>
  <si>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</si>
  <si>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</si>
  <si>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</si>
  <si>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</si>
  <si>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</si>
  <si>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</si>
  <si>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</si>
  <si>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</si>
  <si>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</si>
  <si>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</si>
  <si>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</si>
  <si>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</si>
  <si>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</si>
  <si>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</si>
  <si>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</si>
  <si>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</si>
  <si>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</si>
  <si>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</si>
  <si>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</si>
  <si>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</si>
  <si>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</si>
  <si>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</si>
  <si>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</si>
  <si>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</si>
  <si>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</si>
  <si>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</si>
  <si>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</si>
  <si>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</si>
  <si>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</si>
  <si>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</si>
  <si>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</si>
  <si>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</si>
  <si>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</si>
  <si>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</si>
  <si>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</si>
  <si>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</si>
  <si>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</si>
  <si>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</si>
  <si>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</si>
  <si>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</si>
  <si>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</si>
  <si>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</si>
  <si>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</si>
  <si>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</si>
  <si>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</si>
  <si>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</si>
  <si>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</si>
  <si>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</si>
  <si>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</si>
  <si>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</si>
  <si>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</si>
  <si>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</si>
  <si>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</si>
  <si>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</si>
  <si>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</si>
  <si>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</si>
  <si>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</si>
  <si>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</si>
  <si>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</si>
  <si>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</si>
  <si>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</si>
  <si>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</si>
  <si>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</si>
  <si>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</si>
  <si>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</si>
  <si>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</si>
  <si>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</si>
  <si>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</si>
  <si>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</si>
  <si>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</si>
  <si>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</si>
  <si>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</si>
  <si>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</si>
  <si>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</si>
  <si>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</si>
  <si>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</si>
  <si>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</si>
  <si>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</si>
  <si>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</si>
  <si>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</si>
  <si>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</si>
  <si>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</si>
  <si>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</si>
  <si>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</si>
  <si>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</si>
  <si>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</si>
  <si>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</si>
  <si>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</si>
  <si>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</si>
  <si>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</si>
  <si>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</si>
  <si>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</si>
  <si>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</si>
  <si>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</si>
  <si>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</si>
  <si>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</si>
  <si>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</si>
  <si>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</si>
  <si>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</si>
  <si>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</si>
  <si>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</si>
  <si>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</si>
  <si>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</si>
  <si>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</si>
  <si>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</si>
  <si>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</si>
  <si>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</si>
  <si>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</si>
  <si>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</si>
  <si>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</si>
  <si>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</si>
  <si>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</si>
  <si>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</si>
  <si>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</si>
  <si>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</si>
  <si>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</si>
  <si>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</si>
  <si>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</si>
  <si>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</si>
  <si>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</si>
  <si>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</si>
  <si>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</si>
  <si>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</si>
  <si>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</si>
  <si>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</si>
  <si>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</si>
  <si>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</si>
  <si>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</si>
  <si>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</si>
  <si>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</si>
  <si>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</si>
  <si>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</si>
  <si>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</si>
  <si>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</si>
  <si>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</si>
  <si>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</si>
  <si>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</si>
  <si>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</si>
  <si>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</si>
  <si>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</si>
  <si>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</si>
  <si>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</si>
  <si>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</si>
  <si>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</si>
  <si>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</si>
  <si>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</si>
  <si>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</si>
  <si>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</si>
  <si>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</si>
  <si>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</si>
  <si>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</si>
  <si>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</si>
  <si>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</si>
  <si>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</si>
  <si>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</si>
  <si>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</si>
  <si>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</si>
  <si>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</si>
  <si>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</si>
  <si>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</si>
  <si>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</si>
  <si>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</si>
  <si>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</si>
  <si>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</si>
  <si>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</si>
  <si>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</si>
  <si>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</si>
  <si>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</si>
  <si>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</si>
  <si>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</si>
  <si>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</si>
  <si>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</si>
  <si>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</si>
  <si>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</si>
  <si>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</si>
  <si>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</si>
  <si>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</si>
  <si>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</si>
  <si>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</si>
  <si>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</si>
  <si>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</si>
  <si>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</si>
  <si>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</si>
  <si>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</si>
  <si>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</si>
  <si>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</si>
  <si>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</si>
  <si>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</si>
  <si>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</si>
  <si>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</si>
  <si>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</si>
  <si>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</si>
  <si>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</si>
  <si>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</si>
  <si>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</si>
  <si>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</si>
  <si>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</si>
  <si>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</si>
  <si>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</si>
  <si>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</si>
  <si>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</si>
  <si>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</si>
  <si>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</si>
  <si>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</si>
  <si>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</si>
  <si>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</si>
  <si>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</si>
  <si>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</si>
  <si>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</si>
  <si>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</si>
  <si>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</si>
  <si>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</si>
  <si>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</si>
  <si>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</si>
  <si>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</si>
  <si>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</si>
  <si>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</si>
  <si>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</si>
  <si>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</si>
  <si>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</si>
  <si>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</si>
  <si>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</si>
  <si>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</si>
  <si>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</si>
  <si>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</si>
  <si>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</si>
  <si>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</si>
  <si>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</si>
  <si>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</si>
  <si>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</si>
  <si>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</si>
  <si>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</si>
  <si>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</si>
  <si>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</si>
  <si>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</si>
  <si>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</si>
  <si>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</si>
  <si>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</si>
  <si>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</si>
  <si>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</si>
  <si>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</si>
  <si>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</si>
  <si>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</si>
  <si>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</si>
  <si>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</si>
  <si>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</si>
  <si>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</si>
  <si>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</si>
  <si>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</si>
  <si>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</si>
  <si>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</si>
  <si>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</si>
  <si>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</si>
  <si>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</si>
  <si>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</si>
  <si>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</si>
  <si>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</si>
  <si>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</si>
  <si>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</si>
  <si>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</si>
  <si>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</si>
  <si>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</si>
  <si>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</si>
  <si>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</si>
  <si>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</si>
  <si>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</si>
  <si>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</si>
  <si>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</si>
  <si>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</si>
  <si>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</si>
  <si>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</si>
  <si>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</si>
  <si>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</si>
  <si>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</si>
  <si>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</si>
  <si>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</si>
  <si>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</si>
  <si>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</si>
  <si>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</si>
  <si>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</si>
  <si>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</si>
  <si>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</si>
  <si>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</si>
  <si>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</si>
  <si>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</si>
  <si>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</si>
  <si>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</si>
  <si>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</si>
  <si>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</si>
  <si>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</si>
  <si>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</si>
  <si>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</si>
  <si>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</si>
  <si>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</si>
  <si>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</si>
  <si>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</si>
  <si>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</si>
  <si>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</si>
  <si>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</si>
  <si>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</si>
  <si>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</si>
  <si>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</si>
  <si>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</si>
  <si>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</si>
  <si>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</si>
  <si>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</si>
  <si>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</si>
  <si>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</si>
  <si>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</si>
  <si>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</si>
  <si>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</si>
  <si>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</si>
  <si>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</si>
  <si>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</si>
  <si>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</si>
  <si>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</si>
  <si>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</si>
  <si>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</si>
  <si>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</si>
  <si>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</si>
  <si>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</si>
  <si>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</si>
  <si>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</si>
  <si>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</si>
  <si>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</si>
  <si>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</si>
  <si>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</si>
  <si>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</si>
  <si>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</si>
  <si>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</si>
  <si>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</si>
  <si>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</si>
  <si>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</si>
  <si>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</si>
  <si>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</si>
  <si>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</si>
  <si>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</si>
  <si>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</si>
  <si>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</si>
  <si>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</si>
  <si>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</si>
  <si>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</si>
  <si>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</si>
  <si>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</si>
  <si>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</si>
  <si>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</si>
  <si>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</si>
  <si>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</si>
  <si>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</si>
  <si>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</si>
  <si>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</si>
  <si>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</si>
  <si>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</si>
  <si>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</si>
  <si>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</si>
  <si>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</si>
  <si>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</si>
  <si>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</si>
  <si>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</si>
  <si>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</si>
  <si>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</si>
  <si>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</si>
  <si>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</si>
  <si>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</si>
  <si>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</si>
  <si>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</si>
  <si>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</si>
  <si>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</si>
  <si>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</si>
  <si>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</si>
  <si>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</si>
  <si>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</si>
  <si>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</si>
  <si>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</si>
  <si>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</si>
  <si>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</si>
  <si>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</si>
  <si>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</si>
  <si>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</si>
  <si>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</si>
  <si>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</si>
  <si>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</si>
  <si>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</si>
  <si>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</si>
  <si>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</si>
  <si>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</si>
  <si>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</si>
  <si>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</si>
  <si>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</si>
  <si>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</si>
  <si>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</si>
  <si>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</si>
  <si>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</si>
  <si>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</si>
  <si>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</si>
  <si>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</si>
  <si>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</si>
  <si>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</si>
  <si>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</si>
  <si>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</si>
  <si>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</si>
  <si>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</si>
  <si>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</si>
  <si>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</si>
  <si>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</si>
  <si>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</si>
  <si>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</si>
  <si>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</si>
  <si>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</si>
  <si>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</si>
  <si>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</si>
  <si>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</si>
  <si>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</si>
  <si>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</si>
  <si>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</si>
  <si>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</si>
  <si>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</si>
  <si>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</si>
  <si>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</si>
  <si>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</si>
  <si>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</si>
  <si>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</si>
  <si>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</si>
  <si>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</si>
  <si>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</si>
  <si>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</si>
  <si>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</si>
  <si>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</si>
  <si>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</si>
  <si>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</si>
  <si>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</si>
  <si>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</si>
  <si>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</si>
  <si>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</si>
  <si>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</si>
  <si>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</si>
  <si>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</si>
  <si>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</si>
  <si>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</si>
  <si>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</si>
  <si>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</si>
  <si>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</si>
  <si>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</si>
  <si>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</si>
  <si>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</si>
  <si>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</si>
  <si>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</si>
  <si>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</si>
  <si>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</si>
  <si>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</si>
  <si>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</si>
  <si>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</si>
  <si>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</si>
  <si>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</si>
  <si>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</si>
  <si>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</si>
  <si>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</si>
  <si>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</si>
  <si>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</si>
  <si>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</si>
  <si>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</si>
  <si>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</si>
  <si>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</si>
  <si>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</si>
  <si>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</si>
  <si>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</si>
  <si>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</si>
  <si>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</si>
  <si>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</si>
  <si>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</si>
  <si>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</si>
  <si>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</si>
  <si>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</si>
  <si>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</si>
  <si>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</si>
  <si>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</si>
  <si>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</si>
  <si>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</si>
  <si>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</si>
  <si>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</si>
  <si>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</si>
  <si>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</si>
  <si>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</si>
  <si>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</si>
  <si>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</si>
  <si>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</si>
  <si>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</si>
  <si>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</si>
  <si>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</si>
  <si>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</si>
  <si>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</si>
  <si>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</si>
  <si>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</si>
  <si>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</si>
  <si>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</si>
  <si>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</si>
  <si>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</si>
  <si>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</si>
  <si>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</si>
  <si>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</si>
  <si>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</si>
  <si>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</si>
  <si>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</si>
  <si>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</si>
  <si>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</si>
  <si>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</si>
  <si>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</si>
  <si>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</si>
  <si>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</si>
  <si>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</si>
  <si>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</si>
  <si>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</si>
  <si>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</si>
  <si>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</si>
  <si>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</si>
  <si>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</si>
  <si>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</si>
  <si>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</si>
  <si>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</si>
  <si>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</si>
  <si>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</si>
  <si>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</si>
  <si>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</si>
  <si>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</si>
  <si>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</si>
  <si>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</si>
  <si>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</si>
  <si>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</si>
  <si>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</si>
  <si>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</si>
  <si>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</si>
  <si>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</si>
  <si>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</si>
  <si>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</si>
  <si>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</si>
  <si>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</si>
  <si>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</si>
  <si>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</si>
  <si>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</si>
  <si>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</si>
  <si>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</si>
  <si>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</si>
  <si>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</si>
  <si>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</si>
  <si>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</si>
  <si>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</si>
  <si>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</si>
  <si>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</si>
  <si>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</si>
  <si>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</si>
  <si>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</si>
  <si>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</si>
  <si>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</si>
  <si>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</si>
  <si>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</si>
  <si>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</si>
  <si>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</si>
  <si>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</si>
  <si>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</si>
  <si>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</si>
  <si>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</si>
  <si>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</si>
  <si>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</si>
  <si>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</si>
  <si>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</si>
  <si>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</si>
  <si>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</si>
  <si>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</si>
  <si>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</si>
  <si>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</si>
  <si>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</si>
  <si>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</si>
  <si>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</si>
  <si>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</si>
  <si>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</si>
  <si>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</si>
  <si>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</si>
  <si>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</si>
  <si>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</si>
  <si>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</si>
  <si>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</si>
  <si>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</si>
  <si>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</si>
  <si>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</si>
  <si>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</si>
  <si>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</si>
  <si>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</si>
  <si>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</si>
  <si>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</si>
  <si>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</si>
  <si>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</si>
  <si>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</si>
  <si>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</si>
  <si>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</si>
  <si>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</si>
  <si>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</si>
  <si>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</si>
  <si>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</si>
  <si>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</si>
  <si>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</si>
  <si>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</si>
  <si>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</si>
  <si>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</si>
  <si>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</si>
  <si>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</si>
  <si>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</si>
  <si>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</si>
  <si>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</si>
  <si>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</si>
  <si>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</si>
  <si>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</si>
  <si>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</si>
  <si>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</si>
  <si>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</si>
  <si>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</si>
  <si>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</si>
  <si>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</si>
  <si>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</si>
  <si>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</si>
  <si>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</si>
  <si>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</si>
  <si>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</si>
  <si>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</si>
  <si>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</si>
  <si>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</si>
  <si>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</si>
  <si>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</si>
  <si>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</si>
  <si>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</si>
  <si>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</si>
  <si>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</si>
  <si>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</si>
  <si>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</si>
  <si>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</si>
  <si>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</si>
  <si>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</si>
  <si>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</si>
  <si>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</si>
  <si>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</si>
  <si>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</si>
  <si>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</si>
  <si>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</si>
  <si>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</si>
  <si>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</si>
  <si>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</si>
  <si>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</si>
  <si>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</si>
  <si>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</si>
  <si>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</si>
  <si>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</si>
  <si>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</si>
  <si>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</si>
  <si>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</si>
  <si>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</si>
  <si>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</si>
  <si>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</si>
  <si>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</si>
  <si>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</si>
  <si>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</si>
  <si>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</si>
  <si>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</si>
  <si>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</si>
  <si>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</si>
  <si>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</si>
  <si>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</si>
  <si>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</si>
  <si>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</si>
  <si>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</si>
  <si>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</si>
  <si>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</si>
  <si>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</si>
  <si>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</si>
  <si>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</si>
  <si>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</si>
  <si>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</si>
  <si>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</si>
  <si>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</si>
  <si>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</si>
  <si>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</si>
  <si>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</si>
  <si>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</si>
  <si>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</si>
  <si>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</si>
  <si>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</si>
  <si>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</si>
  <si>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</si>
  <si>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</si>
  <si>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</si>
  <si>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</si>
  <si>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</si>
  <si>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</si>
  <si>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</si>
  <si>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</si>
  <si>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</si>
  <si>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</si>
  <si>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</si>
  <si>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</si>
  <si>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</si>
  <si>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</si>
  <si>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</si>
  <si>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</si>
  <si>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</si>
  <si>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</si>
  <si>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</si>
  <si>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</si>
  <si>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</si>
  <si>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</si>
  <si>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</si>
  <si>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</si>
  <si>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</si>
  <si>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</si>
  <si>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</si>
  <si>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</si>
  <si>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</si>
  <si>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</si>
  <si>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</si>
  <si>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</si>
  <si>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</si>
  <si>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</si>
  <si>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</si>
  <si>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</si>
  <si>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</si>
  <si>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</si>
  <si>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</si>
  <si>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</si>
  <si>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</si>
  <si>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</si>
  <si>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</si>
  <si>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</si>
  <si>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</si>
  <si>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</si>
  <si>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</si>
  <si>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</si>
  <si>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</si>
  <si>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</si>
  <si>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</si>
  <si>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</si>
  <si>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</si>
  <si>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</si>
  <si>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</si>
  <si>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</si>
  <si>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</si>
  <si>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</si>
  <si>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</si>
  <si>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</si>
  <si>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</si>
  <si>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</si>
  <si>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</si>
  <si>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</si>
  <si>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</si>
  <si>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</si>
  <si>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</si>
  <si>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</si>
  <si>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</si>
  <si>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</si>
  <si>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</si>
  <si>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</si>
  <si>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</si>
  <si>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</si>
  <si>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</si>
  <si>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</si>
  <si>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</si>
  <si>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</si>
  <si>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</si>
  <si>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</si>
  <si>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</si>
  <si>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</si>
  <si>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</si>
  <si>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</si>
  <si>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</si>
  <si>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</si>
  <si>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</si>
  <si>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</si>
  <si>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</si>
  <si>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</si>
  <si>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</si>
  <si>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</si>
  <si>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</si>
  <si>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</si>
  <si>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</si>
  <si>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</si>
  <si>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</si>
  <si>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</si>
  <si>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</si>
  <si>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</si>
  <si>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</si>
  <si>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</si>
  <si>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</si>
  <si>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</si>
  <si>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</si>
  <si>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</si>
  <si>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</si>
  <si>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</si>
  <si>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</si>
  <si>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</si>
  <si>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</si>
  <si>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</si>
  <si>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</si>
  <si>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</si>
  <si>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</si>
  <si>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</si>
  <si>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</si>
  <si>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</si>
  <si>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</si>
  <si>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</si>
  <si>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</si>
  <si>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</si>
  <si>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</si>
  <si>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</si>
  <si>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</si>
  <si>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</si>
  <si>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</si>
  <si>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</si>
  <si>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</si>
  <si>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</si>
  <si>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</si>
  <si>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</si>
  <si>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</si>
  <si>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</si>
  <si>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</si>
  <si>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</si>
  <si>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</si>
  <si>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</si>
  <si>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</si>
  <si>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</si>
  <si>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</si>
  <si>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</si>
  <si>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</si>
  <si>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</si>
  <si>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</si>
  <si>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</si>
  <si>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</si>
  <si>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</si>
  <si>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</si>
  <si>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</si>
  <si>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</si>
  <si>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</si>
  <si>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</si>
  <si>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</si>
  <si>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</si>
  <si>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</si>
  <si>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</si>
  <si>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</si>
  <si>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</si>
  <si>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</si>
  <si>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</si>
  <si>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</si>
  <si>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</si>
  <si>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</si>
  <si>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</si>
  <si>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</si>
  <si>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</si>
  <si>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</si>
  <si>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</si>
  <si>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</si>
  <si>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</si>
  <si>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</si>
  <si>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</si>
  <si>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</si>
  <si>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</si>
  <si>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</si>
  <si>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</si>
  <si>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</si>
  <si>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</si>
  <si>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</si>
  <si>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</si>
  <si>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</si>
  <si>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</si>
  <si>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</si>
  <si>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</si>
  <si>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</si>
  <si>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</si>
  <si>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</si>
  <si>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</si>
  <si>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</si>
  <si>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</si>
  <si>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</si>
  <si>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</si>
  <si>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</si>
  <si>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</si>
  <si>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</si>
  <si>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</si>
  <si>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</si>
  <si>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</si>
  <si>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</si>
  <si>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</si>
  <si>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</si>
  <si>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</si>
  <si>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</si>
  <si>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</si>
  <si>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</si>
  <si>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</si>
  <si>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</si>
  <si>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</si>
  <si>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</si>
  <si>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</si>
  <si>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</si>
  <si>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</si>
  <si>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</si>
  <si>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</si>
  <si>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</si>
  <si>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</si>
  <si>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</si>
  <si>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</si>
  <si>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</si>
  <si>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</si>
  <si>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</si>
  <si>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</si>
  <si>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</si>
  <si>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</si>
  <si>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</si>
  <si>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</si>
  <si>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</si>
  <si>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</si>
  <si>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</si>
  <si>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</si>
  <si>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</si>
  <si>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</si>
  <si>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</si>
  <si>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</si>
  <si>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</si>
  <si>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</si>
  <si>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</si>
  <si>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</si>
  <si>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</si>
  <si>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</si>
  <si>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</si>
  <si>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</si>
  <si>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</si>
  <si>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</si>
  <si>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</si>
  <si>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</si>
  <si>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</si>
  <si>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</si>
  <si>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</si>
  <si>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</si>
  <si>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</si>
  <si>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</si>
  <si>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</si>
  <si>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</si>
  <si>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</si>
  <si>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</si>
  <si>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</si>
  <si>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</si>
  <si>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</si>
  <si>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</si>
  <si>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</si>
  <si>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</si>
  <si>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</si>
  <si>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</si>
  <si>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</si>
  <si>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</si>
  <si>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</si>
  <si>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</si>
  <si>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</si>
  <si>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</si>
  <si>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</si>
  <si>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</si>
  <si>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</si>
  <si>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</si>
  <si>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</si>
  <si>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</si>
  <si>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</si>
  <si>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</si>
  <si>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</si>
  <si>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</si>
  <si>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</si>
  <si>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</si>
  <si>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</si>
  <si>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</si>
  <si>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</si>
  <si>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</si>
  <si>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</si>
  <si>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</si>
  <si>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</si>
  <si>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</si>
  <si>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</si>
  <si>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</si>
  <si>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</si>
  <si>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</si>
  <si>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</si>
  <si>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</si>
  <si>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</si>
  <si>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</si>
  <si>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</si>
  <si>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</si>
  <si>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</si>
  <si>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</si>
  <si>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</si>
  <si>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</si>
  <si>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</si>
  <si>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</si>
  <si>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</si>
  <si>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</si>
  <si>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</si>
  <si>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</si>
  <si>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</si>
  <si>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</si>
  <si>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</si>
  <si>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</si>
  <si>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</si>
  <si>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</si>
  <si>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</si>
  <si>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</si>
  <si>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</si>
  <si>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</si>
  <si>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</si>
  <si>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</si>
  <si>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</si>
  <si>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</si>
  <si>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</si>
  <si>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</si>
  <si>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</si>
  <si>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</si>
  <si>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</si>
  <si>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</si>
  <si>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</si>
  <si>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</si>
  <si>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</si>
  <si>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</si>
  <si>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</si>
  <si>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</si>
  <si>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</si>
  <si>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</si>
  <si>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</si>
  <si>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</si>
  <si>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</si>
  <si>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</si>
  <si>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</si>
  <si>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</si>
  <si>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</si>
  <si>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</si>
  <si>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</si>
  <si>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</si>
  <si>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</si>
  <si>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</si>
  <si>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</si>
  <si>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</si>
  <si>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</si>
  <si>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</si>
  <si>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</si>
  <si>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</si>
  <si>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</si>
  <si>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</si>
  <si>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</si>
  <si>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</si>
  <si>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</si>
  <si>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</si>
  <si>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</si>
  <si>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</si>
  <si>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</si>
  <si>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</si>
  <si>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</si>
  <si>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</si>
  <si>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</si>
  <si>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</si>
  <si>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</si>
  <si>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</si>
  <si>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</si>
  <si>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</si>
  <si>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</si>
  <si>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</si>
  <si>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</si>
  <si>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</si>
  <si>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</si>
  <si>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</si>
  <si>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</si>
  <si>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</si>
  <si>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</si>
  <si>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</si>
  <si>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</si>
  <si>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</si>
  <si>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</si>
  <si>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</si>
  <si>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</si>
  <si>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</si>
  <si>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</si>
  <si>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</si>
  <si>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</si>
  <si>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</si>
  <si>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</si>
  <si>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</si>
  <si>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</si>
  <si>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</si>
  <si>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</si>
  <si>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</si>
  <si>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</si>
  <si>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</si>
  <si>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</si>
  <si>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</si>
  <si>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</si>
  <si>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</si>
  <si>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</si>
  <si>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</si>
  <si>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</si>
  <si>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</si>
  <si>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</si>
  <si>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</si>
  <si>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</si>
  <si>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</si>
  <si>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</si>
  <si>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</si>
  <si>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</si>
  <si>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</si>
  <si>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</si>
  <si>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</si>
  <si>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</si>
  <si>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</si>
  <si>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</si>
  <si>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</si>
  <si>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</si>
  <si>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</si>
  <si>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</si>
  <si>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</si>
  <si>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</si>
  <si>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</si>
  <si>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</si>
  <si>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</si>
  <si>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</si>
  <si>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</si>
  <si>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</si>
  <si>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</si>
  <si>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</si>
  <si>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</si>
  <si>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</si>
  <si>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</si>
  <si>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</si>
  <si>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</si>
  <si>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</si>
  <si>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</si>
  <si>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</si>
  <si>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</si>
  <si>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</si>
  <si>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</si>
  <si>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</si>
  <si>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</si>
  <si>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</si>
  <si>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</si>
  <si>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</si>
  <si>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</si>
  <si>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</si>
  <si>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</si>
  <si>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</si>
  <si>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</si>
  <si>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</si>
  <si>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</si>
  <si>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</si>
  <si>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</si>
  <si>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</si>
  <si>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</si>
  <si>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</si>
  <si>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</si>
  <si>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</si>
  <si>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</si>
  <si>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</si>
  <si>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</si>
  <si>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</si>
  <si>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</si>
  <si>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</si>
  <si>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</si>
  <si>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</si>
  <si>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</si>
  <si>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</si>
  <si>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</si>
  <si>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</si>
  <si>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</si>
  <si>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</si>
  <si>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</si>
  <si>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</si>
  <si>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</si>
  <si>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</si>
  <si>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</si>
  <si>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</si>
  <si>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</si>
  <si>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</si>
  <si>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</si>
  <si>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</si>
  <si>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</si>
  <si>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</si>
  <si>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</si>
  <si>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</si>
  <si>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</si>
  <si>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</si>
  <si>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</si>
  <si>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</si>
  <si>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</si>
  <si>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</si>
  <si>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</si>
  <si>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</si>
  <si>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</si>
  <si>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</si>
  <si>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</si>
  <si>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</si>
  <si>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</si>
  <si>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</si>
  <si>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</si>
  <si>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</si>
  <si>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</si>
  <si>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</si>
  <si>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</si>
  <si>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</si>
  <si>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</si>
  <si>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</si>
  <si>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</si>
  <si>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</si>
  <si>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</si>
  <si>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</si>
  <si>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</si>
  <si>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</si>
  <si>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</si>
  <si>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</si>
  <si>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</si>
  <si>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</si>
  <si>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</si>
  <si>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</si>
  <si>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</si>
  <si>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</si>
  <si>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</si>
  <si>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</si>
  <si>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</si>
  <si>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</si>
  <si>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</si>
  <si>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</si>
  <si>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</si>
  <si>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</si>
  <si>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</si>
  <si>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</si>
  <si>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</si>
  <si>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</si>
  <si>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</si>
  <si>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</si>
  <si>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</si>
  <si>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</si>
  <si>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</si>
  <si>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</si>
  <si>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</si>
  <si>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</si>
  <si>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</si>
  <si>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</si>
  <si>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</si>
  <si>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</si>
  <si>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</si>
  <si>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</si>
  <si>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</si>
  <si>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</si>
  <si>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</si>
  <si>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</si>
  <si>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</si>
  <si>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</si>
  <si>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</si>
  <si>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</si>
  <si>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</si>
  <si>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</si>
  <si>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</si>
  <si>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</si>
  <si>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</si>
  <si>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</si>
  <si>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</si>
  <si>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</si>
  <si>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</si>
  <si>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</si>
  <si>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</si>
  <si>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</si>
  <si>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</si>
  <si>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</si>
  <si>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</si>
  <si>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</si>
  <si>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</si>
  <si>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</si>
  <si>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</si>
  <si>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</si>
  <si>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</si>
  <si>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 Student Aid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</si>
</sst>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Q96" sqref="Q9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1111</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EDUCATION</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121585</v>
      </c>
      <c r="K15" s="42"/>
      <c r="M15" s="105">
        <v>121585</v>
      </c>
      <c r="P15" s="105">
        <v>121585</v>
      </c>
      <c r="S15" s="43">
        <f>M15-P15</f>
        <v>0</v>
      </c>
      <c r="T15" s="44" t="s">
        <v>1634</v>
      </c>
    </row>
    <row r="16" spans="1:25" ht="16.5" customHeight="1" x14ac:dyDescent="0.2">
      <c r="A16" s="45"/>
      <c r="B16" s="181" t="s">
        <v>1582</v>
      </c>
      <c r="C16" s="181"/>
      <c r="D16" s="181"/>
      <c r="E16" s="181"/>
      <c r="F16" s="181"/>
      <c r="G16" s="181"/>
      <c r="H16" s="181"/>
      <c r="I16" s="181"/>
      <c r="J16" s="41">
        <f>ROUND(P16,0)</f>
        <v>62560</v>
      </c>
      <c r="K16" s="42"/>
      <c r="M16" s="105">
        <v>62560</v>
      </c>
      <c r="P16" s="46">
        <f>IF(SUM($Q$18:$Q$19)&gt;$P$15,SUM($Q$18:$Q$19)-$P$15,0)</f>
        <v>62560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102131</v>
      </c>
      <c r="N18" s="105">
        <v>102131</v>
      </c>
      <c r="Q18" s="105">
        <v>102131</v>
      </c>
      <c r="S18" s="43">
        <f>N18-Q18</f>
        <v>0</v>
      </c>
      <c r="T18" s="47" t="s">
        <v>1635</v>
      </c>
    </row>
    <row r="19" spans="1:25" ht="16.5" customHeight="1" x14ac:dyDescent="0.25">
      <c r="A19" s="45"/>
      <c r="B19" s="49"/>
      <c r="C19" s="181" t="s">
        <v>1618</v>
      </c>
      <c r="D19" s="181"/>
      <c r="E19" s="181"/>
      <c r="F19" s="181"/>
      <c r="G19" s="181"/>
      <c r="H19" s="181"/>
      <c r="I19" s="181"/>
      <c r="J19" s="42"/>
      <c r="K19" s="41">
        <f>ROUND(N19,0)</f>
        <v>82014</v>
      </c>
      <c r="N19" s="105">
        <v>82014</v>
      </c>
      <c r="Q19" s="105">
        <v>82014</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184145</v>
      </c>
      <c r="K22" s="51">
        <f>ROUND(SUM(K18:K21),0)</f>
        <v>184145</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0810 - EDUCATION EXP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0810 - EDUCATION EXP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19454</v>
      </c>
      <c r="K45" s="78"/>
    </row>
    <row r="46" spans="1:20" ht="16.5" customHeight="1" x14ac:dyDescent="0.2">
      <c r="A46" s="45"/>
      <c r="B46" s="69"/>
      <c r="C46" s="181" t="s">
        <v>1581</v>
      </c>
      <c r="D46" s="181"/>
      <c r="E46" s="181"/>
      <c r="F46" s="181"/>
      <c r="G46" s="181"/>
      <c r="H46" s="181"/>
      <c r="I46" s="181"/>
      <c r="J46" s="68"/>
      <c r="K46" s="105">
        <f>J45</f>
        <v>19454</v>
      </c>
    </row>
    <row r="47" spans="1:20" ht="16.5" customHeight="1" x14ac:dyDescent="0.2">
      <c r="A47" s="65"/>
      <c r="B47" s="50"/>
      <c r="C47" s="50"/>
      <c r="D47" s="50"/>
      <c r="E47" s="50"/>
      <c r="F47" s="50"/>
      <c r="G47" s="50"/>
      <c r="H47" s="50"/>
      <c r="I47" s="50"/>
      <c r="J47" s="79">
        <f>ROUND(SUM(J45:J45),2)</f>
        <v>19454</v>
      </c>
      <c r="K47" s="79">
        <f>ROUND(SUM(K46),2)</f>
        <v>19454</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40521</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1968</v>
      </c>
      <c r="K51" s="81"/>
    </row>
    <row r="52" spans="1:20" ht="16.5" customHeight="1" x14ac:dyDescent="0.25">
      <c r="A52" s="45"/>
      <c r="B52" s="49"/>
      <c r="C52" s="181" t="str">
        <f>VLOOKUP($F$8,'Drop Down Menus'!$D$2:$G$10,4,FALSE)</f>
        <v>Cr: Acct 0810 - EDUCATION EXP (GAAP ADJ)</v>
      </c>
      <c r="D52" s="181"/>
      <c r="E52" s="181"/>
      <c r="F52" s="181"/>
      <c r="G52" s="181"/>
      <c r="H52" s="181"/>
      <c r="I52" s="181"/>
      <c r="J52" s="81"/>
      <c r="K52" s="107">
        <f>+J50+J51</f>
        <v>42489</v>
      </c>
    </row>
    <row r="53" spans="1:20" ht="16.5" customHeight="1" x14ac:dyDescent="0.2">
      <c r="A53" s="65"/>
      <c r="B53" s="50"/>
      <c r="C53" s="50"/>
      <c r="D53" s="50"/>
      <c r="E53" s="50"/>
      <c r="F53" s="50"/>
      <c r="G53" s="50"/>
      <c r="H53" s="50"/>
      <c r="I53" s="50"/>
      <c r="J53" s="79">
        <f>ROUND(SUM(J50:J51),2)</f>
        <v>42489</v>
      </c>
      <c r="K53" s="79">
        <f>ROUND(SUM(K52,),2)</f>
        <v>42489</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40521</v>
      </c>
      <c r="K56" s="68"/>
    </row>
    <row r="57" spans="1:20" ht="16.5" customHeight="1" x14ac:dyDescent="0.25">
      <c r="A57" s="45"/>
      <c r="B57" s="49"/>
      <c r="C57" s="181" t="s">
        <v>1607</v>
      </c>
      <c r="D57" s="181"/>
      <c r="E57" s="181"/>
      <c r="F57" s="181"/>
      <c r="G57" s="181"/>
      <c r="H57" s="181"/>
      <c r="I57" s="181"/>
      <c r="J57" s="68"/>
      <c r="K57" s="105">
        <f>J50</f>
        <v>40521</v>
      </c>
      <c r="L57" s="27" t="str">
        <f>IF($J$50=$K$57,"","&lt;- Accts 0848 must agree")</f>
        <v/>
      </c>
    </row>
    <row r="58" spans="1:20" ht="16.5" customHeight="1" x14ac:dyDescent="0.2">
      <c r="A58" s="65"/>
      <c r="B58" s="50"/>
      <c r="C58" s="50"/>
      <c r="D58" s="50"/>
      <c r="E58" s="50"/>
      <c r="F58" s="50"/>
      <c r="G58" s="50"/>
      <c r="H58" s="50"/>
      <c r="I58" s="50"/>
      <c r="J58" s="79">
        <f>ROUND(SUM(J56:J56),2)</f>
        <v>40521</v>
      </c>
      <c r="K58" s="79">
        <f>ROUND(SUM(K57),2)</f>
        <v>40521</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41493</v>
      </c>
      <c r="K61" s="78"/>
    </row>
    <row r="62" spans="1:20" ht="16.5" customHeight="1" x14ac:dyDescent="0.25">
      <c r="A62" s="45"/>
      <c r="B62" s="49"/>
      <c r="C62" s="181" t="s">
        <v>1616</v>
      </c>
      <c r="D62" s="181"/>
      <c r="E62" s="181"/>
      <c r="F62" s="181"/>
      <c r="G62" s="181"/>
      <c r="H62" s="181"/>
      <c r="I62" s="181"/>
      <c r="J62" s="78"/>
      <c r="K62" s="105">
        <f>J61</f>
        <v>41493</v>
      </c>
    </row>
    <row r="63" spans="1:20" ht="16.5" customHeight="1" x14ac:dyDescent="0.2">
      <c r="A63" s="45"/>
      <c r="B63" s="176" t="s">
        <v>1615</v>
      </c>
      <c r="C63" s="176"/>
      <c r="D63" s="176"/>
      <c r="E63" s="176"/>
      <c r="F63" s="176"/>
      <c r="G63" s="176"/>
      <c r="H63" s="176"/>
      <c r="I63" s="176"/>
      <c r="J63" s="79">
        <f>ROUND(SUM(J61:J61),2)</f>
        <v>41493</v>
      </c>
      <c r="K63" s="79">
        <f>ROUND(SUM(K62),2)</f>
        <v>41493</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Menus'!$D$2:$G$10,4,FALSE)</f>
        <v>Cr: Acct 0810 - EDUCATION EXP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0810 - EDUCATION EXP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121585</v>
      </c>
      <c r="N94" s="104"/>
    </row>
    <row r="95" spans="1:20" ht="16.5" customHeight="1" x14ac:dyDescent="0.25">
      <c r="D95" s="49" t="s">
        <v>1631</v>
      </c>
      <c r="E95" s="100"/>
      <c r="F95" s="100"/>
      <c r="G95" s="100"/>
      <c r="H95" s="27"/>
      <c r="I95" s="100"/>
      <c r="J95" s="100"/>
      <c r="K95" s="103">
        <f>-K18-K46+J68+J77</f>
        <v>-121585</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-41493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42" sqref="D4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6980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41493</v>
      </c>
      <c r="C16" s="2">
        <v>996</v>
      </c>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t="s">
        <v>115</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6980</v>
      </c>
      <c r="C43" s="198"/>
    </row>
    <row r="44" spans="1:11" ht="15.75" x14ac:dyDescent="0.25">
      <c r="A44" s="113" t="s">
        <v>1594</v>
      </c>
      <c r="B44" s="197" t="str">
        <f>B13</f>
        <v>CA Student Aid Commission</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6980</v>
      </c>
      <c r="C74" s="198"/>
    </row>
    <row r="75" spans="1:4" ht="15.75" x14ac:dyDescent="0.25">
      <c r="A75" s="113" t="s">
        <v>1594</v>
      </c>
      <c r="B75" s="197" t="str">
        <f>B13</f>
        <v>CA Student Aid Commission</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U23" sqref="U23"/>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6980 CA Student Aid Commission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82014</v>
      </c>
      <c r="H10" s="3">
        <f>IF('Fund 0001 Journal Entries'!$F$7="Governmental Fund",SUM('Fund 0001 Journal Entries'!$K$37,'Fund 0001 Journal Entries'!$K$85),0)</f>
        <v>0</v>
      </c>
      <c r="J10" s="3">
        <f>IF('Fund 0001 Journal Entries'!$F$7="Governmental Fund",SUM('Fund 0001 Journal Entries'!$J$56,'Fund 0001 Journal Entries'!$J$76),0)</f>
        <v>40521</v>
      </c>
      <c r="L10" s="134">
        <f>SUM(F10+H10-J10)</f>
        <v>41493</v>
      </c>
      <c r="N10" s="3">
        <f>IF('Fund 0001 Journal Entries'!$F$7="Governmental Fund",'Fund 0001 Journal Entries'!$J$61,0)</f>
        <v>41493</v>
      </c>
      <c r="P10" s="134">
        <f>L10-N10</f>
        <v>0</v>
      </c>
      <c r="Q10" s="129"/>
    </row>
    <row r="11" spans="2:17" ht="19.5" thickTop="1" thickBot="1" x14ac:dyDescent="0.3">
      <c r="B11" s="128"/>
      <c r="C11" s="208" t="s">
        <v>14</v>
      </c>
      <c r="D11" s="208"/>
      <c r="F11" s="135">
        <f>SUM(F10:F10)</f>
        <v>82014</v>
      </c>
      <c r="H11" s="135">
        <f>SUM(H10:H10)</f>
        <v>0</v>
      </c>
      <c r="J11" s="135">
        <f>SUM(J10:J10)</f>
        <v>40521</v>
      </c>
      <c r="L11" s="135">
        <f>SUM(L10:L10)</f>
        <v>41493</v>
      </c>
      <c r="N11" s="135">
        <f>SUM(N10:N10)</f>
        <v>41493</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F17" sqref="F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82014</v>
      </c>
      <c r="C17" s="21" t="s">
        <v>1551</v>
      </c>
      <c r="D17" s="10">
        <f>IF('Fund 0001 Journal Entries'!$F$7="Governmental Fund",ROUND('Fund 0001 Journal Entries'!$K$37,0),0)</f>
        <v>0</v>
      </c>
      <c r="E17" s="22" t="s">
        <v>1553</v>
      </c>
      <c r="F17" s="10">
        <f>IF('Fund 0001 Journal Entries'!$F$7="Governmental Fund",ROUND('Fund 0001 Journal Entries'!$J$56,0),0)</f>
        <v>40521</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f>
        <v>41493</v>
      </c>
      <c r="M17" s="22"/>
      <c r="N17" s="12">
        <f>ROUND(SUM('Department Note Disclosure'!$B$16:$B$39),0)</f>
        <v>41493</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41493</v>
      </c>
      <c r="C42" s="160"/>
      <c r="D42" s="159"/>
      <c r="E42" s="159"/>
      <c r="F42" s="159"/>
      <c r="G42" s="145"/>
      <c r="H42" s="159"/>
      <c r="I42" s="149"/>
      <c r="J42" s="159"/>
      <c r="K42" s="145"/>
      <c r="L42" s="158"/>
      <c r="M42" s="23"/>
      <c r="N42" s="12">
        <f>ROUND('Department Note Disclosure'!$B$16,0)</f>
        <v>41493</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82014</v>
      </c>
      <c r="I64" s="25" t="s">
        <v>1555</v>
      </c>
      <c r="J64" s="14">
        <f>SUM(D64)</f>
        <v>82014</v>
      </c>
      <c r="L64" s="164" t="str">
        <f>CONCATENATE("Balance July 1, ",LEFT('Department Note Disclosure'!$B$11,4))</f>
        <v>Balance July 1, 2023</v>
      </c>
      <c r="N64" s="14">
        <f>ROUND('SBITA Liabilities'!$F$10,0)</f>
        <v>82014</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40521</v>
      </c>
      <c r="E66" s="165" t="s">
        <v>1551</v>
      </c>
      <c r="F66" s="150" t="s">
        <v>1645</v>
      </c>
      <c r="H66" s="14">
        <f>H17</f>
        <v>0</v>
      </c>
      <c r="I66" s="25" t="s">
        <v>1555</v>
      </c>
      <c r="J66" s="14">
        <f>SUM(D66,H66)</f>
        <v>40521</v>
      </c>
      <c r="L66" s="164" t="s">
        <v>10</v>
      </c>
      <c r="N66" s="14">
        <f>ROUND('SBITA Liabilities'!$J$10,0)</f>
        <v>40521</v>
      </c>
      <c r="P66" s="13">
        <f>J66-N66</f>
        <v>0</v>
      </c>
    </row>
    <row r="67" spans="1:16383" x14ac:dyDescent="0.25">
      <c r="B67" s="162" t="s">
        <v>1558</v>
      </c>
      <c r="D67" s="14">
        <f>$B$42</f>
        <v>41493</v>
      </c>
      <c r="I67" s="25" t="s">
        <v>1555</v>
      </c>
      <c r="J67" s="14">
        <f>SUM(D67)</f>
        <v>41493</v>
      </c>
      <c r="L67" s="164" t="s">
        <v>11</v>
      </c>
      <c r="N67" s="14">
        <f>ROUND('SBITA Liabilities'!$N$10,0)</f>
        <v>41493</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2025-03-04T16:54:37Z</dcterms:modified>
</cp:coreProperties>
</file>