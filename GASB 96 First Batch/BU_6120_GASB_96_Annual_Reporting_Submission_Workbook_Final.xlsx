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A245FFBA-4772-4E7D-AAEB-C4C7CE16ACA3}" xr6:coauthVersionLast="47" xr6:coauthVersionMax="47" xr10:uidLastSave="{00000000-0000-0000-0000-000000000000}"/>
  <bookViews>
    <workbookView xWindow="39150" yWindow="-110" windowWidth="38620" windowHeight="21220" tabRatio="808" xr2:uid="{00000000-000D-0000-FFFF-FFFF00000000}"/>
  </bookViews>
  <sheets>
    <sheet name="Fund 0001 Journal Entries" sheetId="2" r:id="rId1"/>
    <sheet name="Fund 0890 Journal Entries "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Entries'!$A$1:$K$99</definedName>
    <definedName name="_xlnm.Print_Area" localSheetId="1">'Fund 0890 Journal Entries '!$A$1:$K$99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9" l="1"/>
  <c r="H17" i="9"/>
  <c r="J17" i="9"/>
  <c r="F17" i="9"/>
  <c r="D17" i="9"/>
  <c r="B17" i="9"/>
  <c r="J10" i="4"/>
  <c r="K86" i="11" l="1"/>
  <c r="J86" i="11"/>
  <c r="L86" i="11" s="1"/>
  <c r="K81" i="11"/>
  <c r="J81" i="11"/>
  <c r="K70" i="11"/>
  <c r="J70" i="11"/>
  <c r="L70" i="11" s="1"/>
  <c r="J63" i="11"/>
  <c r="K62" i="11"/>
  <c r="K97" i="11" s="1"/>
  <c r="J58" i="11"/>
  <c r="J53" i="11"/>
  <c r="K52" i="11"/>
  <c r="K53" i="11" s="1"/>
  <c r="B51" i="11"/>
  <c r="J47" i="11"/>
  <c r="K46" i="11"/>
  <c r="K47" i="11" s="1"/>
  <c r="K39" i="11"/>
  <c r="J39" i="11"/>
  <c r="L39" i="11" s="1"/>
  <c r="K31" i="11"/>
  <c r="J31" i="11"/>
  <c r="L31" i="11" s="1"/>
  <c r="A26" i="11"/>
  <c r="S21" i="11"/>
  <c r="Q20" i="11"/>
  <c r="S20" i="11" s="1"/>
  <c r="S19" i="11"/>
  <c r="K19" i="11"/>
  <c r="S18" i="11"/>
  <c r="K18" i="11"/>
  <c r="S17" i="11"/>
  <c r="P16" i="11"/>
  <c r="S16" i="11" s="1"/>
  <c r="S15" i="11"/>
  <c r="J15" i="11"/>
  <c r="K94" i="11" s="1"/>
  <c r="B14" i="11"/>
  <c r="A12" i="11"/>
  <c r="F8" i="11"/>
  <c r="C80" i="11" s="1"/>
  <c r="L53" i="11" l="1"/>
  <c r="K63" i="11"/>
  <c r="L63" i="11" s="1"/>
  <c r="K96" i="11"/>
  <c r="K95" i="11"/>
  <c r="L47" i="11"/>
  <c r="L81" i="11"/>
  <c r="K20" i="11"/>
  <c r="K21" i="11" s="1"/>
  <c r="K22" i="11" s="1"/>
  <c r="J16" i="11"/>
  <c r="K58" i="11"/>
  <c r="L58" i="11" s="1"/>
  <c r="C38" i="11"/>
  <c r="L50" i="11"/>
  <c r="L57" i="11"/>
  <c r="C52" i="11"/>
  <c r="C30" i="11"/>
  <c r="B78" i="11"/>
  <c r="J17" i="11" l="1"/>
  <c r="J22" i="11" s="1"/>
  <c r="L22" i="11" s="1"/>
  <c r="N18" i="4" l="1"/>
  <c r="K19" i="2"/>
  <c r="K18" i="2"/>
  <c r="J15" i="2"/>
  <c r="K94" i="2" s="1"/>
  <c r="S21" i="2"/>
  <c r="S19" i="2"/>
  <c r="S18" i="2"/>
  <c r="S17" i="2"/>
  <c r="S15" i="2"/>
  <c r="K97" i="2"/>
  <c r="K57" i="2"/>
  <c r="L57" i="2" s="1"/>
  <c r="F10" i="4" l="1"/>
  <c r="L50" i="2"/>
  <c r="J56" i="2" l="1"/>
  <c r="J14" i="4"/>
  <c r="H18" i="4"/>
  <c r="H14" i="4"/>
  <c r="H10" i="4"/>
  <c r="K96" i="2" l="1"/>
  <c r="L84" i="9"/>
  <c r="L74" i="9"/>
  <c r="L64" i="9"/>
  <c r="H34" i="9"/>
  <c r="H86" i="9" s="1"/>
  <c r="J34" i="9"/>
  <c r="H85" i="9" s="1"/>
  <c r="J25" i="9"/>
  <c r="H75" i="9" s="1"/>
  <c r="H25" i="9"/>
  <c r="H76" i="9" s="1"/>
  <c r="H66" i="9"/>
  <c r="H65" i="9"/>
  <c r="K62" i="2"/>
  <c r="K52" i="2"/>
  <c r="K46" i="2"/>
  <c r="K95" i="2" s="1"/>
  <c r="J18" i="4" l="1"/>
  <c r="Q20" i="2"/>
  <c r="P16" i="2"/>
  <c r="S20" i="2" l="1"/>
  <c r="K20" i="2"/>
  <c r="S16" i="2"/>
  <c r="J16" i="2"/>
  <c r="D89" i="3"/>
  <c r="D58" i="3"/>
  <c r="K21" i="2" l="1"/>
  <c r="K22" i="2" s="1"/>
  <c r="J17" i="2"/>
  <c r="J22" i="2" s="1"/>
  <c r="D27" i="3"/>
  <c r="B25" i="9" l="1"/>
  <c r="D25" i="9"/>
  <c r="F25" i="9"/>
  <c r="B34" i="9"/>
  <c r="D34" i="9"/>
  <c r="F34" i="9"/>
  <c r="B49" i="9"/>
  <c r="B56" i="9"/>
  <c r="N10" i="4"/>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<sst xmlns="http://schemas.openxmlformats.org/spreadsheetml/2006/main" count="7700" uniqueCount="1656">
  <si>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</si>
  <si>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</si>
  <si>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</si>
  <si>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</si>
  <si>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</si>
  <si>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</si>
  <si>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</si>
  <si>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</si>
  <si>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</si>
  <si>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</si>
  <si>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</si>
  <si>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</si>
  <si>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</si>
  <si>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</si>
  <si>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</si>
  <si>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</si>
  <si>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</si>
  <si>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</si>
  <si>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</si>
  <si>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</si>
  <si>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</si>
  <si>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</si>
  <si>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</si>
  <si>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</si>
  <si>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</si>
  <si>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</si>
  <si>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</si>
  <si>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</si>
  <si>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</si>
  <si>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</si>
  <si>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</si>
  <si>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</si>
  <si>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</si>
  <si>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</si>
  <si>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</si>
  <si>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</si>
  <si>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</si>
  <si>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</si>
  <si>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</si>
  <si>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</si>
  <si>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</si>
  <si>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</si>
  <si>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</si>
  <si>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</si>
  <si>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</si>
  <si>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</si>
  <si>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</si>
  <si>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</si>
  <si>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</si>
  <si>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</si>
  <si>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</si>
  <si>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</si>
  <si>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</si>
  <si>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</si>
  <si>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</si>
  <si>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</si>
  <si>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</si>
  <si>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</si>
  <si>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</si>
  <si>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</si>
  <si>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</si>
  <si>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</si>
  <si>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</si>
  <si>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</si>
  <si>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</si>
  <si>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</si>
  <si>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</si>
  <si>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</si>
  <si>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</si>
  <si>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</si>
  <si>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</si>
  <si>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</si>
  <si>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</si>
  <si>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</si>
  <si>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</si>
  <si>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</si>
  <si>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</si>
  <si>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</si>
  <si>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</si>
  <si>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</si>
  <si>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</si>
  <si>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</si>
  <si>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</si>
  <si>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</si>
  <si>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</si>
  <si>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</si>
  <si>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</si>
  <si>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</si>
  <si>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</si>
  <si>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</si>
  <si>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</si>
  <si>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</si>
  <si>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</si>
  <si>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</si>
  <si>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</si>
  <si>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</si>
  <si>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</si>
  <si>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</si>
  <si>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</si>
  <si>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</si>
  <si>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</si>
  <si>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</si>
  <si>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</si>
  <si>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</si>
  <si>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</si>
  <si>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</si>
  <si>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</si>
  <si>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</si>
  <si>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</si>
  <si>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</si>
  <si>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</si>
  <si>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</si>
  <si>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</si>
  <si>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</si>
  <si>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</si>
  <si>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</si>
  <si>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</si>
  <si>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</si>
  <si>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</si>
  <si>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</si>
  <si>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</si>
  <si>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</si>
  <si>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</si>
  <si>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</si>
  <si>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</si>
  <si>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</si>
  <si>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</si>
  <si>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</si>
  <si>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</si>
  <si>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</si>
  <si>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</si>
  <si>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</si>
  <si>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</si>
  <si>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</si>
  <si>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</si>
  <si>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</si>
  <si>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</si>
  <si>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</si>
  <si>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</si>
  <si>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</si>
  <si>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</si>
  <si>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</si>
  <si>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</si>
  <si>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</si>
  <si>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</si>
  <si>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</si>
  <si>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</si>
  <si>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</si>
  <si>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</si>
  <si>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</si>
  <si>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</si>
  <si>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</si>
  <si>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</si>
  <si>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</si>
  <si>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</si>
  <si>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</si>
  <si>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</si>
  <si>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</si>
  <si>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</si>
  <si>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</si>
  <si>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</si>
  <si>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</si>
  <si>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</si>
  <si>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</si>
  <si>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</si>
  <si>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</si>
  <si>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</si>
  <si>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</si>
  <si>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</si>
  <si>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</si>
  <si>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</si>
  <si>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</si>
  <si>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</si>
  <si>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</si>
  <si>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</si>
  <si>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</si>
  <si>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</si>
  <si>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</si>
  <si>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</si>
  <si>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</si>
  <si>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</si>
  <si>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</si>
  <si>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</si>
  <si>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</si>
  <si>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</si>
  <si>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</si>
  <si>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</si>
  <si>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</si>
  <si>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</si>
  <si>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</si>
  <si>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</si>
  <si>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</si>
  <si>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</si>
  <si>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</si>
  <si>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</si>
  <si>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</si>
  <si>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</si>
  <si>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</si>
  <si>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</si>
  <si>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</si>
  <si>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</si>
  <si>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</si>
  <si>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</si>
  <si>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</si>
  <si>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</si>
  <si>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</si>
  <si>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</si>
  <si>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</si>
  <si>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</si>
  <si>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</si>
  <si>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</si>
  <si>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</si>
  <si>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</si>
  <si>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</si>
  <si>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</si>
  <si>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</si>
  <si>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</si>
  <si>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</si>
  <si>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</si>
  <si>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</si>
  <si>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</si>
  <si>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</si>
  <si>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</si>
  <si>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</si>
  <si>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</si>
  <si>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</si>
  <si>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</si>
  <si>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</si>
  <si>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</si>
  <si>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</si>
  <si>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</si>
  <si>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</si>
  <si>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</si>
  <si>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</si>
  <si>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</si>
  <si>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</si>
  <si>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</si>
  <si>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</si>
  <si>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</si>
  <si>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</si>
  <si>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</si>
  <si>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</si>
  <si>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</si>
  <si>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</si>
  <si>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</si>
  <si>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</si>
  <si>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</si>
  <si>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</si>
  <si>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</si>
  <si>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</si>
  <si>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</si>
  <si>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</si>
  <si>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</si>
  <si>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</si>
  <si>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</si>
  <si>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</si>
  <si>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</si>
  <si>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</si>
  <si>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</si>
  <si>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</si>
  <si>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</si>
  <si>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</si>
  <si>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</si>
  <si>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</si>
  <si>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</si>
  <si>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</si>
  <si>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</si>
  <si>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</si>
  <si>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</si>
  <si>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</si>
  <si>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</si>
  <si>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</si>
  <si>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</si>
  <si>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</si>
  <si>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</si>
  <si>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</si>
  <si>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</si>
  <si>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</si>
  <si>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</si>
  <si>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</si>
  <si>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</si>
  <si>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</si>
  <si>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</si>
  <si>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</si>
  <si>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</si>
  <si>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</si>
  <si>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</si>
  <si>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</si>
  <si>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</si>
  <si>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</si>
  <si>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</si>
  <si>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</si>
  <si>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</si>
  <si>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</si>
  <si>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</si>
  <si>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</si>
  <si>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</si>
  <si>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</si>
  <si>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</si>
  <si>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</si>
  <si>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</si>
  <si>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</si>
  <si>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</si>
  <si>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</si>
  <si>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</si>
  <si>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</si>
  <si>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</si>
  <si>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</si>
  <si>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</si>
  <si>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</si>
  <si>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</si>
  <si>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</si>
  <si>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</si>
  <si>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</si>
  <si>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</si>
  <si>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</si>
  <si>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</si>
  <si>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</si>
  <si>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</si>
  <si>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</si>
  <si>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</si>
  <si>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</si>
  <si>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</si>
  <si>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</si>
  <si>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</si>
  <si>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</si>
  <si>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</si>
  <si>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</si>
  <si>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</si>
  <si>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</si>
  <si>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</si>
  <si>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</si>
  <si>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</si>
  <si>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</si>
  <si>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</si>
  <si>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</si>
  <si>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</si>
  <si>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</si>
  <si>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</si>
  <si>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</si>
  <si>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</si>
  <si>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</si>
  <si>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</si>
  <si>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</si>
  <si>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</si>
  <si>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</si>
  <si>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</si>
  <si>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</si>
  <si>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</si>
  <si>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</si>
  <si>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</si>
  <si>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</si>
  <si>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</si>
  <si>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</si>
  <si>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</si>
  <si>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</si>
  <si>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</si>
  <si>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</si>
  <si>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</si>
  <si>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</si>
  <si>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</si>
  <si>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</si>
  <si>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</si>
  <si>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</si>
  <si>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</si>
  <si>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</si>
  <si>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</si>
  <si>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</si>
  <si>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</si>
  <si>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</si>
  <si>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</si>
  <si>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</si>
  <si>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</si>
  <si>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</si>
  <si>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</si>
  <si>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</si>
  <si>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</si>
  <si>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</si>
  <si>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</si>
  <si>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</si>
  <si>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</si>
  <si>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</si>
  <si>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</si>
  <si>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</si>
  <si>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</si>
  <si>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</si>
  <si>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</si>
  <si>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</si>
  <si>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</si>
  <si>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</si>
  <si>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</si>
  <si>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</si>
  <si>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</si>
  <si>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</si>
  <si>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</si>
  <si>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</si>
  <si>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</si>
  <si>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</si>
  <si>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</si>
  <si>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</si>
  <si>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</si>
  <si>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</si>
  <si>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</si>
  <si>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</si>
  <si>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</si>
  <si>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</si>
  <si>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</si>
  <si>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</si>
  <si>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</si>
  <si>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</si>
  <si>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</si>
  <si>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</si>
  <si>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</si>
  <si>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</si>
  <si>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</si>
  <si>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</si>
  <si>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</si>
  <si>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</si>
  <si>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</si>
  <si>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</si>
  <si>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</si>
  <si>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</si>
  <si>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</si>
  <si>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</si>
  <si>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</si>
  <si>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</si>
  <si>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</si>
  <si>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</si>
  <si>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</si>
  <si>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</si>
  <si>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</si>
  <si>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</si>
  <si>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</si>
  <si>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</si>
  <si>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</si>
  <si>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</si>
  <si>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</si>
  <si>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</si>
  <si>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</si>
  <si>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</si>
  <si>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</si>
  <si>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</si>
  <si>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</si>
  <si>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</si>
  <si>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</si>
  <si>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</si>
  <si>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</si>
  <si>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</si>
  <si>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</si>
  <si>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</si>
  <si>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</si>
  <si>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</si>
  <si>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</si>
  <si>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</si>
  <si>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</si>
  <si>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</si>
  <si>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</si>
  <si>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</si>
  <si>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</si>
  <si>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</si>
  <si>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</si>
  <si>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</si>
  <si>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</si>
  <si>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</si>
  <si>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</si>
  <si>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</si>
  <si>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</si>
  <si>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</si>
  <si>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</si>
  <si>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</si>
  <si>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</si>
  <si>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</si>
  <si>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</si>
  <si>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</si>
  <si>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</si>
  <si>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</si>
  <si>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</si>
  <si>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</si>
  <si>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</si>
  <si>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</si>
  <si>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</si>
  <si>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</si>
  <si>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</si>
  <si>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</si>
  <si>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</si>
  <si>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</si>
  <si>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</si>
  <si>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</si>
  <si>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</si>
  <si>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</si>
  <si>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</si>
  <si>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</si>
  <si>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</si>
  <si>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</si>
  <si>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</si>
  <si>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</si>
  <si>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</si>
  <si>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</si>
  <si>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</si>
  <si>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</si>
  <si>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</si>
  <si>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</si>
  <si>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</si>
  <si>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</si>
  <si>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</si>
  <si>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</si>
  <si>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</si>
  <si>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</si>
  <si>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</si>
  <si>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</si>
  <si>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</si>
  <si>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</si>
  <si>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</si>
  <si>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</si>
  <si>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</si>
  <si>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</si>
  <si>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</si>
  <si>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</si>
  <si>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</si>
  <si>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</si>
  <si>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</si>
  <si>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</si>
  <si>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</si>
  <si>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</si>
  <si>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</si>
  <si>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</si>
  <si>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</si>
  <si>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</si>
  <si>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</si>
  <si>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</si>
  <si>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</si>
  <si>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</si>
  <si>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</si>
  <si>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</si>
  <si>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</si>
  <si>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</si>
  <si>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</si>
  <si>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</si>
  <si>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</si>
  <si>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</si>
  <si>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</si>
  <si>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</si>
  <si>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</si>
  <si>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</si>
  <si>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</si>
  <si>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</si>
  <si>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</si>
  <si>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</si>
  <si>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</si>
  <si>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</si>
  <si>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</si>
  <si>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</si>
  <si>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</si>
  <si>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</si>
  <si>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</si>
  <si>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</si>
  <si>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</si>
  <si>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</si>
  <si>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</si>
  <si>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</si>
  <si>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</si>
  <si>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</si>
  <si>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</si>
  <si>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</si>
  <si>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</si>
  <si>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</si>
  <si>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</si>
  <si>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</si>
  <si>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</si>
  <si>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</si>
  <si>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</si>
  <si>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</si>
  <si>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</si>
  <si>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</si>
  <si>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</si>
  <si>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</si>
  <si>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</si>
  <si>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</si>
  <si>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</si>
  <si>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</si>
  <si>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</si>
  <si>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</si>
  <si>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</si>
  <si>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</si>
  <si>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</si>
  <si>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</si>
  <si>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</si>
  <si>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</si>
  <si>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</si>
  <si>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</si>
  <si>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</si>
  <si>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</si>
  <si>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</si>
  <si>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</si>
  <si>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</si>
  <si>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</si>
  <si>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</si>
  <si>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</si>
  <si>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</si>
  <si>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</si>
  <si>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</si>
  <si>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</si>
  <si>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</si>
  <si>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</si>
  <si>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</si>
  <si>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</si>
  <si>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</si>
  <si>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</si>
  <si>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</si>
  <si>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</si>
  <si>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</si>
  <si>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</si>
  <si>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</si>
  <si>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</si>
  <si>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</si>
  <si>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</si>
  <si>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</si>
  <si>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</si>
  <si>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</si>
  <si>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</si>
  <si>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</si>
  <si>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</si>
  <si>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</si>
  <si>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</si>
  <si>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</si>
  <si>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</si>
  <si>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</si>
  <si>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</si>
  <si>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</si>
  <si>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</si>
  <si>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</si>
  <si>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</si>
  <si>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</si>
  <si>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</si>
  <si>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</si>
  <si>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</si>
  <si>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</si>
  <si>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</si>
  <si>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</si>
  <si>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</si>
  <si>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</si>
  <si>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</si>
  <si>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</si>
  <si>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</si>
  <si>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</si>
  <si>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</si>
  <si>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</si>
  <si>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</si>
  <si>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</si>
  <si>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</si>
  <si>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</si>
  <si>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</si>
  <si>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</si>
  <si>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</si>
  <si>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</si>
  <si>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</si>
  <si>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</si>
  <si>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</si>
  <si>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</si>
  <si>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</si>
  <si>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</si>
  <si>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</si>
  <si>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</si>
  <si>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</si>
  <si>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</si>
  <si>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</si>
  <si>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</si>
  <si>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</si>
  <si>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</si>
  <si>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</si>
  <si>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</si>
  <si>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</si>
  <si>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</si>
  <si>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</si>
  <si>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</si>
  <si>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</si>
  <si>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</si>
  <si>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</si>
  <si>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</si>
  <si>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</si>
  <si>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</si>
  <si>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</si>
  <si>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</si>
  <si>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</si>
  <si>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</si>
  <si>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</si>
  <si>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</si>
  <si>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</si>
  <si>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</si>
  <si>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</si>
  <si>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</si>
  <si>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</si>
  <si>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</si>
  <si>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</si>
  <si>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</si>
  <si>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</si>
  <si>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</si>
  <si>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</si>
  <si>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</si>
  <si>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</si>
  <si>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</si>
  <si>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</si>
  <si>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</si>
  <si>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</si>
  <si>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</si>
  <si>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</si>
  <si>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</si>
  <si>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</si>
  <si>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</si>
  <si>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</si>
  <si>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</si>
  <si>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</si>
  <si>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</si>
  <si>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</si>
  <si>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</si>
  <si>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</si>
  <si>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</si>
  <si>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</si>
  <si>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</si>
  <si>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</si>
  <si>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</si>
  <si>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</si>
  <si>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</si>
  <si>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</si>
  <si>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</si>
  <si>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</si>
  <si>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</si>
  <si>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</si>
  <si>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</si>
  <si>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</si>
  <si>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</si>
  <si>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</si>
  <si>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</si>
  <si>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</si>
  <si>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</si>
  <si>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</si>
  <si>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</si>
  <si>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</si>
  <si>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</si>
  <si>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</si>
  <si>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</si>
  <si>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</si>
  <si>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</si>
  <si>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</si>
  <si>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</si>
  <si>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</si>
  <si>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</si>
  <si>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</si>
  <si>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</si>
  <si>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</si>
  <si>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</si>
  <si>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</si>
  <si>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</si>
  <si>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</si>
  <si>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</si>
  <si>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</si>
  <si>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</si>
  <si>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</si>
  <si>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</si>
  <si>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</si>
  <si>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</si>
  <si>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</si>
  <si>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</si>
  <si>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</si>
  <si>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</si>
  <si>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</si>
  <si>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</si>
  <si>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</si>
  <si>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</si>
  <si>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</si>
  <si>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</si>
  <si>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</si>
  <si>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</si>
  <si>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</si>
  <si>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</si>
  <si>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</si>
  <si>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</si>
  <si>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</si>
  <si>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</si>
  <si>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</si>
  <si>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</si>
  <si>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</si>
  <si>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</si>
  <si>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</si>
  <si>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</si>
  <si>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</si>
  <si>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</si>
  <si>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</si>
  <si>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</si>
  <si>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</si>
  <si>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</si>
  <si>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</si>
  <si>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</si>
  <si>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</si>
  <si>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</si>
  <si>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</si>
  <si>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</si>
  <si>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</si>
  <si>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</si>
  <si>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</si>
  <si>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</si>
  <si>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</si>
  <si>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</si>
  <si>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</si>
  <si>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</si>
  <si>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</si>
  <si>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</si>
  <si>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</si>
  <si>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</si>
  <si>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</si>
  <si>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</si>
  <si>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</si>
  <si>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</si>
  <si>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</si>
  <si>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</si>
  <si>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</si>
  <si>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</si>
  <si>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</si>
  <si>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</si>
  <si>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</si>
  <si>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</si>
  <si>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</si>
  <si>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</si>
  <si>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</si>
  <si>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</si>
  <si>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</si>
  <si>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</si>
  <si>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</si>
  <si>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</si>
  <si>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</si>
  <si>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</si>
  <si>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</si>
  <si>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</si>
  <si>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</si>
  <si>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</si>
  <si>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</si>
  <si>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</si>
  <si>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</si>
  <si>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</si>
  <si>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</si>
  <si>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</si>
  <si>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</si>
  <si>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</si>
  <si>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</si>
  <si>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</si>
  <si>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</si>
  <si>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</si>
  <si>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</si>
  <si>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</si>
  <si>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</si>
  <si>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</si>
  <si>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</si>
  <si>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</si>
  <si>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</si>
  <si>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</si>
  <si>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</si>
  <si>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</si>
  <si>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</si>
  <si>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</si>
  <si>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</si>
  <si>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</si>
  <si>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</si>
  <si>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</si>
  <si>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</si>
  <si>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</si>
  <si>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</si>
  <si>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</si>
  <si>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</si>
  <si>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</si>
  <si>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</si>
  <si>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</si>
  <si>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</si>
  <si>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</si>
  <si>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</si>
  <si>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</si>
  <si>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</si>
  <si>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</si>
  <si>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</si>
  <si>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</si>
  <si>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</si>
  <si>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</si>
  <si>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</si>
  <si>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</si>
  <si>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</si>
  <si>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</si>
  <si>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</si>
  <si>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</si>
  <si>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</si>
  <si>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</si>
  <si>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</si>
  <si>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</si>
  <si>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</si>
  <si>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</si>
  <si>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</si>
  <si>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</si>
  <si>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</si>
  <si>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</si>
  <si>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</si>
  <si>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</si>
  <si>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</si>
  <si>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</si>
  <si>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</si>
  <si>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</si>
  <si>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</si>
  <si>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</si>
  <si>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</si>
  <si>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</si>
  <si>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</si>
  <si>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</si>
  <si>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</si>
  <si>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</si>
  <si>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</si>
  <si>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</si>
  <si>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</si>
  <si>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</si>
  <si>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</si>
  <si>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</si>
  <si>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</si>
  <si>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</si>
  <si>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</si>
  <si>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</si>
  <si>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</si>
  <si>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</si>
  <si>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</si>
  <si>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</si>
  <si>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</si>
  <si>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</si>
  <si>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</si>
  <si>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</si>
  <si>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</si>
  <si>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</si>
  <si>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</si>
  <si>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</si>
  <si>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</si>
  <si>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</si>
  <si>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</si>
  <si>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</si>
  <si>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</si>
  <si>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</si>
  <si>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</si>
  <si>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</si>
  <si>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</si>
  <si>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</si>
  <si>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</si>
  <si>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</si>
  <si>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</si>
  <si>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</si>
  <si>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</si>
  <si>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</si>
  <si>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</si>
  <si>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</si>
  <si>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</si>
  <si>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</si>
  <si>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</si>
  <si>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</si>
  <si>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</si>
  <si>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</si>
  <si>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</si>
  <si>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</si>
  <si>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</si>
  <si>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</si>
  <si>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</si>
  <si>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</si>
  <si>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</si>
  <si>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</si>
  <si>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</si>
  <si>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</si>
  <si>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</si>
  <si>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</si>
  <si>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</si>
  <si>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</si>
  <si>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</si>
  <si>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</si>
  <si>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</si>
  <si>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</si>
  <si>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</si>
  <si>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</si>
  <si>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</si>
  <si>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</si>
  <si>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</si>
  <si>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</si>
  <si>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</si>
  <si>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</si>
  <si>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</si>
  <si>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</si>
  <si>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</si>
  <si>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</si>
  <si>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</si>
  <si>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</si>
  <si>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</si>
  <si>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</si>
  <si>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</si>
  <si>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</si>
  <si>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</si>
  <si>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</si>
  <si>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</si>
  <si>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</si>
  <si>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</si>
  <si>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</si>
  <si>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</si>
  <si>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</si>
  <si>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</si>
  <si>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</si>
  <si>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</si>
  <si>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</si>
  <si>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</si>
  <si>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</si>
  <si>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</si>
  <si>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</si>
  <si>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</si>
  <si>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</si>
  <si>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</si>
  <si>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</si>
  <si>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</si>
  <si>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</si>
  <si>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</si>
  <si>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</si>
  <si>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</si>
  <si>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</si>
  <si>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</si>
  <si>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</si>
  <si>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</si>
  <si>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</si>
  <si>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</si>
  <si>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</si>
  <si>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</si>
  <si>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</si>
  <si>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</si>
  <si>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</si>
  <si>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</si>
  <si>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</si>
  <si>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</si>
  <si>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</si>
  <si>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</si>
  <si>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</si>
  <si>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</si>
  <si>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</si>
  <si>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</si>
  <si>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</si>
  <si>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</si>
  <si>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</si>
  <si>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</si>
  <si>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</si>
  <si>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</si>
  <si>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</si>
  <si>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</si>
  <si>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</si>
  <si>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</si>
  <si>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</si>
  <si>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</si>
  <si>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</si>
  <si>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</si>
  <si>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</si>
  <si>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</si>
  <si>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</si>
  <si>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</si>
  <si>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</si>
  <si>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</si>
  <si>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</si>
  <si>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</si>
  <si>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</si>
  <si>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</si>
  <si>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</si>
  <si>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</si>
  <si>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</si>
  <si>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</si>
  <si>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</si>
  <si>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</si>
  <si>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</si>
  <si>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</si>
  <si>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</si>
  <si>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</si>
  <si>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</si>
  <si>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</si>
  <si>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</si>
  <si>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</si>
  <si>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</si>
  <si>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</si>
  <si>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</si>
  <si>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</si>
  <si>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</si>
  <si>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</si>
  <si>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</si>
  <si>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</si>
  <si>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</si>
  <si>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</si>
  <si>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</si>
  <si>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</si>
  <si>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</si>
  <si>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</si>
  <si>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</si>
  <si>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</si>
  <si>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</si>
  <si>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</si>
  <si>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</si>
  <si>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</si>
  <si>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</si>
  <si>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</si>
  <si>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</si>
  <si>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</si>
  <si>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</si>
  <si>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</si>
  <si>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</si>
  <si>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</si>
  <si>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</si>
  <si>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</si>
  <si>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</si>
  <si>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</si>
  <si>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</si>
  <si>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</si>
  <si>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</si>
  <si>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</si>
  <si>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</si>
  <si>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</si>
  <si>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</si>
  <si>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</si>
  <si>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</si>
  <si>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</si>
  <si>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</si>
  <si>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</si>
  <si>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</si>
  <si>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</si>
  <si>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</si>
  <si>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</si>
  <si>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</si>
  <si>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</si>
  <si>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</si>
  <si>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</si>
  <si>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</si>
  <si>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</si>
  <si>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</si>
  <si>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</si>
  <si>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</si>
  <si>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</si>
  <si>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</si>
  <si>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</si>
  <si>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</si>
  <si>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</si>
  <si>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</si>
  <si>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</si>
  <si>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</si>
  <si>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</si>
  <si>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</si>
  <si>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</si>
  <si>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</si>
  <si>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</si>
  <si>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</si>
  <si>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</si>
  <si>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</si>
  <si>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</si>
  <si>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</si>
  <si>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</si>
  <si>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</si>
  <si>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</si>
  <si>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</si>
  <si>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</si>
  <si>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</si>
  <si>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</si>
  <si>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</si>
  <si>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</si>
  <si>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</si>
  <si>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</si>
  <si>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</si>
  <si>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</si>
  <si>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</si>
  <si>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</si>
  <si>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</si>
  <si>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</si>
  <si>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</si>
  <si>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</si>
  <si>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</si>
  <si>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</si>
  <si>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</si>
  <si>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</si>
  <si>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</si>
  <si>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</si>
  <si>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</si>
  <si>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</si>
  <si>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</si>
  <si>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</si>
  <si>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</si>
  <si>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</si>
  <si>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</si>
  <si>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</si>
  <si>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</si>
  <si>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</si>
  <si>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</si>
  <si>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</si>
  <si>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</si>
  <si>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</si>
  <si>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</si>
  <si>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</si>
  <si>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</si>
  <si>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</si>
  <si>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</si>
  <si>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</si>
  <si>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</si>
  <si>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</si>
  <si>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</si>
  <si>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</si>
  <si>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</si>
  <si>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</si>
  <si>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</si>
  <si>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</si>
  <si>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</si>
  <si>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</si>
  <si>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</si>
  <si>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</si>
  <si>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</si>
  <si>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</si>
  <si>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</si>
  <si>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</si>
  <si>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</si>
  <si>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</si>
  <si>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</si>
  <si>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</si>
  <si>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</si>
  <si>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</si>
  <si>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</si>
  <si>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</si>
  <si>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</si>
  <si>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</si>
  <si>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</si>
  <si>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</si>
  <si>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</si>
  <si>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</si>
  <si>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</si>
  <si>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</si>
  <si>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</si>
  <si>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</si>
  <si>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</si>
  <si>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</si>
  <si>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</si>
  <si>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</si>
  <si>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</si>
  <si>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</si>
  <si>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</si>
  <si>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</si>
  <si>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</si>
  <si>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</si>
  <si>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</si>
  <si>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</si>
  <si>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</si>
  <si>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</si>
  <si>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</si>
  <si>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</si>
  <si>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</si>
  <si>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</si>
  <si>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</si>
  <si>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</si>
  <si>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</si>
  <si>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</si>
  <si>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</si>
  <si>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</si>
  <si>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</si>
  <si>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</si>
  <si>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</si>
  <si>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</si>
  <si>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</si>
  <si>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</si>
  <si>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</si>
  <si>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</si>
  <si>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</si>
  <si>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</si>
  <si>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</si>
  <si>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</si>
  <si>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</si>
  <si>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</si>
  <si>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</si>
  <si>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</si>
  <si>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</si>
  <si>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</si>
  <si>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</si>
  <si>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</si>
  <si>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</si>
  <si>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</si>
  <si>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</si>
  <si>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</si>
  <si>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</si>
  <si>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</si>
  <si>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</si>
  <si>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</si>
  <si>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</si>
  <si>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</si>
  <si>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</si>
  <si>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</si>
  <si>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</si>
  <si>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</si>
  <si>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</si>
  <si>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</si>
  <si>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</si>
  <si>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</si>
  <si>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</si>
  <si>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</si>
  <si>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</si>
  <si>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</si>
  <si>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</si>
  <si>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</si>
  <si>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</si>
  <si>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</si>
  <si>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</si>
  <si>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</si>
  <si>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</si>
  <si>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</si>
  <si>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</si>
  <si>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</si>
  <si>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</si>
  <si>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</si>
  <si>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</si>
  <si>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</si>
  <si>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</si>
  <si>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</si>
  <si>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</si>
  <si>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</si>
  <si>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</si>
  <si>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</si>
  <si>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</si>
  <si>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</si>
  <si>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</si>
  <si>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</si>
  <si>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</si>
  <si>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</si>
  <si>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</si>
  <si>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</si>
  <si>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</si>
  <si>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</si>
  <si>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</si>
  <si>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</si>
  <si>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</si>
  <si>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</si>
  <si>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</si>
  <si>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</si>
  <si>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</si>
  <si>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</si>
  <si>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</si>
  <si>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</si>
  <si>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</si>
  <si>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</si>
  <si>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</si>
  <si>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</si>
  <si>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</si>
  <si>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</si>
  <si>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</si>
  <si>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</si>
  <si>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</si>
  <si>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</si>
  <si>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</si>
  <si>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</si>
  <si>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</si>
  <si>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</si>
  <si>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</si>
  <si>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</si>
  <si>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</si>
  <si>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</si>
  <si>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</si>
  <si>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</si>
  <si>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</si>
  <si>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</si>
  <si>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</si>
  <si>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</si>
  <si>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</si>
  <si>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</si>
  <si>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</si>
  <si>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</si>
  <si>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</si>
  <si>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</si>
  <si>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</si>
  <si>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</si>
  <si>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</si>
  <si>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</si>
  <si>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</si>
  <si>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</si>
  <si>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</si>
  <si>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</si>
  <si>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</si>
  <si>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</si>
  <si>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</si>
  <si>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</si>
  <si>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</si>
  <si>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</si>
  <si>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</si>
  <si>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</si>
  <si>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</si>
  <si>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</si>
  <si>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</si>
  <si>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</si>
  <si>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</si>
  <si>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</si>
  <si>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</si>
  <si>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</si>
  <si>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</si>
  <si>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</si>
  <si>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</si>
  <si>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</si>
  <si>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</si>
  <si>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</si>
  <si>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</si>
  <si>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</si>
  <si>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</si>
  <si>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</si>
  <si>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</si>
  <si>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</si>
  <si>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</si>
  <si>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</si>
  <si>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</si>
  <si>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</si>
  <si>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</si>
  <si>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</si>
  <si>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</si>
  <si>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</si>
  <si>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</si>
  <si>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</si>
  <si>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</si>
  <si>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</si>
  <si>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</si>
  <si>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</si>
  <si>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</si>
  <si>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</si>
  <si>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</si>
  <si>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</si>
  <si>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</si>
  <si>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</si>
  <si>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</si>
  <si>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</si>
  <si>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</si>
  <si>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</si>
  <si>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</si>
  <si>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</si>
  <si>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</si>
  <si>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</si>
  <si>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</si>
  <si>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</si>
  <si>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</si>
  <si>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</si>
  <si>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</si>
  <si>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</si>
  <si>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</si>
  <si>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</si>
  <si>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</si>
  <si>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</si>
  <si>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</si>
  <si>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</si>
  <si>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</si>
  <si>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</si>
  <si>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</si>
  <si>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</si>
  <si>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</si>
  <si>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</si>
  <si>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</si>
  <si>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</si>
  <si>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</si>
  <si>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</si>
  <si>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</si>
  <si>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</si>
  <si>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</si>
  <si>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</si>
  <si>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</si>
  <si>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</si>
  <si>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</si>
  <si>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</si>
  <si>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</si>
  <si>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</si>
  <si>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</si>
  <si>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</si>
  <si>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</si>
  <si>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</si>
  <si>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</si>
  <si>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</si>
  <si>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</si>
  <si>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</si>
  <si>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</si>
  <si>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</si>
  <si>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</si>
  <si>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</si>
  <si>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</si>
  <si>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</si>
  <si>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</si>
  <si>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</si>
  <si>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</si>
  <si>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</si>
  <si>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</si>
  <si>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</si>
  <si>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</si>
  <si>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</si>
  <si>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</si>
  <si>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</si>
  <si>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</si>
  <si>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</si>
  <si>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</si>
  <si>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</si>
  <si>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</si>
  <si>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</si>
  <si>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</si>
  <si>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</si>
  <si>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</si>
  <si>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</si>
  <si>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</si>
  <si>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</si>
  <si>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</si>
  <si>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</si>
  <si>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</si>
  <si>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</si>
  <si>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</si>
  <si>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</si>
  <si>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</si>
  <si>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</si>
  <si>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</si>
  <si>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</si>
  <si>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</si>
  <si>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</si>
  <si>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</si>
  <si>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</si>
  <si>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</si>
  <si>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</si>
  <si>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</si>
  <si>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</si>
  <si>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</si>
  <si>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</si>
  <si>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</si>
  <si>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</si>
  <si>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</si>
  <si>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</si>
  <si>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</si>
  <si>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</si>
  <si>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</si>
  <si>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</si>
  <si>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</si>
  <si>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</si>
  <si>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</si>
  <si>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</si>
  <si>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</si>
  <si>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</si>
  <si>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</si>
  <si>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</si>
  <si>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</si>
  <si>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</si>
  <si>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</si>
  <si>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</si>
  <si>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</si>
  <si>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</si>
  <si>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</si>
  <si>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</si>
  <si>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</si>
  <si>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</si>
  <si>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</si>
  <si>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</si>
  <si>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</si>
  <si>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</si>
  <si>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</si>
  <si>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</si>
  <si>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</si>
  <si>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</si>
  <si>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</si>
  <si>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</si>
  <si>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</si>
  <si>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</si>
  <si>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</si>
  <si>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</si>
  <si>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</si>
  <si>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</si>
  <si>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</si>
  <si>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</si>
  <si>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</si>
  <si>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</si>
  <si>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</si>
  <si>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</si>
  <si>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</si>
  <si>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</si>
  <si>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</si>
  <si>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</si>
  <si>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</si>
  <si>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</si>
  <si>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</si>
  <si>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</si>
  <si>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</si>
  <si>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</si>
  <si>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</si>
  <si>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</si>
  <si>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</si>
  <si>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</si>
  <si>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</si>
  <si>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</si>
  <si>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</si>
  <si>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</si>
  <si>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</si>
  <si>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</si>
  <si>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</si>
  <si>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</si>
  <si>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</si>
  <si>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</si>
  <si>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</si>
  <si>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</si>
  <si>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</si>
  <si>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</si>
  <si>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</si>
  <si>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</si>
  <si>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</si>
  <si>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</si>
  <si>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</si>
  <si>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</si>
  <si>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</si>
  <si>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</si>
  <si>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</si>
  <si>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</si>
  <si>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</si>
  <si>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</si>
  <si>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</si>
  <si>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</si>
  <si>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</si>
  <si>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</si>
  <si>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</si>
  <si>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</si>
  <si>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</si>
  <si>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</si>
  <si>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</si>
  <si>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</si>
  <si>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</si>
  <si>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</si>
  <si>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</si>
  <si>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</si>
  <si>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</si>
  <si>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</si>
  <si>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</si>
  <si>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</si>
  <si>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</si>
  <si>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</si>
  <si>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</si>
  <si>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</si>
  <si>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</si>
  <si>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</si>
  <si>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</si>
  <si>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</si>
  <si>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</si>
  <si>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</si>
  <si>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</si>
  <si>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</si>
  <si>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</si>
  <si>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</si>
  <si>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</si>
  <si>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</si>
  <si>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</si>
  <si>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</si>
  <si>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</si>
  <si>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</si>
  <si>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</si>
  <si>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</si>
  <si>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</si>
  <si>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</si>
  <si>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</si>
  <si>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</si>
  <si>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</si>
  <si>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</si>
  <si>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</si>
  <si>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</si>
  <si>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</si>
  <si>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State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</si>
</sst>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F7" sqref="F7:I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1000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EDUCATION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91153</v>
      </c>
      <c r="K15" s="42"/>
      <c r="M15" s="105">
        <v>91153</v>
      </c>
      <c r="P15" s="105">
        <v>91153</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85454</v>
      </c>
      <c r="N18" s="105">
        <v>85454</v>
      </c>
      <c r="Q18" s="105">
        <v>85454</v>
      </c>
      <c r="S18" s="43">
        <f>N18-Q18</f>
        <v>0</v>
      </c>
      <c r="T18" s="47" t="s">
        <v>1635</v>
      </c>
    </row>
    <row r="19" spans="1:25" ht="16.5" customHeight="1" x14ac:dyDescent="0.25">
      <c r="A19" s="45"/>
      <c r="B19" s="49"/>
      <c r="C19" s="178" t="s">
        <v>1618</v>
      </c>
      <c r="D19" s="178"/>
      <c r="E19" s="178"/>
      <c r="F19" s="178"/>
      <c r="G19" s="178"/>
      <c r="H19" s="178"/>
      <c r="I19" s="178"/>
      <c r="J19" s="42"/>
      <c r="K19" s="41">
        <f>ROUND(N19,0)</f>
        <v>0</v>
      </c>
      <c r="N19" s="105"/>
      <c r="Q19" s="105"/>
      <c r="S19" s="43">
        <f>N19-Q19</f>
        <v>0</v>
      </c>
      <c r="T19" s="47" t="s">
        <v>1635</v>
      </c>
      <c r="X19" s="18"/>
    </row>
    <row r="20" spans="1:25" ht="16.5" customHeight="1" x14ac:dyDescent="0.25">
      <c r="A20" s="45"/>
      <c r="B20" s="49"/>
      <c r="C20" s="178" t="s">
        <v>1584</v>
      </c>
      <c r="D20" s="178"/>
      <c r="E20" s="178"/>
      <c r="F20" s="178"/>
      <c r="G20" s="178"/>
      <c r="H20" s="178"/>
      <c r="I20" s="178"/>
      <c r="K20" s="41">
        <f>ROUND(Q20,0)</f>
        <v>5699</v>
      </c>
      <c r="N20" s="105">
        <v>5699</v>
      </c>
      <c r="Q20" s="46">
        <f>IF(SUM($Q$18:$Q$19)&lt;$P$15,-SUM($Q$18:$Q$19)+$P$15,0)</f>
        <v>5699</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91153</v>
      </c>
      <c r="K22" s="51">
        <f>ROUND(SUM(K18:K21),0)</f>
        <v>91153</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0810 - EDUCATION EXP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0810 - EDUCATION EXP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5699</v>
      </c>
      <c r="K45" s="78"/>
    </row>
    <row r="46" spans="1:20" ht="16.5" customHeight="1" x14ac:dyDescent="0.2">
      <c r="A46" s="45"/>
      <c r="B46" s="69"/>
      <c r="C46" s="178" t="s">
        <v>1581</v>
      </c>
      <c r="D46" s="178"/>
      <c r="E46" s="178"/>
      <c r="F46" s="178"/>
      <c r="G46" s="178"/>
      <c r="H46" s="178"/>
      <c r="I46" s="178"/>
      <c r="J46" s="68"/>
      <c r="K46" s="105">
        <f>J45</f>
        <v>5699</v>
      </c>
    </row>
    <row r="47" spans="1:20" ht="16.5" customHeight="1" x14ac:dyDescent="0.2">
      <c r="A47" s="65"/>
      <c r="B47" s="50"/>
      <c r="C47" s="50"/>
      <c r="D47" s="50"/>
      <c r="E47" s="50"/>
      <c r="F47" s="50"/>
      <c r="G47" s="50"/>
      <c r="H47" s="50"/>
      <c r="I47" s="50"/>
      <c r="J47" s="79">
        <f>ROUND(SUM(J45:J45),2)</f>
        <v>5699</v>
      </c>
      <c r="K47" s="79">
        <f>ROUND(SUM(K46),2)</f>
        <v>5699</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c r="K51" s="81"/>
    </row>
    <row r="52" spans="1:20" ht="16.5" customHeight="1" x14ac:dyDescent="0.25">
      <c r="A52" s="45"/>
      <c r="B52" s="49"/>
      <c r="C52" s="178" t="str">
        <f>VLOOKUP($F$8,'Drop Down Menus'!$D$2:$G$10,4,FALSE)</f>
        <v>Cr: Acct 0810 - EDUCATION EXP (GAAP ADJ)</v>
      </c>
      <c r="D52" s="178"/>
      <c r="E52" s="178"/>
      <c r="F52" s="178"/>
      <c r="G52" s="178"/>
      <c r="H52" s="178"/>
      <c r="I52" s="178"/>
      <c r="J52" s="81"/>
      <c r="K52" s="107">
        <f>+J50+J51</f>
        <v>0</v>
      </c>
    </row>
    <row r="53" spans="1:20" ht="16.5" customHeight="1" x14ac:dyDescent="0.2">
      <c r="A53" s="65"/>
      <c r="B53" s="50"/>
      <c r="C53" s="50"/>
      <c r="D53" s="50"/>
      <c r="E53" s="50"/>
      <c r="F53" s="50"/>
      <c r="G53" s="50"/>
      <c r="H53" s="50"/>
      <c r="I53" s="50"/>
      <c r="J53" s="79">
        <f>ROUND(SUM(J50:J51),2)</f>
        <v>0</v>
      </c>
      <c r="K53" s="79">
        <f>ROUND(SUM(K52,),2)</f>
        <v>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0</v>
      </c>
      <c r="K56" s="68"/>
    </row>
    <row r="57" spans="1:20" ht="16.5" customHeight="1" x14ac:dyDescent="0.25">
      <c r="A57" s="45"/>
      <c r="B57" s="49"/>
      <c r="C57" s="178" t="s">
        <v>1607</v>
      </c>
      <c r="D57" s="178"/>
      <c r="E57" s="178"/>
      <c r="F57" s="178"/>
      <c r="G57" s="178"/>
      <c r="H57" s="178"/>
      <c r="I57" s="178"/>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91153</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91153</v>
      </c>
    </row>
    <row r="70" spans="1:20" ht="16.5" customHeight="1" x14ac:dyDescent="0.2">
      <c r="B70" s="50"/>
      <c r="H70" s="27"/>
      <c r="J70" s="51">
        <f>SUM(J68)</f>
        <v>91153</v>
      </c>
      <c r="K70" s="51">
        <f>SUM(K69)</f>
        <v>91153</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0810 - EDUCATION EXP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0810 - EDUCATION EXP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4665-5D02-4951-B955-12157EB0A00A}">
  <sheetPr>
    <tabColor rgb="FF92D050"/>
    <pageSetUpPr fitToPage="1"/>
  </sheetPr>
  <dimension ref="A1:XFC115"/>
  <sheetViews>
    <sheetView topLeftCell="A34" zoomScale="70" zoomScaleNormal="70" workbookViewId="0">
      <selection activeCell="L47" sqref="L47:P4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1000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890</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EDUCATION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53115</v>
      </c>
      <c r="K15" s="42"/>
      <c r="M15" s="105">
        <v>53115</v>
      </c>
      <c r="P15" s="105">
        <v>53115</v>
      </c>
      <c r="S15" s="43">
        <f>M15-P15</f>
        <v>0</v>
      </c>
      <c r="T15" s="44" t="s">
        <v>1634</v>
      </c>
    </row>
    <row r="16" spans="1:25" ht="16.5" customHeight="1" x14ac:dyDescent="0.2">
      <c r="A16" s="45"/>
      <c r="B16" s="178" t="s">
        <v>1582</v>
      </c>
      <c r="C16" s="178"/>
      <c r="D16" s="178"/>
      <c r="E16" s="178"/>
      <c r="F16" s="178"/>
      <c r="G16" s="178"/>
      <c r="H16" s="178"/>
      <c r="I16" s="178"/>
      <c r="J16" s="41">
        <f>ROUND(P16,0)</f>
        <v>319</v>
      </c>
      <c r="K16" s="42"/>
      <c r="M16" s="105">
        <v>318</v>
      </c>
      <c r="P16" s="46">
        <f>IF(SUM($Q$18:$Q$19)&gt;$P$15,SUM($Q$18:$Q$19)-$P$15,0)</f>
        <v>319</v>
      </c>
      <c r="S16" s="43">
        <f>M16-P16</f>
        <v>-1</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26558</v>
      </c>
      <c r="N18" s="105">
        <v>26558</v>
      </c>
      <c r="Q18" s="105">
        <v>26558</v>
      </c>
      <c r="S18" s="43">
        <f>N18-Q18</f>
        <v>0</v>
      </c>
      <c r="T18" s="47" t="s">
        <v>1635</v>
      </c>
    </row>
    <row r="19" spans="1:25" ht="16.5" customHeight="1" x14ac:dyDescent="0.25">
      <c r="A19" s="45"/>
      <c r="B19" s="49"/>
      <c r="C19" s="178" t="s">
        <v>1618</v>
      </c>
      <c r="D19" s="178"/>
      <c r="E19" s="178"/>
      <c r="F19" s="178"/>
      <c r="G19" s="178"/>
      <c r="H19" s="178"/>
      <c r="I19" s="178"/>
      <c r="J19" s="42"/>
      <c r="K19" s="41">
        <f>ROUND(N19,0)</f>
        <v>26876</v>
      </c>
      <c r="N19" s="105">
        <v>26876</v>
      </c>
      <c r="Q19" s="105">
        <v>26876</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53434</v>
      </c>
      <c r="K22" s="51">
        <f>ROUND(SUM(K18:K21),0)</f>
        <v>53434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0810 - EDUCATION EXP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0810 - EDUCATION EXP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26557</v>
      </c>
      <c r="K45" s="78"/>
    </row>
    <row r="46" spans="1:20" ht="16.5" customHeight="1" x14ac:dyDescent="0.2">
      <c r="A46" s="45"/>
      <c r="B46" s="69"/>
      <c r="C46" s="178" t="s">
        <v>1581</v>
      </c>
      <c r="D46" s="178"/>
      <c r="E46" s="178"/>
      <c r="F46" s="178"/>
      <c r="G46" s="178"/>
      <c r="H46" s="178"/>
      <c r="I46" s="178"/>
      <c r="J46" s="68"/>
      <c r="K46" s="105">
        <f>J45</f>
        <v>26557</v>
      </c>
    </row>
    <row r="47" spans="1:20" ht="16.5" customHeight="1" x14ac:dyDescent="0.2">
      <c r="A47" s="65"/>
      <c r="B47" s="50"/>
      <c r="C47" s="50"/>
      <c r="D47" s="50"/>
      <c r="E47" s="50"/>
      <c r="F47" s="50"/>
      <c r="G47" s="50"/>
      <c r="H47" s="50"/>
      <c r="I47" s="50"/>
      <c r="J47" s="79">
        <f>ROUND(SUM(J45:J45),2)</f>
        <v>26557</v>
      </c>
      <c r="K47" s="79">
        <f>ROUND(SUM(K46),2)</f>
        <v>26557</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26876</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351</v>
      </c>
      <c r="K51" s="81"/>
    </row>
    <row r="52" spans="1:20" ht="16.5" customHeight="1" x14ac:dyDescent="0.25">
      <c r="A52" s="45"/>
      <c r="B52" s="49"/>
      <c r="C52" s="178" t="str">
        <f>VLOOKUP($F$8,'Drop Down Menus'!$D$2:$G$10,4,FALSE)</f>
        <v>Cr: Acct 0810 - EDUCATION EXP (GAAP ADJ)</v>
      </c>
      <c r="D52" s="178"/>
      <c r="E52" s="178"/>
      <c r="F52" s="178"/>
      <c r="G52" s="178"/>
      <c r="H52" s="178"/>
      <c r="I52" s="178"/>
      <c r="J52" s="81"/>
      <c r="K52" s="107">
        <f>+J50+J51</f>
        <v>27227</v>
      </c>
    </row>
    <row r="53" spans="1:20" ht="16.5" customHeight="1" x14ac:dyDescent="0.2">
      <c r="A53" s="65"/>
      <c r="B53" s="50"/>
      <c r="C53" s="50"/>
      <c r="D53" s="50"/>
      <c r="E53" s="50"/>
      <c r="F53" s="50"/>
      <c r="G53" s="50"/>
      <c r="H53" s="50"/>
      <c r="I53" s="50"/>
      <c r="J53" s="79">
        <f>ROUND(SUM(J50:J51),2)</f>
        <v>27227</v>
      </c>
      <c r="K53" s="79">
        <f>ROUND(SUM(K52,),2)</f>
        <v>27227</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26876</v>
      </c>
      <c r="K56" s="68"/>
    </row>
    <row r="57" spans="1:20" ht="16.5" customHeight="1" x14ac:dyDescent="0.25">
      <c r="A57" s="45"/>
      <c r="B57" s="49"/>
      <c r="C57" s="178" t="s">
        <v>1607</v>
      </c>
      <c r="D57" s="178"/>
      <c r="E57" s="178"/>
      <c r="F57" s="178"/>
      <c r="G57" s="178"/>
      <c r="H57" s="178"/>
      <c r="I57" s="178"/>
      <c r="J57" s="68"/>
      <c r="K57" s="105">
        <v>26876</v>
      </c>
      <c r="L57" s="27" t="str">
        <f>IF($J$50=$K$57,"","&lt;- Accts 0848 must agree")</f>
        <v/>
      </c>
    </row>
    <row r="58" spans="1:20" ht="16.5" customHeight="1" x14ac:dyDescent="0.2">
      <c r="A58" s="65"/>
      <c r="B58" s="50"/>
      <c r="C58" s="50"/>
      <c r="D58" s="50"/>
      <c r="E58" s="50"/>
      <c r="F58" s="50"/>
      <c r="G58" s="50"/>
      <c r="H58" s="50"/>
      <c r="I58" s="50"/>
      <c r="J58" s="79">
        <f>ROUND(SUM(J56:J56),2)</f>
        <v>26876</v>
      </c>
      <c r="K58" s="79">
        <f>ROUND(SUM(K57),2)</f>
        <v>26876</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53115</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53115</v>
      </c>
    </row>
    <row r="70" spans="1:20" ht="16.5" customHeight="1" x14ac:dyDescent="0.2">
      <c r="B70" s="50"/>
      <c r="H70" s="27"/>
      <c r="J70" s="51">
        <f>SUM(J68)</f>
        <v>53115</v>
      </c>
      <c r="K70" s="51">
        <f>SUM(K69)</f>
        <v>53115</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0810 - EDUCATION EXP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0810 - EDUCATION EXP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9F8CFC8-60CC-46D6-A89E-294FEBAFBBFF}">
      <formula1>0</formula1>
    </dataValidation>
    <dataValidation type="whole" operator="greaterThanOrEqual" allowBlank="1" showErrorMessage="1" errorTitle="Whole Numbers Only" error="Enter amounts as whole numbers only." promptTitle="Whole Numbers" prompt="Enter whole numbers only." sqref="J15:J17 K18:K21" xr:uid="{19A54B39-2C0E-4B38-A9A8-B7C4664B64D4}">
      <formula1>0</formula1>
    </dataValidation>
    <dataValidation type="textLength" operator="equal" allowBlank="1" showInputMessage="1" showErrorMessage="1" errorTitle="4-Digit Org Code" error="Enter the Org Code/BU as 4 digits." sqref="F5" xr:uid="{2356E86D-006D-4C1B-872D-00945F8E0FDC}">
      <formula1>4</formula1>
    </dataValidation>
    <dataValidation type="textLength" operator="lessThan" allowBlank="1" showInputMessage="1" showErrorMessage="1" sqref="E11 A6:A8" xr:uid="{EF826183-1652-4A7C-AA74-76D5A1D6727B}">
      <formula1>0</formula1>
    </dataValidation>
    <dataValidation operator="lessThan" allowBlank="1" showInputMessage="1" showErrorMessage="1" sqref="A3:A5 A7:A8 A11" xr:uid="{D4CA74B0-52E2-4EB3-ACFE-D9645C70CC87}"/>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8BCC2DA-86D6-4807-AEA6-7F70CA059C9A}">
          <x14:formula1>
            <xm:f>'Drop Down Menus'!$B$1:$B$3</xm:f>
          </x14:formula1>
          <xm:sqref>F7</xm:sqref>
        </x14:dataValidation>
        <x14:dataValidation type="list" allowBlank="1" showInputMessage="1" showErrorMessage="1" xr:uid="{CED8B450-745F-4917-9B3D-F8FDE6749ED5}">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5" sqref="D3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6120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6120</v>
      </c>
      <c r="C43" s="203"/>
    </row>
    <row r="44" spans="1:11" ht="15.75" x14ac:dyDescent="0.25">
      <c r="A44" s="113" t="s">
        <v>1594</v>
      </c>
      <c r="B44" s="204" t="str">
        <f>B13</f>
        <v>California State Library</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6120</v>
      </c>
      <c r="C74" s="203"/>
    </row>
    <row r="75" spans="1:4" ht="15.75" x14ac:dyDescent="0.25">
      <c r="A75" s="113" t="s">
        <v>1594</v>
      </c>
      <c r="B75" s="204" t="str">
        <f>B13</f>
        <v>California State Library</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0" sqref="F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6120 California State Library</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Entries'!$K$19,0)+26876</f>
        <v>26876</v>
      </c>
      <c r="H10" s="3">
        <f>IF('Fund 0001 Journal Entries'!$F$7="Governmental Fund",SUM('Fund 0001 Journal Entries'!$K$37,'Fund 0001 Journal Entries'!$K$85),0)</f>
        <v>0</v>
      </c>
      <c r="J10" s="3">
        <f>IF('Fund 0001 Journal Entries'!$F$7="Governmental Fund",SUM('Fund 0001 Journal Entries'!$J$56,'Fund 0001 Journal Entries'!$J$76),0)+26876</f>
        <v>26876</v>
      </c>
      <c r="L10" s="134">
        <f>SUM(F10+H10-J10)</f>
        <v>0</v>
      </c>
      <c r="N10" s="3">
        <f>IF('Fund 0001 Journal Entries'!$F$7="Governmental Fund",'Fund 0001 Journal Entries'!$J$61,0)</f>
        <v>0</v>
      </c>
      <c r="P10" s="134">
        <f>L10-N10</f>
        <v>0</v>
      </c>
      <c r="Q10" s="129"/>
    </row>
    <row r="11" spans="2:17" ht="19.5" thickTop="1" thickBot="1" x14ac:dyDescent="0.3">
      <c r="B11" s="128"/>
      <c r="C11" s="208" t="s">
        <v>14</v>
      </c>
      <c r="D11" s="208"/>
      <c r="F11" s="135">
        <f>SUM(F10:F10)</f>
        <v>26876</v>
      </c>
      <c r="H11" s="135">
        <f>SUM(H10:H10)</f>
        <v>0</v>
      </c>
      <c r="J11" s="135">
        <f>SUM(J10:J10)</f>
        <v>26876</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43" sqref="B4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0890 Journal Entries '!K19</f>
        <v>26876</v>
      </c>
      <c r="C17" s="21" t="s">
        <v>1551</v>
      </c>
      <c r="D17" s="10">
        <f>+'Fund 0001 Journal Entries'!K37+'Fund 0890 Journal Entries '!K37</f>
        <v>0</v>
      </c>
      <c r="E17" s="22" t="s">
        <v>1553</v>
      </c>
      <c r="F17" s="10">
        <f>+'Fund 0001 Journal Entries'!J56+'Fund 0890 Journal Entries '!J56</f>
        <v>26876</v>
      </c>
      <c r="G17" s="22" t="s">
        <v>1553</v>
      </c>
      <c r="H17" s="10">
        <f>+'Fund 0001 Journal Entries'!J76+'Fund 0890 Journal Entries '!J76</f>
        <v>0</v>
      </c>
      <c r="I17" s="22" t="s">
        <v>1551</v>
      </c>
      <c r="J17" s="10">
        <f>+'Fund 0001 Journal Entries'!K85+'Fund 0890 Journal Entries '!K85</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Entries'!J61+'Fund 0890 Journal Entries '!J61</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26876</v>
      </c>
      <c r="I64" s="25" t="s">
        <v>1555</v>
      </c>
      <c r="J64" s="14">
        <f>SUM(D64)</f>
        <v>26876</v>
      </c>
      <c r="L64" s="164" t="str">
        <f>CONCATENATE("Balance July 1, ",LEFT('Department Note Disclosure'!$B$11,4))</f>
        <v>Balance July 1, 2023</v>
      </c>
      <c r="N64" s="14">
        <f>ROUND('SBITA Liabilities'!$F$10,0)</f>
        <v>26876</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26876</v>
      </c>
      <c r="E66" s="165" t="s">
        <v>1551</v>
      </c>
      <c r="F66" s="150" t="s">
        <v>1645</v>
      </c>
      <c r="H66" s="14">
        <f>H17</f>
        <v>0</v>
      </c>
      <c r="I66" s="25" t="s">
        <v>1555</v>
      </c>
      <c r="J66" s="14">
        <f>SUM(D66,H66)</f>
        <v>26876</v>
      </c>
      <c r="L66" s="164" t="s">
        <v>10</v>
      </c>
      <c r="N66" s="14">
        <f>ROUND('SBITA Liabilities'!$J$10,0)</f>
        <v>26876</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0890 Journal Entries </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0890 Journal Entries '!Print_Area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2025-02-26T22:06:45Z</dcterms:modified>
</cp:coreProperties>
</file>