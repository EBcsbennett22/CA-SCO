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6A46FA17-83E7-475B-A257-F0B86659DF23}" xr6:coauthVersionLast="47" xr6:coauthVersionMax="47" xr10:uidLastSave="{00000000-0000-0000-0000-000000000000}"/>
  <bookViews>
    <workbookView xWindow="39150" yWindow="-110" windowWidth="38620" windowHeight="21220" activeTab="1" xr2:uid="{00000000-000D-0000-FFFF-FFFF00000000}"/>
  </bookViews>
  <sheets>
    <sheet name="Fund 0001 Journal Entries" sheetId="2" r:id="rId1"/>
    <sheet name="Fund 0917 Journal Entries" sheetId="11"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Entries'!$A$1:$K$99</definedName>
    <definedName name="_xlnm.Print_Area" localSheetId="1">'Fund 0917 Journal Entries'!$A$1:$K$99</definedName>
    <definedName name="_xlnm.Print_Area" localSheetId="3">'SBITA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11" l="1"/>
  <c r="J47" i="11"/>
  <c r="S21" i="11"/>
  <c r="S19" i="11"/>
  <c r="S17" i="11"/>
  <c r="S15" i="11"/>
  <c r="J15" i="2"/>
  <c r="J34" i="9"/>
  <c r="H34" i="9"/>
  <c r="D34" i="9"/>
  <c r="N18" i="4"/>
  <c r="H18" i="4"/>
  <c r="K86" i="11"/>
  <c r="J86" i="11"/>
  <c r="K81" i="11"/>
  <c r="J81" i="11"/>
  <c r="K70" i="11"/>
  <c r="J70" i="11"/>
  <c r="K57" i="11"/>
  <c r="J56" i="11" s="1"/>
  <c r="J58" i="11" s="1"/>
  <c r="J53" i="11"/>
  <c r="K52" i="11"/>
  <c r="K53" i="11" s="1"/>
  <c r="B51" i="11"/>
  <c r="K46" i="11"/>
  <c r="K47" i="11" s="1"/>
  <c r="K39" i="11"/>
  <c r="J39" i="11"/>
  <c r="K31" i="11"/>
  <c r="J31" i="11"/>
  <c r="A26" i="11"/>
  <c r="Q20" i="11"/>
  <c r="S20" i="11" s="1"/>
  <c r="K19" i="11"/>
  <c r="F18" i="4" s="1"/>
  <c r="S18" i="11"/>
  <c r="K18" i="11"/>
  <c r="P16" i="11"/>
  <c r="J16" i="11" s="1"/>
  <c r="J15" i="11"/>
  <c r="B14" i="11"/>
  <c r="A12" i="11"/>
  <c r="F8" i="11"/>
  <c r="C38" i="11" s="1"/>
  <c r="F10" i="4"/>
  <c r="K19" i="2"/>
  <c r="K18" i="2"/>
  <c r="S21" i="2"/>
  <c r="S19" i="2"/>
  <c r="S18" i="2"/>
  <c r="S17" i="2"/>
  <c r="S15" i="2"/>
  <c r="K57" i="2"/>
  <c r="L57" i="2" s="1"/>
  <c r="L70" i="11" l="1"/>
  <c r="J18" i="4"/>
  <c r="L81" i="11"/>
  <c r="F34" i="9"/>
  <c r="L86" i="11"/>
  <c r="K96" i="11"/>
  <c r="K62" i="11"/>
  <c r="L57" i="11"/>
  <c r="L53" i="11"/>
  <c r="L50" i="11"/>
  <c r="K95" i="11"/>
  <c r="L39" i="11"/>
  <c r="L31" i="11"/>
  <c r="B34" i="9"/>
  <c r="S16" i="11"/>
  <c r="K94" i="2"/>
  <c r="L47" i="11"/>
  <c r="C52" i="11"/>
  <c r="K20" i="11"/>
  <c r="J17" i="11" s="1"/>
  <c r="J22" i="11" s="1"/>
  <c r="K58" i="11"/>
  <c r="L58" i="11" s="1"/>
  <c r="C30" i="11"/>
  <c r="B78" i="11"/>
  <c r="K94" i="11"/>
  <c r="C80" i="11"/>
  <c r="L50" i="2"/>
  <c r="K97" i="11" l="1"/>
  <c r="K63" i="11"/>
  <c r="L63" i="11" s="1"/>
  <c r="B56" i="9"/>
  <c r="K21" i="11"/>
  <c r="K22" i="11" s="1"/>
  <c r="L22" i="11" s="1"/>
  <c r="J56" i="2"/>
  <c r="K96" i="2" s="1"/>
  <c r="J14" i="4"/>
  <c r="H14" i="4"/>
  <c r="H10" i="4"/>
  <c r="L84" i="9" l="1"/>
  <c r="L74" i="9"/>
  <c r="L64" i="9"/>
  <c r="H86" i="9"/>
  <c r="H85" i="9"/>
  <c r="J25" i="9"/>
  <c r="H75" i="9" s="1"/>
  <c r="H25" i="9"/>
  <c r="H76" i="9" s="1"/>
  <c r="H17" i="9"/>
  <c r="H66" i="9" s="1"/>
  <c r="J17" i="9"/>
  <c r="H65" i="9" s="1"/>
  <c r="K62" i="2"/>
  <c r="K97" i="2" s="1"/>
  <c r="K52" i="2"/>
  <c r="K46" i="2"/>
  <c r="K95" i="2" s="1"/>
  <c r="J10" i="4" l="1"/>
  <c r="Q20" i="2"/>
  <c r="P16" i="2"/>
  <c r="S16" i="2" l="1"/>
  <c r="J16" i="2"/>
  <c r="S20" i="2"/>
  <c r="K20" i="2"/>
  <c r="D89" i="3"/>
  <c r="D58" i="3"/>
  <c r="K21" i="2" l="1"/>
  <c r="K22" i="2" s="1"/>
  <c r="J17" i="2"/>
  <c r="J22" i="2" s="1"/>
  <c r="D27" i="3"/>
  <c r="B17" i="9" l="1"/>
  <c r="D17" i="9"/>
  <c r="B25" i="9"/>
  <c r="D25" i="9"/>
  <c r="F25" i="9"/>
  <c r="B49" i="9"/>
  <c r="N10" i="4"/>
  <c r="N14" i="4"/>
  <c r="F14" i="4"/>
  <c r="N74" i="9" s="1"/>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<sst xmlns="http://schemas.openxmlformats.org/spreadsheetml/2006/main" count="7710" uniqueCount="1657">
  <si>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</si>
  <si>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</si>
  <si>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</si>
  <si>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</si>
  <si>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</si>
  <si>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</si>
  <si>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</si>
  <si>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</si>
  <si>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</si>
  <si>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</si>
  <si>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</si>
  <si>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</si>
  <si>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</si>
  <si>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</si>
  <si>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</si>
  <si>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</si>
  <si>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</si>
  <si>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</si>
  <si>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</si>
  <si>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</si>
  <si>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</si>
  <si>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</si>
  <si>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</si>
  <si>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</si>
  <si>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</si>
  <si>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</si>
  <si>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</si>
  <si>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</si>
  <si>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</si>
  <si>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</si>
  <si>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</si>
  <si>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</si>
  <si>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</si>
  <si>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</si>
  <si>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</si>
  <si>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</si>
  <si>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</si>
  <si>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</si>
  <si>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</si>
  <si>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</si>
  <si>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</si>
  <si>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</si>
  <si>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</si>
  <si>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</si>
  <si>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</si>
  <si>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</si>
  <si>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</si>
  <si>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</si>
  <si>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</si>
  <si>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</si>
  <si>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</si>
  <si>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</si>
  <si>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</si>
  <si>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</si>
  <si>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</si>
  <si>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</si>
  <si>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</si>
  <si>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</si>
  <si>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</si>
  <si>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</si>
  <si>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</si>
  <si>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</si>
  <si>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</si>
  <si>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</si>
  <si>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</si>
  <si>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</si>
  <si>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</si>
  <si>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</si>
  <si>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</si>
  <si>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</si>
  <si>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</si>
  <si>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</si>
  <si>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</si>
  <si>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</si>
  <si>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</si>
  <si>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</si>
  <si>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</si>
  <si>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</si>
  <si>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</si>
  <si>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</si>
  <si>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</si>
  <si>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</si>
  <si>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</si>
  <si>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</si>
  <si>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</si>
  <si>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</si>
  <si>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</si>
  <si>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</si>
  <si>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</si>
  <si>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</si>
  <si>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</si>
  <si>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</si>
  <si>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</si>
  <si>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</si>
  <si>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</si>
  <si>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</si>
  <si>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</si>
  <si>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</si>
  <si>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</si>
  <si>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</si>
  <si>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</si>
  <si>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</si>
  <si>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</si>
  <si>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</si>
  <si>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</si>
  <si>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</si>
  <si>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</si>
  <si>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</si>
  <si>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</si>
  <si>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</si>
  <si>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</si>
  <si>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</si>
  <si>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</si>
  <si>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</si>
  <si>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</si>
  <si>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</si>
  <si>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</si>
  <si>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</si>
  <si>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</si>
  <si>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</si>
  <si>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</si>
  <si>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</si>
  <si>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</si>
  <si>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</si>
  <si>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</si>
  <si>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</si>
  <si>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</si>
  <si>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</si>
  <si>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</si>
  <si>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</si>
  <si>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</si>
  <si>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</si>
  <si>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</si>
  <si>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</si>
  <si>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</si>
  <si>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</si>
  <si>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</si>
  <si>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</si>
  <si>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</si>
  <si>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</si>
  <si>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</si>
  <si>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</si>
  <si>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</si>
  <si>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</si>
  <si>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</si>
  <si>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</si>
  <si>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</si>
  <si>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</si>
  <si>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</si>
  <si>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</si>
  <si>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</si>
  <si>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</si>
  <si>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</si>
  <si>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</si>
  <si>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</si>
  <si>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</si>
  <si>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</si>
  <si>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</si>
  <si>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</si>
  <si>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</si>
  <si>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</si>
  <si>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</si>
  <si>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</si>
  <si>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</si>
  <si>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</si>
  <si>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</si>
  <si>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</si>
  <si>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</si>
  <si>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</si>
  <si>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</si>
  <si>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</si>
  <si>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</si>
  <si>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</si>
  <si>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</si>
  <si>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</si>
  <si>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</si>
  <si>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</si>
  <si>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</si>
  <si>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</si>
  <si>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</si>
  <si>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</si>
  <si>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</si>
  <si>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</si>
  <si>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</si>
  <si>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</si>
  <si>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</si>
  <si>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</si>
  <si>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</si>
  <si>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</si>
  <si>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</si>
  <si>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</si>
  <si>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</si>
  <si>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</si>
  <si>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</si>
  <si>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</si>
  <si>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</si>
  <si>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</si>
  <si>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</si>
  <si>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</si>
  <si>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</si>
  <si>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</si>
  <si>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</si>
  <si>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</si>
  <si>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</si>
  <si>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</si>
  <si>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</si>
  <si>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</si>
  <si>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</si>
  <si>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</si>
  <si>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</si>
  <si>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</si>
  <si>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</si>
  <si>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</si>
  <si>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</si>
  <si>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</si>
  <si>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</si>
  <si>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</si>
  <si>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</si>
  <si>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</si>
  <si>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</si>
  <si>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</si>
  <si>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</si>
  <si>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</si>
  <si>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</si>
  <si>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</si>
  <si>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</si>
  <si>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</si>
  <si>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</si>
  <si>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</si>
  <si>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</si>
  <si>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</si>
  <si>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</si>
  <si>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</si>
  <si>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</si>
  <si>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</si>
  <si>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</si>
  <si>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</si>
  <si>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</si>
  <si>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</si>
  <si>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</si>
  <si>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</si>
  <si>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</si>
  <si>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</si>
  <si>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</si>
  <si>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</si>
  <si>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</si>
  <si>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</si>
  <si>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</si>
  <si>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</si>
  <si>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</si>
  <si>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</si>
  <si>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</si>
  <si>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</si>
  <si>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</si>
  <si>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</si>
  <si>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</si>
  <si>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</si>
  <si>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</si>
  <si>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</si>
  <si>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</si>
  <si>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</si>
  <si>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</si>
  <si>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</si>
  <si>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</si>
  <si>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</si>
  <si>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</si>
  <si>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</si>
  <si>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</si>
  <si>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</si>
  <si>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</si>
  <si>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</si>
  <si>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</si>
  <si>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</si>
  <si>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</si>
  <si>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</si>
  <si>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</si>
  <si>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</si>
  <si>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</si>
  <si>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</si>
  <si>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</si>
  <si>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</si>
  <si>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</si>
  <si>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</si>
  <si>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</si>
  <si>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</si>
  <si>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</si>
  <si>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</si>
  <si>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</si>
  <si>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</si>
  <si>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</si>
  <si>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</si>
  <si>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</si>
  <si>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</si>
  <si>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</si>
  <si>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</si>
  <si>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</si>
  <si>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</si>
  <si>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</si>
  <si>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</si>
  <si>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</si>
  <si>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</si>
  <si>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</si>
  <si>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</si>
  <si>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</si>
  <si>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</si>
  <si>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</si>
  <si>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</si>
  <si>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</si>
  <si>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</si>
  <si>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</si>
  <si>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</si>
  <si>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</si>
  <si>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</si>
  <si>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</si>
  <si>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</si>
  <si>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</si>
  <si>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</si>
  <si>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</si>
  <si>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</si>
  <si>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</si>
  <si>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</si>
  <si>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</si>
  <si>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</si>
  <si>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</si>
  <si>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</si>
  <si>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</si>
  <si>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</si>
  <si>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</si>
  <si>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</si>
  <si>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</si>
  <si>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</si>
  <si>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</si>
  <si>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</si>
  <si>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</si>
  <si>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</si>
  <si>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</si>
  <si>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</si>
  <si>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</si>
  <si>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</si>
  <si>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</si>
  <si>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</si>
  <si>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</si>
  <si>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</si>
  <si>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</si>
  <si>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</si>
  <si>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</si>
  <si>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</si>
  <si>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</si>
  <si>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</si>
  <si>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</si>
  <si>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</si>
  <si>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</si>
  <si>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</si>
  <si>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</si>
  <si>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</si>
  <si>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</si>
  <si>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</si>
  <si>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</si>
  <si>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</si>
  <si>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</si>
  <si>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</si>
  <si>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</si>
  <si>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</si>
  <si>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</si>
  <si>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</si>
  <si>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</si>
  <si>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</si>
  <si>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</si>
  <si>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</si>
  <si>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</si>
  <si>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</si>
  <si>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</si>
  <si>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</si>
  <si>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</si>
  <si>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</si>
  <si>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</si>
  <si>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</si>
  <si>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</si>
  <si>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</si>
  <si>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</si>
  <si>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</si>
  <si>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</si>
  <si>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</si>
  <si>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</si>
  <si>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</si>
  <si>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</si>
  <si>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</si>
  <si>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</si>
  <si>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</si>
  <si>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</si>
  <si>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</si>
  <si>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</si>
  <si>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</si>
  <si>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</si>
  <si>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</si>
  <si>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</si>
  <si>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</si>
  <si>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</si>
  <si>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</si>
  <si>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</si>
  <si>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</si>
  <si>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</si>
  <si>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</si>
  <si>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</si>
  <si>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</si>
  <si>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</si>
  <si>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</si>
  <si>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</si>
  <si>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</si>
  <si>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</si>
  <si>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</si>
  <si>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</si>
  <si>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</si>
  <si>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</si>
  <si>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</si>
  <si>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</si>
  <si>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</si>
  <si>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</si>
  <si>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</si>
  <si>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</si>
  <si>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</si>
  <si>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</si>
  <si>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</si>
  <si>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</si>
  <si>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</si>
  <si>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</si>
  <si>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</si>
  <si>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</si>
  <si>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</si>
  <si>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</si>
  <si>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</si>
  <si>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</si>
  <si>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</si>
  <si>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</si>
  <si>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</si>
  <si>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</si>
  <si>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</si>
  <si>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</si>
  <si>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</si>
  <si>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</si>
  <si>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</si>
  <si>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</si>
  <si>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</si>
  <si>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</si>
  <si>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</si>
  <si>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</si>
  <si>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</si>
  <si>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</si>
  <si>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</si>
  <si>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</si>
  <si>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</si>
  <si>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</si>
  <si>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</si>
  <si>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</si>
  <si>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</si>
  <si>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</si>
  <si>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</si>
  <si>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</si>
  <si>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</si>
  <si>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</si>
  <si>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</si>
  <si>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</si>
  <si>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</si>
  <si>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</si>
  <si>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</si>
  <si>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</si>
  <si>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</si>
  <si>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</si>
  <si>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</si>
  <si>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</si>
  <si>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</si>
  <si>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</si>
  <si>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</si>
  <si>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</si>
  <si>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</si>
  <si>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</si>
  <si>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</si>
  <si>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</si>
  <si>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</si>
  <si>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</si>
  <si>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</si>
  <si>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</si>
  <si>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</si>
  <si>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</si>
  <si>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</si>
  <si>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</si>
  <si>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</si>
  <si>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</si>
  <si>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</si>
  <si>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</si>
  <si>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</si>
  <si>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</si>
  <si>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</si>
  <si>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</si>
  <si>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</si>
  <si>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</si>
  <si>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</si>
  <si>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</si>
  <si>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</si>
  <si>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</si>
  <si>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</si>
  <si>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</si>
  <si>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</si>
  <si>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</si>
  <si>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</si>
  <si>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</si>
  <si>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</si>
  <si>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</si>
  <si>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</si>
  <si>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</si>
  <si>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</si>
  <si>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</si>
  <si>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</si>
  <si>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</si>
  <si>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</si>
  <si>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</si>
  <si>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</si>
  <si>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</si>
  <si>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</si>
  <si>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</si>
  <si>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</si>
  <si>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</si>
  <si>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</si>
  <si>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</si>
  <si>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</si>
  <si>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</si>
  <si>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</si>
  <si>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</si>
  <si>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</si>
  <si>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</si>
  <si>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</si>
  <si>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</si>
  <si>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</si>
  <si>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</si>
  <si>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</si>
  <si>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</si>
  <si>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</si>
  <si>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</si>
  <si>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</si>
  <si>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</si>
  <si>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</si>
  <si>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</si>
  <si>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</si>
  <si>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</si>
  <si>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</si>
  <si>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</si>
  <si>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</si>
  <si>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</si>
  <si>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</si>
  <si>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</si>
  <si>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</si>
  <si>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</si>
  <si>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</si>
  <si>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</si>
  <si>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</si>
  <si>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</si>
  <si>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</si>
  <si>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</si>
  <si>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</si>
  <si>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</si>
  <si>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</si>
  <si>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</si>
  <si>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</si>
  <si>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</si>
  <si>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</si>
  <si>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</si>
  <si>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</si>
  <si>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</si>
  <si>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</si>
  <si>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</si>
  <si>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</si>
  <si>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</si>
  <si>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</si>
  <si>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</si>
  <si>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</si>
  <si>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</si>
  <si>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</si>
  <si>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</si>
  <si>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</si>
  <si>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</si>
  <si>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</si>
  <si>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</si>
  <si>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</si>
  <si>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</si>
  <si>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</si>
  <si>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</si>
  <si>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</si>
  <si>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</si>
  <si>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</si>
  <si>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</si>
  <si>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</si>
  <si>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</si>
  <si>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</si>
  <si>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</si>
  <si>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</si>
  <si>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</si>
  <si>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</si>
  <si>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</si>
  <si>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</si>
  <si>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</si>
  <si>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</si>
  <si>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</si>
  <si>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</si>
  <si>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</si>
  <si>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</si>
  <si>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</si>
  <si>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</si>
  <si>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</si>
  <si>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</si>
  <si>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</si>
  <si>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</si>
  <si>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</si>
  <si>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</si>
  <si>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</si>
  <si>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</si>
  <si>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</si>
  <si>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</si>
  <si>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</si>
  <si>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</si>
  <si>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</si>
  <si>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</si>
  <si>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</si>
  <si>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</si>
  <si>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</si>
  <si>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</si>
  <si>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</si>
  <si>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</si>
  <si>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</si>
  <si>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</si>
  <si>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</si>
  <si>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</si>
  <si>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</si>
  <si>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</si>
  <si>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</si>
  <si>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</si>
  <si>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</si>
  <si>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</si>
  <si>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</si>
  <si>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</si>
  <si>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</si>
  <si>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</si>
  <si>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</si>
  <si>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</si>
  <si>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</si>
  <si>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</si>
  <si>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</si>
  <si>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</si>
  <si>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</si>
  <si>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</si>
  <si>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</si>
  <si>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</si>
  <si>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</si>
  <si>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</si>
  <si>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</si>
  <si>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</si>
  <si>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</si>
  <si>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</si>
  <si>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</si>
  <si>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</si>
  <si>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</si>
  <si>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</si>
  <si>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</si>
  <si>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</si>
  <si>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</si>
  <si>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</si>
  <si>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</si>
  <si>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</si>
  <si>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</si>
  <si>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</si>
  <si>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</si>
  <si>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</si>
  <si>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</si>
  <si>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</si>
  <si>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</si>
  <si>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</si>
  <si>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</si>
  <si>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</si>
  <si>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</si>
  <si>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</si>
  <si>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</si>
  <si>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</si>
  <si>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</si>
  <si>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</si>
  <si>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</si>
  <si>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</si>
  <si>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</si>
  <si>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</si>
  <si>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</si>
  <si>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</si>
  <si>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</si>
  <si>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</si>
  <si>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</si>
  <si>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</si>
  <si>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</si>
  <si>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</si>
  <si>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</si>
  <si>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</si>
  <si>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</si>
  <si>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</si>
  <si>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</si>
  <si>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</si>
  <si>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</si>
  <si>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</si>
  <si>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</si>
  <si>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</si>
  <si>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</si>
  <si>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</si>
  <si>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</si>
  <si>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</si>
  <si>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</si>
  <si>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</si>
  <si>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</si>
  <si>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</si>
  <si>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</si>
  <si>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</si>
  <si>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</si>
  <si>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</si>
  <si>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</si>
  <si>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</si>
  <si>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</si>
  <si>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</si>
  <si>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</si>
  <si>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</si>
  <si>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</si>
  <si>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</si>
  <si>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</si>
  <si>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</si>
  <si>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</si>
  <si>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</si>
  <si>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</si>
  <si>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</si>
  <si>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</si>
  <si>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</si>
  <si>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</si>
  <si>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</si>
  <si>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</si>
  <si>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</si>
  <si>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</si>
  <si>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</si>
  <si>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</si>
  <si>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</si>
  <si>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</si>
  <si>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</si>
  <si>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</si>
  <si>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</si>
  <si>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</si>
  <si>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</si>
  <si>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</si>
  <si>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</si>
  <si>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</si>
  <si>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</si>
  <si>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</si>
  <si>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</si>
  <si>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</si>
  <si>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</si>
  <si>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</si>
  <si>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</si>
  <si>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</si>
  <si>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</si>
  <si>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</si>
  <si>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</si>
  <si>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</si>
  <si>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</si>
  <si>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</si>
  <si>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</si>
  <si>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</si>
  <si>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</si>
  <si>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</si>
  <si>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</si>
  <si>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</si>
  <si>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</si>
  <si>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</si>
  <si>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</si>
  <si>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</si>
  <si>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</si>
  <si>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</si>
  <si>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</si>
  <si>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</si>
  <si>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</si>
  <si>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</si>
  <si>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</si>
  <si>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</si>
  <si>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</si>
  <si>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</si>
  <si>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</si>
  <si>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</si>
  <si>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</si>
  <si>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</si>
  <si>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</si>
  <si>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</si>
  <si>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</si>
  <si>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</si>
  <si>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</si>
  <si>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</si>
  <si>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</si>
  <si>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</si>
  <si>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</si>
  <si>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</si>
  <si>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</si>
  <si>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</si>
  <si>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</si>
  <si>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</si>
  <si>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</si>
  <si>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</si>
  <si>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</si>
  <si>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</si>
  <si>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</si>
  <si>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</si>
  <si>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</si>
  <si>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</si>
  <si>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</si>
  <si>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</si>
  <si>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</si>
  <si>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</si>
  <si>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</si>
  <si>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</si>
  <si>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</si>
  <si>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</si>
  <si>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</si>
  <si>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</si>
  <si>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</si>
  <si>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</si>
  <si>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</si>
  <si>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</si>
  <si>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</si>
  <si>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</si>
  <si>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</si>
  <si>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</si>
  <si>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</si>
  <si>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</si>
  <si>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</si>
  <si>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</si>
  <si>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</si>
  <si>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</si>
  <si>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</si>
  <si>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</si>
  <si>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</si>
  <si>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</si>
  <si>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</si>
  <si>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</si>
  <si>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</si>
  <si>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</si>
  <si>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</si>
  <si>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</si>
  <si>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</si>
  <si>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</si>
  <si>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</si>
  <si>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</si>
  <si>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</si>
  <si>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</si>
  <si>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</si>
  <si>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</si>
  <si>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</si>
  <si>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</si>
  <si>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</si>
  <si>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</si>
  <si>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</si>
  <si>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</si>
  <si>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</si>
  <si>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</si>
  <si>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</si>
  <si>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</si>
  <si>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</si>
  <si>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</si>
  <si>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</si>
  <si>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</si>
  <si>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</si>
  <si>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</si>
  <si>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</si>
  <si>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</si>
  <si>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</si>
  <si>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</si>
  <si>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</si>
  <si>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</si>
  <si>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</si>
  <si>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</si>
  <si>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</si>
  <si>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</si>
  <si>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</si>
  <si>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</si>
  <si>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</si>
  <si>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</si>
  <si>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</si>
  <si>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</si>
  <si>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</si>
  <si>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</si>
  <si>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</si>
  <si>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</si>
  <si>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</si>
  <si>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</si>
  <si>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</si>
  <si>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</si>
  <si>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</si>
  <si>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</si>
  <si>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</si>
  <si>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</si>
  <si>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</si>
  <si>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</si>
  <si>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</si>
  <si>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</si>
  <si>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</si>
  <si>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</si>
  <si>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</si>
  <si>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</si>
  <si>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</si>
  <si>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</si>
  <si>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</si>
  <si>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</si>
  <si>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</si>
  <si>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</si>
  <si>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</si>
  <si>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</si>
  <si>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</si>
  <si>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</si>
  <si>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</si>
  <si>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</si>
  <si>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</si>
  <si>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</si>
  <si>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</si>
  <si>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</si>
  <si>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</si>
  <si>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</si>
  <si>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</si>
  <si>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</si>
  <si>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</si>
  <si>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</si>
  <si>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</si>
  <si>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</si>
  <si>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</si>
  <si>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</si>
  <si>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</si>
  <si>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</si>
  <si>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</si>
  <si>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</si>
  <si>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</si>
  <si>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</si>
  <si>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</si>
  <si>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</si>
  <si>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</si>
  <si>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</si>
  <si>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</si>
  <si>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</si>
  <si>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</si>
  <si>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</si>
  <si>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</si>
  <si>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</si>
  <si>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</si>
  <si>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</si>
  <si>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</si>
  <si>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</si>
  <si>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</si>
  <si>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</si>
  <si>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</si>
  <si>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</si>
  <si>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</si>
  <si>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</si>
  <si>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</si>
  <si>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</si>
  <si>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</si>
  <si>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</si>
  <si>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</si>
  <si>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</si>
  <si>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</si>
  <si>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</si>
  <si>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</si>
  <si>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</si>
  <si>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</si>
  <si>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</si>
  <si>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</si>
  <si>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</si>
  <si>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</si>
  <si>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</si>
  <si>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</si>
  <si>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</si>
  <si>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</si>
  <si>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</si>
  <si>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</si>
  <si>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</si>
  <si>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</si>
  <si>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</si>
  <si>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</si>
  <si>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</si>
  <si>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</si>
  <si>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</si>
  <si>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</si>
  <si>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</si>
  <si>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</si>
  <si>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</si>
  <si>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</si>
  <si>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</si>
  <si>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</si>
  <si>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</si>
  <si>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</si>
  <si>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</si>
  <si>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</si>
  <si>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</si>
  <si>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</si>
  <si>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</si>
  <si>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</si>
  <si>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</si>
  <si>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</si>
  <si>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</si>
  <si>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</si>
  <si>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</si>
  <si>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</si>
  <si>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</si>
  <si>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</si>
  <si>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</si>
  <si>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</si>
  <si>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</si>
  <si>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</si>
  <si>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</si>
  <si>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</si>
  <si>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</si>
  <si>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</si>
  <si>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</si>
  <si>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</si>
  <si>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</si>
  <si>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</si>
  <si>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</si>
  <si>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</si>
  <si>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</si>
  <si>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</si>
  <si>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</si>
  <si>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</si>
  <si>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</si>
  <si>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</si>
  <si>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</si>
  <si>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</si>
  <si>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</si>
  <si>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</si>
  <si>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</si>
  <si>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</si>
  <si>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</si>
  <si>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</si>
  <si>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</si>
  <si>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</si>
  <si>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</si>
  <si>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</si>
  <si>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</si>
  <si>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</si>
  <si>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</si>
  <si>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</si>
  <si>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</si>
  <si>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</si>
  <si>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</si>
  <si>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</si>
  <si>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</si>
  <si>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</si>
  <si>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</si>
  <si>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</si>
  <si>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</si>
  <si>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</si>
  <si>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</si>
  <si>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</si>
  <si>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</si>
  <si>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</si>
  <si>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</si>
  <si>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</si>
  <si>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</si>
  <si>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</si>
  <si>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</si>
  <si>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</si>
  <si>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</si>
  <si>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</si>
  <si>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</si>
  <si>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</si>
  <si>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</si>
  <si>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</si>
  <si>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</si>
  <si>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</si>
  <si>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</si>
  <si>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</si>
  <si>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</si>
  <si>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</si>
  <si>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</si>
  <si>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</si>
  <si>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</si>
  <si>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</si>
  <si>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</si>
  <si>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</si>
  <si>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</si>
  <si>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</si>
  <si>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</si>
  <si>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</si>
  <si>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</si>
  <si>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</si>
  <si>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</si>
  <si>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</si>
  <si>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</si>
  <si>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</si>
  <si>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</si>
  <si>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</si>
  <si>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</si>
  <si>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</si>
  <si>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</si>
  <si>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</si>
  <si>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</si>
  <si>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</si>
  <si>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</si>
  <si>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</si>
  <si>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</si>
  <si>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</si>
  <si>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</si>
  <si>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</si>
  <si>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</si>
  <si>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</si>
  <si>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</si>
  <si>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</si>
  <si>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</si>
  <si>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</si>
  <si>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</si>
  <si>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</si>
  <si>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</si>
  <si>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</si>
  <si>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</si>
  <si>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</si>
  <si>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</si>
  <si>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</si>
  <si>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</si>
  <si>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</si>
  <si>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</si>
  <si>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</si>
  <si>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</si>
  <si>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</si>
  <si>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</si>
  <si>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</si>
  <si>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</si>
  <si>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</si>
  <si>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</si>
  <si>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</si>
  <si>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</si>
  <si>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</si>
  <si>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</si>
  <si>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</si>
  <si>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</si>
  <si>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</si>
  <si>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</si>
  <si>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</si>
  <si>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</si>
  <si>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</si>
  <si>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</si>
  <si>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</si>
  <si>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</si>
  <si>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</si>
  <si>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</si>
  <si>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</si>
  <si>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</si>
  <si>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</si>
  <si>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</si>
  <si>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</si>
  <si>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</si>
  <si>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</si>
  <si>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</si>
  <si>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</si>
  <si>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</si>
  <si>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</si>
  <si>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</si>
  <si>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</si>
  <si>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</si>
  <si>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</si>
  <si>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</si>
  <si>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</si>
  <si>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</si>
  <si>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</si>
  <si>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</si>
  <si>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</si>
  <si>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</si>
  <si>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</si>
  <si>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</si>
  <si>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</si>
  <si>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</si>
  <si>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</si>
  <si>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</si>
  <si>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</si>
  <si>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</si>
  <si>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</si>
  <si>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</si>
  <si>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</si>
  <si>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</si>
  <si>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</si>
  <si>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</si>
  <si>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</si>
  <si>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</si>
  <si>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</si>
  <si>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</si>
  <si>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</si>
  <si>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</si>
  <si>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</si>
  <si>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</si>
  <si>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</si>
  <si>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</si>
  <si>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</si>
  <si>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</si>
  <si>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</si>
  <si>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</si>
  <si>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</si>
  <si>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</si>
  <si>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</si>
  <si>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</si>
  <si>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</si>
  <si>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</si>
  <si>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</si>
  <si>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</si>
  <si>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</si>
  <si>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</si>
  <si>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</si>
  <si>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</si>
  <si>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</si>
  <si>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</si>
  <si>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</si>
  <si>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</si>
  <si>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</si>
  <si>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</si>
  <si>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</si>
  <si>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</si>
  <si>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</si>
  <si>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</si>
  <si>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</si>
  <si>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</si>
  <si>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</si>
  <si>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</si>
  <si>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</si>
  <si>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</si>
  <si>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</si>
  <si>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</si>
  <si>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</si>
  <si>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</si>
  <si>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</si>
  <si>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</si>
  <si>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</si>
  <si>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</si>
  <si>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</si>
  <si>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</si>
  <si>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</si>
  <si>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</si>
  <si>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</si>
  <si>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</si>
  <si>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</si>
  <si>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</si>
  <si>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</si>
  <si>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</si>
  <si>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</si>
  <si>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</si>
  <si>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</si>
  <si>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</si>
  <si>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</si>
  <si>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</si>
  <si>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</si>
  <si>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</si>
  <si>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</si>
  <si>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</si>
  <si>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</si>
  <si>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</si>
  <si>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</si>
  <si>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</si>
  <si>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</si>
  <si>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</si>
  <si>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</si>
  <si>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</si>
  <si>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</si>
  <si>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</si>
  <si>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</si>
  <si>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</si>
  <si>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</si>
  <si>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</si>
  <si>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</si>
  <si>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</si>
  <si>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</si>
  <si>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</si>
  <si>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</si>
  <si>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</si>
  <si>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</si>
  <si>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</si>
  <si>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</si>
  <si>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</si>
  <si>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</si>
  <si>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</si>
  <si>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</si>
  <si>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</si>
  <si>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</si>
  <si>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</si>
  <si>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</si>
  <si>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</si>
  <si>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</si>
  <si>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</si>
  <si>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</si>
  <si>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</si>
  <si>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</si>
  <si>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</si>
  <si>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</si>
  <si>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</si>
  <si>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</si>
  <si>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</si>
  <si>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</si>
  <si>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</si>
  <si>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</si>
  <si>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</si>
  <si>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</si>
  <si>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</si>
  <si>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</si>
  <si>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</si>
  <si>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</si>
  <si>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</si>
  <si>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</si>
  <si>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</si>
  <si>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</si>
  <si>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</si>
  <si>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</si>
  <si>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</si>
  <si>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</si>
  <si>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</si>
  <si>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</si>
  <si>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</si>
  <si>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</si>
  <si>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</si>
  <si>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</si>
  <si>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</si>
  <si>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</si>
  <si>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</si>
  <si>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</si>
  <si>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</si>
  <si>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</si>
  <si>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</si>
  <si>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</si>
  <si>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</si>
  <si>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</si>
  <si>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</si>
  <si>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</si>
  <si>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</si>
  <si>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</si>
  <si>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</si>
  <si>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</si>
  <si>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</si>
  <si>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</si>
  <si>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</si>
  <si>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</si>
  <si>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</si>
  <si>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</si>
  <si>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</si>
  <si>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</si>
  <si>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</si>
  <si>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</si>
  <si>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</si>
  <si>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</si>
  <si>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</si>
  <si>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</si>
  <si>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</si>
  <si>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</si>
  <si>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</si>
  <si>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</si>
  <si>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</si>
  <si>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</si>
  <si>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</si>
  <si>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</si>
  <si>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</si>
  <si>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</si>
  <si>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</si>
  <si>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</si>
  <si>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</si>
  <si>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</si>
  <si>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</si>
  <si>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</si>
  <si>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</si>
  <si>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</si>
  <si>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</si>
  <si>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</si>
  <si>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</si>
  <si>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</si>
  <si>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</si>
  <si>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</si>
  <si>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</si>
  <si>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</si>
  <si>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</si>
  <si>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</si>
  <si>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</si>
  <si>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</si>
  <si>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</si>
  <si>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</si>
  <si>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</si>
  <si>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</si>
  <si>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</si>
  <si>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</si>
  <si>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</si>
  <si>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</si>
  <si>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</si>
  <si>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</si>
  <si>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</si>
  <si>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</si>
  <si>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</si>
  <si>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</si>
  <si>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</si>
  <si>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</si>
  <si>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</si>
  <si>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</si>
  <si>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</si>
  <si>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</si>
  <si>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</si>
  <si>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</si>
  <si>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</si>
  <si>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</si>
  <si>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</si>
  <si>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</si>
  <si>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</si>
  <si>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</si>
  <si>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</si>
  <si>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</si>
  <si>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</si>
  <si>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</si>
  <si>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</si>
  <si>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</si>
  <si>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</si>
  <si>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</si>
  <si>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</si>
  <si>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</si>
  <si>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</si>
  <si>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</si>
  <si>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</si>
  <si>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</si>
  <si>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</si>
  <si>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</si>
  <si>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</si>
  <si>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</si>
  <si>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</si>
  <si>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</si>
  <si>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</si>
  <si>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</si>
  <si>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</si>
  <si>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</si>
  <si>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</si>
  <si>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</si>
  <si>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</si>
  <si>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</si>
  <si>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</si>
  <si>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</si>
  <si>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</si>
  <si>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</si>
  <si>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</si>
  <si>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</si>
  <si>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</si>
  <si>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</si>
  <si>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</si>
  <si>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</si>
  <si>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</si>
  <si>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</si>
  <si>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</si>
  <si>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</si>
  <si>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</si>
  <si>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</si>
  <si>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</si>
  <si>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</si>
  <si>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</si>
  <si>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</si>
  <si>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</si>
  <si>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</si>
  <si>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</si>
  <si>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</si>
  <si>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</si>
  <si>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</si>
  <si>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</si>
  <si>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</si>
  <si>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</si>
  <si>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</si>
  <si>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</si>
  <si>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</si>
  <si>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</si>
  <si>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</si>
  <si>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</si>
  <si>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</si>
  <si>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</si>
  <si>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</si>
  <si>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</si>
  <si>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</si>
  <si>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</si>
  <si>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</si>
  <si>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</si>
  <si>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</si>
  <si>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</si>
  <si>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</si>
  <si>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</si>
  <si>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</si>
  <si>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</si>
  <si>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</si>
  <si>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</si>
  <si>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</si>
  <si>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</si>
  <si>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</si>
  <si>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</si>
  <si>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</si>
  <si>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</si>
  <si>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</si>
  <si>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</si>
  <si>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</si>
  <si>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</si>
  <si>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</si>
  <si>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</si>
  <si>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</si>
  <si>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</si>
  <si>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</si>
  <si>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</si>
  <si>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</si>
  <si>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</si>
  <si>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</si>
  <si>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</si>
  <si>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</si>
  <si>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</si>
  <si>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</si>
  <si>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</si>
  <si>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</si>
  <si>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</si>
  <si>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</si>
  <si>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</si>
  <si>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</si>
  <si>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</si>
  <si>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</si>
  <si>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</si>
  <si>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</si>
  <si>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</si>
  <si>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</si>
  <si>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</si>
  <si>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</si>
  <si>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</si>
  <si>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</si>
  <si>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</si>
  <si>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</si>
  <si>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</si>
  <si>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</si>
  <si>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</si>
  <si>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</si>
  <si>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</si>
  <si>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</si>
  <si>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</si>
  <si>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</si>
  <si>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</si>
  <si>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</si>
  <si>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</si>
  <si>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</si>
  <si>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</si>
  <si>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</si>
  <si>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</si>
  <si>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</si>
  <si>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</si>
  <si>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</si>
  <si>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</si>
  <si>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</si>
  <si>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</si>
  <si>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</si>
  <si>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</si>
  <si>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</si>
  <si>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</si>
  <si>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</si>
  <si>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</si>
  <si>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</si>
  <si>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</si>
  <si>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</si>
  <si>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</si>
  <si>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</si>
  <si>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</si>
  <si>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</si>
  <si>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</si>
  <si>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</si>
  <si>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</si>
  <si>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</si>
  <si>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</si>
  <si>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</si>
  <si>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</si>
  <si>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</si>
  <si>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</si>
  <si>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</si>
  <si>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</si>
  <si>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</si>
  <si>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</si>
  <si>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</si>
  <si>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</si>
  <si>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</si>
  <si>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</si>
  <si>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</si>
  <si>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</si>
  <si>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</si>
  <si>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</si>
  <si>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</si>
  <si>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</si>
  <si>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</si>
  <si>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</si>
  <si>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</si>
  <si>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</si>
  <si>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</si>
  <si>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</si>
  <si>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</si>
  <si>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</si>
  <si>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</si>
  <si>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</si>
  <si>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</si>
  <si>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</si>
  <si>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</si>
  <si>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</si>
  <si>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</si>
  <si>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</si>
  <si>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</si>
  <si>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</si>
  <si>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</si>
  <si>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</si>
  <si>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</si>
  <si>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</si>
  <si>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</si>
  <si>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</si>
  <si>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</si>
  <si>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</si>
  <si>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</si>
  <si>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</si>
  <si>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</si>
  <si>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</si>
  <si>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</si>
  <si>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</si>
  <si>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</si>
  <si>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</si>
  <si>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</si>
  <si>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</si>
  <si>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</si>
  <si>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</si>
  <si>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</si>
  <si>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</si>
  <si>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</si>
  <si>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</si>
  <si>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</si>
  <si>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</si>
  <si>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</si>
  <si>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</si>
  <si>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</si>
  <si>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</si>
  <si>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</si>
  <si>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</si>
  <si>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</si>
  <si>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</si>
  <si>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</si>
  <si>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</si>
  <si>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</si>
  <si>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</si>
  <si>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</si>
  <si>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</si>
  <si>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</si>
  <si>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</si>
  <si>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</si>
  <si>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</si>
  <si>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</si>
  <si>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</si>
  <si>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</si>
  <si>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</si>
  <si>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</si>
  <si>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</si>
  <si>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</si>
  <si>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</si>
  <si>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</si>
  <si>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</si>
  <si>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</si>
  <si>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Corrections and Rehabilitation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</si>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</sst>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opLeftCell="A40" zoomScale="70" zoomScaleNormal="70" workbookViewId="0">
      <selection activeCell="I97" sqref="I9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820</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CORRECTIONS AND REHABILITATION</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48259317</v>
      </c>
      <c r="K15" s="42"/>
      <c r="M15" s="105">
        <v>48259317.375058025</v>
      </c>
      <c r="P15" s="105">
        <v>49905590</v>
      </c>
      <c r="S15" s="43">
        <f>M15-P15</f>
        <v>-1646272.6249419749</v>
      </c>
      <c r="T15" s="44" t="s">
        <v>1634</v>
      </c>
    </row>
    <row r="16" spans="1:25" ht="16.5" customHeight="1" x14ac:dyDescent="0.2">
      <c r="A16" s="45"/>
      <c r="B16" s="178" t="s">
        <v>1582</v>
      </c>
      <c r="C16" s="178"/>
      <c r="D16" s="178"/>
      <c r="E16" s="178"/>
      <c r="F16" s="178"/>
      <c r="G16" s="178"/>
      <c r="H16" s="178"/>
      <c r="I16" s="178"/>
      <c r="J16" s="41">
        <f>ROUND(P16,0)</f>
        <v>0</v>
      </c>
      <c r="K16" s="42"/>
      <c r="M16" s="105">
        <v>1617309.083557986</v>
      </c>
      <c r="P16" s="46">
        <f>IF(SUM($Q$18:$Q$19)&gt;$P$15,SUM($Q$18:$Q$19)-$P$15,0)</f>
        <v>0</v>
      </c>
      <c r="S16" s="43">
        <f>M16-P16</f>
        <v>1617309.083557986</v>
      </c>
      <c r="T16" s="47" t="s">
        <v>1635</v>
      </c>
    </row>
    <row r="17" spans="1:25" ht="16.5" customHeight="1" x14ac:dyDescent="0.2">
      <c r="A17" s="45"/>
      <c r="B17" s="178" t="s">
        <v>1583</v>
      </c>
      <c r="C17" s="178"/>
      <c r="D17" s="178"/>
      <c r="E17" s="178"/>
      <c r="F17" s="178"/>
      <c r="G17" s="178"/>
      <c r="H17" s="178"/>
      <c r="I17" s="178"/>
      <c r="J17" s="41">
        <f>ROUND(IF(SUM($K$18:$K$20)&gt;SUM($J$15:$J$16),SUM($K$18:$K$20)-SUM($J$15:$J$16),0),0)</f>
        <v>363988</v>
      </c>
      <c r="K17" s="42"/>
      <c r="M17" s="105">
        <v>132404.16552806229</v>
      </c>
      <c r="P17" s="48"/>
      <c r="S17" s="43">
        <f>M17-P17</f>
        <v>132404.16552806229</v>
      </c>
      <c r="T17" s="47" t="s">
        <v>1635</v>
      </c>
    </row>
    <row r="18" spans="1:25" ht="16.5" customHeight="1" x14ac:dyDescent="0.2">
      <c r="A18" s="45"/>
      <c r="B18" s="20"/>
      <c r="C18" s="178" t="s">
        <v>1581</v>
      </c>
      <c r="D18" s="178"/>
      <c r="E18" s="178"/>
      <c r="F18" s="178"/>
      <c r="G18" s="178"/>
      <c r="H18" s="178"/>
      <c r="I18" s="178"/>
      <c r="J18" s="42"/>
      <c r="K18" s="41">
        <f>ROUND(N18,0)</f>
        <v>19993301</v>
      </c>
      <c r="N18" s="105">
        <v>19993301.147428624</v>
      </c>
      <c r="Q18" s="105">
        <v>19616824</v>
      </c>
      <c r="S18" s="43">
        <f>N18-Q18</f>
        <v>376477.14742862433</v>
      </c>
      <c r="T18" s="47" t="s">
        <v>1635</v>
      </c>
    </row>
    <row r="19" spans="1:25" ht="16.5" customHeight="1" x14ac:dyDescent="0.25">
      <c r="A19" s="45"/>
      <c r="B19" s="49"/>
      <c r="C19" s="178" t="s">
        <v>1618</v>
      </c>
      <c r="D19" s="178"/>
      <c r="E19" s="178"/>
      <c r="F19" s="178"/>
      <c r="G19" s="178"/>
      <c r="H19" s="178"/>
      <c r="I19" s="178"/>
      <c r="J19" s="42"/>
      <c r="K19" s="41">
        <f>ROUND(N19,0)</f>
        <v>26339155</v>
      </c>
      <c r="N19" s="105">
        <v>26339154.919999994</v>
      </c>
      <c r="Q19" s="105">
        <v>27997917</v>
      </c>
      <c r="S19" s="43">
        <f>N19-Q19</f>
        <v>-1658762.0800000057</v>
      </c>
      <c r="T19" s="47" t="s">
        <v>1635</v>
      </c>
      <c r="X19" s="18"/>
    </row>
    <row r="20" spans="1:25" ht="16.5" customHeight="1" x14ac:dyDescent="0.25">
      <c r="A20" s="45"/>
      <c r="B20" s="49"/>
      <c r="C20" s="178" t="s">
        <v>1584</v>
      </c>
      <c r="D20" s="178"/>
      <c r="E20" s="178"/>
      <c r="F20" s="178"/>
      <c r="G20" s="178"/>
      <c r="H20" s="178"/>
      <c r="I20" s="178"/>
      <c r="K20" s="41">
        <f>ROUND(Q20,0)</f>
        <v>2290849</v>
      </c>
      <c r="N20" s="105">
        <v>3210591.7314930568</v>
      </c>
      <c r="Q20" s="46">
        <f>IF(SUM($Q$18:$Q$19)&lt;$P$15,-SUM($Q$18:$Q$19)+$P$15,0)</f>
        <v>2290849</v>
      </c>
      <c r="S20" s="43">
        <f>N20-Q20</f>
        <v>919742.73149305675</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v>465982.8264291985</v>
      </c>
      <c r="S21" s="43">
        <f>N21-Q21</f>
        <v>465982.8264291985</v>
      </c>
      <c r="T21" s="47" t="s">
        <v>1635</v>
      </c>
      <c r="Y21" s="19"/>
    </row>
    <row r="22" spans="1:25" ht="16.5" customHeight="1" x14ac:dyDescent="0.2">
      <c r="A22" s="45"/>
      <c r="B22" s="50"/>
      <c r="C22" s="50"/>
      <c r="D22" s="50"/>
      <c r="E22" s="50"/>
      <c r="F22" s="50"/>
      <c r="G22" s="50"/>
      <c r="H22" s="50"/>
      <c r="I22" s="50"/>
      <c r="J22" s="51">
        <f>ROUND(SUM(J15:J17),0)</f>
        <v>48623305</v>
      </c>
      <c r="K22" s="51">
        <f>ROUND(SUM(K18:K21),0)</f>
        <v>48623305</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8247748.7410613131</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8247748.7410613131</v>
      </c>
      <c r="L29" s="37"/>
      <c r="M29" s="37"/>
      <c r="N29" s="37"/>
      <c r="O29" s="37"/>
      <c r="P29" s="37"/>
      <c r="Q29" s="37"/>
      <c r="R29" s="37"/>
      <c r="S29" s="37"/>
      <c r="T29" s="37"/>
    </row>
    <row r="30" spans="1:25" ht="16.5" customHeight="1" x14ac:dyDescent="0.25">
      <c r="A30" s="45"/>
      <c r="B30" s="49"/>
      <c r="C30" s="178" t="str">
        <f>VLOOKUP($F$8,'Drop Down Menus'!$D$2:$G$10,4,FALSE)</f>
        <v>Cr: Acct 0835 - CORRECTIONS AND REHABILITATION</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8247748.7400000002</v>
      </c>
      <c r="K31" s="51">
        <f>ROUND(SUM(K28:K30),2)</f>
        <v>8247748.7400000002</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8247748.7410613131</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v>8247748.7410613131</v>
      </c>
      <c r="K35" s="68"/>
    </row>
    <row r="36" spans="1:20" ht="16.5" customHeight="1" x14ac:dyDescent="0.2">
      <c r="A36" s="45"/>
      <c r="B36" s="69"/>
      <c r="C36" s="178" t="s">
        <v>1575</v>
      </c>
      <c r="D36" s="178"/>
      <c r="E36" s="178"/>
      <c r="F36" s="178"/>
      <c r="G36" s="178"/>
      <c r="H36" s="178"/>
      <c r="I36" s="178"/>
      <c r="J36" s="68"/>
      <c r="K36" s="105">
        <v>8247748.7410613131</v>
      </c>
    </row>
    <row r="37" spans="1:20" ht="16.5" customHeight="1" x14ac:dyDescent="0.2">
      <c r="A37" s="45"/>
      <c r="C37" s="178" t="s">
        <v>1618</v>
      </c>
      <c r="D37" s="178"/>
      <c r="E37" s="178"/>
      <c r="F37" s="178"/>
      <c r="G37" s="178"/>
      <c r="H37" s="178"/>
      <c r="I37" s="178"/>
      <c r="J37" s="68"/>
      <c r="K37" s="105">
        <v>8247748.7410613131</v>
      </c>
    </row>
    <row r="38" spans="1:20" ht="16.5" customHeight="1" x14ac:dyDescent="0.25">
      <c r="A38" s="45"/>
      <c r="B38" s="49"/>
      <c r="C38" s="178" t="str">
        <f>VLOOKUP($F$8,'Drop Down Menus'!$D$2:$G$10,4,FALSE)</f>
        <v>Cr: Acct 0835 - CORRECTIONS AND REHABILITATION</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16495497.48</v>
      </c>
      <c r="K39" s="51">
        <f>ROUND(SUM(K36:K38),2)</f>
        <v>16495497.48</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19306206.018335063</v>
      </c>
      <c r="K45" s="78"/>
    </row>
    <row r="46" spans="1:20" ht="16.5" customHeight="1" x14ac:dyDescent="0.2">
      <c r="A46" s="45"/>
      <c r="B46" s="69"/>
      <c r="C46" s="178" t="s">
        <v>1581</v>
      </c>
      <c r="D46" s="178"/>
      <c r="E46" s="178"/>
      <c r="F46" s="178"/>
      <c r="G46" s="178"/>
      <c r="H46" s="178"/>
      <c r="I46" s="178"/>
      <c r="J46" s="68"/>
      <c r="K46" s="105">
        <f>J45</f>
        <v>19306206.018335063</v>
      </c>
    </row>
    <row r="47" spans="1:20" ht="16.5" customHeight="1" x14ac:dyDescent="0.2">
      <c r="A47" s="65"/>
      <c r="B47" s="50"/>
      <c r="C47" s="50"/>
      <c r="D47" s="50"/>
      <c r="E47" s="50"/>
      <c r="F47" s="50"/>
      <c r="G47" s="50"/>
      <c r="H47" s="50"/>
      <c r="I47" s="50"/>
      <c r="J47" s="79">
        <f>ROUND(SUM(J45:J45),2)</f>
        <v>19306206.02</v>
      </c>
      <c r="K47" s="79">
        <f>ROUND(SUM(K46),2)</f>
        <v>19306206.02</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21279663.831221286</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447429.08877871087</v>
      </c>
      <c r="K51" s="81"/>
    </row>
    <row r="52" spans="1:20" ht="16.5" customHeight="1" x14ac:dyDescent="0.25">
      <c r="A52" s="45"/>
      <c r="B52" s="49"/>
      <c r="C52" s="178" t="str">
        <f>VLOOKUP($F$8,'Drop Down Menus'!$D$2:$G$10,4,FALSE)</f>
        <v>Cr: Acct 0835 - CORRECTIONS AND REHABILITATION</v>
      </c>
      <c r="D52" s="178"/>
      <c r="E52" s="178"/>
      <c r="F52" s="178"/>
      <c r="G52" s="178"/>
      <c r="H52" s="178"/>
      <c r="I52" s="178"/>
      <c r="J52" s="81"/>
      <c r="K52" s="107">
        <f>+J50+J51</f>
        <v>21727092.919999998</v>
      </c>
    </row>
    <row r="53" spans="1:20" ht="16.5" customHeight="1" x14ac:dyDescent="0.2">
      <c r="A53" s="65"/>
      <c r="B53" s="50"/>
      <c r="C53" s="50"/>
      <c r="D53" s="50"/>
      <c r="E53" s="50"/>
      <c r="F53" s="50"/>
      <c r="G53" s="50"/>
      <c r="H53" s="50"/>
      <c r="I53" s="50"/>
      <c r="J53" s="79">
        <f>ROUND(SUM(J50:J51),2)</f>
        <v>21727092.920000002</v>
      </c>
      <c r="K53" s="79">
        <f>ROUND(SUM(K52,),2)</f>
        <v>21727092.920000002</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21279663.831221286</v>
      </c>
      <c r="K56" s="68"/>
    </row>
    <row r="57" spans="1:20" ht="16.5" customHeight="1" x14ac:dyDescent="0.25">
      <c r="A57" s="45"/>
      <c r="B57" s="49"/>
      <c r="C57" s="178" t="s">
        <v>1607</v>
      </c>
      <c r="D57" s="178"/>
      <c r="E57" s="178"/>
      <c r="F57" s="178"/>
      <c r="G57" s="178"/>
      <c r="H57" s="178"/>
      <c r="I57" s="178"/>
      <c r="J57" s="68"/>
      <c r="K57" s="105">
        <f>J50</f>
        <v>21279663.831221286</v>
      </c>
      <c r="L57" s="27" t="str">
        <f>IF($J$50=$K$57,"","&lt;- Accts 0848 must agree")</f>
        <v/>
      </c>
    </row>
    <row r="58" spans="1:20" ht="16.5" customHeight="1" x14ac:dyDescent="0.2">
      <c r="A58" s="65"/>
      <c r="B58" s="50"/>
      <c r="C58" s="50"/>
      <c r="D58" s="50"/>
      <c r="E58" s="50"/>
      <c r="F58" s="50"/>
      <c r="G58" s="50"/>
      <c r="H58" s="50"/>
      <c r="I58" s="50"/>
      <c r="J58" s="79">
        <f>ROUND(SUM(J56:J56),2)</f>
        <v>21279663.829999998</v>
      </c>
      <c r="K58" s="79">
        <f>ROUND(SUM(K57),2)</f>
        <v>21279663.829999998</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9430574</v>
      </c>
      <c r="K61" s="78"/>
    </row>
    <row r="62" spans="1:20" ht="16.5" customHeight="1" x14ac:dyDescent="0.25">
      <c r="A62" s="45"/>
      <c r="B62" s="49"/>
      <c r="C62" s="178" t="s">
        <v>1616</v>
      </c>
      <c r="D62" s="178"/>
      <c r="E62" s="178"/>
      <c r="F62" s="178"/>
      <c r="G62" s="178"/>
      <c r="H62" s="178"/>
      <c r="I62" s="178"/>
      <c r="J62" s="78"/>
      <c r="K62" s="105">
        <f>J61</f>
        <v>9430574</v>
      </c>
    </row>
    <row r="63" spans="1:20" ht="16.5" customHeight="1" x14ac:dyDescent="0.2">
      <c r="A63" s="45"/>
      <c r="B63" s="192" t="s">
        <v>1615</v>
      </c>
      <c r="C63" s="192"/>
      <c r="D63" s="192"/>
      <c r="E63" s="192"/>
      <c r="F63" s="192"/>
      <c r="G63" s="192"/>
      <c r="H63" s="192"/>
      <c r="I63" s="192"/>
      <c r="J63" s="79">
        <f>ROUND(SUM(J61:J61),2)</f>
        <v>9430574</v>
      </c>
      <c r="K63" s="79">
        <f>ROUND(SUM(K62),2)</f>
        <v>9430574</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5622094.2262994684</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5622094.2262994684</v>
      </c>
    </row>
    <row r="70" spans="1:20" ht="16.5" customHeight="1" x14ac:dyDescent="0.2">
      <c r="B70" s="50"/>
      <c r="H70" s="27"/>
      <c r="J70" s="51">
        <f>SUM(J68)</f>
        <v>5622094.2262994684</v>
      </c>
      <c r="K70" s="51">
        <f>SUM(K69)</f>
        <v>5622094.2262994684</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v>316783.74203592818</v>
      </c>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0835 - CORRECTIONS AND REHABILITATION</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v>316783.74203592818</v>
      </c>
    </row>
    <row r="80" spans="1:20" ht="16.5" customHeight="1" x14ac:dyDescent="0.2">
      <c r="C80" s="178" t="str">
        <f>VLOOKUP($F$8,'Drop Down Menus'!$D$2:$G$10,4,FALSE)</f>
        <v>Cr: Acct 0835 - CORRECTIONS AND REHABILITATION</v>
      </c>
      <c r="D80" s="178"/>
      <c r="E80" s="178"/>
      <c r="F80" s="178"/>
      <c r="G80" s="178"/>
      <c r="H80" s="178"/>
      <c r="I80" s="178"/>
      <c r="J80" s="48"/>
      <c r="K80" s="108"/>
    </row>
    <row r="81" spans="1:20" ht="16.5" customHeight="1" x14ac:dyDescent="0.2">
      <c r="B81" s="53"/>
      <c r="H81" s="27"/>
      <c r="J81" s="51">
        <f>ROUND(SUM(J76:J78),2)</f>
        <v>316783.74</v>
      </c>
      <c r="K81" s="51">
        <f>ROUND(SUM(K79:K80),2)</f>
        <v>316783.74</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v>776310.805687916</v>
      </c>
      <c r="K84" s="48"/>
    </row>
    <row r="85" spans="1:20" ht="16.5" customHeight="1" x14ac:dyDescent="0.2">
      <c r="C85" s="178" t="s">
        <v>1618</v>
      </c>
      <c r="D85" s="178"/>
      <c r="E85" s="178"/>
      <c r="F85" s="178"/>
      <c r="G85" s="178"/>
      <c r="H85" s="178"/>
      <c r="I85" s="178"/>
      <c r="J85" s="48"/>
      <c r="K85" s="108">
        <v>776310.805687916</v>
      </c>
    </row>
    <row r="86" spans="1:20" ht="16.5" customHeight="1" x14ac:dyDescent="0.2">
      <c r="H86" s="27"/>
      <c r="J86" s="51">
        <f>SUM(J84)</f>
        <v>776310.805687916</v>
      </c>
      <c r="K86" s="51">
        <f>SUM(K85)</f>
        <v>776310.805687916</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51344498.578413844</v>
      </c>
      <c r="N94" s="104"/>
    </row>
    <row r="95" spans="1:20" ht="16.5" customHeight="1" x14ac:dyDescent="0.25">
      <c r="D95" s="49" t="s">
        <v>1631</v>
      </c>
      <c r="E95" s="100"/>
      <c r="F95" s="100"/>
      <c r="G95" s="100"/>
      <c r="H95" s="27"/>
      <c r="I95" s="100"/>
      <c r="J95" s="100"/>
      <c r="K95" s="103">
        <f>-K18-K46+J68+J77</f>
        <v>-33677412.792035595</v>
      </c>
      <c r="N95" s="102"/>
    </row>
    <row r="96" spans="1:20" ht="16.5" customHeight="1" x14ac:dyDescent="0.25">
      <c r="D96" s="49" t="s">
        <v>1629</v>
      </c>
      <c r="E96" s="100"/>
      <c r="F96" s="100"/>
      <c r="G96" s="100"/>
      <c r="H96" s="27"/>
      <c r="I96" s="100"/>
      <c r="J96" s="100"/>
      <c r="K96" s="103">
        <f>-K19-K37+J56+J61+J76-K85</f>
        <v>-4336192.973492017</v>
      </c>
    </row>
    <row r="97" spans="1:11" ht="16.5" customHeight="1" x14ac:dyDescent="0.25">
      <c r="D97" s="49" t="s">
        <v>1630</v>
      </c>
      <c r="E97" s="100"/>
      <c r="F97" s="100"/>
      <c r="G97" s="100"/>
      <c r="H97" s="27"/>
      <c r="I97" s="100"/>
      <c r="J97" s="100"/>
      <c r="K97" s="103">
        <f>-K62</f>
        <v>-9430574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35FC-3C7C-4BB1-A9A1-A23F5598A7AE}">
  <sheetPr>
    <tabColor rgb="FF92D050"/>
    <pageSetUpPr fitToPage="1"/>
  </sheetPr>
  <dimension ref="A1:XFC115"/>
  <sheetViews>
    <sheetView tabSelected="1" topLeftCell="A40" zoomScale="70" zoomScaleNormal="70" workbookViewId="0">
      <selection activeCell="J76" sqref="J7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820</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917</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1567</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PROPRIETARY FUND</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1326434</v>
      </c>
      <c r="K15" s="42"/>
      <c r="M15" s="105">
        <v>1326433.9364333716</v>
      </c>
      <c r="P15" s="105">
        <v>1326434</v>
      </c>
      <c r="S15" s="43">
        <f>M15-P15</f>
        <v>-6.3566628377884626E-2</v>
      </c>
      <c r="T15" s="44" t="s">
        <v>1634</v>
      </c>
    </row>
    <row r="16" spans="1:25" ht="16.5" customHeight="1" x14ac:dyDescent="0.2">
      <c r="A16" s="45"/>
      <c r="B16" s="178" t="s">
        <v>1582</v>
      </c>
      <c r="C16" s="178"/>
      <c r="D16" s="178"/>
      <c r="E16" s="178"/>
      <c r="F16" s="178"/>
      <c r="G16" s="178"/>
      <c r="H16" s="178"/>
      <c r="I16" s="178"/>
      <c r="J16" s="41">
        <f>ROUND(P16,0)</f>
        <v>0</v>
      </c>
      <c r="K16" s="42"/>
      <c r="M16" s="105">
        <v>1412.7989233269182</v>
      </c>
      <c r="P16" s="46">
        <f>IF(SUM($Q$18:$Q$19)&gt;$P$15,SUM($Q$18:$Q$19)-$P$15,0)</f>
        <v>0</v>
      </c>
      <c r="S16" s="43">
        <f>M16-P16</f>
        <v>1412.7989233269182</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v>0</v>
      </c>
      <c r="P17" s="48"/>
      <c r="S17" s="43">
        <f>M17-P17</f>
        <v>0</v>
      </c>
      <c r="T17" s="47" t="s">
        <v>1635</v>
      </c>
    </row>
    <row r="18" spans="1:25" ht="16.5" customHeight="1" x14ac:dyDescent="0.2">
      <c r="A18" s="45"/>
      <c r="B18" s="20"/>
      <c r="C18" s="178" t="s">
        <v>1581</v>
      </c>
      <c r="D18" s="178"/>
      <c r="E18" s="178"/>
      <c r="F18" s="178"/>
      <c r="G18" s="178"/>
      <c r="H18" s="178"/>
      <c r="I18" s="178"/>
      <c r="J18" s="42"/>
      <c r="K18" s="41">
        <f>ROUND(N18,0)</f>
        <v>395440</v>
      </c>
      <c r="N18" s="105">
        <v>395440.11804614979</v>
      </c>
      <c r="Q18" s="105">
        <v>395440</v>
      </c>
      <c r="S18" s="43">
        <f>N18-Q18</f>
        <v>0.11804614978609607</v>
      </c>
      <c r="T18" s="47" t="s">
        <v>1635</v>
      </c>
    </row>
    <row r="19" spans="1:25" ht="16.5" customHeight="1" x14ac:dyDescent="0.25">
      <c r="A19" s="45"/>
      <c r="B19" s="49"/>
      <c r="C19" s="178" t="s">
        <v>1618</v>
      </c>
      <c r="D19" s="178"/>
      <c r="E19" s="178"/>
      <c r="F19" s="178"/>
      <c r="G19" s="178"/>
      <c r="H19" s="178"/>
      <c r="I19" s="178"/>
      <c r="J19" s="42"/>
      <c r="K19" s="41">
        <f>ROUND(N19,0)</f>
        <v>805791</v>
      </c>
      <c r="N19" s="105">
        <v>805790.5</v>
      </c>
      <c r="Q19" s="105">
        <v>805791</v>
      </c>
      <c r="S19" s="43">
        <f>N19-Q19</f>
        <v>-0.5</v>
      </c>
      <c r="T19" s="47" t="s">
        <v>1635</v>
      </c>
      <c r="X19" s="18"/>
    </row>
    <row r="20" spans="1:25" ht="16.5" customHeight="1" x14ac:dyDescent="0.25">
      <c r="A20" s="45"/>
      <c r="B20" s="49"/>
      <c r="C20" s="178" t="s">
        <v>1584</v>
      </c>
      <c r="D20" s="178"/>
      <c r="E20" s="178"/>
      <c r="F20" s="178"/>
      <c r="G20" s="178"/>
      <c r="H20" s="178"/>
      <c r="I20" s="178"/>
      <c r="K20" s="41">
        <f>ROUND(Q20,0)</f>
        <v>125203</v>
      </c>
      <c r="N20" s="105">
        <v>126616.11731054878</v>
      </c>
      <c r="Q20" s="46">
        <f>IF(SUM($Q$18:$Q$19)&lt;$P$15,-SUM($Q$18:$Q$19)+$P$15,0)</f>
        <v>125203</v>
      </c>
      <c r="S20" s="43">
        <f>N20-Q20</f>
        <v>1413.1173105487833</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1326434</v>
      </c>
      <c r="K22" s="51">
        <f>ROUND(SUM(K18:K21),0)</f>
        <v>1326434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0</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0</v>
      </c>
      <c r="L29" s="37"/>
      <c r="M29" s="37"/>
      <c r="N29" s="37"/>
      <c r="O29" s="37"/>
      <c r="P29" s="37"/>
      <c r="Q29" s="37"/>
      <c r="R29" s="37"/>
      <c r="S29" s="37"/>
      <c r="T29" s="37"/>
    </row>
    <row r="30" spans="1:25" ht="16.5" customHeight="1" x14ac:dyDescent="0.25">
      <c r="A30" s="45"/>
      <c r="B30" s="49"/>
      <c r="C30" s="178" t="str">
        <f>VLOOKUP($F$8,'Drop Down Menus'!$D$2:$G$10,4,FALSE)</f>
        <v>Cr: Acct 0870 - SERVICES &amp; CHARGES (MG ADJ)</v>
      </c>
      <c r="D30" s="178"/>
      <c r="E30" s="178"/>
      <c r="F30" s="178"/>
      <c r="G30" s="178"/>
      <c r="H30" s="178"/>
      <c r="I30" s="178"/>
      <c r="J30" s="42"/>
      <c r="K30" s="105">
        <v>0</v>
      </c>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0</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v>0</v>
      </c>
      <c r="K35" s="68"/>
    </row>
    <row r="36" spans="1:20" ht="16.5" customHeight="1" x14ac:dyDescent="0.2">
      <c r="A36" s="45"/>
      <c r="B36" s="69"/>
      <c r="C36" s="178" t="s">
        <v>1575</v>
      </c>
      <c r="D36" s="178"/>
      <c r="E36" s="178"/>
      <c r="F36" s="178"/>
      <c r="G36" s="178"/>
      <c r="H36" s="178"/>
      <c r="I36" s="178"/>
      <c r="J36" s="68"/>
      <c r="K36" s="105">
        <v>0</v>
      </c>
    </row>
    <row r="37" spans="1:20" ht="16.5" customHeight="1" x14ac:dyDescent="0.2">
      <c r="A37" s="45"/>
      <c r="C37" s="178" t="s">
        <v>1618</v>
      </c>
      <c r="D37" s="178"/>
      <c r="E37" s="178"/>
      <c r="F37" s="178"/>
      <c r="G37" s="178"/>
      <c r="H37" s="178"/>
      <c r="I37" s="178"/>
      <c r="J37" s="68"/>
      <c r="K37" s="105">
        <v>0</v>
      </c>
    </row>
    <row r="38" spans="1:20" ht="16.5" customHeight="1" x14ac:dyDescent="0.25">
      <c r="A38" s="45"/>
      <c r="B38" s="49"/>
      <c r="C38" s="178" t="str">
        <f>VLOOKUP($F$8,'Drop Down Menus'!$D$2:$G$10,4,FALSE)</f>
        <v>Cr: Acct 0870 - SERVICES &amp; CHARGES (MG ADJ)</v>
      </c>
      <c r="D38" s="178"/>
      <c r="E38" s="178"/>
      <c r="F38" s="178"/>
      <c r="G38" s="178"/>
      <c r="H38" s="178"/>
      <c r="I38" s="178"/>
      <c r="J38" s="68"/>
      <c r="K38" s="105">
        <v>0</v>
      </c>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395440.11804614979</v>
      </c>
      <c r="K45" s="78"/>
    </row>
    <row r="46" spans="1:20" ht="16.5" customHeight="1" x14ac:dyDescent="0.2">
      <c r="A46" s="45"/>
      <c r="B46" s="69"/>
      <c r="C46" s="178" t="s">
        <v>1581</v>
      </c>
      <c r="D46" s="178"/>
      <c r="E46" s="178"/>
      <c r="F46" s="178"/>
      <c r="G46" s="178"/>
      <c r="H46" s="178"/>
      <c r="I46" s="178"/>
      <c r="J46" s="68"/>
      <c r="K46" s="105">
        <f>J45</f>
        <v>395440.11804614979</v>
      </c>
    </row>
    <row r="47" spans="1:20" ht="16.5" customHeight="1" x14ac:dyDescent="0.2">
      <c r="A47" s="65"/>
      <c r="B47" s="50"/>
      <c r="C47" s="50"/>
      <c r="D47" s="50"/>
      <c r="E47" s="50"/>
      <c r="F47" s="50"/>
      <c r="G47" s="50"/>
      <c r="H47" s="50"/>
      <c r="I47" s="50"/>
      <c r="J47" s="79">
        <f>ROUND(SUM(J45:J45),2)</f>
        <v>395440.12</v>
      </c>
      <c r="K47" s="79">
        <f>ROUND(SUM(K46),2)</f>
        <v>395440.12</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398065.56581259292</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0894 - INTEREST EXPENSE AND FISCAL CHARGES</v>
      </c>
      <c r="C51" s="178"/>
      <c r="D51" s="178"/>
      <c r="E51" s="178"/>
      <c r="F51" s="178"/>
      <c r="G51" s="178"/>
      <c r="H51" s="178"/>
      <c r="I51" s="178"/>
      <c r="J51" s="106">
        <v>15156.834187407045</v>
      </c>
      <c r="K51" s="81"/>
    </row>
    <row r="52" spans="1:20" ht="16.5" customHeight="1" x14ac:dyDescent="0.25">
      <c r="A52" s="45"/>
      <c r="B52" s="49"/>
      <c r="C52" s="178" t="str">
        <f>VLOOKUP($F$8,'Drop Down Menus'!$D$2:$G$10,4,FALSE)</f>
        <v>Cr: Acct 0870 - SERVICES &amp; CHARGES (MG ADJ)</v>
      </c>
      <c r="D52" s="178"/>
      <c r="E52" s="178"/>
      <c r="F52" s="178"/>
      <c r="G52" s="178"/>
      <c r="H52" s="178"/>
      <c r="I52" s="178"/>
      <c r="J52" s="81"/>
      <c r="K52" s="107">
        <f>+J50+J51</f>
        <v>413222.39999999997</v>
      </c>
    </row>
    <row r="53" spans="1:20" ht="16.5" customHeight="1" x14ac:dyDescent="0.2">
      <c r="A53" s="65"/>
      <c r="B53" s="50"/>
      <c r="C53" s="50"/>
      <c r="D53" s="50"/>
      <c r="E53" s="50"/>
      <c r="F53" s="50"/>
      <c r="G53" s="50"/>
      <c r="H53" s="50"/>
      <c r="I53" s="50"/>
      <c r="J53" s="79">
        <f>ROUND(SUM(J50:J51),2)</f>
        <v>413222.40000000002</v>
      </c>
      <c r="K53" s="79">
        <f>ROUND(SUM(K52,),2)</f>
        <v>413222.40000000002</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398065.56581259292</v>
      </c>
      <c r="K56" s="68"/>
    </row>
    <row r="57" spans="1:20" ht="16.5" customHeight="1" x14ac:dyDescent="0.25">
      <c r="A57" s="45"/>
      <c r="B57" s="49"/>
      <c r="C57" s="178" t="s">
        <v>1607</v>
      </c>
      <c r="D57" s="178"/>
      <c r="E57" s="178"/>
      <c r="F57" s="178"/>
      <c r="G57" s="178"/>
      <c r="H57" s="178"/>
      <c r="I57" s="178"/>
      <c r="J57" s="68"/>
      <c r="K57" s="105">
        <f>J50</f>
        <v>398065.56581259292</v>
      </c>
      <c r="L57" s="27" t="str">
        <f>IF($J$50=$K$57,"","&lt;- Accts 0848 must agree")</f>
        <v/>
      </c>
    </row>
    <row r="58" spans="1:20" ht="16.5" customHeight="1" x14ac:dyDescent="0.2">
      <c r="A58" s="65"/>
      <c r="B58" s="50"/>
      <c r="C58" s="50"/>
      <c r="D58" s="50"/>
      <c r="E58" s="50"/>
      <c r="F58" s="50"/>
      <c r="G58" s="50"/>
      <c r="H58" s="50"/>
      <c r="I58" s="50"/>
      <c r="J58" s="79">
        <f>ROUND(SUM(J56:J56),2)</f>
        <v>398065.57</v>
      </c>
      <c r="K58" s="79">
        <f>ROUND(SUM(K57),2)</f>
        <v>398065.57</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407724.93245965702</v>
      </c>
      <c r="K61" s="78"/>
    </row>
    <row r="62" spans="1:20" ht="16.5" customHeight="1" x14ac:dyDescent="0.25">
      <c r="A62" s="45"/>
      <c r="B62" s="49"/>
      <c r="C62" s="178" t="s">
        <v>1616</v>
      </c>
      <c r="D62" s="178"/>
      <c r="E62" s="178"/>
      <c r="F62" s="178"/>
      <c r="G62" s="178"/>
      <c r="H62" s="178"/>
      <c r="I62" s="178"/>
      <c r="J62" s="78"/>
      <c r="K62" s="105">
        <f>J61</f>
        <v>407724.93245965702</v>
      </c>
    </row>
    <row r="63" spans="1:20" ht="16.5" customHeight="1" x14ac:dyDescent="0.2">
      <c r="A63" s="45"/>
      <c r="B63" s="192" t="s">
        <v>1615</v>
      </c>
      <c r="C63" s="192"/>
      <c r="D63" s="192"/>
      <c r="E63" s="192"/>
      <c r="F63" s="192"/>
      <c r="G63" s="192"/>
      <c r="H63" s="192"/>
      <c r="I63" s="192"/>
      <c r="J63" s="79">
        <f>ROUND(SUM(J61:J61),2)</f>
        <v>407724.93</v>
      </c>
      <c r="K63" s="79">
        <f>ROUND(SUM(K62),2)</f>
        <v>407724.93</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0</v>
      </c>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0875 - DEPRECIATION/AMORTIZATION (MG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0870 - SERVICES &amp; CHARGES (MG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1326434</v>
      </c>
      <c r="N94" s="104"/>
    </row>
    <row r="95" spans="1:20" ht="16.5" customHeight="1" x14ac:dyDescent="0.25">
      <c r="D95" s="49" t="s">
        <v>1631</v>
      </c>
      <c r="E95" s="100"/>
      <c r="F95" s="100"/>
      <c r="G95" s="100"/>
      <c r="H95" s="27"/>
      <c r="I95" s="100"/>
      <c r="J95" s="100"/>
      <c r="K95" s="103">
        <f>-K18-K46+J68+J77</f>
        <v>-790880.11804614984</v>
      </c>
      <c r="N95" s="102"/>
    </row>
    <row r="96" spans="1:20" ht="16.5" customHeight="1" x14ac:dyDescent="0.25">
      <c r="D96" s="49" t="s">
        <v>1629</v>
      </c>
      <c r="E96" s="100"/>
      <c r="F96" s="100"/>
      <c r="G96" s="100"/>
      <c r="H96" s="27"/>
      <c r="I96" s="100"/>
      <c r="J96" s="100"/>
      <c r="K96" s="103">
        <f>-K19-K37+J56+J61+J76-K85</f>
        <v>-0.50172775005921721</v>
      </c>
    </row>
    <row r="97" spans="1:11" ht="16.5" customHeight="1" x14ac:dyDescent="0.25">
      <c r="D97" s="49" t="s">
        <v>1630</v>
      </c>
      <c r="E97" s="100"/>
      <c r="F97" s="100"/>
      <c r="G97" s="100"/>
      <c r="H97" s="27"/>
      <c r="I97" s="100"/>
      <c r="J97" s="100"/>
      <c r="K97" s="103">
        <f>-K62</f>
        <v>-407724.93245965702</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3D80953D-ABE5-4610-B816-FA8EDE05C7CC}">
      <formula1>0</formula1>
    </dataValidation>
    <dataValidation type="whole" operator="greaterThanOrEqual" allowBlank="1" showErrorMessage="1" errorTitle="Whole Numbers Only" error="Enter amounts as whole numbers only." promptTitle="Whole Numbers" prompt="Enter whole numbers only." sqref="J15:J17 K18:K21" xr:uid="{9EF0038F-3DFC-41F9-AEE7-2CDD1CE48138}">
      <formula1>0</formula1>
    </dataValidation>
    <dataValidation type="textLength" operator="equal" allowBlank="1" showInputMessage="1" showErrorMessage="1" errorTitle="4-Digit Org Code" error="Enter the Org Code/BU as 4 digits." sqref="F5" xr:uid="{F0F2DC81-3B7E-473D-91DB-E5C0C77F4C89}">
      <formula1>4</formula1>
    </dataValidation>
    <dataValidation type="textLength" operator="lessThan" allowBlank="1" showInputMessage="1" showErrorMessage="1" sqref="E11 A6:A8" xr:uid="{18A11EB7-6F93-4CD2-A24D-7979FC0C3DEE}">
      <formula1>0</formula1>
    </dataValidation>
    <dataValidation operator="lessThan" allowBlank="1" showInputMessage="1" showErrorMessage="1" sqref="A3:A5 A7:A8 A11" xr:uid="{6DB066E2-6774-406F-B1D1-1BF8EA7B0E84}"/>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9D5E491-5A9A-40C3-9D96-73D2B16EF63F}">
          <x14:formula1>
            <xm:f>'Drop Down Menus'!$B$1:$B$3</xm:f>
          </x14:formula1>
          <xm:sqref>F7</xm:sqref>
        </x14:dataValidation>
        <x14:dataValidation type="list" allowBlank="1" showInputMessage="1" showErrorMessage="1" xr:uid="{76B3DED6-2B6A-448A-932B-B364D0D74153}">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3" zoomScale="80" zoomScaleNormal="80" workbookViewId="0">
      <selection activeCell="C27" sqref="C2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5225</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9430574</v>
      </c>
      <c r="C16" s="2">
        <v>202038</v>
      </c>
      <c r="D16" s="207" t="s">
        <v>1536</v>
      </c>
      <c r="E16" s="118"/>
      <c r="F16" s="118"/>
      <c r="G16" s="118"/>
      <c r="H16" s="118"/>
      <c r="I16" s="118"/>
      <c r="J16" s="118"/>
      <c r="K16" s="118"/>
    </row>
    <row r="17" spans="1:11" ht="15" customHeight="1" x14ac:dyDescent="0.2">
      <c r="A17" s="115" t="str">
        <f>LEFT(A16,4)+1&amp;"–"&amp;RIGHT(A16,4)+1</f>
        <v>2025–2026</v>
      </c>
      <c r="B17" s="2">
        <v>2211242</v>
      </c>
      <c r="C17" s="2">
        <v>88469</v>
      </c>
      <c r="D17" s="207"/>
      <c r="E17" s="118"/>
      <c r="F17" s="118"/>
      <c r="G17" s="118"/>
      <c r="H17" s="118"/>
      <c r="I17" s="118"/>
      <c r="J17" s="118"/>
      <c r="K17" s="118"/>
    </row>
    <row r="18" spans="1:11" ht="15" customHeight="1" x14ac:dyDescent="0.2">
      <c r="A18" s="115" t="str">
        <f>LEFT(A17,4)+1&amp;"–"&amp;RIGHT(A17,4)+1</f>
        <v>2026–2027</v>
      </c>
      <c r="B18" s="2">
        <v>1515534.599175869</v>
      </c>
      <c r="C18" s="2">
        <v>34625</v>
      </c>
      <c r="D18" s="17" t="s">
        <v>115</v>
      </c>
      <c r="E18" s="118"/>
      <c r="F18" s="118"/>
      <c r="G18" s="118"/>
      <c r="H18" s="118"/>
      <c r="I18" s="118"/>
      <c r="J18" s="118"/>
      <c r="K18" s="118"/>
    </row>
    <row r="19" spans="1:11" ht="15" customHeight="1" x14ac:dyDescent="0.2">
      <c r="A19" s="115" t="str">
        <f>LEFT(A18,4)+1&amp;"–"&amp;RIGHT(A18,4)+1</f>
        <v>2027–2028</v>
      </c>
      <c r="B19" s="2">
        <v>609416.57552345097</v>
      </c>
      <c r="C19" s="2">
        <v>12126.664476549005</v>
      </c>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t="s">
        <v>1656</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t="s">
        <v>1656</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t="s">
        <v>1656</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5225</v>
      </c>
      <c r="C43" s="203"/>
    </row>
    <row r="44" spans="1:11" ht="15.75" x14ac:dyDescent="0.25">
      <c r="A44" s="113" t="s">
        <v>1594</v>
      </c>
      <c r="B44" s="204" t="str">
        <f>B13</f>
        <v>Department of Corrections and Rehabilitation</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5225</v>
      </c>
      <c r="C74" s="203"/>
    </row>
    <row r="75" spans="1:4" ht="15.75" x14ac:dyDescent="0.25">
      <c r="A75" s="113" t="s">
        <v>1594</v>
      </c>
      <c r="B75" s="204" t="str">
        <f>B13</f>
        <v>Department of Corrections and Rehabilitation</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v>407724.93245965702</v>
      </c>
      <c r="C78" s="2">
        <v>5497.4675403430228</v>
      </c>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t="s">
        <v>115</v>
      </c>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t="s">
        <v>1656</v>
      </c>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t="s">
        <v>1656</v>
      </c>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t="s">
        <v>115</v>
      </c>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t="s">
        <v>115</v>
      </c>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t="s">
        <v>1656</v>
      </c>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J31" sqref="J31"/>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5225 Department of Corrections and Rehabilitation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26339155</v>
      </c>
      <c r="H10" s="3">
        <f>IF('Fund 0001 Journal Entries'!$F$7="Governmental Fund",SUM('Fund 0001 Journal Entries'!$K$37,'Fund 0001 Journal Entries'!$K$85),0)</f>
        <v>9024059.5467492286</v>
      </c>
      <c r="J10" s="3">
        <f>IF('Fund 0001 Journal Entries'!$F$7="Governmental Fund",SUM('Fund 0001 Journal Entries'!$J$56,'Fund 0001 Journal Entries'!$J$76),0)</f>
        <v>21596447.573257215</v>
      </c>
      <c r="L10" s="134">
        <f>SUM(F10+H10-J10)</f>
        <v>13766766.973492011</v>
      </c>
      <c r="N10" s="3">
        <f>IF('Fund 0001 Journal Entries'!$F$7="Governmental Fund",'Fund 0001 Journal Entries'!$J$61,0)</f>
        <v>9430574</v>
      </c>
      <c r="P10" s="134">
        <f>L10-N10</f>
        <v>4336192.9734920114</v>
      </c>
      <c r="Q10" s="129"/>
    </row>
    <row r="11" spans="2:17" ht="19.5" thickTop="1" thickBot="1" x14ac:dyDescent="0.3">
      <c r="B11" s="128"/>
      <c r="C11" s="208" t="s">
        <v>14</v>
      </c>
      <c r="D11" s="208"/>
      <c r="F11" s="135">
        <f>SUM(F10:F10)</f>
        <v>26339155</v>
      </c>
      <c r="H11" s="135">
        <f>SUM(H10:H10)</f>
        <v>9024059.5467492286</v>
      </c>
      <c r="J11" s="135">
        <f>SUM(J10:J10)</f>
        <v>21596447.573257215</v>
      </c>
      <c r="L11" s="135">
        <f>SUM(L10:L10)</f>
        <v>13766766.973492011</v>
      </c>
      <c r="N11" s="135">
        <f>SUM(N10:N10)</f>
        <v>9430574</v>
      </c>
      <c r="P11" s="135">
        <f>SUM(P10:P10)</f>
        <v>4336192.9734920114</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0917 Journal Entries'!$F$7="Proprietary - Enterprise Fund",'Fund 0917 Journal Entries'!$K$19,0)</f>
        <v>805791</v>
      </c>
      <c r="H18" s="3">
        <f>IF('Fund 0917 Journal Entries'!$F$7="Proprietary - Enterprise Fund",SUM('Fund 0917 Journal Entries'!$K$37,'Fund 0917 Journal Entries'!$K$85),0)</f>
        <v>0</v>
      </c>
      <c r="J18" s="3">
        <f>IF('Fund 0917 Journal Entries'!$F$7="Proprietary - Enterprise Fund",SUM('Fund 0917 Journal Entries'!$J$56,'Fund 0917 Journal Entries'!$J$76),0)</f>
        <v>398065.56581259292</v>
      </c>
      <c r="L18" s="134">
        <f>SUM(F18+H18-J18)</f>
        <v>407725.43418740708</v>
      </c>
      <c r="N18" s="3">
        <f>IF('Fund 0917 Journal Entries'!$F$7="Proprietary - Enterprise Fund",'Fund 0917 Journal Entries'!$J$61,0)</f>
        <v>407724.93245965702</v>
      </c>
      <c r="P18" s="134">
        <f>L18-N18</f>
        <v>0.50172775005921721</v>
      </c>
      <c r="Q18" s="129"/>
    </row>
    <row r="19" spans="2:17" ht="19.5" thickTop="1" thickBot="1" x14ac:dyDescent="0.3">
      <c r="B19" s="128"/>
      <c r="C19" s="208" t="s">
        <v>1579</v>
      </c>
      <c r="D19" s="208"/>
      <c r="F19" s="135">
        <f>SUM(F18:F18)</f>
        <v>805791</v>
      </c>
      <c r="H19" s="135">
        <f>SUM(H18:H18)</f>
        <v>0</v>
      </c>
      <c r="J19" s="135">
        <f>SUM(J18:J18)</f>
        <v>398065.56581259292</v>
      </c>
      <c r="L19" s="135">
        <f>SUM(L18:L18)</f>
        <v>407725.43418740708</v>
      </c>
      <c r="N19" s="135">
        <f>SUM(N18:N18)</f>
        <v>407724.93245965702</v>
      </c>
      <c r="P19" s="135">
        <f>SUM(P18:P18)</f>
        <v>0.50172775005921721</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L25" sqref="L25"/>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26339155</v>
      </c>
      <c r="C17" s="21" t="s">
        <v>1551</v>
      </c>
      <c r="D17" s="10">
        <f>IF('Fund 0001 Journal Entries'!$F$7="Governmental Fund",ROUND('Fund 0001 Journal Entries'!$K$37,0),0)</f>
        <v>8247749</v>
      </c>
      <c r="E17" s="22" t="s">
        <v>1553</v>
      </c>
      <c r="F17" s="10">
        <f>IF('Fund 0001 Journal Entries'!$F$7="Governmental Fund",ROUND('Fund 0001 Journal Entries'!$J$56,0),0)</f>
        <v>21279664</v>
      </c>
      <c r="G17" s="22" t="s">
        <v>1553</v>
      </c>
      <c r="H17" s="10">
        <f>IF('Fund 0001 Journal Entries'!$F$7="Governmental Fund",ROUND('Fund 0001 Journal Entries'!$J$76,0),0)</f>
        <v>316784</v>
      </c>
      <c r="I17" s="22" t="s">
        <v>1551</v>
      </c>
      <c r="J17" s="10">
        <f>IF('Fund 0001 Journal Entries'!$F$7="Governmental Fund",ROUND('Fund 0001 Journal Entries'!$K$85,0),0)</f>
        <v>776311</v>
      </c>
      <c r="K17" s="22" t="s">
        <v>1555</v>
      </c>
      <c r="L17" s="11">
        <f>+B17+D17-F17-H17+J17</f>
        <v>13766767</v>
      </c>
      <c r="M17" s="22"/>
      <c r="N17" s="12">
        <f>ROUND(SUM('Department Note Disclosure'!$B$16:$B$39),0)</f>
        <v>13766767</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0917 Journal Entries'!$F$7="Proprietary - Enterprise Fund",ROUND('Fund 0917 Journal Entries'!$K$19,0),0)</f>
        <v>805791</v>
      </c>
      <c r="C34" s="21" t="s">
        <v>1551</v>
      </c>
      <c r="D34" s="10">
        <f>IF('Fund 0917 Journal Entries'!$F$7="Proprietary - Enterprise Fund",ROUND('Fund 0917 Journal Entries'!$K$37,0),0)</f>
        <v>0</v>
      </c>
      <c r="E34" s="22" t="s">
        <v>1553</v>
      </c>
      <c r="F34" s="10">
        <f>IF('Fund 0917 Journal Entries'!$F$7="Proprietary - Enterprise Fund",ROUND('Fund 0917 Journal Entries'!$J$56,0),0)</f>
        <v>398066</v>
      </c>
      <c r="G34" s="22" t="s">
        <v>1553</v>
      </c>
      <c r="H34" s="10">
        <f>IF('Fund 0917 Journal Entries'!$F$7="Proprietary - Enterprise Fund",ROUND('Fund 0917 Journal Entries'!$J$76,0),0)</f>
        <v>0</v>
      </c>
      <c r="I34" s="22" t="s">
        <v>1551</v>
      </c>
      <c r="J34" s="10">
        <f>IF('Fund 0917 Journal Entries'!$F$7="Proprietary - Enterprise Fund",ROUND('Fund 0917 Journal Entries'!$K$85,0),0)</f>
        <v>0</v>
      </c>
      <c r="K34" s="22" t="s">
        <v>1555</v>
      </c>
      <c r="L34" s="11">
        <f>+B34+D34-F34-H34+J34</f>
        <v>407725</v>
      </c>
      <c r="M34" s="22"/>
      <c r="N34" s="12">
        <f>ROUND(SUM('Department Note Disclosure'!$B$78:$B$101),0)</f>
        <v>407725</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9430574</v>
      </c>
      <c r="C42" s="160"/>
      <c r="D42" s="159"/>
      <c r="E42" s="159"/>
      <c r="F42" s="159"/>
      <c r="G42" s="145"/>
      <c r="H42" s="159"/>
      <c r="I42" s="149"/>
      <c r="J42" s="159"/>
      <c r="K42" s="145"/>
      <c r="L42" s="158"/>
      <c r="M42" s="23"/>
      <c r="N42" s="12">
        <f>ROUND('Department Note Disclosure'!$B$16,0)</f>
        <v>9430574</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0917 Journal Entries'!$F$7="Proprietary - Enterprise Fund",ROUND('Fund 0917 Journal Entries'!$K$62,0),0)</f>
        <v>407725</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407725</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26339155</v>
      </c>
      <c r="I64" s="25" t="s">
        <v>1555</v>
      </c>
      <c r="J64" s="14">
        <f>SUM(D64)</f>
        <v>26339155</v>
      </c>
      <c r="L64" s="164" t="str">
        <f>CONCATENATE("Balance July 1, ",LEFT('Department Note Disclosure'!$B$11,4))</f>
        <v>Balance July 1, 2023</v>
      </c>
      <c r="N64" s="14">
        <f>ROUND('SBITA Liabilities'!$F$10,0)</f>
        <v>26339155</v>
      </c>
      <c r="P64" s="13">
        <f>J64-N64</f>
        <v>0</v>
      </c>
    </row>
    <row r="65" spans="1:16383" x14ac:dyDescent="0.25">
      <c r="B65" s="162" t="s">
        <v>1620</v>
      </c>
      <c r="D65" s="14">
        <f>$D$17</f>
        <v>8247749</v>
      </c>
      <c r="E65" s="165" t="s">
        <v>1551</v>
      </c>
      <c r="F65" s="150" t="s">
        <v>1646</v>
      </c>
      <c r="H65" s="14">
        <f>J17</f>
        <v>776311</v>
      </c>
      <c r="I65" s="25" t="s">
        <v>1555</v>
      </c>
      <c r="J65" s="14">
        <f>SUM(D65,H65)</f>
        <v>9024060</v>
      </c>
      <c r="L65" s="164" t="s">
        <v>9</v>
      </c>
      <c r="N65" s="14">
        <f>ROUND('SBITA Liabilities'!$H$10,0)</f>
        <v>9024060</v>
      </c>
      <c r="P65" s="13">
        <f>J65-N65</f>
        <v>0</v>
      </c>
    </row>
    <row r="66" spans="1:16383" x14ac:dyDescent="0.25">
      <c r="B66" s="162" t="s">
        <v>1554</v>
      </c>
      <c r="D66" s="14">
        <f>$F$17</f>
        <v>21279664</v>
      </c>
      <c r="E66" s="165" t="s">
        <v>1551</v>
      </c>
      <c r="F66" s="150" t="s">
        <v>1645</v>
      </c>
      <c r="H66" s="14">
        <f>H17</f>
        <v>316784</v>
      </c>
      <c r="I66" s="25" t="s">
        <v>1555</v>
      </c>
      <c r="J66" s="14">
        <f>SUM(D66,H66)</f>
        <v>21596448</v>
      </c>
      <c r="L66" s="164" t="s">
        <v>10</v>
      </c>
      <c r="N66" s="14">
        <f>ROUND('SBITA Liabilities'!$J$10,0)</f>
        <v>21596448</v>
      </c>
      <c r="P66" s="13">
        <f>J66-N66</f>
        <v>0</v>
      </c>
    </row>
    <row r="67" spans="1:16383" x14ac:dyDescent="0.25">
      <c r="B67" s="162" t="s">
        <v>1558</v>
      </c>
      <c r="D67" s="14">
        <f>$B$42</f>
        <v>9430574</v>
      </c>
      <c r="I67" s="25" t="s">
        <v>1555</v>
      </c>
      <c r="J67" s="14">
        <f>SUM(D67)</f>
        <v>9430574</v>
      </c>
      <c r="L67" s="164" t="s">
        <v>11</v>
      </c>
      <c r="N67" s="14">
        <f>ROUND('SBITA Liabilities'!$N$10,0)</f>
        <v>9430574</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805791</v>
      </c>
      <c r="I84" s="25" t="s">
        <v>1555</v>
      </c>
      <c r="J84" s="14">
        <f>SUM(D84)</f>
        <v>805791</v>
      </c>
      <c r="L84" s="164" t="str">
        <f>CONCATENATE("Balance July 1, ",LEFT('Department Note Disclosure'!$B$11,4))</f>
        <v>Balance July 1, 2023</v>
      </c>
      <c r="N84" s="14">
        <f>ROUND('SBITA Liabilities'!$F$18,0)</f>
        <v>805791</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398066</v>
      </c>
      <c r="E86" s="165" t="s">
        <v>1551</v>
      </c>
      <c r="F86" s="150" t="s">
        <v>1645</v>
      </c>
      <c r="H86" s="14">
        <f>H34</f>
        <v>0</v>
      </c>
      <c r="I86" s="25" t="s">
        <v>1555</v>
      </c>
      <c r="J86" s="14">
        <f>SUM(D86,H86)</f>
        <v>398066</v>
      </c>
      <c r="L86" s="164" t="s">
        <v>10</v>
      </c>
      <c r="N86" s="14">
        <f>ROUND('SBITA Liabilities'!$J$18,0)</f>
        <v>398066</v>
      </c>
      <c r="P86" s="13">
        <f>J86-N86</f>
        <v>0</v>
      </c>
    </row>
    <row r="87" spans="1:17" x14ac:dyDescent="0.25">
      <c r="B87" s="162" t="s">
        <v>1558</v>
      </c>
      <c r="D87" s="14">
        <f>B56</f>
        <v>407725</v>
      </c>
      <c r="I87" s="25" t="s">
        <v>1555</v>
      </c>
      <c r="J87" s="14">
        <f>SUM(D87)</f>
        <v>407725</v>
      </c>
      <c r="L87" s="164" t="s">
        <v>11</v>
      </c>
      <c r="N87" s="14">
        <f>ROUND('SBITA Liabilities'!$N$18,0)</f>
        <v>407725</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0917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0917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2025-02-26T22:00:08Z</dcterms:modified>
</cp:coreProperties>
</file>