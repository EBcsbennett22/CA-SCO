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D37962F3-C501-42C3-8310-B04DB609EDFB}" xr6:coauthVersionLast="47" xr6:coauthVersionMax="47" xr10:uidLastSave="{00000000-0000-0000-0000-000000000000}"/>
  <bookViews>
    <workbookView xWindow="39150" yWindow="-110" windowWidth="38620" windowHeight="21220" tabRatio="662"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8" i="2" l="1"/>
  <c r="K46" i="2"/>
  <c r="N18" i="4" l="1"/>
  <c r="F10" i="4"/>
  <c r="K19" i="2"/>
  <c r="K18" i="2"/>
  <c r="J15" i="2"/>
  <c r="K94" i="2" s="1"/>
  <c r="S21" i="2"/>
  <c r="S19" i="2"/>
  <c r="S18" i="2"/>
  <c r="S17" i="2"/>
  <c r="S15" i="2"/>
  <c r="K57" i="2"/>
  <c r="L57" i="2" s="1"/>
  <c r="L50" i="2" l="1"/>
  <c r="K96" i="2" l="1"/>
  <c r="J14" i="4"/>
  <c r="H18" i="4"/>
  <c r="H14" i="4"/>
  <c r="H10" i="4"/>
  <c r="L84" i="9" l="1"/>
  <c r="L74" i="9"/>
  <c r="L64" i="9"/>
  <c r="H34" i="9"/>
  <c r="H86" i="9" s="1"/>
  <c r="J34" i="9"/>
  <c r="H85" i="9" s="1"/>
  <c r="J25" i="9"/>
  <c r="H75" i="9" s="1"/>
  <c r="H25" i="9"/>
  <c r="H76" i="9" s="1"/>
  <c r="H17" i="9"/>
  <c r="H66" i="9" s="1"/>
  <c r="J17" i="9"/>
  <c r="H65" i="9" s="1"/>
  <c r="K97" i="2"/>
  <c r="J10" i="4" l="1"/>
  <c r="J18" i="4"/>
  <c r="Q20" i="2"/>
  <c r="P16" i="2"/>
  <c r="S16" i="2" l="1"/>
  <c r="J16" i="2"/>
  <c r="K20" i="2"/>
  <c r="S20"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l="1"/>
  <c r="L70" i="2" s="1"/>
  <c r="K95" i="2"/>
</calcChain>
</file>

<file path=xl/sharedStrings.xml><?xml version="1.0" encoding="utf-8"?>
<sst xmlns="http://schemas.openxmlformats.org/spreadsheetml/2006/main" count="7627" uniqueCount="1656">
  <si>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</si>
  <si>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</si>
  <si>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</si>
  <si>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</si>
  <si>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</si>
  <si>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</si>
  <si>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</si>
  <si>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</si>
  <si>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</si>
  <si>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</si>
  <si>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</si>
  <si>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</si>
  <si>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</si>
  <si>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</si>
  <si>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</si>
  <si>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</si>
  <si>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</si>
  <si>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</si>
  <si>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</si>
  <si>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</si>
  <si>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</si>
  <si>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</si>
  <si>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</si>
  <si>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</si>
  <si>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</si>
  <si>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</si>
  <si>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</si>
  <si>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</si>
  <si>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</si>
  <si>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</si>
  <si>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</si>
  <si>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</si>
  <si>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</si>
  <si>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</si>
  <si>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</si>
  <si>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</si>
  <si>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</si>
  <si>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</si>
  <si>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</si>
  <si>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</si>
  <si>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</si>
  <si>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</si>
  <si>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</si>
  <si>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</si>
  <si>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</si>
  <si>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</si>
  <si>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</si>
  <si>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</si>
  <si>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</si>
  <si>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</si>
  <si>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</si>
  <si>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</si>
  <si>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</si>
  <si>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</si>
  <si>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</si>
  <si>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</si>
  <si>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</si>
  <si>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</si>
  <si>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</si>
  <si>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</si>
  <si>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</si>
  <si>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</si>
  <si>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</si>
  <si>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</si>
  <si>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</si>
  <si>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</si>
  <si>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</si>
  <si>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</si>
  <si>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</si>
  <si>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</si>
  <si>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</si>
  <si>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</si>
  <si>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</si>
  <si>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</si>
  <si>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</si>
  <si>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</si>
  <si>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</si>
  <si>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</si>
  <si>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</si>
  <si>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</si>
  <si>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</si>
  <si>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</si>
  <si>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</si>
  <si>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</si>
  <si>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</si>
  <si>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</si>
  <si>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</si>
  <si>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</si>
  <si>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</si>
  <si>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</si>
  <si>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</si>
  <si>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</si>
  <si>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</si>
  <si>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</si>
  <si>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</si>
  <si>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</si>
  <si>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</si>
  <si>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</si>
  <si>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</si>
  <si>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</si>
  <si>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</si>
  <si>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</si>
  <si>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</si>
  <si>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</si>
  <si>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</si>
  <si>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</si>
  <si>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</si>
  <si>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</si>
  <si>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</si>
  <si>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</si>
  <si>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</si>
  <si>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</si>
  <si>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</si>
  <si>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</si>
  <si>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</si>
  <si>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</si>
  <si>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</si>
  <si>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</si>
  <si>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</si>
  <si>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</si>
  <si>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</si>
  <si>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</si>
  <si>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</si>
  <si>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</si>
  <si>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</si>
  <si>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</si>
  <si>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</si>
  <si>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</si>
  <si>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</si>
  <si>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</si>
  <si>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</si>
  <si>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</si>
  <si>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</si>
  <si>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</si>
  <si>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</si>
  <si>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</si>
  <si>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</si>
  <si>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</si>
  <si>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</si>
  <si>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</si>
  <si>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</si>
  <si>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</si>
  <si>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</si>
  <si>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</si>
  <si>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</si>
  <si>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</si>
  <si>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</si>
  <si>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</si>
  <si>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</si>
  <si>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</si>
  <si>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</si>
  <si>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</si>
  <si>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</si>
  <si>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</si>
  <si>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</si>
  <si>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</si>
  <si>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</si>
  <si>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</si>
  <si>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</si>
  <si>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</si>
  <si>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</si>
  <si>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</si>
  <si>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</si>
  <si>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</si>
  <si>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</si>
  <si>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</si>
  <si>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</si>
  <si>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</si>
  <si>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</si>
  <si>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</si>
  <si>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</si>
  <si>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</si>
  <si>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</si>
  <si>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</si>
  <si>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</si>
  <si>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</si>
  <si>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</si>
  <si>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</si>
  <si>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</si>
  <si>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</si>
  <si>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</si>
  <si>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</si>
  <si>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</si>
  <si>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</si>
  <si>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</si>
  <si>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</si>
  <si>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</si>
  <si>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</si>
  <si>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</si>
  <si>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</si>
  <si>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</si>
  <si>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</si>
  <si>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</si>
  <si>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</si>
  <si>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</si>
  <si>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</si>
  <si>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</si>
  <si>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</si>
  <si>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</si>
  <si>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</si>
  <si>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</si>
  <si>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</si>
  <si>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</si>
  <si>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</si>
  <si>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</si>
  <si>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</si>
  <si>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</si>
  <si>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</si>
  <si>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</si>
  <si>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</si>
  <si>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</si>
  <si>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</si>
  <si>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</si>
  <si>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</si>
  <si>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</si>
  <si>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</si>
  <si>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</si>
  <si>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</si>
  <si>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</si>
  <si>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</si>
  <si>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</si>
  <si>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</si>
  <si>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</si>
  <si>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</si>
  <si>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</si>
  <si>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</si>
  <si>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</si>
  <si>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</si>
  <si>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</si>
  <si>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</si>
  <si>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</si>
  <si>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</si>
  <si>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</si>
  <si>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</si>
  <si>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</si>
  <si>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</si>
  <si>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</si>
  <si>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</si>
  <si>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</si>
  <si>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</si>
  <si>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</si>
  <si>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</si>
  <si>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</si>
  <si>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</si>
  <si>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</si>
  <si>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</si>
  <si>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</si>
  <si>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</si>
  <si>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</si>
  <si>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</si>
  <si>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</si>
  <si>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</si>
  <si>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</si>
  <si>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</si>
  <si>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</si>
  <si>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</si>
  <si>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</si>
  <si>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</si>
  <si>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</si>
  <si>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</si>
  <si>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</si>
  <si>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</si>
  <si>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</si>
  <si>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</si>
  <si>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</si>
  <si>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</si>
  <si>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</si>
  <si>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</si>
  <si>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</si>
  <si>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</si>
  <si>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</si>
  <si>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</si>
  <si>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</si>
  <si>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</si>
  <si>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</si>
  <si>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</si>
  <si>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</si>
  <si>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</si>
  <si>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</si>
  <si>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</si>
  <si>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</si>
  <si>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</si>
  <si>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</si>
  <si>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</si>
  <si>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</si>
  <si>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</si>
  <si>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</si>
  <si>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</si>
  <si>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</si>
  <si>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</si>
  <si>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</si>
  <si>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</si>
  <si>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</si>
  <si>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</si>
  <si>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</si>
  <si>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</si>
  <si>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</si>
  <si>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</si>
  <si>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</si>
  <si>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</si>
  <si>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</si>
  <si>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</si>
  <si>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</si>
  <si>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</si>
  <si>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</si>
  <si>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</si>
  <si>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</si>
  <si>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</si>
  <si>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</si>
  <si>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</si>
  <si>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</si>
  <si>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</si>
  <si>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</si>
  <si>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</si>
  <si>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</si>
  <si>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</si>
  <si>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</si>
  <si>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</si>
  <si>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</si>
  <si>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</si>
  <si>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</si>
  <si>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</si>
  <si>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</si>
  <si>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</si>
  <si>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</si>
  <si>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</si>
  <si>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</si>
  <si>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</si>
  <si>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</si>
  <si>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</si>
  <si>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</si>
  <si>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</si>
  <si>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</si>
  <si>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</si>
  <si>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</si>
  <si>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</si>
  <si>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</si>
  <si>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</si>
  <si>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</si>
  <si>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</si>
  <si>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</si>
  <si>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</si>
  <si>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</si>
  <si>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</si>
  <si>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</si>
  <si>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</si>
  <si>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</si>
  <si>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</si>
  <si>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</si>
  <si>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</si>
  <si>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</si>
  <si>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</si>
  <si>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</si>
  <si>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</si>
  <si>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</si>
  <si>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</si>
  <si>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</si>
  <si>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</si>
  <si>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</si>
  <si>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</si>
  <si>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</si>
  <si>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</si>
  <si>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</si>
  <si>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</si>
  <si>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</si>
  <si>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</si>
  <si>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</si>
  <si>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</si>
  <si>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</si>
  <si>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</si>
  <si>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</si>
  <si>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</si>
  <si>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</si>
  <si>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</si>
  <si>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</si>
  <si>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</si>
  <si>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</si>
  <si>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</si>
  <si>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</si>
  <si>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</si>
  <si>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</si>
  <si>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</si>
  <si>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</si>
  <si>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</si>
  <si>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</si>
  <si>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</si>
  <si>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</si>
  <si>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</si>
  <si>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</si>
  <si>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</si>
  <si>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</si>
  <si>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</si>
  <si>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</si>
  <si>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</si>
  <si>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</si>
  <si>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</si>
  <si>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</si>
  <si>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</si>
  <si>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</si>
  <si>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</si>
  <si>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</si>
  <si>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</si>
  <si>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</si>
  <si>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</si>
  <si>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</si>
  <si>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</si>
  <si>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</si>
  <si>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</si>
  <si>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</si>
  <si>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</si>
  <si>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</si>
  <si>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</si>
  <si>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</si>
  <si>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</si>
  <si>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</si>
  <si>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</si>
  <si>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</si>
  <si>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</si>
  <si>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</si>
  <si>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</si>
  <si>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</si>
  <si>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</si>
  <si>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</si>
  <si>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</si>
  <si>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</si>
  <si>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</si>
  <si>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</si>
  <si>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</si>
  <si>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</si>
  <si>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</si>
  <si>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</si>
  <si>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</si>
  <si>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</si>
  <si>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</si>
  <si>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</si>
  <si>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</si>
  <si>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</si>
  <si>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</si>
  <si>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</si>
  <si>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</si>
  <si>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</si>
  <si>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</si>
  <si>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</si>
  <si>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</si>
  <si>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</si>
  <si>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</si>
  <si>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</si>
  <si>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</si>
  <si>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</si>
  <si>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</si>
  <si>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</si>
  <si>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</si>
  <si>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</si>
  <si>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</si>
  <si>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</si>
  <si>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</si>
  <si>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</si>
  <si>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</si>
  <si>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</si>
  <si>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</si>
  <si>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</si>
  <si>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</si>
  <si>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</si>
  <si>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</si>
  <si>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</si>
  <si>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</si>
  <si>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</si>
  <si>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</si>
  <si>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</si>
  <si>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</si>
  <si>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</si>
  <si>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</si>
  <si>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</si>
  <si>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</si>
  <si>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</si>
  <si>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</si>
  <si>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</si>
  <si>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</si>
  <si>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</si>
  <si>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</si>
  <si>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</si>
  <si>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</si>
  <si>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</si>
  <si>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</si>
  <si>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</si>
  <si>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</si>
  <si>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</si>
  <si>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</si>
  <si>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</si>
  <si>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</si>
  <si>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</si>
  <si>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</si>
  <si>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</si>
  <si>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</si>
  <si>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</si>
  <si>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</si>
  <si>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</si>
  <si>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</si>
  <si>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</si>
  <si>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</si>
  <si>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</si>
  <si>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</si>
  <si>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</si>
  <si>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</si>
  <si>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</si>
  <si>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</si>
  <si>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</si>
  <si>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</si>
  <si>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</si>
  <si>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</si>
  <si>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</si>
  <si>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</si>
  <si>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</si>
  <si>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</si>
  <si>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</si>
  <si>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</si>
  <si>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</si>
  <si>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</si>
  <si>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</si>
  <si>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</si>
  <si>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</si>
  <si>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</si>
  <si>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</si>
  <si>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</si>
  <si>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</si>
  <si>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</si>
  <si>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</si>
  <si>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</si>
  <si>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</si>
  <si>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</si>
  <si>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</si>
  <si>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</si>
  <si>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</si>
  <si>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</si>
  <si>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</si>
  <si>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</si>
  <si>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</si>
  <si>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</si>
  <si>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</si>
  <si>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</si>
  <si>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</si>
  <si>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</si>
  <si>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</si>
  <si>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</si>
  <si>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</si>
  <si>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</si>
  <si>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</si>
  <si>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</si>
  <si>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</si>
  <si>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</si>
  <si>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</si>
  <si>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</si>
  <si>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</si>
  <si>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</si>
  <si>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</si>
  <si>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</si>
  <si>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</si>
  <si>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</si>
  <si>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</si>
  <si>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</si>
  <si>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</si>
  <si>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</si>
  <si>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</si>
  <si>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</si>
  <si>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</si>
  <si>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</si>
  <si>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</si>
  <si>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</si>
  <si>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</si>
  <si>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</si>
  <si>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</si>
  <si>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</si>
  <si>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</si>
  <si>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</si>
  <si>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</si>
  <si>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</si>
  <si>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</si>
  <si>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</si>
  <si>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</si>
  <si>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</si>
  <si>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</si>
  <si>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</si>
  <si>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</si>
  <si>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</si>
  <si>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</si>
  <si>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</si>
  <si>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</si>
  <si>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</si>
  <si>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</si>
  <si>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</si>
  <si>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</si>
  <si>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</si>
  <si>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</si>
  <si>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</si>
  <si>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</si>
  <si>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</si>
  <si>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</si>
  <si>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</si>
  <si>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</si>
  <si>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</si>
  <si>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</si>
  <si>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</si>
  <si>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</si>
  <si>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</si>
  <si>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</si>
  <si>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</si>
  <si>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</si>
  <si>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</si>
  <si>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</si>
  <si>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</si>
  <si>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</si>
  <si>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</si>
  <si>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</si>
  <si>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</si>
  <si>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</si>
  <si>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</si>
  <si>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</si>
  <si>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</si>
  <si>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</si>
  <si>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</si>
  <si>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</si>
  <si>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</si>
  <si>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</si>
  <si>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</si>
  <si>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</si>
  <si>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</si>
  <si>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</si>
  <si>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</si>
  <si>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</si>
  <si>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</si>
  <si>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</si>
  <si>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</si>
  <si>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</si>
  <si>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</si>
  <si>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</si>
  <si>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</si>
  <si>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</si>
  <si>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</si>
  <si>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</si>
  <si>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</si>
  <si>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</si>
  <si>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</si>
  <si>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</si>
  <si>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</si>
  <si>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</si>
  <si>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</si>
  <si>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</si>
  <si>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</si>
  <si>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</si>
  <si>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</si>
  <si>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</si>
  <si>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</si>
  <si>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</si>
  <si>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</si>
  <si>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</si>
  <si>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</si>
  <si>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</si>
  <si>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</si>
  <si>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</si>
  <si>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</si>
  <si>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</si>
  <si>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</si>
  <si>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</si>
  <si>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</si>
  <si>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</si>
  <si>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</si>
  <si>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</si>
  <si>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</si>
  <si>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</si>
  <si>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</si>
  <si>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</si>
  <si>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</si>
  <si>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</si>
  <si>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</si>
  <si>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</si>
  <si>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</si>
  <si>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</si>
  <si>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</si>
  <si>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</si>
  <si>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</si>
  <si>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</si>
  <si>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</si>
  <si>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</si>
  <si>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</si>
  <si>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</si>
  <si>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</si>
  <si>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</si>
  <si>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</si>
  <si>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</si>
  <si>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</si>
  <si>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</si>
  <si>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</si>
  <si>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</si>
  <si>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</si>
  <si>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</si>
  <si>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</si>
  <si>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</si>
  <si>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</si>
  <si>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</si>
  <si>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</si>
  <si>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</si>
  <si>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</si>
  <si>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</si>
  <si>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</si>
  <si>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</si>
  <si>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</si>
  <si>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</si>
  <si>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</si>
  <si>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</si>
  <si>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</si>
  <si>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</si>
  <si>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</si>
  <si>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</si>
  <si>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</si>
  <si>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</si>
  <si>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</si>
  <si>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</si>
  <si>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</si>
  <si>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</si>
  <si>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</si>
  <si>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</si>
  <si>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</si>
  <si>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</si>
  <si>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</si>
  <si>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</si>
  <si>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</si>
  <si>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</si>
  <si>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</si>
  <si>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</si>
  <si>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</si>
  <si>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</si>
  <si>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</si>
  <si>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</si>
  <si>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</si>
  <si>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</si>
  <si>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</si>
  <si>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</si>
  <si>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</si>
  <si>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</si>
  <si>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</si>
  <si>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</si>
  <si>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</si>
  <si>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</si>
  <si>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</si>
  <si>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</si>
  <si>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</si>
  <si>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</si>
  <si>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</si>
  <si>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</si>
  <si>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</si>
  <si>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</si>
  <si>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</si>
  <si>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</si>
  <si>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</si>
  <si>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</si>
  <si>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</si>
  <si>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</si>
  <si>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</si>
  <si>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</si>
  <si>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</si>
  <si>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</si>
  <si>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</si>
  <si>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</si>
  <si>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</si>
  <si>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</si>
  <si>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</si>
  <si>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</si>
  <si>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</si>
  <si>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</si>
  <si>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</si>
  <si>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</si>
  <si>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</si>
  <si>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</si>
  <si>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</si>
  <si>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</si>
  <si>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</si>
  <si>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</si>
  <si>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</si>
  <si>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</si>
  <si>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</si>
  <si>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</si>
  <si>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</si>
  <si>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</si>
  <si>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</si>
  <si>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</si>
  <si>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</si>
  <si>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</si>
  <si>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</si>
  <si>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</si>
  <si>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</si>
  <si>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</si>
  <si>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</si>
  <si>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</si>
  <si>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</si>
  <si>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</si>
  <si>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</si>
  <si>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</si>
  <si>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</si>
  <si>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</si>
  <si>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</si>
  <si>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</si>
  <si>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</si>
  <si>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</si>
  <si>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</si>
  <si>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</si>
  <si>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</si>
  <si>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</si>
  <si>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</si>
  <si>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</si>
  <si>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</si>
  <si>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</si>
  <si>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</si>
  <si>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</si>
  <si>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</si>
  <si>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</si>
  <si>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</si>
  <si>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</si>
  <si>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</si>
  <si>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</si>
  <si>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</si>
  <si>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</si>
  <si>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</si>
  <si>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</si>
  <si>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</si>
  <si>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</si>
  <si>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</si>
  <si>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</si>
  <si>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</si>
  <si>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</si>
  <si>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</si>
  <si>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</si>
  <si>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</si>
  <si>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</si>
  <si>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</si>
  <si>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</si>
  <si>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</si>
  <si>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</si>
  <si>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</si>
  <si>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</si>
  <si>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</si>
  <si>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</si>
  <si>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</si>
  <si>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</si>
  <si>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</si>
  <si>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</si>
  <si>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</si>
  <si>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</si>
  <si>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</si>
  <si>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</si>
  <si>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</si>
  <si>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</si>
  <si>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</si>
  <si>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</si>
  <si>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</si>
  <si>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</si>
  <si>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</si>
  <si>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</si>
  <si>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</si>
  <si>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</si>
  <si>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</si>
  <si>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</si>
  <si>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</si>
  <si>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</si>
  <si>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</si>
  <si>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</si>
  <si>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</si>
  <si>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</si>
  <si>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</si>
  <si>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</si>
  <si>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</si>
  <si>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</si>
  <si>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</si>
  <si>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</si>
  <si>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</si>
  <si>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</si>
  <si>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</si>
  <si>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</si>
  <si>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</si>
  <si>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</si>
  <si>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</si>
  <si>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</si>
  <si>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</si>
  <si>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</si>
  <si>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</si>
  <si>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</si>
  <si>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</si>
  <si>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</si>
  <si>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</si>
  <si>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</si>
  <si>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</si>
  <si>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</si>
  <si>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</si>
  <si>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</si>
  <si>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</si>
  <si>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</si>
  <si>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</si>
  <si>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</si>
  <si>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</si>
  <si>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</si>
  <si>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</si>
  <si>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</si>
  <si>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</si>
  <si>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</si>
  <si>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</si>
  <si>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</si>
  <si>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</si>
  <si>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</si>
  <si>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</si>
  <si>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</si>
  <si>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</si>
  <si>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</si>
  <si>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</si>
  <si>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</si>
  <si>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</si>
  <si>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</si>
  <si>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</si>
  <si>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</si>
  <si>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</si>
  <si>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</si>
  <si>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</si>
  <si>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</si>
  <si>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</si>
  <si>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</si>
  <si>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</si>
  <si>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</si>
  <si>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</si>
  <si>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</si>
  <si>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</si>
  <si>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</si>
  <si>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</si>
  <si>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</si>
  <si>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</si>
  <si>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</si>
  <si>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</si>
  <si>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</si>
  <si>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</si>
  <si>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</si>
  <si>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</si>
  <si>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</si>
  <si>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</si>
  <si>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</si>
  <si>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</si>
  <si>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</si>
  <si>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</si>
  <si>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</si>
  <si>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</si>
  <si>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</si>
  <si>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</si>
  <si>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</si>
  <si>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</si>
  <si>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</si>
  <si>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</si>
  <si>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</si>
  <si>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</si>
  <si>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</si>
  <si>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</si>
  <si>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</si>
  <si>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</si>
  <si>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</si>
  <si>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</si>
  <si>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</si>
  <si>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</si>
  <si>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</si>
  <si>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</si>
  <si>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</si>
  <si>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</si>
  <si>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</si>
  <si>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</si>
  <si>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</si>
  <si>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</si>
  <si>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</si>
  <si>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</si>
  <si>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</si>
  <si>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</si>
  <si>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</si>
  <si>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</si>
  <si>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</si>
  <si>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</si>
  <si>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</si>
  <si>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</si>
  <si>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</si>
  <si>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</si>
  <si>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</si>
  <si>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</si>
  <si>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</si>
  <si>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</si>
  <si>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</si>
  <si>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</si>
  <si>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</si>
  <si>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</si>
  <si>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</si>
  <si>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</si>
  <si>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</si>
  <si>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</si>
  <si>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</si>
  <si>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</si>
  <si>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</si>
  <si>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</si>
  <si>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</si>
  <si>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</si>
  <si>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</si>
  <si>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</si>
  <si>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</si>
  <si>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</si>
  <si>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</si>
  <si>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</si>
  <si>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</si>
  <si>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</si>
  <si>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</si>
  <si>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</si>
  <si>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</si>
  <si>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</si>
  <si>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</si>
  <si>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</si>
  <si>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</si>
  <si>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</si>
  <si>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</si>
  <si>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</si>
  <si>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</si>
  <si>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</si>
  <si>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</si>
  <si>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</si>
  <si>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</si>
  <si>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</si>
  <si>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</si>
  <si>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</si>
  <si>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</si>
  <si>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</si>
  <si>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</si>
  <si>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</si>
  <si>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</si>
  <si>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</si>
  <si>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</si>
  <si>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</si>
  <si>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</si>
  <si>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</si>
  <si>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</si>
  <si>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</si>
  <si>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</si>
  <si>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</si>
  <si>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</si>
  <si>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</si>
  <si>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</si>
  <si>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</si>
  <si>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</si>
  <si>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</si>
  <si>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</si>
  <si>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</si>
  <si>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</si>
  <si>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</si>
  <si>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</si>
  <si>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</si>
  <si>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</si>
  <si>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</si>
  <si>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</si>
  <si>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</si>
  <si>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</si>
  <si>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</si>
  <si>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</si>
  <si>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</si>
  <si>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</si>
  <si>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</si>
  <si>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</si>
  <si>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</si>
  <si>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</si>
  <si>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</si>
  <si>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</si>
  <si>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</si>
  <si>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</si>
  <si>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</si>
  <si>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</si>
  <si>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</si>
  <si>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</si>
  <si>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</si>
  <si>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</si>
  <si>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</si>
  <si>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</si>
  <si>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</si>
  <si>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</si>
  <si>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</si>
  <si>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</si>
  <si>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</si>
  <si>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</si>
  <si>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</si>
  <si>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</si>
  <si>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</si>
  <si>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</si>
  <si>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</si>
  <si>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</si>
  <si>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</si>
  <si>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</si>
  <si>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</si>
  <si>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</si>
  <si>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</si>
  <si>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</si>
  <si>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</si>
  <si>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</si>
  <si>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</si>
  <si>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</si>
  <si>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</si>
  <si>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</si>
  <si>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</si>
  <si>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</si>
  <si>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</si>
  <si>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</si>
  <si>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</si>
  <si>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</si>
  <si>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</si>
  <si>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</si>
  <si>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</si>
  <si>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</si>
  <si>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</si>
  <si>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</si>
  <si>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</si>
  <si>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</si>
  <si>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</si>
  <si>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</si>
  <si>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</si>
  <si>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</si>
  <si>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</si>
  <si>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</si>
  <si>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</si>
  <si>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</si>
  <si>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</si>
  <si>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</si>
  <si>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</si>
  <si>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</si>
  <si>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</si>
  <si>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</si>
  <si>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</si>
  <si>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</si>
  <si>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</si>
  <si>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</si>
  <si>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</si>
  <si>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</si>
  <si>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</si>
  <si>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</si>
  <si>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</si>
  <si>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</si>
  <si>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</si>
  <si>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</si>
  <si>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</si>
  <si>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</si>
  <si>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</si>
  <si>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</si>
  <si>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</si>
  <si>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</si>
  <si>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</si>
  <si>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</si>
  <si>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</si>
  <si>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</si>
  <si>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</si>
  <si>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</si>
  <si>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</si>
  <si>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</si>
  <si>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</si>
  <si>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</si>
  <si>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</si>
  <si>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</si>
  <si>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</si>
  <si>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</si>
  <si>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</si>
  <si>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</si>
  <si>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</si>
  <si>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</si>
  <si>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</si>
  <si>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</si>
  <si>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</si>
  <si>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</si>
  <si>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</si>
  <si>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</si>
  <si>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</si>
  <si>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</si>
  <si>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</si>
  <si>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</si>
  <si>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</si>
  <si>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</si>
  <si>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</si>
  <si>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</si>
  <si>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</si>
  <si>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</si>
  <si>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</si>
  <si>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</si>
  <si>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</si>
  <si>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</si>
  <si>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</si>
  <si>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</si>
  <si>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</si>
  <si>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</si>
  <si>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</si>
  <si>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</si>
  <si>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</si>
  <si>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</si>
  <si>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</si>
  <si>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</si>
  <si>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</si>
  <si>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</si>
  <si>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</si>
  <si>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</si>
  <si>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</si>
  <si>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</si>
  <si>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</si>
  <si>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</si>
  <si>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</si>
  <si>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</si>
  <si>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</si>
  <si>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</si>
  <si>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</si>
  <si>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</si>
  <si>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</si>
  <si>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</si>
  <si>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</si>
  <si>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</si>
  <si>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</si>
  <si>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</si>
  <si>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</si>
  <si>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</si>
  <si>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</si>
  <si>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</si>
  <si>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</si>
  <si>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</si>
  <si>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</si>
  <si>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</si>
  <si>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</si>
  <si>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</si>
  <si>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</si>
  <si>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</si>
  <si>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</si>
  <si>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</si>
  <si>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</si>
  <si>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</si>
  <si>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</si>
  <si>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</si>
  <si>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</si>
  <si>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</si>
  <si>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</si>
  <si>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</si>
  <si>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</si>
  <si>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</si>
  <si>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</si>
  <si>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</si>
  <si>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</si>
  <si>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</si>
  <si>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</si>
  <si>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</si>
  <si>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</si>
  <si>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</si>
  <si>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</si>
  <si>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</si>
  <si>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</si>
  <si>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</si>
  <si>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</si>
  <si>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</si>
  <si>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</si>
  <si>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</si>
  <si>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</si>
  <si>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</si>
  <si>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</si>
  <si>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</si>
  <si>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</si>
  <si>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</si>
  <si>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</si>
  <si>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</si>
  <si>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</si>
  <si>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</si>
  <si>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</si>
  <si>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</si>
  <si>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</si>
  <si>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</si>
  <si>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</si>
  <si>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</si>
  <si>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</si>
  <si>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</si>
  <si>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</si>
  <si>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</si>
  <si>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</si>
  <si>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</si>
  <si>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</si>
  <si>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</si>
  <si>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</si>
  <si>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</si>
  <si>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</si>
  <si>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</si>
  <si>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</si>
  <si>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</si>
  <si>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</si>
  <si>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</si>
  <si>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</si>
  <si>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</si>
  <si>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</si>
  <si>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</si>
  <si>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</si>
  <si>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</si>
  <si>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</si>
  <si>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</si>
  <si>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</si>
  <si>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</si>
  <si>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</si>
  <si>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</si>
  <si>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</si>
  <si>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</si>
  <si>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</si>
  <si>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</si>
  <si>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</si>
  <si>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</si>
  <si>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</si>
  <si>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</si>
  <si>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</si>
  <si>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</si>
  <si>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</si>
  <si>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</si>
  <si>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</si>
  <si>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</si>
  <si>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</si>
  <si>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</si>
  <si>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</si>
  <si>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</si>
  <si>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</si>
  <si>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</si>
  <si>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</si>
  <si>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</si>
  <si>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</si>
  <si>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</si>
  <si>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</si>
  <si>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</si>
  <si>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</si>
  <si>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</si>
  <si>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</si>
  <si>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</si>
  <si>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</si>
  <si>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</si>
  <si>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</si>
  <si>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</si>
  <si>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</si>
  <si>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</si>
  <si>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</si>
  <si>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</si>
  <si>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</si>
  <si>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</si>
  <si>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</si>
  <si>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</si>
  <si>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</si>
  <si>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</si>
  <si>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</si>
  <si>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</si>
  <si>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</si>
  <si>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</si>
  <si>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</si>
  <si>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</si>
  <si>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</si>
  <si>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</si>
  <si>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</si>
  <si>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</si>
  <si>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</si>
  <si>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</si>
  <si>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</si>
  <si>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</si>
  <si>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</si>
  <si>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</si>
  <si>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</si>
  <si>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</si>
  <si>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</si>
  <si>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</si>
  <si>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</si>
  <si>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</si>
  <si>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</si>
  <si>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</si>
  <si>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</si>
  <si>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</si>
  <si>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</si>
  <si>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</si>
  <si>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</si>
  <si>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</si>
  <si>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</si>
  <si>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</si>
  <si>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</si>
  <si>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</si>
  <si>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</si>
  <si>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</si>
  <si>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</si>
  <si>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</si>
  <si>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</si>
  <si>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</si>
  <si>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</si>
  <si>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</si>
  <si>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</si>
  <si>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</si>
  <si>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</si>
  <si>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</si>
  <si>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</si>
  <si>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</si>
  <si>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</si>
  <si>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</si>
  <si>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</si>
  <si>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</si>
  <si>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</si>
  <si>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</si>
  <si>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</si>
  <si>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</si>
  <si>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</si>
  <si>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</si>
  <si>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</si>
  <si>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</si>
  <si>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</si>
  <si>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</si>
  <si>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</si>
  <si>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</si>
  <si>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</si>
  <si>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</si>
  <si>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</si>
  <si>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</si>
  <si>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</si>
  <si>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</si>
  <si>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</si>
  <si>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</si>
  <si>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</si>
  <si>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</si>
  <si>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</si>
  <si>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</si>
  <si>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</si>
  <si>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</si>
  <si>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</si>
  <si>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</si>
  <si>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</si>
  <si>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</si>
  <si>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</si>
  <si>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</si>
  <si>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</si>
  <si>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</si>
  <si>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</si>
  <si>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</si>
  <si>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</si>
  <si>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</si>
  <si>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</si>
  <si>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</si>
  <si>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</si>
  <si>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</si>
  <si>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</si>
  <si>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</si>
  <si>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</si>
  <si>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</si>
  <si>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</si>
  <si>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</si>
  <si>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</si>
  <si>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</si>
  <si>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</si>
  <si>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</si>
  <si>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</si>
  <si>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</si>
  <si>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</si>
  <si>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</si>
  <si>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</si>
  <si>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</si>
  <si>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</si>
  <si>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</si>
  <si>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</si>
  <si>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</si>
  <si>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</si>
  <si>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</si>
  <si>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</si>
  <si>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</si>
  <si>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</si>
  <si>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</si>
  <si>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</si>
  <si>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</si>
  <si>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</si>
  <si>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</si>
  <si>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</si>
  <si>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</si>
  <si>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</si>
  <si>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</si>
  <si>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</si>
  <si>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</si>
  <si>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</si>
  <si>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</si>
  <si>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</si>
  <si>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</si>
  <si>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</si>
  <si>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</si>
  <si>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</si>
  <si>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</si>
  <si>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</si>
  <si>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</si>
  <si>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</si>
  <si>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</si>
  <si>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</si>
  <si>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</si>
  <si>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</si>
  <si>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</si>
  <si>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</si>
  <si>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</si>
  <si>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</si>
  <si>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</si>
  <si>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</si>
  <si>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</si>
  <si>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</si>
  <si>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</si>
  <si>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</si>
  <si>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</si>
  <si>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</si>
  <si>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</si>
  <si>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</si>
  <si>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</si>
  <si>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</si>
  <si>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</si>
  <si>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</si>
  <si>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</si>
  <si>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</si>
  <si>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</si>
  <si>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</si>
  <si>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</si>
  <si>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</si>
  <si>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</si>
  <si>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</si>
  <si>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</si>
  <si>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</si>
  <si>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</si>
  <si>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</si>
  <si>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</si>
  <si>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</si>
  <si>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</si>
  <si>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</si>
  <si>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</si>
  <si>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</si>
  <si>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</si>
  <si>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</si>
  <si>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</si>
  <si>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</si>
  <si>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</si>
  <si>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</si>
  <si>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</si>
  <si>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</si>
  <si>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</si>
  <si>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</si>
  <si>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</si>
  <si>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</si>
  <si>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</si>
  <si>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</si>
  <si>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</si>
  <si>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</si>
  <si>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</si>
  <si>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</si>
  <si>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</si>
  <si>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</si>
  <si>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</si>
  <si>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</si>
  <si>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</si>
  <si>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</si>
  <si>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</si>
  <si>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</si>
  <si>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</si>
  <si>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</si>
  <si>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</si>
  <si>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</si>
  <si>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</si>
  <si>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</si>
  <si>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</si>
  <si>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</si>
  <si>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</si>
  <si>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</si>
  <si>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</si>
  <si>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</si>
  <si>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</si>
  <si>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</si>
  <si>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</si>
  <si>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</si>
  <si>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</si>
  <si>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</si>
  <si>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</si>
  <si>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</si>
  <si>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</si>
  <si>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</si>
  <si>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</si>
  <si>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</si>
  <si>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</si>
  <si>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</si>
  <si>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</si>
  <si>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</si>
  <si>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</si>
  <si>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</si>
  <si>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</si>
  <si>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</si>
  <si>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</si>
  <si>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</si>
  <si>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</si>
  <si>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</si>
  <si>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</si>
  <si>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</si>
  <si>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</si>
  <si>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</si>
  <si>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</si>
  <si>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</si>
  <si>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</si>
  <si>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</si>
  <si>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</si>
  <si>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</si>
  <si>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</si>
  <si>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</si>
  <si>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</si>
  <si>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</si>
  <si>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</si>
  <si>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</si>
  <si>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</si>
  <si>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</si>
  <si>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</si>
  <si>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</si>
  <si>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</si>
  <si>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</si>
  <si>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</si>
  <si>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</si>
  <si>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</si>
  <si>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</si>
  <si>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</si>
  <si>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</si>
  <si>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</si>
  <si>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</si>
  <si>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</si>
  <si>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</si>
  <si>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</si>
  <si>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</si>
  <si>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</si>
  <si>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</si>
  <si>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</si>
  <si>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</si>
  <si>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</si>
  <si>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</si>
  <si>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</si>
  <si>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</si>
  <si>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</si>
  <si>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</si>
  <si>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</si>
  <si>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</si>
  <si>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</si>
  <si>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</si>
  <si>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</si>
  <si>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</si>
  <si>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</si>
  <si>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</si>
  <si>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</si>
  <si>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</si>
  <si>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</si>
  <si>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</si>
  <si>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</si>
  <si>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</si>
  <si>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</si>
  <si>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</si>
  <si>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</si>
  <si>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</si>
  <si>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</si>
  <si>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</si>
  <si>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</si>
  <si>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</si>
  <si>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</si>
  <si>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</si>
  <si>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</si>
  <si>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Franchise Tax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</si>
</sst>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K38" sqref="K38"/>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1133</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1</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GENERAL GOVERNMENT</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7766043</v>
      </c>
      <c r="K15" s="42"/>
      <c r="M15" s="105">
        <v>7766043</v>
      </c>
      <c r="P15" s="105">
        <v>7669075</v>
      </c>
      <c r="S15" s="43">
        <f>M15-P15</f>
        <v>96968</v>
      </c>
      <c r="T15" s="44" t="s">
        <v>1634</v>
      </c>
    </row>
    <row r="16" spans="1:25" ht="16.5" customHeight="1" x14ac:dyDescent="0.2">
      <c r="A16" s="45"/>
      <c r="B16" s="178" t="s">
        <v>1582</v>
      </c>
      <c r="C16" s="178"/>
      <c r="D16" s="178"/>
      <c r="E16" s="178"/>
      <c r="F16" s="178"/>
      <c r="G16" s="178"/>
      <c r="H16" s="178"/>
      <c r="I16" s="178"/>
      <c r="J16" s="41">
        <f>ROUND(P16,0)</f>
        <v>0</v>
      </c>
      <c r="K16" s="42"/>
      <c r="M16" s="105">
        <v>0</v>
      </c>
      <c r="P16" s="46">
        <f>IF(SUM($Q$18:$Q$19)&gt;$P$15,SUM($Q$18:$Q$19)-$P$15,0)</f>
        <v>0</v>
      </c>
      <c r="S16" s="43">
        <f>M16-P16</f>
        <v>0</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v>0</v>
      </c>
      <c r="P17" s="48"/>
      <c r="S17" s="43">
        <f>M17-P17</f>
        <v>0</v>
      </c>
      <c r="T17" s="47" t="s">
        <v>1635</v>
      </c>
    </row>
    <row r="18" spans="1:25" ht="16.5" customHeight="1" x14ac:dyDescent="0.2">
      <c r="A18" s="45"/>
      <c r="B18" s="20"/>
      <c r="C18" s="178" t="s">
        <v>1581</v>
      </c>
      <c r="D18" s="178"/>
      <c r="E18" s="178"/>
      <c r="F18" s="178"/>
      <c r="G18" s="178"/>
      <c r="H18" s="178"/>
      <c r="I18" s="178"/>
      <c r="J18" s="42"/>
      <c r="K18" s="41">
        <f>ROUND(N18,0)</f>
        <v>1412335</v>
      </c>
      <c r="N18" s="105">
        <v>1412335</v>
      </c>
      <c r="Q18" s="105">
        <v>1409642</v>
      </c>
      <c r="S18" s="43">
        <f>N18-Q18</f>
        <v>2693</v>
      </c>
      <c r="T18" s="47" t="s">
        <v>1635</v>
      </c>
    </row>
    <row r="19" spans="1:25" ht="16.5" customHeight="1" x14ac:dyDescent="0.25">
      <c r="A19" s="45"/>
      <c r="B19" s="49"/>
      <c r="C19" s="178" t="s">
        <v>1618</v>
      </c>
      <c r="D19" s="178"/>
      <c r="E19" s="178"/>
      <c r="F19" s="178"/>
      <c r="G19" s="178"/>
      <c r="H19" s="178"/>
      <c r="I19" s="178"/>
      <c r="J19" s="42"/>
      <c r="K19" s="41">
        <f>ROUND(N19,0)</f>
        <v>4746547</v>
      </c>
      <c r="N19" s="105">
        <v>4746547</v>
      </c>
      <c r="Q19" s="105">
        <v>4683971</v>
      </c>
      <c r="S19" s="43">
        <f>N19-Q19</f>
        <v>62576</v>
      </c>
      <c r="T19" s="47" t="s">
        <v>1635</v>
      </c>
      <c r="X19" s="18"/>
    </row>
    <row r="20" spans="1:25" ht="16.5" customHeight="1" x14ac:dyDescent="0.25">
      <c r="A20" s="45"/>
      <c r="B20" s="49"/>
      <c r="C20" s="178" t="s">
        <v>1584</v>
      </c>
      <c r="D20" s="178"/>
      <c r="E20" s="178"/>
      <c r="F20" s="178"/>
      <c r="G20" s="178"/>
      <c r="H20" s="178"/>
      <c r="I20" s="178"/>
      <c r="K20" s="41">
        <f>ROUND(Q20,0)</f>
        <v>1575462</v>
      </c>
      <c r="N20" s="105">
        <v>1607161</v>
      </c>
      <c r="Q20" s="46">
        <f>IF(SUM($Q$18:$Q$19)&lt;$P$15,-SUM($Q$18:$Q$19)+$P$15,0)</f>
        <v>1575462</v>
      </c>
      <c r="S20" s="43">
        <f>N20-Q20</f>
        <v>31699</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31699</v>
      </c>
      <c r="N21" s="105"/>
      <c r="S21" s="43">
        <f>N21-Q21</f>
        <v>0</v>
      </c>
      <c r="T21" s="47" t="s">
        <v>1635</v>
      </c>
      <c r="Y21" s="19"/>
    </row>
    <row r="22" spans="1:25" ht="16.5" customHeight="1" x14ac:dyDescent="0.2">
      <c r="A22" s="45"/>
      <c r="B22" s="50"/>
      <c r="C22" s="50"/>
      <c r="D22" s="50"/>
      <c r="E22" s="50"/>
      <c r="F22" s="50"/>
      <c r="G22" s="50"/>
      <c r="H22" s="50"/>
      <c r="I22" s="50"/>
      <c r="J22" s="51">
        <f>ROUND(SUM(J15:J17),0)</f>
        <v>7766043</v>
      </c>
      <c r="K22" s="51">
        <f>ROUND(SUM(K18:K21),0)</f>
        <v>7766043</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v>6142496</v>
      </c>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v>6142496</v>
      </c>
      <c r="L29" s="37"/>
      <c r="M29" s="37"/>
      <c r="N29" s="37"/>
      <c r="O29" s="37"/>
      <c r="P29" s="37"/>
      <c r="Q29" s="37"/>
      <c r="R29" s="37"/>
      <c r="S29" s="37"/>
      <c r="T29" s="37"/>
    </row>
    <row r="30" spans="1:25" ht="16.5" customHeight="1" x14ac:dyDescent="0.25">
      <c r="A30" s="45"/>
      <c r="B30" s="49"/>
      <c r="C30" s="178" t="str">
        <f>VLOOKUP($F$8,'Drop Down Menus'!$D$2:$G$10,4,FALSE)</f>
        <v>Cr: Acct 0808 - GENERAL GOV. (GAAP ADJ)</v>
      </c>
      <c r="D30" s="178"/>
      <c r="E30" s="178"/>
      <c r="F30" s="178"/>
      <c r="G30" s="178"/>
      <c r="H30" s="178"/>
      <c r="I30" s="178"/>
      <c r="J30" s="42"/>
      <c r="K30" s="105">
        <v>0</v>
      </c>
    </row>
    <row r="31" spans="1:25" ht="16.5" customHeight="1" x14ac:dyDescent="0.2">
      <c r="A31" s="65"/>
      <c r="B31" s="50"/>
      <c r="C31" s="50"/>
      <c r="D31" s="50"/>
      <c r="E31" s="50"/>
      <c r="F31" s="50"/>
      <c r="G31" s="50"/>
      <c r="H31" s="50"/>
      <c r="I31" s="50"/>
      <c r="J31" s="51">
        <f>ROUND(SUM(J28:J30),2)</f>
        <v>6142496</v>
      </c>
      <c r="K31" s="51">
        <f>ROUND(SUM(K28:K30),2)</f>
        <v>6142496</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v>6142496</v>
      </c>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v>6142496</v>
      </c>
      <c r="K35" s="68"/>
    </row>
    <row r="36" spans="1:20" ht="16.5" customHeight="1" x14ac:dyDescent="0.2">
      <c r="A36" s="45"/>
      <c r="B36" s="69"/>
      <c r="C36" s="178" t="s">
        <v>1575</v>
      </c>
      <c r="D36" s="178"/>
      <c r="E36" s="178"/>
      <c r="F36" s="178"/>
      <c r="G36" s="178"/>
      <c r="H36" s="178"/>
      <c r="I36" s="178"/>
      <c r="J36" s="68"/>
      <c r="K36" s="105">
        <v>6142496</v>
      </c>
    </row>
    <row r="37" spans="1:20" ht="16.5" customHeight="1" x14ac:dyDescent="0.2">
      <c r="A37" s="45"/>
      <c r="C37" s="178" t="s">
        <v>1618</v>
      </c>
      <c r="D37" s="178"/>
      <c r="E37" s="178"/>
      <c r="F37" s="178"/>
      <c r="G37" s="178"/>
      <c r="H37" s="178"/>
      <c r="I37" s="178"/>
      <c r="J37" s="68"/>
      <c r="K37" s="105">
        <v>6142496</v>
      </c>
    </row>
    <row r="38" spans="1:20" ht="16.5" customHeight="1" x14ac:dyDescent="0.25">
      <c r="A38" s="45"/>
      <c r="B38" s="49"/>
      <c r="C38" s="178" t="str">
        <f>VLOOKUP($F$8,'Drop Down Menus'!$D$2:$G$10,4,FALSE)</f>
        <v>Cr: Acct 0808 - GENERAL GOV. (GAAP ADJ)</v>
      </c>
      <c r="D38" s="178"/>
      <c r="E38" s="178"/>
      <c r="F38" s="178"/>
      <c r="G38" s="178"/>
      <c r="H38" s="178"/>
      <c r="I38" s="178"/>
      <c r="J38" s="68"/>
      <c r="K38" s="105">
        <v>0</v>
      </c>
    </row>
    <row r="39" spans="1:20" ht="16.5" customHeight="1" x14ac:dyDescent="0.2">
      <c r="A39" s="45"/>
      <c r="B39" s="70"/>
      <c r="C39" s="70"/>
      <c r="D39" s="70"/>
      <c r="E39" s="70"/>
      <c r="F39" s="70"/>
      <c r="G39" s="70"/>
      <c r="H39" s="70"/>
      <c r="I39" s="70"/>
      <c r="J39" s="51">
        <f>ROUND(SUM(J34:J35),2)</f>
        <v>12284992</v>
      </c>
      <c r="K39" s="51">
        <f>ROUND(SUM(K36:K38),2)</f>
        <v>12284992</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3203703</v>
      </c>
      <c r="K45" s="78"/>
    </row>
    <row r="46" spans="1:20" ht="16.5" customHeight="1" x14ac:dyDescent="0.2">
      <c r="A46" s="45"/>
      <c r="B46" s="69"/>
      <c r="C46" s="178" t="s">
        <v>1581</v>
      </c>
      <c r="D46" s="178"/>
      <c r="E46" s="178"/>
      <c r="F46" s="178"/>
      <c r="G46" s="178"/>
      <c r="H46" s="178"/>
      <c r="I46" s="178"/>
      <c r="J46" s="68"/>
      <c r="K46" s="105">
        <f>J45</f>
        <v>3203703</v>
      </c>
    </row>
    <row r="47" spans="1:20" ht="16.5" customHeight="1" x14ac:dyDescent="0.2">
      <c r="A47" s="65"/>
      <c r="B47" s="50"/>
      <c r="C47" s="50"/>
      <c r="D47" s="50"/>
      <c r="E47" s="50"/>
      <c r="F47" s="50"/>
      <c r="G47" s="50"/>
      <c r="H47" s="50"/>
      <c r="I47" s="50"/>
      <c r="J47" s="79">
        <f>ROUND(SUM(J45:J45),2)</f>
        <v>3203703</v>
      </c>
      <c r="K47" s="79">
        <f>ROUND(SUM(K46),2)</f>
        <v>3203703</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3878839</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158811</v>
      </c>
      <c r="K51" s="81"/>
    </row>
    <row r="52" spans="1:20" ht="16.5" customHeight="1" x14ac:dyDescent="0.25">
      <c r="A52" s="45"/>
      <c r="B52" s="49"/>
      <c r="C52" s="178" t="str">
        <f>VLOOKUP($F$8,'Drop Down Menus'!$D$2:$G$10,4,FALSE)</f>
        <v>Cr: Acct 0808 - GENERAL GOV. (GAAP ADJ)</v>
      </c>
      <c r="D52" s="178"/>
      <c r="E52" s="178"/>
      <c r="F52" s="178"/>
      <c r="G52" s="178"/>
      <c r="H52" s="178"/>
      <c r="I52" s="178"/>
      <c r="J52" s="81"/>
      <c r="K52" s="107">
        <v>4037650</v>
      </c>
    </row>
    <row r="53" spans="1:20" ht="16.5" customHeight="1" x14ac:dyDescent="0.2">
      <c r="A53" s="65"/>
      <c r="B53" s="50"/>
      <c r="C53" s="50"/>
      <c r="D53" s="50"/>
      <c r="E53" s="50"/>
      <c r="F53" s="50"/>
      <c r="G53" s="50"/>
      <c r="H53" s="50"/>
      <c r="I53" s="50"/>
      <c r="J53" s="79">
        <f>ROUND(SUM(J50:J51),2)</f>
        <v>4037650</v>
      </c>
      <c r="K53" s="79">
        <f>ROUND(SUM(K52,),2)</f>
        <v>4037650</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v>3878839</v>
      </c>
      <c r="K56" s="68"/>
    </row>
    <row r="57" spans="1:20" ht="16.5" customHeight="1" x14ac:dyDescent="0.25">
      <c r="A57" s="45"/>
      <c r="B57" s="49"/>
      <c r="C57" s="178" t="s">
        <v>1607</v>
      </c>
      <c r="D57" s="178"/>
      <c r="E57" s="178"/>
      <c r="F57" s="178"/>
      <c r="G57" s="178"/>
      <c r="H57" s="178"/>
      <c r="I57" s="178"/>
      <c r="J57" s="68"/>
      <c r="K57" s="105">
        <f>J50</f>
        <v>3878839</v>
      </c>
      <c r="L57" s="27" t="str">
        <f>IF($J$50=$K$57,"","&lt;- Accts 0848 must agree")</f>
        <v/>
      </c>
    </row>
    <row r="58" spans="1:20" ht="16.5" customHeight="1" x14ac:dyDescent="0.2">
      <c r="A58" s="65"/>
      <c r="B58" s="50"/>
      <c r="C58" s="50"/>
      <c r="D58" s="50"/>
      <c r="E58" s="50"/>
      <c r="F58" s="50"/>
      <c r="G58" s="50"/>
      <c r="H58" s="50"/>
      <c r="I58" s="50"/>
      <c r="J58" s="79">
        <f>ROUND(SUM(J56:J56),2)</f>
        <v>3878839</v>
      </c>
      <c r="K58" s="79">
        <f>ROUND(SUM(K57),2)</f>
        <v>3878839</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v>3457792</v>
      </c>
      <c r="K61" s="78"/>
    </row>
    <row r="62" spans="1:20" ht="16.5" customHeight="1" x14ac:dyDescent="0.25">
      <c r="A62" s="45"/>
      <c r="B62" s="49"/>
      <c r="C62" s="178" t="s">
        <v>1616</v>
      </c>
      <c r="D62" s="178"/>
      <c r="E62" s="178"/>
      <c r="F62" s="178"/>
      <c r="G62" s="178"/>
      <c r="H62" s="178"/>
      <c r="I62" s="178"/>
      <c r="J62" s="78"/>
      <c r="K62" s="105">
        <v>3457792</v>
      </c>
    </row>
    <row r="63" spans="1:20" ht="16.5" customHeight="1" x14ac:dyDescent="0.2">
      <c r="A63" s="45"/>
      <c r="B63" s="192" t="s">
        <v>1615</v>
      </c>
      <c r="C63" s="192"/>
      <c r="D63" s="192"/>
      <c r="E63" s="192"/>
      <c r="F63" s="192"/>
      <c r="G63" s="192"/>
      <c r="H63" s="192"/>
      <c r="I63" s="192"/>
      <c r="J63" s="79">
        <f>ROUND(SUM(J61:J61),2)</f>
        <v>3457792</v>
      </c>
      <c r="K63" s="79">
        <f>ROUND(SUM(K62),2)</f>
        <v>3457792</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v>727751</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v>727751</v>
      </c>
    </row>
    <row r="70" spans="1:20" ht="16.5" customHeight="1" x14ac:dyDescent="0.2">
      <c r="B70" s="50"/>
      <c r="H70" s="27"/>
      <c r="J70" s="51">
        <f>SUM(J68)</f>
        <v>727751</v>
      </c>
      <c r="K70" s="51">
        <f>SUM(K69)</f>
        <v>727751</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1619</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Menus'!$D$2:$G$10,3,FALSE)</f>
        <v>Dr: Acct 0808 - GENERAL GOV. (GAAP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0808 - GENERAL GOV. (GAAP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13180788</v>
      </c>
      <c r="N94" s="104"/>
    </row>
    <row r="95" spans="1:20" ht="16.5" customHeight="1" x14ac:dyDescent="0.25">
      <c r="D95" s="49" t="s">
        <v>1631</v>
      </c>
      <c r="E95" s="100"/>
      <c r="F95" s="100"/>
      <c r="G95" s="100"/>
      <c r="H95" s="27"/>
      <c r="I95" s="100"/>
      <c r="J95" s="100"/>
      <c r="K95" s="103">
        <f>-K18-K46+J68+J77</f>
        <v>-3888287</v>
      </c>
      <c r="N95" s="102"/>
    </row>
    <row r="96" spans="1:20" ht="16.5" customHeight="1" x14ac:dyDescent="0.25">
      <c r="D96" s="49" t="s">
        <v>1629</v>
      </c>
      <c r="E96" s="100"/>
      <c r="F96" s="100"/>
      <c r="G96" s="100"/>
      <c r="H96" s="27"/>
      <c r="I96" s="100"/>
      <c r="J96" s="100"/>
      <c r="K96" s="103">
        <f>-K19-K37+J56+J61+J76-K85</f>
        <v>-3552412</v>
      </c>
    </row>
    <row r="97" spans="1:11" ht="16.5" customHeight="1" x14ac:dyDescent="0.25">
      <c r="D97" s="49" t="s">
        <v>1630</v>
      </c>
      <c r="E97" s="100"/>
      <c r="F97" s="100"/>
      <c r="G97" s="100"/>
      <c r="H97" s="27"/>
      <c r="I97" s="100"/>
      <c r="J97" s="100"/>
      <c r="K97" s="103">
        <f>-K62</f>
        <v>-3457792</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e+rv+y7qeFXHojIOPvz44amTptFDOOyYcWpokxTJPe/kA5ORMJ8AJahYhASimnkdgjxuy2x9hsIVVjW6zbAIzw==" saltValue="OzLBcQIw9LUNwGrEwbTYhQ=="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D43" sqref="D43"/>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1611</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1609</v>
      </c>
      <c r="B3" s="206"/>
      <c r="C3" s="206"/>
      <c r="D3" s="206"/>
      <c r="E3" s="110"/>
      <c r="F3" s="110"/>
      <c r="G3" s="110"/>
      <c r="H3" s="110"/>
      <c r="I3" s="110"/>
      <c r="J3" s="110"/>
      <c r="K3" s="110"/>
    </row>
    <row r="4" spans="1:11" ht="15.75" customHeight="1" x14ac:dyDescent="0.25">
      <c r="A4" s="196" t="s">
        <v>1610</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1595</v>
      </c>
      <c r="B12" s="201">
        <v>7730</v>
      </c>
      <c r="C12" s="201"/>
    </row>
    <row r="13" spans="1:11" ht="15.75" x14ac:dyDescent="0.25">
      <c r="A13" s="113" t="s">
        <v>1594</v>
      </c>
      <c r="B13" s="205" t="s">
        <v>1655</v>
      </c>
      <c r="C13" s="205"/>
      <c r="E13" s="114"/>
      <c r="F13" s="114"/>
      <c r="G13" s="114"/>
      <c r="H13" s="114"/>
      <c r="I13" s="114"/>
      <c r="J13" s="114"/>
      <c r="K13" s="114"/>
    </row>
    <row r="14" spans="1:11" ht="32.25" customHeight="1" x14ac:dyDescent="0.2">
      <c r="A14" s="198" t="s">
        <v>1647</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3457792</v>
      </c>
      <c r="C16" s="2">
        <v>139256.92152563774</v>
      </c>
      <c r="D16" s="207" t="s">
        <v>1536</v>
      </c>
      <c r="E16" s="118"/>
      <c r="F16" s="118"/>
      <c r="G16" s="118"/>
      <c r="H16" s="118"/>
      <c r="I16" s="118"/>
      <c r="J16" s="118"/>
      <c r="K16" s="118"/>
    </row>
    <row r="17" spans="1:11" ht="15" customHeight="1" x14ac:dyDescent="0.2">
      <c r="A17" s="115" t="str">
        <f>LEFT(A16,4)+1&amp;"–"&amp;RIGHT(A16,4)+1</f>
        <v>2025–2026</v>
      </c>
      <c r="B17" s="2">
        <v>2196004</v>
      </c>
      <c r="C17" s="2">
        <v>58875.97213722505</v>
      </c>
      <c r="D17" s="207"/>
      <c r="E17" s="118"/>
      <c r="F17" s="118"/>
      <c r="G17" s="118"/>
      <c r="H17" s="118"/>
      <c r="I17" s="118"/>
      <c r="J17" s="118"/>
      <c r="K17" s="118"/>
    </row>
    <row r="18" spans="1:11" ht="15" customHeight="1" x14ac:dyDescent="0.2">
      <c r="A18" s="115" t="str">
        <f>LEFT(A17,4)+1&amp;"–"&amp;RIGHT(A17,4)+1</f>
        <v>2026–2027</v>
      </c>
      <c r="B18" s="2">
        <v>951073</v>
      </c>
      <c r="C18" s="2">
        <v>23138.384883870865</v>
      </c>
      <c r="D18" s="17" t="s">
        <v>115</v>
      </c>
      <c r="E18" s="118"/>
      <c r="F18" s="118"/>
      <c r="G18" s="118"/>
      <c r="H18" s="118"/>
      <c r="I18" s="118"/>
      <c r="J18" s="118"/>
      <c r="K18" s="118"/>
    </row>
    <row r="19" spans="1:11" ht="15" customHeight="1" x14ac:dyDescent="0.2">
      <c r="A19" s="115" t="str">
        <f>LEFT(A18,4)+1&amp;"–"&amp;RIGHT(A18,4)+1</f>
        <v>2027–2028</v>
      </c>
      <c r="B19" s="2">
        <v>405335</v>
      </c>
      <c r="C19" s="2">
        <v>5996.2012804942115</v>
      </c>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v>0</v>
      </c>
      <c r="C20" s="2">
        <v>0</v>
      </c>
      <c r="D20" s="16">
        <v>0</v>
      </c>
      <c r="E20" s="118"/>
      <c r="F20" s="118"/>
      <c r="G20" s="118"/>
      <c r="H20" s="118"/>
      <c r="I20" s="118"/>
      <c r="J20" s="118"/>
      <c r="K20" s="118"/>
    </row>
    <row r="21" spans="1:11" ht="15" customHeight="1" x14ac:dyDescent="0.25">
      <c r="A21" s="115" t="str">
        <f>LEFT(A20,4)+1&amp;"–"&amp;RIGHT(A20,4)+5</f>
        <v>2029–2034</v>
      </c>
      <c r="B21" s="2">
        <v>0</v>
      </c>
      <c r="C21" s="2">
        <v>0</v>
      </c>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04" t="str">
        <f>B11</f>
        <v>2023–2024</v>
      </c>
      <c r="C42" s="204"/>
    </row>
    <row r="43" spans="1:11" ht="15.75" customHeight="1" x14ac:dyDescent="0.25">
      <c r="A43" s="113" t="s">
        <v>1595</v>
      </c>
      <c r="B43" s="203">
        <f>B12</f>
        <v>7730</v>
      </c>
      <c r="C43" s="203"/>
    </row>
    <row r="44" spans="1:11" ht="15.75" x14ac:dyDescent="0.25">
      <c r="A44" s="113" t="s">
        <v>1594</v>
      </c>
      <c r="B44" s="204" t="str">
        <f>B13</f>
        <v>Franchise Tax Board</v>
      </c>
      <c r="C44" s="204"/>
    </row>
    <row r="45" spans="1:11" ht="32.25" customHeight="1" x14ac:dyDescent="0.2">
      <c r="A45" s="198" t="s">
        <v>1647</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1536</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04" t="str">
        <f>B11</f>
        <v>2023–2024</v>
      </c>
      <c r="C73" s="204"/>
    </row>
    <row r="74" spans="1:4" ht="15.75" customHeight="1" x14ac:dyDescent="0.25">
      <c r="A74" s="113" t="s">
        <v>1595</v>
      </c>
      <c r="B74" s="203">
        <f>B12</f>
        <v>7730</v>
      </c>
      <c r="C74" s="203"/>
    </row>
    <row r="75" spans="1:4" ht="15.75" x14ac:dyDescent="0.25">
      <c r="A75" s="113" t="s">
        <v>1594</v>
      </c>
      <c r="B75" s="204" t="str">
        <f>B13</f>
        <v>Franchise Tax Board</v>
      </c>
      <c r="C75" s="204"/>
    </row>
    <row r="76" spans="1:4" ht="32.25" customHeight="1" x14ac:dyDescent="0.2">
      <c r="A76" s="198" t="s">
        <v>1647</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1536</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topLeftCell="D1" zoomScale="85" zoomScaleNormal="85" workbookViewId="0">
      <selection activeCell="S11" sqref="S11"/>
    </sheetView>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7730 Franchise Tax Board</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f>
        <v>4746547</v>
      </c>
      <c r="H10" s="3">
        <f>IF('Fund 0001 Journal Entries'!$F$7="Governmental Fund",SUM('Fund 0001 Journal Entries'!$K$37,'Fund 0001 Journal Entries'!$K$85),0)</f>
        <v>6142496</v>
      </c>
      <c r="J10" s="3">
        <f>IF('Fund 0001 Journal Entries'!$F$7="Governmental Fund",SUM('Fund 0001 Journal Entries'!$J$56,'Fund 0001 Journal Entries'!$J$76),0)</f>
        <v>3878839</v>
      </c>
      <c r="L10" s="134">
        <f>SUM(F10+H10-J10)</f>
        <v>7010204</v>
      </c>
      <c r="N10" s="3">
        <f>IF('Fund 0001 Journal Entries'!$F$7="Governmental Fund",'Fund 0001 Journal Entries'!$J$61,0)</f>
        <v>3457792</v>
      </c>
      <c r="P10" s="134">
        <f>L10-N10</f>
        <v>3552412</v>
      </c>
      <c r="Q10" s="129"/>
    </row>
    <row r="11" spans="2:17" ht="19.5" thickTop="1" thickBot="1" x14ac:dyDescent="0.3">
      <c r="B11" s="128"/>
      <c r="C11" s="208" t="s">
        <v>14</v>
      </c>
      <c r="D11" s="208"/>
      <c r="F11" s="135">
        <f>SUM(F10:F10)</f>
        <v>4746547</v>
      </c>
      <c r="H11" s="135">
        <f>SUM(H10:H10)</f>
        <v>6142496</v>
      </c>
      <c r="J11" s="135">
        <f>SUM(J10:J10)</f>
        <v>3878839</v>
      </c>
      <c r="L11" s="135">
        <f>SUM(L10:L10)</f>
        <v>7010204</v>
      </c>
      <c r="N11" s="135">
        <f>SUM(N10:N10)</f>
        <v>3457792</v>
      </c>
      <c r="P11" s="135">
        <f>SUM(P10:P10)</f>
        <v>3552412</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E23" sqref="E23"/>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1548</v>
      </c>
      <c r="B1" s="217"/>
      <c r="C1" s="217"/>
      <c r="D1" s="217"/>
      <c r="E1" s="217"/>
      <c r="F1" s="217"/>
      <c r="G1" s="217"/>
      <c r="H1" s="217"/>
      <c r="I1" s="217"/>
      <c r="J1" s="217"/>
      <c r="K1" s="217"/>
      <c r="L1" s="217"/>
      <c r="M1" s="217"/>
      <c r="N1" s="217"/>
      <c r="O1" s="217"/>
      <c r="P1" s="217"/>
      <c r="Q1" s="217"/>
    </row>
    <row r="2" spans="1:17" s="141" customFormat="1" ht="15.75" x14ac:dyDescent="0.25">
      <c r="A2" s="217" t="s">
        <v>1550</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1549</v>
      </c>
      <c r="B4" s="218"/>
      <c r="C4" s="218"/>
      <c r="D4" s="218"/>
      <c r="E4" s="218"/>
      <c r="F4" s="218"/>
      <c r="G4" s="218"/>
      <c r="H4" s="218"/>
      <c r="I4" s="218"/>
      <c r="J4" s="218"/>
      <c r="K4" s="218"/>
      <c r="L4" s="218"/>
      <c r="M4" s="218"/>
      <c r="N4" s="218"/>
      <c r="O4" s="218"/>
      <c r="P4" s="218"/>
      <c r="Q4" s="218"/>
    </row>
    <row r="5" spans="1:17" ht="15" customHeight="1" x14ac:dyDescent="0.25">
      <c r="A5" s="213" t="s">
        <v>1562</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1614</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1559</v>
      </c>
      <c r="B11" s="218"/>
      <c r="C11" s="218"/>
      <c r="D11" s="218"/>
      <c r="E11" s="218"/>
      <c r="F11" s="218"/>
      <c r="G11" s="218"/>
      <c r="H11" s="218"/>
      <c r="I11" s="218"/>
      <c r="J11" s="218"/>
      <c r="K11" s="218"/>
      <c r="L11" s="218"/>
      <c r="M11" s="218"/>
      <c r="N11" s="218"/>
      <c r="O11" s="218"/>
      <c r="P11" s="218"/>
      <c r="Q11" s="218"/>
    </row>
    <row r="12" spans="1:17" x14ac:dyDescent="0.25">
      <c r="A12" s="214" t="s">
        <v>1642</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1617</v>
      </c>
      <c r="C14" s="211"/>
      <c r="D14" s="211"/>
      <c r="E14" s="211"/>
      <c r="F14" s="211"/>
      <c r="G14" s="211"/>
      <c r="H14" s="211"/>
      <c r="I14" s="211"/>
      <c r="J14" s="211"/>
      <c r="K14" s="211"/>
      <c r="L14" s="211"/>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0001 Journal Entries'!$F$7="Governmental Fund",ROUND('Fund 0001 Journal Entries'!$K$19,0),0)</f>
        <v>4746547</v>
      </c>
      <c r="C17" s="21" t="s">
        <v>1551</v>
      </c>
      <c r="D17" s="10">
        <f>IF('Fund 0001 Journal Entries'!$F$7="Governmental Fund",ROUND('Fund 0001 Journal Entries'!$K$37,0),0)</f>
        <v>6142496</v>
      </c>
      <c r="E17" s="22" t="s">
        <v>1553</v>
      </c>
      <c r="F17" s="10">
        <f>IF('Fund 0001 Journal Entries'!$F$7="Governmental Fund",ROUND('Fund 0001 Journal Entries'!$J$56,0),0)</f>
        <v>3878839</v>
      </c>
      <c r="G17" s="22" t="s">
        <v>1553</v>
      </c>
      <c r="H17" s="10">
        <f>IF('Fund 0001 Journal Entries'!$F$7="Governmental Fund",ROUND('Fund 0001 Journal Entries'!$J$76,0),0)</f>
        <v>0</v>
      </c>
      <c r="I17" s="22" t="s">
        <v>1551</v>
      </c>
      <c r="J17" s="10">
        <f>IF('Fund 0001 Journal Entries'!$F$7="Governmental Fund",ROUND('Fund 0001 Journal Entries'!$K$85,0),0)</f>
        <v>0</v>
      </c>
      <c r="K17" s="22" t="s">
        <v>1555</v>
      </c>
      <c r="L17" s="11">
        <f>+B17+D17-F17</f>
        <v>7010204</v>
      </c>
      <c r="M17" s="22"/>
      <c r="N17" s="12">
        <f>ROUND(SUM('Department Note Disclosure'!$B$16:$B$39),0)</f>
        <v>7010204</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1643</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1617</v>
      </c>
      <c r="C22" s="212"/>
      <c r="D22" s="212"/>
      <c r="E22" s="212"/>
      <c r="F22" s="212"/>
      <c r="G22" s="212"/>
      <c r="H22" s="212"/>
      <c r="I22" s="212"/>
      <c r="J22" s="212"/>
      <c r="K22" s="212"/>
      <c r="L22" s="212"/>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1644</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1617</v>
      </c>
      <c r="C31" s="212"/>
      <c r="D31" s="212"/>
      <c r="E31" s="212"/>
      <c r="F31" s="212"/>
      <c r="G31" s="212"/>
      <c r="H31" s="212"/>
      <c r="I31" s="212"/>
      <c r="J31" s="212"/>
      <c r="K31" s="212"/>
      <c r="L31" s="212"/>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0001 Journal Entries'!$F$7="Proprietary - Enterprise Fund",ROUND('Fund 0001 Journal Entries'!$K$19,0),0)</f>
        <v>0</v>
      </c>
      <c r="C34" s="21" t="s">
        <v>1551</v>
      </c>
      <c r="D34" s="10">
        <f>IF('Fund 0001 Journal Entries'!$F$7="Proprietary - Enterprise Fund",ROUND('Fund 0001 Journal Entries'!$K$37,0),0)</f>
        <v>0</v>
      </c>
      <c r="E34" s="22" t="s">
        <v>1553</v>
      </c>
      <c r="F34" s="10">
        <f>IF('Fund 0001 Journal Entries'!$F$7="Proprietary - Enterprise Fund",ROUND('Fund 0001 Journal Entries'!$J$56,0),0)</f>
        <v>0</v>
      </c>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1560</v>
      </c>
      <c r="B37" s="218"/>
      <c r="C37" s="218"/>
      <c r="D37" s="218"/>
      <c r="E37" s="218"/>
      <c r="F37" s="218"/>
      <c r="G37" s="218"/>
      <c r="H37" s="218"/>
      <c r="I37" s="218"/>
      <c r="J37" s="218"/>
      <c r="K37" s="218"/>
      <c r="L37" s="218"/>
      <c r="M37" s="218"/>
      <c r="N37" s="218"/>
      <c r="O37" s="218"/>
      <c r="P37" s="218"/>
      <c r="Q37" s="218"/>
    </row>
    <row r="38" spans="1:17" ht="15" customHeight="1" x14ac:dyDescent="0.25">
      <c r="A38" s="214" t="s">
        <v>1642</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1617</v>
      </c>
      <c r="C40" s="216"/>
      <c r="D40" s="216"/>
      <c r="E40" s="216"/>
      <c r="F40" s="216"/>
      <c r="G40" s="216"/>
      <c r="H40" s="144"/>
      <c r="I40" s="145"/>
      <c r="J40" s="144"/>
      <c r="K40" s="145"/>
      <c r="L40" s="144"/>
      <c r="M40" s="145"/>
      <c r="N40" s="146" t="s">
        <v>1556</v>
      </c>
      <c r="O40" s="147"/>
      <c r="P40" s="148"/>
      <c r="Q40" s="144"/>
    </row>
    <row r="41" spans="1:17" ht="15" customHeight="1" x14ac:dyDescent="0.25">
      <c r="A41" s="144"/>
      <c r="B41" s="150" t="s">
        <v>1558</v>
      </c>
      <c r="C41" s="215" t="s">
        <v>1639</v>
      </c>
      <c r="D41" s="215"/>
      <c r="E41" s="215"/>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0001 Journal Entries'!$F$7="Governmental Fund",ROUND('Fund 0001 Journal Entries'!$K$62,0),0)</f>
        <v>3457792</v>
      </c>
      <c r="C42" s="160"/>
      <c r="D42" s="159"/>
      <c r="E42" s="159"/>
      <c r="F42" s="159"/>
      <c r="G42" s="145"/>
      <c r="H42" s="159"/>
      <c r="I42" s="149"/>
      <c r="J42" s="159"/>
      <c r="K42" s="145"/>
      <c r="L42" s="158"/>
      <c r="M42" s="23"/>
      <c r="N42" s="12">
        <f>ROUND('Department Note Disclosure'!$B$16,0)</f>
        <v>3457792</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1643</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1617</v>
      </c>
      <c r="C47" s="216"/>
      <c r="D47" s="216"/>
      <c r="E47" s="216"/>
      <c r="F47" s="216"/>
      <c r="G47" s="216"/>
      <c r="H47" s="144"/>
      <c r="I47" s="145"/>
      <c r="J47" s="144"/>
      <c r="K47" s="145"/>
      <c r="L47" s="144"/>
      <c r="M47" s="145"/>
      <c r="N47" s="146" t="s">
        <v>1556</v>
      </c>
      <c r="O47" s="147"/>
      <c r="P47" s="148"/>
      <c r="Q47" s="144"/>
    </row>
    <row r="48" spans="1:17" ht="15" customHeight="1" x14ac:dyDescent="0.25">
      <c r="A48" s="144"/>
      <c r="B48" s="150" t="s">
        <v>1558</v>
      </c>
      <c r="C48" s="215" t="s">
        <v>1639</v>
      </c>
      <c r="D48" s="215"/>
      <c r="E48" s="215"/>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1644</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1617</v>
      </c>
      <c r="C54" s="216"/>
      <c r="D54" s="216"/>
      <c r="E54" s="216"/>
      <c r="F54" s="216"/>
      <c r="G54" s="216"/>
      <c r="H54" s="159"/>
      <c r="I54" s="159"/>
      <c r="J54" s="159"/>
      <c r="K54" s="159"/>
      <c r="L54" s="159"/>
      <c r="M54" s="145"/>
      <c r="N54" s="146" t="s">
        <v>1556</v>
      </c>
      <c r="O54" s="147"/>
      <c r="P54" s="148"/>
      <c r="Q54" s="144"/>
    </row>
    <row r="55" spans="1:16383" x14ac:dyDescent="0.25">
      <c r="A55" s="144"/>
      <c r="B55" s="150" t="s">
        <v>1558</v>
      </c>
      <c r="C55" s="215" t="s">
        <v>1639</v>
      </c>
      <c r="D55" s="215"/>
      <c r="E55" s="215"/>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1561</v>
      </c>
      <c r="B59" s="218"/>
      <c r="C59" s="218"/>
      <c r="D59" s="218"/>
      <c r="E59" s="218"/>
      <c r="F59" s="218"/>
      <c r="G59" s="218"/>
      <c r="H59" s="218"/>
      <c r="I59" s="218"/>
      <c r="J59" s="218"/>
      <c r="K59" s="218"/>
      <c r="L59" s="218"/>
      <c r="M59" s="218"/>
      <c r="N59" s="218"/>
      <c r="O59" s="218"/>
      <c r="P59" s="218"/>
      <c r="Q59" s="218"/>
    </row>
    <row r="60" spans="1:16383" ht="15" customHeight="1" x14ac:dyDescent="0.25">
      <c r="A60" s="214" t="s">
        <v>1642</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1617</v>
      </c>
      <c r="C62" s="211"/>
      <c r="D62" s="211"/>
      <c r="E62" s="211"/>
      <c r="F62" s="211"/>
      <c r="G62" s="211"/>
      <c r="H62" s="211"/>
      <c r="I62" s="147"/>
      <c r="J62" s="146" t="s">
        <v>1641</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4746547</v>
      </c>
      <c r="I64" s="25" t="s">
        <v>1555</v>
      </c>
      <c r="J64" s="14">
        <f>SUM(D64)</f>
        <v>4746547</v>
      </c>
      <c r="L64" s="164" t="str">
        <f>CONCATENATE("Balance July 1, ",LEFT('Department Note Disclosure'!$B$11,4))</f>
        <v>Balance July 1, 2023</v>
      </c>
      <c r="N64" s="14">
        <f>ROUND('SBITA Liabilities'!$F$10,0)</f>
        <v>4746547</v>
      </c>
      <c r="P64" s="13">
        <f>J64-N64</f>
        <v>0</v>
      </c>
    </row>
    <row r="65" spans="1:16383" x14ac:dyDescent="0.25">
      <c r="B65" s="162" t="s">
        <v>1620</v>
      </c>
      <c r="D65" s="14">
        <f>$D$17</f>
        <v>6142496</v>
      </c>
      <c r="E65" s="165" t="s">
        <v>1551</v>
      </c>
      <c r="F65" s="150" t="s">
        <v>1646</v>
      </c>
      <c r="H65" s="14">
        <f>J17</f>
        <v>0</v>
      </c>
      <c r="I65" s="25" t="s">
        <v>1555</v>
      </c>
      <c r="J65" s="14">
        <f>SUM(D65,H65)</f>
        <v>6142496</v>
      </c>
      <c r="L65" s="164" t="s">
        <v>9</v>
      </c>
      <c r="N65" s="14">
        <f>ROUND('SBITA Liabilities'!$H$10,0)</f>
        <v>6142496</v>
      </c>
      <c r="P65" s="13">
        <f>J65-N65</f>
        <v>0</v>
      </c>
    </row>
    <row r="66" spans="1:16383" x14ac:dyDescent="0.25">
      <c r="B66" s="162" t="s">
        <v>1554</v>
      </c>
      <c r="D66" s="14">
        <f>$F$17</f>
        <v>3878839</v>
      </c>
      <c r="E66" s="165" t="s">
        <v>1551</v>
      </c>
      <c r="F66" s="150" t="s">
        <v>1645</v>
      </c>
      <c r="H66" s="14">
        <f>H17</f>
        <v>0</v>
      </c>
      <c r="I66" s="25" t="s">
        <v>1555</v>
      </c>
      <c r="J66" s="14">
        <f>SUM(D66,H66)</f>
        <v>3878839</v>
      </c>
      <c r="L66" s="164" t="s">
        <v>10</v>
      </c>
      <c r="N66" s="14">
        <f>ROUND('SBITA Liabilities'!$J$10,0)</f>
        <v>3878839</v>
      </c>
      <c r="P66" s="13">
        <f>J66-N66</f>
        <v>0</v>
      </c>
    </row>
    <row r="67" spans="1:16383" x14ac:dyDescent="0.25">
      <c r="B67" s="162" t="s">
        <v>1558</v>
      </c>
      <c r="D67" s="14">
        <f>$B$42</f>
        <v>3457792</v>
      </c>
      <c r="I67" s="25" t="s">
        <v>1555</v>
      </c>
      <c r="J67" s="14">
        <f>SUM(D67)</f>
        <v>3457792</v>
      </c>
      <c r="L67" s="164" t="s">
        <v>11</v>
      </c>
      <c r="N67" s="14">
        <f>ROUND('SBITA Liabilities'!$N$10,0)</f>
        <v>3457792</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1643</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1617</v>
      </c>
      <c r="C72" s="211"/>
      <c r="D72" s="211"/>
      <c r="E72" s="211"/>
      <c r="F72" s="211"/>
      <c r="G72" s="211"/>
      <c r="H72" s="211"/>
      <c r="I72" s="147"/>
      <c r="J72" s="146" t="s">
        <v>1641</v>
      </c>
      <c r="K72" s="147"/>
      <c r="L72" s="211" t="s">
        <v>118</v>
      </c>
      <c r="M72" s="211"/>
      <c r="N72" s="211"/>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1644</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1617</v>
      </c>
      <c r="C82" s="211"/>
      <c r="D82" s="211"/>
      <c r="E82" s="211"/>
      <c r="F82" s="211"/>
      <c r="G82" s="211"/>
      <c r="H82" s="211"/>
      <c r="I82" s="147"/>
      <c r="J82" s="146" t="s">
        <v>1641</v>
      </c>
      <c r="K82" s="147"/>
      <c r="L82" s="212" t="s">
        <v>118</v>
      </c>
      <c r="M82" s="212"/>
      <c r="N82" s="212"/>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2025-02-26T22:34:24Z</dcterms:modified>
</cp:coreProperties>
</file>