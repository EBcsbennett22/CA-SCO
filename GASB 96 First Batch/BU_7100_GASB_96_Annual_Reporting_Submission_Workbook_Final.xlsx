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CE558625-1B54-4596-9059-C90FF621F0AD}" xr6:coauthVersionLast="47" xr6:coauthVersionMax="47" xr10:uidLastSave="{00000000-0000-0000-0000-000000000000}"/>
  <bookViews>
    <workbookView xWindow="39150" yWindow="-110" windowWidth="38620" windowHeight="21220" xr2:uid="{00000000-000D-0000-FFFF-FFFF00000000}"/>
  </bookViews>
  <sheets>
    <sheet name="Fund 710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7100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K20" i="2"/>
  <c r="S20" i="2"/>
  <c r="D89" i="3"/>
  <c r="D58" i="3"/>
  <c r="K21" i="2" l="1"/>
  <c r="K22" i="2" s="1"/>
  <c r="J17" i="2"/>
  <c r="J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<sst xmlns="http://schemas.openxmlformats.org/spreadsheetml/2006/main" count="7628" uniqueCount="1656">
  <si>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</si>
  <si>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</si>
  <si>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</si>
  <si>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</si>
  <si>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</si>
  <si>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</si>
  <si>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</si>
  <si>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</si>
  <si>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</si>
  <si>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</si>
  <si>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</si>
  <si>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</si>
  <si>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</si>
  <si>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</si>
  <si>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</si>
  <si>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</si>
  <si>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</si>
  <si>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</si>
  <si>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</si>
  <si>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</si>
  <si>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</si>
  <si>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</si>
  <si>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</si>
  <si>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</si>
  <si>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</si>
  <si>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</si>
  <si>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</si>
  <si>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</si>
  <si>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</si>
  <si>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</si>
  <si>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</si>
  <si>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</si>
  <si>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</si>
  <si>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</si>
  <si>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</si>
  <si>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</si>
  <si>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</si>
  <si>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</si>
  <si>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</si>
  <si>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</si>
  <si>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</si>
  <si>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</si>
  <si>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</si>
  <si>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</si>
  <si>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</si>
  <si>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</si>
  <si>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</si>
  <si>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</si>
  <si>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</si>
  <si>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</si>
  <si>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</si>
  <si>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</si>
  <si>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</si>
  <si>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</si>
  <si>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</si>
  <si>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</si>
  <si>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</si>
  <si>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</si>
  <si>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</si>
  <si>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</si>
  <si>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</si>
  <si>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</si>
  <si>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</si>
  <si>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</si>
  <si>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</si>
  <si>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</si>
  <si>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</si>
  <si>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</si>
  <si>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</si>
  <si>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</si>
  <si>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</si>
  <si>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</si>
  <si>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</si>
  <si>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</si>
  <si>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</si>
  <si>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</si>
  <si>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</si>
  <si>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</si>
  <si>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</si>
  <si>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</si>
  <si>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</si>
  <si>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</si>
  <si>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</si>
  <si>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</si>
  <si>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</si>
  <si>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</si>
  <si>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</si>
  <si>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</si>
  <si>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</si>
  <si>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</si>
  <si>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</si>
  <si>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</si>
  <si>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</si>
  <si>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</si>
  <si>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</si>
  <si>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</si>
  <si>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</si>
  <si>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</si>
  <si>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</si>
  <si>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</si>
  <si>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</si>
  <si>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</si>
  <si>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</si>
  <si>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</si>
  <si>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</si>
  <si>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</si>
  <si>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</si>
  <si>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</si>
  <si>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</si>
  <si>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</si>
  <si>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</si>
  <si>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</si>
  <si>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</si>
  <si>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</si>
  <si>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</si>
  <si>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</si>
  <si>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</si>
  <si>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</si>
  <si>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</si>
  <si>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</si>
  <si>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</si>
  <si>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</si>
  <si>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</si>
  <si>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</si>
  <si>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</si>
  <si>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</si>
  <si>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</si>
  <si>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</si>
  <si>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</si>
  <si>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</si>
  <si>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</si>
  <si>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</si>
  <si>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</si>
  <si>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</si>
  <si>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</si>
  <si>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</si>
  <si>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</si>
  <si>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</si>
  <si>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</si>
  <si>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</si>
  <si>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</si>
  <si>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</si>
  <si>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</si>
  <si>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</si>
  <si>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</si>
  <si>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</si>
  <si>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</si>
  <si>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</si>
  <si>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</si>
  <si>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</si>
  <si>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</si>
  <si>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</si>
  <si>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</si>
  <si>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</si>
  <si>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</si>
  <si>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</si>
  <si>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</si>
  <si>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</si>
  <si>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</si>
  <si>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</si>
  <si>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</si>
  <si>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</si>
  <si>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</si>
  <si>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</si>
  <si>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</si>
  <si>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</si>
  <si>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</si>
  <si>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</si>
  <si>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</si>
  <si>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</si>
  <si>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</si>
  <si>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</si>
  <si>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</si>
  <si>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</si>
  <si>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</si>
  <si>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</si>
  <si>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</si>
  <si>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</si>
  <si>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</si>
  <si>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</si>
  <si>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</si>
  <si>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</si>
  <si>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</si>
  <si>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</si>
  <si>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</si>
  <si>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</si>
  <si>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</si>
  <si>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</si>
  <si>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</si>
  <si>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</si>
  <si>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</si>
  <si>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</si>
  <si>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</si>
  <si>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</si>
  <si>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</si>
  <si>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</si>
  <si>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</si>
  <si>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</si>
  <si>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</si>
  <si>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</si>
  <si>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</si>
  <si>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</si>
  <si>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</si>
  <si>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</si>
  <si>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</si>
  <si>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</si>
  <si>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</si>
  <si>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</si>
  <si>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</si>
  <si>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</si>
  <si>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</si>
  <si>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</si>
  <si>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</si>
  <si>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</si>
  <si>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</si>
  <si>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</si>
  <si>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</si>
  <si>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</si>
  <si>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</si>
  <si>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</si>
  <si>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</si>
  <si>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</si>
  <si>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</si>
  <si>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</si>
  <si>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</si>
  <si>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</si>
  <si>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</si>
  <si>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</si>
  <si>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</si>
  <si>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</si>
  <si>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</si>
  <si>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</si>
  <si>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</si>
  <si>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</si>
  <si>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</si>
  <si>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</si>
  <si>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</si>
  <si>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</si>
  <si>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</si>
  <si>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</si>
  <si>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</si>
  <si>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</si>
  <si>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</si>
  <si>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</si>
  <si>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</si>
  <si>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</si>
  <si>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</si>
  <si>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</si>
  <si>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</si>
  <si>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</si>
  <si>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</si>
  <si>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</si>
  <si>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</si>
  <si>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</si>
  <si>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</si>
  <si>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</si>
  <si>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</si>
  <si>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</si>
  <si>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</si>
  <si>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</si>
  <si>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</si>
  <si>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</si>
  <si>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</si>
  <si>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</si>
  <si>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</si>
  <si>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</si>
  <si>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</si>
  <si>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</si>
  <si>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</si>
  <si>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</si>
  <si>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</si>
  <si>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</si>
  <si>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</si>
  <si>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</si>
  <si>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</si>
  <si>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</si>
  <si>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</si>
  <si>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</si>
  <si>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</si>
  <si>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</si>
  <si>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</si>
  <si>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</si>
  <si>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</si>
  <si>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</si>
  <si>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</si>
  <si>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</si>
  <si>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</si>
  <si>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</si>
  <si>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</si>
  <si>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</si>
  <si>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</si>
  <si>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</si>
  <si>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</si>
  <si>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</si>
  <si>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</si>
  <si>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</si>
  <si>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</si>
  <si>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</si>
  <si>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</si>
  <si>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</si>
  <si>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</si>
  <si>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</si>
  <si>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</si>
  <si>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</si>
  <si>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</si>
  <si>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</si>
  <si>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</si>
  <si>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</si>
  <si>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</si>
  <si>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</si>
  <si>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</si>
  <si>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</si>
  <si>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</si>
  <si>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</si>
  <si>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</si>
  <si>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</si>
  <si>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</si>
  <si>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</si>
  <si>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</si>
  <si>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</si>
  <si>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</si>
  <si>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</si>
  <si>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</si>
  <si>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</si>
  <si>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</si>
  <si>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</si>
  <si>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</si>
  <si>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</si>
  <si>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</si>
  <si>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</si>
  <si>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</si>
  <si>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</si>
  <si>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</si>
  <si>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</si>
  <si>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</si>
  <si>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</si>
  <si>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</si>
  <si>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</si>
  <si>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</si>
  <si>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</si>
  <si>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</si>
  <si>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</si>
  <si>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</si>
  <si>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</si>
  <si>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</si>
  <si>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</si>
  <si>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</si>
  <si>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</si>
  <si>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</si>
  <si>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</si>
  <si>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</si>
  <si>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</si>
  <si>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</si>
  <si>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</si>
  <si>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</si>
  <si>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</si>
  <si>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</si>
  <si>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</si>
  <si>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</si>
  <si>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</si>
  <si>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</si>
  <si>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</si>
  <si>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</si>
  <si>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</si>
  <si>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</si>
  <si>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</si>
  <si>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</si>
  <si>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</si>
  <si>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</si>
  <si>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</si>
  <si>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</si>
  <si>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</si>
  <si>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</si>
  <si>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</si>
  <si>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</si>
  <si>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</si>
  <si>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</si>
  <si>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</si>
  <si>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</si>
  <si>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</si>
  <si>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</si>
  <si>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</si>
  <si>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</si>
  <si>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</si>
  <si>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</si>
  <si>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</si>
  <si>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</si>
  <si>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</si>
  <si>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</si>
  <si>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</si>
  <si>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</si>
  <si>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</si>
  <si>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</si>
  <si>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</si>
  <si>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</si>
  <si>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</si>
  <si>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</si>
  <si>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</si>
  <si>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</si>
  <si>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</si>
  <si>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</si>
  <si>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</si>
  <si>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</si>
  <si>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</si>
  <si>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</si>
  <si>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</si>
  <si>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</si>
  <si>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</si>
  <si>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</si>
  <si>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</si>
  <si>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</si>
  <si>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</si>
  <si>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</si>
  <si>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</si>
  <si>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</si>
  <si>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</si>
  <si>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</si>
  <si>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</si>
  <si>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</si>
  <si>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</si>
  <si>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</si>
  <si>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</si>
  <si>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</si>
  <si>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</si>
  <si>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</si>
  <si>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</si>
  <si>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</si>
  <si>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</si>
  <si>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</si>
  <si>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</si>
  <si>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</si>
  <si>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</si>
  <si>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</si>
  <si>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</si>
  <si>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</si>
  <si>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</si>
  <si>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</si>
  <si>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</si>
  <si>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</si>
  <si>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</si>
  <si>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</si>
  <si>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</si>
  <si>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</si>
  <si>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</si>
  <si>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</si>
  <si>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</si>
  <si>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</si>
  <si>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</si>
  <si>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</si>
  <si>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</si>
  <si>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</si>
  <si>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</si>
  <si>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</si>
  <si>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</si>
  <si>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</si>
  <si>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</si>
  <si>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</si>
  <si>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</si>
  <si>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</si>
  <si>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</si>
  <si>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</si>
  <si>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</si>
  <si>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</si>
  <si>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</si>
  <si>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</si>
  <si>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</si>
  <si>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</si>
  <si>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</si>
  <si>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</si>
  <si>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</si>
  <si>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</si>
  <si>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</si>
  <si>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</si>
  <si>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</si>
  <si>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</si>
  <si>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</si>
  <si>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</si>
  <si>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</si>
  <si>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</si>
  <si>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</si>
  <si>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</si>
  <si>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</si>
  <si>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</si>
  <si>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</si>
  <si>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</si>
  <si>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</si>
  <si>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</si>
  <si>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</si>
  <si>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</si>
  <si>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</si>
  <si>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</si>
  <si>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</si>
  <si>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</si>
  <si>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</si>
  <si>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</si>
  <si>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</si>
  <si>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</si>
  <si>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</si>
  <si>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</si>
  <si>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</si>
  <si>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</si>
  <si>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</si>
  <si>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</si>
  <si>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</si>
  <si>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</si>
  <si>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</si>
  <si>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</si>
  <si>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</si>
  <si>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</si>
  <si>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</si>
  <si>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</si>
  <si>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</si>
  <si>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</si>
  <si>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</si>
  <si>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</si>
  <si>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</si>
  <si>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</si>
  <si>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</si>
  <si>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</si>
  <si>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</si>
  <si>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</si>
  <si>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</si>
  <si>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</si>
  <si>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</si>
  <si>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</si>
  <si>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</si>
  <si>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</si>
  <si>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</si>
  <si>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</si>
  <si>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</si>
  <si>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</si>
  <si>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</si>
  <si>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</si>
  <si>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</si>
  <si>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</si>
  <si>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</si>
  <si>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</si>
  <si>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</si>
  <si>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</si>
  <si>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</si>
  <si>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</si>
  <si>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</si>
  <si>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</si>
  <si>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</si>
  <si>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</si>
  <si>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</si>
  <si>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</si>
  <si>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</si>
  <si>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</si>
  <si>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</si>
  <si>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</si>
  <si>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</si>
  <si>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</si>
  <si>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</si>
  <si>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</si>
  <si>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</si>
  <si>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</si>
  <si>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</si>
  <si>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</si>
  <si>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</si>
  <si>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</si>
  <si>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</si>
  <si>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</si>
  <si>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</si>
  <si>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</si>
  <si>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</si>
  <si>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</si>
  <si>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</si>
  <si>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</si>
  <si>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</si>
  <si>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</si>
  <si>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</si>
  <si>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</si>
  <si>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</si>
  <si>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</si>
  <si>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</si>
  <si>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</si>
  <si>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</si>
  <si>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</si>
  <si>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</si>
  <si>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</si>
  <si>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</si>
  <si>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</si>
  <si>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</si>
  <si>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</si>
  <si>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</si>
  <si>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</si>
  <si>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</si>
  <si>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</si>
  <si>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</si>
  <si>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</si>
  <si>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</si>
  <si>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</si>
  <si>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</si>
  <si>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</si>
  <si>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</si>
  <si>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</si>
  <si>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</si>
  <si>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</si>
  <si>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</si>
  <si>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</si>
  <si>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</si>
  <si>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</si>
  <si>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</si>
  <si>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</si>
  <si>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</si>
  <si>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</si>
  <si>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</si>
  <si>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</si>
  <si>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</si>
  <si>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</si>
  <si>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</si>
  <si>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</si>
  <si>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</si>
  <si>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</si>
  <si>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</si>
  <si>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</si>
  <si>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</si>
  <si>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</si>
  <si>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</si>
  <si>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</si>
  <si>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</si>
  <si>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</si>
  <si>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</si>
  <si>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</si>
  <si>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</si>
  <si>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</si>
  <si>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</si>
  <si>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</si>
  <si>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</si>
  <si>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</si>
  <si>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</si>
  <si>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</si>
  <si>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</si>
  <si>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</si>
  <si>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</si>
  <si>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</si>
  <si>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</si>
  <si>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</si>
  <si>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</si>
  <si>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</si>
  <si>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</si>
  <si>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</si>
  <si>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</si>
  <si>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</si>
  <si>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</si>
  <si>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</si>
  <si>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</si>
  <si>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</si>
  <si>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</si>
  <si>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</si>
  <si>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</si>
  <si>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</si>
  <si>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</si>
  <si>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</si>
  <si>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</si>
  <si>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</si>
  <si>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</si>
  <si>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</si>
  <si>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</si>
  <si>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</si>
  <si>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</si>
  <si>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</si>
  <si>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</si>
  <si>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</si>
  <si>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</si>
  <si>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</si>
  <si>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</si>
  <si>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</si>
  <si>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</si>
  <si>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</si>
  <si>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</si>
  <si>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</si>
  <si>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</si>
  <si>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</si>
  <si>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</si>
  <si>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</si>
  <si>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</si>
  <si>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</si>
  <si>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</si>
  <si>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</si>
  <si>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</si>
  <si>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</si>
  <si>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</si>
  <si>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</si>
  <si>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</si>
  <si>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</si>
  <si>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</si>
  <si>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</si>
  <si>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</si>
  <si>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</si>
  <si>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</si>
  <si>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</si>
  <si>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</si>
  <si>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</si>
  <si>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</si>
  <si>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</si>
  <si>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</si>
  <si>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</si>
  <si>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</si>
  <si>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</si>
  <si>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</si>
  <si>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</si>
  <si>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</si>
  <si>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</si>
  <si>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</si>
  <si>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</si>
  <si>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</si>
  <si>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</si>
  <si>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</si>
  <si>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</si>
  <si>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</si>
  <si>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</si>
  <si>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</si>
  <si>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</si>
  <si>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</si>
  <si>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</si>
  <si>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</si>
  <si>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</si>
  <si>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</si>
  <si>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</si>
  <si>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</si>
  <si>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</si>
  <si>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</si>
  <si>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</si>
  <si>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</si>
  <si>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</si>
  <si>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</si>
  <si>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</si>
  <si>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</si>
  <si>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</si>
  <si>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</si>
  <si>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</si>
  <si>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</si>
  <si>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</si>
  <si>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</si>
  <si>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</si>
  <si>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</si>
  <si>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</si>
  <si>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</si>
  <si>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</si>
  <si>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</si>
  <si>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</si>
  <si>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</si>
  <si>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</si>
  <si>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</si>
  <si>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</si>
  <si>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</si>
  <si>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</si>
  <si>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</si>
  <si>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</si>
  <si>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</si>
  <si>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</si>
  <si>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</si>
  <si>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</si>
  <si>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</si>
  <si>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</si>
  <si>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</si>
  <si>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</si>
  <si>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</si>
  <si>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</si>
  <si>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</si>
  <si>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</si>
  <si>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</si>
  <si>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</si>
  <si>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</si>
  <si>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</si>
  <si>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</si>
  <si>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</si>
  <si>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</si>
  <si>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</si>
  <si>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</si>
  <si>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</si>
  <si>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</si>
  <si>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</si>
  <si>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</si>
  <si>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</si>
  <si>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</si>
  <si>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</si>
  <si>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</si>
  <si>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</si>
  <si>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</si>
  <si>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</si>
  <si>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</si>
  <si>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</si>
  <si>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</si>
  <si>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</si>
  <si>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</si>
  <si>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</si>
  <si>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</si>
  <si>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</si>
  <si>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</si>
  <si>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</si>
  <si>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</si>
  <si>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</si>
  <si>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</si>
  <si>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</si>
  <si>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</si>
  <si>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</si>
  <si>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</si>
  <si>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</si>
  <si>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</si>
  <si>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</si>
  <si>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</si>
  <si>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</si>
  <si>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</si>
  <si>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</si>
  <si>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</si>
  <si>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</si>
  <si>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</si>
  <si>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</si>
  <si>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</si>
  <si>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</si>
  <si>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</si>
  <si>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</si>
  <si>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</si>
  <si>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</si>
  <si>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</si>
  <si>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</si>
  <si>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</si>
  <si>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</si>
  <si>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</si>
  <si>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</si>
  <si>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</si>
  <si>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</si>
  <si>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</si>
  <si>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</si>
  <si>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</si>
  <si>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</si>
  <si>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</si>
  <si>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</si>
  <si>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</si>
  <si>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</si>
  <si>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</si>
  <si>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</si>
  <si>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</si>
  <si>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</si>
  <si>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</si>
  <si>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</si>
  <si>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</si>
  <si>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</si>
  <si>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</si>
  <si>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</si>
  <si>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</si>
  <si>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</si>
  <si>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</si>
  <si>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</si>
  <si>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</si>
  <si>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</si>
  <si>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</si>
  <si>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</si>
  <si>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</si>
  <si>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</si>
  <si>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</si>
  <si>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</si>
  <si>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</si>
  <si>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</si>
  <si>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</si>
  <si>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</si>
  <si>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</si>
  <si>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</si>
  <si>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</si>
  <si>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</si>
  <si>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</si>
  <si>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</si>
  <si>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</si>
  <si>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</si>
  <si>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</si>
  <si>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</si>
  <si>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</si>
  <si>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</si>
  <si>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</si>
  <si>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</si>
  <si>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</si>
  <si>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</si>
  <si>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</si>
  <si>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</si>
  <si>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</si>
  <si>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</si>
  <si>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</si>
  <si>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</si>
  <si>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</si>
  <si>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</si>
  <si>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</si>
  <si>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</si>
  <si>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</si>
  <si>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</si>
  <si>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</si>
  <si>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</si>
  <si>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</si>
  <si>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</si>
  <si>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</si>
  <si>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</si>
  <si>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</si>
  <si>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</si>
  <si>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</si>
  <si>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</si>
  <si>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</si>
  <si>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</si>
  <si>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</si>
  <si>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</si>
  <si>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</si>
  <si>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</si>
  <si>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</si>
  <si>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</si>
  <si>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</si>
  <si>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</si>
  <si>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</si>
  <si>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</si>
  <si>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</si>
  <si>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</si>
  <si>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</si>
  <si>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</si>
  <si>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</si>
  <si>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</si>
  <si>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</si>
  <si>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</si>
  <si>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</si>
  <si>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</si>
  <si>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</si>
  <si>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</si>
  <si>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</si>
  <si>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</si>
  <si>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</si>
  <si>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</si>
  <si>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</si>
  <si>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</si>
  <si>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</si>
  <si>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</si>
  <si>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</si>
  <si>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</si>
  <si>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</si>
  <si>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</si>
  <si>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</si>
  <si>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</si>
  <si>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</si>
  <si>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</si>
  <si>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</si>
  <si>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</si>
  <si>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</si>
  <si>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</si>
  <si>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</si>
  <si>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</si>
  <si>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</si>
  <si>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</si>
  <si>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</si>
  <si>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</si>
  <si>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</si>
  <si>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</si>
  <si>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</si>
  <si>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</si>
  <si>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</si>
  <si>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</si>
  <si>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</si>
  <si>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</si>
  <si>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</si>
  <si>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</si>
  <si>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</si>
  <si>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</si>
  <si>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</si>
  <si>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</si>
  <si>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</si>
  <si>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</si>
  <si>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</si>
  <si>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</si>
  <si>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</si>
  <si>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</si>
  <si>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</si>
  <si>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</si>
  <si>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</si>
  <si>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</si>
  <si>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</si>
  <si>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</si>
  <si>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</si>
  <si>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</si>
  <si>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</si>
  <si>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</si>
  <si>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</si>
  <si>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</si>
  <si>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</si>
  <si>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</si>
  <si>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</si>
  <si>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</si>
  <si>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</si>
  <si>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</si>
  <si>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</si>
  <si>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</si>
  <si>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</si>
  <si>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</si>
  <si>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</si>
  <si>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</si>
  <si>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</si>
  <si>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</si>
  <si>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</si>
  <si>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</si>
  <si>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</si>
  <si>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</si>
  <si>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</si>
  <si>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</si>
  <si>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</si>
  <si>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</si>
  <si>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</si>
  <si>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</si>
  <si>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</si>
  <si>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</si>
  <si>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</si>
  <si>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</si>
  <si>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</si>
  <si>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</si>
  <si>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</si>
  <si>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</si>
  <si>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</si>
  <si>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</si>
  <si>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</si>
  <si>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</si>
  <si>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</si>
  <si>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</si>
  <si>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</si>
  <si>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</si>
  <si>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</si>
  <si>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</si>
  <si>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</si>
  <si>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</si>
  <si>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</si>
  <si>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</si>
  <si>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</si>
  <si>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</si>
  <si>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</si>
  <si>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</si>
  <si>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</si>
  <si>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</si>
  <si>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</si>
  <si>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</si>
  <si>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</si>
  <si>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</si>
  <si>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</si>
  <si>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</si>
  <si>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</si>
  <si>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</si>
  <si>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</si>
  <si>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</si>
  <si>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</si>
  <si>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</si>
  <si>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</si>
  <si>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</si>
  <si>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</si>
  <si>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</si>
  <si>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</si>
  <si>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</si>
  <si>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</si>
  <si>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</si>
  <si>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</si>
  <si>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</si>
  <si>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</si>
  <si>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</si>
  <si>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</si>
  <si>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</si>
  <si>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</si>
  <si>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</si>
  <si>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</si>
  <si>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</si>
  <si>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</si>
  <si>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</si>
  <si>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</si>
  <si>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</si>
  <si>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</si>
  <si>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</si>
  <si>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</si>
  <si>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</si>
  <si>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</si>
  <si>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</si>
  <si>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</si>
  <si>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</si>
  <si>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</si>
  <si>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</si>
  <si>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</si>
  <si>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</si>
  <si>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</si>
  <si>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</si>
  <si>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</si>
  <si>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</si>
  <si>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</si>
  <si>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</si>
  <si>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</si>
  <si>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</si>
  <si>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</si>
  <si>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</si>
  <si>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</si>
  <si>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</si>
  <si>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</si>
  <si>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</si>
  <si>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</si>
  <si>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</si>
  <si>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</si>
  <si>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</si>
  <si>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</si>
  <si>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</si>
  <si>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</si>
  <si>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</si>
  <si>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</si>
  <si>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</si>
  <si>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</si>
  <si>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</si>
  <si>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</si>
  <si>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</si>
  <si>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</si>
  <si>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</si>
  <si>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</si>
  <si>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</si>
  <si>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</si>
  <si>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</si>
  <si>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</si>
  <si>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</si>
  <si>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</si>
  <si>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</si>
  <si>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</si>
  <si>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</si>
  <si>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</si>
  <si>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</si>
  <si>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</si>
  <si>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</si>
  <si>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</si>
  <si>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</si>
  <si>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</si>
  <si>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</si>
  <si>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</si>
  <si>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</si>
  <si>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</si>
  <si>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</si>
  <si>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</si>
  <si>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</si>
  <si>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</si>
  <si>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</si>
  <si>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</si>
  <si>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</si>
  <si>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</si>
  <si>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</si>
  <si>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</si>
  <si>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</si>
  <si>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</si>
  <si>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</si>
  <si>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</si>
  <si>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</si>
  <si>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</si>
  <si>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</si>
  <si>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</si>
  <si>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</si>
  <si>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</si>
  <si>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</si>
  <si>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</si>
  <si>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</si>
  <si>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</si>
  <si>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</si>
  <si>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</si>
  <si>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</si>
  <si>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</si>
  <si>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</si>
  <si>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</si>
  <si>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</si>
  <si>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</si>
  <si>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</si>
  <si>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</si>
  <si>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</si>
  <si>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</si>
  <si>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</si>
  <si>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</si>
  <si>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</si>
  <si>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</si>
  <si>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</si>
  <si>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</si>
  <si>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</si>
  <si>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</si>
  <si>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</si>
  <si>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</si>
  <si>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</si>
  <si>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</si>
  <si>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</si>
  <si>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</si>
  <si>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</si>
  <si>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</si>
  <si>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</si>
  <si>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</si>
  <si>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</si>
  <si>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</si>
  <si>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</si>
  <si>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</si>
  <si>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</si>
  <si>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</si>
  <si>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</si>
  <si>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</si>
  <si>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</si>
  <si>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</si>
  <si>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</si>
  <si>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</si>
  <si>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</si>
  <si>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</si>
  <si>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</si>
  <si>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</si>
  <si>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</si>
  <si>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</si>
  <si>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</si>
  <si>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</si>
  <si>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</si>
  <si>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</si>
  <si>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</si>
  <si>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</si>
  <si>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</si>
  <si>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</si>
  <si>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</si>
  <si>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</si>
  <si>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</si>
  <si>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</si>
  <si>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</si>
  <si>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</si>
  <si>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</si>
  <si>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</si>
  <si>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</si>
  <si>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</si>
  <si>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</si>
  <si>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</si>
  <si>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</si>
  <si>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</si>
  <si>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</si>
  <si>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</si>
  <si>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</si>
  <si>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</si>
  <si>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</si>
  <si>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</si>
  <si>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</si>
  <si>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</si>
  <si>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</si>
  <si>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</si>
  <si>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</si>
  <si>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</si>
  <si>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</si>
  <si>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</si>
  <si>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</si>
  <si>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</si>
  <si>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</si>
  <si>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</si>
  <si>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</si>
  <si>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</si>
  <si>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</si>
  <si>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</si>
  <si>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</si>
  <si>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</si>
  <si>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</si>
  <si>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</si>
  <si>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</si>
  <si>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</si>
  <si>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</si>
  <si>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</si>
  <si>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</si>
  <si>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</si>
  <si>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</si>
  <si>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</si>
  <si>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</si>
  <si>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</si>
  <si>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</si>
  <si>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</si>
  <si>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</si>
  <si>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</si>
  <si>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</si>
  <si>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</si>
  <si>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</si>
  <si>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</si>
  <si>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</si>
  <si>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</si>
  <si>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</si>
  <si>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</si>
  <si>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</si>
  <si>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</si>
  <si>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</si>
  <si>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</si>
  <si>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</si>
  <si>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</si>
  <si>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</si>
  <si>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</si>
  <si>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</si>
  <si>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</si>
  <si>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</si>
  <si>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</si>
  <si>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</si>
  <si>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</si>
  <si>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</si>
  <si>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</si>
  <si>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</si>
  <si>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</si>
  <si>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</si>
  <si>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</si>
  <si>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</si>
  <si>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</si>
  <si>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</si>
  <si>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</si>
  <si>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</si>
  <si>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</si>
  <si>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</si>
  <si>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</si>
  <si>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</si>
  <si>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</si>
  <si>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</si>
  <si>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</si>
  <si>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</si>
  <si>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</si>
  <si>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</si>
  <si>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</si>
  <si>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</si>
  <si>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</si>
  <si>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</si>
  <si>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</si>
  <si>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</si>
  <si>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</si>
  <si>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</si>
  <si>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</si>
  <si>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</si>
  <si>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</si>
  <si>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</si>
  <si>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</si>
  <si>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</si>
  <si>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</si>
  <si>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</si>
  <si>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</si>
  <si>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</si>
  <si>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</si>
  <si>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</si>
  <si>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</si>
  <si>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</si>
  <si>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</si>
  <si>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</si>
  <si>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</si>
  <si>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</si>
  <si>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</si>
  <si>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</si>
  <si>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</si>
  <si>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</si>
  <si>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</si>
  <si>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</si>
  <si>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</si>
  <si>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</si>
  <si>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</si>
  <si>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</si>
  <si>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</si>
  <si>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</si>
  <si>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</si>
  <si>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</si>
  <si>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</si>
  <si>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</si>
  <si>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</si>
  <si>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</si>
  <si>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</si>
  <si>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</si>
  <si>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</si>
  <si>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</si>
  <si>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</si>
  <si>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</si>
  <si>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</si>
  <si>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</si>
  <si>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</si>
  <si>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</si>
  <si>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</si>
  <si>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</si>
  <si>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</si>
  <si>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</si>
  <si>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</si>
  <si>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</si>
  <si>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</si>
  <si>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</si>
  <si>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</si>
  <si>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</si>
  <si>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</si>
  <si>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</si>
  <si>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</si>
  <si>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</si>
  <si>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</si>
  <si>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</si>
  <si>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</si>
  <si>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</si>
  <si>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</si>
  <si>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</si>
  <si>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</si>
  <si>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</si>
  <si>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</si>
  <si>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</si>
  <si>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</si>
  <si>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</si>
  <si>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</si>
  <si>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</si>
  <si>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</si>
  <si>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</si>
  <si>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</si>
  <si>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</si>
  <si>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</si>
  <si>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</si>
  <si>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</si>
  <si>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</si>
  <si>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</si>
  <si>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</si>
  <si>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</si>
  <si>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</si>
  <si>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</si>
  <si>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</si>
  <si>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</si>
  <si>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</si>
  <si>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</si>
  <si>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</si>
  <si>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</si>
  <si>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</si>
  <si>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</si>
  <si>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</si>
  <si>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</si>
  <si>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</si>
  <si>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</si>
  <si>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</si>
  <si>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</si>
  <si>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</si>
  <si>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</si>
  <si>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</si>
  <si>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</si>
  <si>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</si>
  <si>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</si>
  <si>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</si>
  <si>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</si>
  <si>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</si>
  <si>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</si>
  <si>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</si>
  <si>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</si>
  <si>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</si>
  <si>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</si>
  <si>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</si>
  <si>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</si>
  <si>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</si>
  <si>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</si>
  <si>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</si>
  <si>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</si>
  <si>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</si>
  <si>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</si>
  <si>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</si>
  <si>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</si>
  <si>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</si>
  <si>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</si>
  <si>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</si>
  <si>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</si>
  <si>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</si>
  <si>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</si>
  <si>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</si>
  <si>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</si>
  <si>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</si>
  <si>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</si>
  <si>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</si>
  <si>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</si>
  <si>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</si>
  <si>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</si>
  <si>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</si>
  <si>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</si>
  <si>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</si>
  <si>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</si>
  <si>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</si>
  <si>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</si>
  <si>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</si>
  <si>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</si>
  <si>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</si>
  <si>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</si>
  <si>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</si>
  <si>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</si>
  <si>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</si>
  <si>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</si>
  <si>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</si>
  <si>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</si>
  <si>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</si>
  <si>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</si>
  <si>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</si>
  <si>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</si>
  <si>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</si>
  <si>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</si>
  <si>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</si>
  <si>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</si>
  <si>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</si>
  <si>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</si>
  <si>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</si>
  <si>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</si>
  <si>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</si>
  <si>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</si>
  <si>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</si>
  <si>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</si>
  <si>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</si>
  <si>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</si>
  <si>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</si>
  <si>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</si>
  <si>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</si>
  <si>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</si>
  <si>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</si>
  <si>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</si>
  <si>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</si>
  <si>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</si>
  <si>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</si>
  <si>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</si>
  <si>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</si>
  <si>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</si>
  <si>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</si>
  <si>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</si>
  <si>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</si>
  <si>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</si>
  <si>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</si>
  <si>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</si>
  <si>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</si>
  <si>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</si>
  <si>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</si>
  <si>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</si>
  <si>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</si>
  <si>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</si>
  <si>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</si>
  <si>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</si>
  <si>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</si>
  <si>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</si>
  <si>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</si>
  <si>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</si>
  <si>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</si>
  <si>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</si>
  <si>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</si>
  <si>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</si>
  <si>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</si>
  <si>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</si>
  <si>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</si>
  <si>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</si>
  <si>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</si>
  <si>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</si>
  <si>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</si>
  <si>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</si>
  <si>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</si>
  <si>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</si>
  <si>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</si>
  <si>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</si>
  <si>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</si>
  <si>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</si>
  <si>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</si>
  <si>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</si>
  <si>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</si>
  <si>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</si>
  <si>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</si>
  <si>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</si>
  <si>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</si>
  <si>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</si>
  <si>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</si>
  <si>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</si>
  <si>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</si>
  <si>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</si>
  <si>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</si>
  <si>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</si>
  <si>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</si>
  <si>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</si>
  <si>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</si>
  <si>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</si>
  <si>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</si>
  <si>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</si>
  <si>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</si>
  <si>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</si>
  <si>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</si>
  <si>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</si>
  <si>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</si>
  <si>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</si>
  <si>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</si>
  <si>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</si>
  <si>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</si>
  <si>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</si>
  <si>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</si>
  <si>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</si>
  <si>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</si>
  <si>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</si>
  <si>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</si>
  <si>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</si>
  <si>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</si>
  <si>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</si>
  <si>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</si>
  <si>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</si>
  <si>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</si>
  <si>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</si>
  <si>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</si>
  <si>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</si>
  <si>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</si>
  <si>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</si>
  <si>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</si>
  <si>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</si>
  <si>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</si>
  <si>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</si>
  <si>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</si>
  <si>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</si>
  <si>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</si>
  <si>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</si>
  <si>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</si>
  <si>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</si>
  <si>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</si>
  <si>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</si>
  <si>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</si>
  <si>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</si>
  <si>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</si>
  <si>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</si>
  <si>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</si>
  <si>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</si>
  <si>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</si>
  <si>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</si>
  <si>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</si>
  <si>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</si>
  <si>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</si>
  <si>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</si>
  <si>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</si>
  <si>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</si>
  <si>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</si>
  <si>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</si>
  <si>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</si>
  <si>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</si>
  <si>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</si>
  <si>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</si>
  <si>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</si>
  <si>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</si>
  <si>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</si>
  <si>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</si>
  <si>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</si>
  <si>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</si>
  <si>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</si>
  <si>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</si>
  <si>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</si>
  <si>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</si>
  <si>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</si>
  <si>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</si>
  <si>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</si>
  <si>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</si>
  <si>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</si>
  <si>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</si>
  <si>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</si>
  <si>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</si>
  <si>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</si>
  <si>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</si>
  <si>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</si>
  <si>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</si>
  <si>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</si>
  <si>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</si>
  <si>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</si>
  <si>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</si>
  <si>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</si>
  <si>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</si>
  <si>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</si>
  <si>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</si>
  <si>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</si>
  <si>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</si>
  <si>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</si>
  <si>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</si>
  <si>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</si>
  <si>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</si>
  <si>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</si>
  <si>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</si>
  <si>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</si>
  <si>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</si>
  <si>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</si>
  <si>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</si>
  <si>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</si>
  <si>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Employment Development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</si>
</sst>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80" zoomScaleNormal="80" workbookViewId="0">
      <selection activeCell="J35" sqref="J35"/>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1117</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870</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HEALTH AND HUMAN SERVICES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28310925</v>
      </c>
      <c r="K15" s="42"/>
      <c r="M15" s="105">
        <v>28310925</v>
      </c>
      <c r="P15" s="105">
        <v>39257440</v>
      </c>
      <c r="S15" s="43">
        <f>M15-P15</f>
        <v>-10946515</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18506121</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10661692</v>
      </c>
      <c r="N18" s="105">
        <v>10661692</v>
      </c>
      <c r="Q18" s="105">
        <v>19388711</v>
      </c>
      <c r="S18" s="43">
        <f>N18-Q18</f>
        <v>-8727019</v>
      </c>
      <c r="T18" s="47" t="s">
        <v>1635</v>
      </c>
    </row>
    <row r="19" spans="1:25" ht="16.5" customHeight="1" x14ac:dyDescent="0.25">
      <c r="A19" s="45"/>
      <c r="B19" s="49"/>
      <c r="C19" s="178" t="s">
        <v>1618</v>
      </c>
      <c r="D19" s="178"/>
      <c r="E19" s="178"/>
      <c r="F19" s="178"/>
      <c r="G19" s="178"/>
      <c r="H19" s="178"/>
      <c r="I19" s="178"/>
      <c r="J19" s="42"/>
      <c r="K19" s="41">
        <f>ROUND(N19,0)</f>
        <v>20207041</v>
      </c>
      <c r="N19" s="105">
        <v>20207041</v>
      </c>
      <c r="Q19" s="105">
        <v>3920416</v>
      </c>
      <c r="S19" s="43">
        <f>N19-Q19</f>
        <v>16286625</v>
      </c>
      <c r="T19" s="47" t="s">
        <v>1635</v>
      </c>
      <c r="X19" s="18"/>
    </row>
    <row r="20" spans="1:25" ht="16.5" customHeight="1" x14ac:dyDescent="0.25">
      <c r="A20" s="45"/>
      <c r="B20" s="49"/>
      <c r="C20" s="178" t="s">
        <v>1584</v>
      </c>
      <c r="D20" s="178"/>
      <c r="E20" s="178"/>
      <c r="F20" s="178"/>
      <c r="G20" s="178"/>
      <c r="H20" s="178"/>
      <c r="I20" s="178"/>
      <c r="K20" s="41">
        <f>ROUND(Q20,0)</f>
        <v>15948313</v>
      </c>
      <c r="N20" s="105"/>
      <c r="Q20" s="46">
        <f>IF(SUM($Q$18:$Q$19)&lt;$P$15,-SUM($Q$18:$Q$19)+$P$15,0)</f>
        <v>15948313</v>
      </c>
      <c r="S20" s="43">
        <f>N20-Q20</f>
        <v>-15948313</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46817046</v>
      </c>
      <c r="K22" s="51">
        <f>ROUND(SUM(K18:K21),0)</f>
        <v>46817046</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1296759</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1296759</v>
      </c>
      <c r="L29" s="37"/>
      <c r="M29" s="37"/>
      <c r="N29" s="37"/>
      <c r="O29" s="37"/>
      <c r="P29" s="37"/>
      <c r="Q29" s="37"/>
      <c r="R29" s="37"/>
      <c r="S29" s="37"/>
      <c r="T29" s="37"/>
    </row>
    <row r="30" spans="1:25" ht="16.5" customHeight="1" x14ac:dyDescent="0.25">
      <c r="A30" s="45"/>
      <c r="B30" s="49"/>
      <c r="C30" s="178" t="str">
        <f>VLOOKUP($F$8,'Drop Down Menus'!$D$2:$G$10,4,FALSE)</f>
        <v>Cr: Acct 0815 - HLTH&amp;HUM SV SV.LAB(GAAP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1296759</v>
      </c>
      <c r="K31" s="51">
        <f>ROUND(SUM(K28:K30),2)</f>
        <v>1296759</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1296759</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v>1296759</v>
      </c>
      <c r="K35" s="68"/>
    </row>
    <row r="36" spans="1:20" ht="16.5" customHeight="1" x14ac:dyDescent="0.2">
      <c r="A36" s="45"/>
      <c r="B36" s="69"/>
      <c r="C36" s="178" t="s">
        <v>1575</v>
      </c>
      <c r="D36" s="178"/>
      <c r="E36" s="178"/>
      <c r="F36" s="178"/>
      <c r="G36" s="178"/>
      <c r="H36" s="178"/>
      <c r="I36" s="178"/>
      <c r="J36" s="68"/>
      <c r="K36" s="105">
        <v>1296759</v>
      </c>
    </row>
    <row r="37" spans="1:20" ht="16.5" customHeight="1" x14ac:dyDescent="0.2">
      <c r="A37" s="45"/>
      <c r="C37" s="178" t="s">
        <v>1618</v>
      </c>
      <c r="D37" s="178"/>
      <c r="E37" s="178"/>
      <c r="F37" s="178"/>
      <c r="G37" s="178"/>
      <c r="H37" s="178"/>
      <c r="I37" s="178"/>
      <c r="J37" s="68"/>
      <c r="K37" s="105">
        <v>1296759</v>
      </c>
    </row>
    <row r="38" spans="1:20" ht="16.5" customHeight="1" x14ac:dyDescent="0.25">
      <c r="A38" s="45"/>
      <c r="B38" s="49"/>
      <c r="C38" s="178" t="str">
        <f>VLOOKUP($F$8,'Drop Down Menus'!$D$2:$G$10,4,FALSE)</f>
        <v>Cr: Acct 0815 - HLTH&amp;HUM SV SV.LAB(GAAP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2593518</v>
      </c>
      <c r="K39" s="51">
        <f>ROUND(SUM(K36:K38),2)</f>
        <v>2593518</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12271396</v>
      </c>
      <c r="K45" s="78"/>
    </row>
    <row r="46" spans="1:20" ht="16.5" customHeight="1" x14ac:dyDescent="0.2">
      <c r="A46" s="45"/>
      <c r="B46" s="69"/>
      <c r="C46" s="178" t="s">
        <v>1581</v>
      </c>
      <c r="D46" s="178"/>
      <c r="E46" s="178"/>
      <c r="F46" s="178"/>
      <c r="G46" s="178"/>
      <c r="H46" s="178"/>
      <c r="I46" s="178"/>
      <c r="J46" s="68"/>
      <c r="K46" s="105">
        <f>J45</f>
        <v>12271396</v>
      </c>
    </row>
    <row r="47" spans="1:20" ht="16.5" customHeight="1" x14ac:dyDescent="0.2">
      <c r="A47" s="65"/>
      <c r="B47" s="50"/>
      <c r="C47" s="50"/>
      <c r="D47" s="50"/>
      <c r="E47" s="50"/>
      <c r="F47" s="50"/>
      <c r="G47" s="50"/>
      <c r="H47" s="50"/>
      <c r="I47" s="50"/>
      <c r="J47" s="79">
        <f>ROUND(SUM(J45:J45),2)</f>
        <v>12271396</v>
      </c>
      <c r="K47" s="79">
        <f>ROUND(SUM(K46),2)</f>
        <v>12271396</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13994751</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371557</v>
      </c>
      <c r="K51" s="81"/>
    </row>
    <row r="52" spans="1:20" ht="16.5" customHeight="1" x14ac:dyDescent="0.25">
      <c r="A52" s="45"/>
      <c r="B52" s="49"/>
      <c r="C52" s="178" t="str">
        <f>VLOOKUP($F$8,'Drop Down Menus'!$D$2:$G$10,4,FALSE)</f>
        <v>Cr: Acct 0815 - HLTH&amp;HUM SV SV.LAB(GAAP ADJ)</v>
      </c>
      <c r="D52" s="178"/>
      <c r="E52" s="178"/>
      <c r="F52" s="178"/>
      <c r="G52" s="178"/>
      <c r="H52" s="178"/>
      <c r="I52" s="178"/>
      <c r="J52" s="81"/>
      <c r="K52" s="107">
        <f>+J50+J51</f>
        <v>14366308</v>
      </c>
    </row>
    <row r="53" spans="1:20" ht="16.5" customHeight="1" x14ac:dyDescent="0.2">
      <c r="A53" s="65"/>
      <c r="B53" s="50"/>
      <c r="C53" s="50"/>
      <c r="D53" s="50"/>
      <c r="E53" s="50"/>
      <c r="F53" s="50"/>
      <c r="G53" s="50"/>
      <c r="H53" s="50"/>
      <c r="I53" s="50"/>
      <c r="J53" s="79">
        <f>ROUND(SUM(J50:J51),2)</f>
        <v>14366308</v>
      </c>
      <c r="K53" s="79">
        <f>ROUND(SUM(K52,),2)</f>
        <v>14366308</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13994751</v>
      </c>
      <c r="K56" s="68"/>
    </row>
    <row r="57" spans="1:20" ht="16.5" customHeight="1" x14ac:dyDescent="0.25">
      <c r="A57" s="45"/>
      <c r="B57" s="49"/>
      <c r="C57" s="178" t="s">
        <v>1607</v>
      </c>
      <c r="D57" s="178"/>
      <c r="E57" s="178"/>
      <c r="F57" s="178"/>
      <c r="G57" s="178"/>
      <c r="H57" s="178"/>
      <c r="I57" s="178"/>
      <c r="J57" s="68"/>
      <c r="K57" s="105">
        <f>J50</f>
        <v>13994751</v>
      </c>
      <c r="L57" s="27" t="str">
        <f>IF($J$50=$K$57,"","&lt;- Accts 0848 must agree")</f>
        <v/>
      </c>
    </row>
    <row r="58" spans="1:20" ht="16.5" customHeight="1" x14ac:dyDescent="0.2">
      <c r="A58" s="65"/>
      <c r="B58" s="50"/>
      <c r="C58" s="50"/>
      <c r="D58" s="50"/>
      <c r="E58" s="50"/>
      <c r="F58" s="50"/>
      <c r="G58" s="50"/>
      <c r="H58" s="50"/>
      <c r="I58" s="50"/>
      <c r="J58" s="79">
        <f>ROUND(SUM(J56:J56),2)</f>
        <v>13994751</v>
      </c>
      <c r="K58" s="79">
        <f>ROUND(SUM(K57),2)</f>
        <v>13994751</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3472991</v>
      </c>
      <c r="K61" s="78"/>
    </row>
    <row r="62" spans="1:20" ht="16.5" customHeight="1" x14ac:dyDescent="0.25">
      <c r="A62" s="45"/>
      <c r="B62" s="49"/>
      <c r="C62" s="178" t="s">
        <v>1616</v>
      </c>
      <c r="D62" s="178"/>
      <c r="E62" s="178"/>
      <c r="F62" s="178"/>
      <c r="G62" s="178"/>
      <c r="H62" s="178"/>
      <c r="I62" s="178"/>
      <c r="J62" s="78"/>
      <c r="K62" s="105">
        <f>J61</f>
        <v>3472991</v>
      </c>
    </row>
    <row r="63" spans="1:20" ht="16.5" customHeight="1" x14ac:dyDescent="0.2">
      <c r="A63" s="45"/>
      <c r="B63" s="192" t="s">
        <v>1615</v>
      </c>
      <c r="C63" s="192"/>
      <c r="D63" s="192"/>
      <c r="E63" s="192"/>
      <c r="F63" s="192"/>
      <c r="G63" s="192"/>
      <c r="H63" s="192"/>
      <c r="I63" s="192"/>
      <c r="J63" s="79">
        <f>ROUND(SUM(J61:J61),2)</f>
        <v>3472991</v>
      </c>
      <c r="K63" s="79">
        <f>ROUND(SUM(K62),2)</f>
        <v>3472991</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15999543</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15999543</v>
      </c>
    </row>
    <row r="70" spans="1:20" ht="16.5" customHeight="1" x14ac:dyDescent="0.2">
      <c r="B70" s="50"/>
      <c r="H70" s="27"/>
      <c r="J70" s="51">
        <f>SUM(J68)</f>
        <v>15999543</v>
      </c>
      <c r="K70" s="51">
        <f>SUM(K69)</f>
        <v>15999543</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0815 - HLTH&amp;HUM SV SV.LAB(GAAP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0815 - HLTH&amp;HUM SV SV.LAB(GAAP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13608141</v>
      </c>
      <c r="N94" s="104"/>
    </row>
    <row r="95" spans="1:20" ht="16.5" customHeight="1" x14ac:dyDescent="0.25">
      <c r="D95" s="49" t="s">
        <v>1631</v>
      </c>
      <c r="E95" s="100"/>
      <c r="F95" s="100"/>
      <c r="G95" s="100"/>
      <c r="H95" s="27"/>
      <c r="I95" s="100"/>
      <c r="J95" s="100"/>
      <c r="K95" s="103">
        <f>-K18-K46+J68+J77</f>
        <v>-6933545</v>
      </c>
      <c r="N95" s="102"/>
    </row>
    <row r="96" spans="1:20" ht="16.5" customHeight="1" x14ac:dyDescent="0.25">
      <c r="D96" s="49" t="s">
        <v>1629</v>
      </c>
      <c r="E96" s="100"/>
      <c r="F96" s="100"/>
      <c r="G96" s="100"/>
      <c r="H96" s="27"/>
      <c r="I96" s="100"/>
      <c r="J96" s="100"/>
      <c r="K96" s="103">
        <f>-K19-K37+J56+J61+J76-K85</f>
        <v>-4036058</v>
      </c>
    </row>
    <row r="97" spans="1:11" ht="16.5" customHeight="1" x14ac:dyDescent="0.25">
      <c r="D97" s="49" t="s">
        <v>1630</v>
      </c>
      <c r="E97" s="100"/>
      <c r="F97" s="100"/>
      <c r="G97" s="100"/>
      <c r="H97" s="27"/>
      <c r="I97" s="100"/>
      <c r="J97" s="100"/>
      <c r="K97" s="103">
        <f>-K62</f>
        <v>-3472991</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9" zoomScale="80" zoomScaleNormal="80" workbookViewId="0">
      <selection activeCell="D33" sqref="D3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7100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3472991</v>
      </c>
      <c r="C16" s="2">
        <v>130907</v>
      </c>
      <c r="D16" s="207" t="s">
        <v>1536</v>
      </c>
      <c r="E16" s="118"/>
      <c r="F16" s="118"/>
      <c r="G16" s="118"/>
      <c r="H16" s="118"/>
      <c r="I16" s="118"/>
      <c r="J16" s="118"/>
      <c r="K16" s="118"/>
    </row>
    <row r="17" spans="1:11" ht="15" customHeight="1" x14ac:dyDescent="0.2">
      <c r="A17" s="115" t="str">
        <f>LEFT(A16,4)+1&amp;"–"&amp;RIGHT(A16,4)+1</f>
        <v>2025–2026</v>
      </c>
      <c r="B17" s="2">
        <v>3582738</v>
      </c>
      <c r="C17" s="2">
        <v>21160</v>
      </c>
      <c r="D17" s="207"/>
      <c r="E17" s="118"/>
      <c r="F17" s="118"/>
      <c r="G17" s="118"/>
      <c r="H17" s="118"/>
      <c r="I17" s="118"/>
      <c r="J17" s="118"/>
      <c r="K17" s="118"/>
    </row>
    <row r="18" spans="1:11" ht="15" customHeight="1" x14ac:dyDescent="0.2">
      <c r="A18" s="115" t="str">
        <f>LEFT(A17,4)+1&amp;"–"&amp;RIGHT(A17,4)+1</f>
        <v>2026–2027</v>
      </c>
      <c r="B18" s="2">
        <v>453320</v>
      </c>
      <c r="C18" s="2">
        <v>21559</v>
      </c>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7100</v>
      </c>
      <c r="C43" s="203"/>
    </row>
    <row r="44" spans="1:11" ht="15.75" x14ac:dyDescent="0.25">
      <c r="A44" s="113" t="s">
        <v>1594</v>
      </c>
      <c r="B44" s="204" t="str">
        <f>B13</f>
        <v>Employment Development Department</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7100</v>
      </c>
      <c r="C74" s="203"/>
    </row>
    <row r="75" spans="1:4" ht="15.75" x14ac:dyDescent="0.25">
      <c r="A75" s="113" t="s">
        <v>1594</v>
      </c>
      <c r="B75" s="204" t="str">
        <f>B13</f>
        <v>Employment Development Department</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F10" sqref="F10"/>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7100 Journal Entries'!$F$5&amp;" "&amp;'Fund 7100 Journal Entries'!$F$4</f>
        <v>Business Unit 7100 Employment Development Department</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7100 Journal Entries'!$F$3,4)</f>
        <v>Balance
July 1, 2023</v>
      </c>
      <c r="G7" s="131"/>
      <c r="H7" s="132" t="s">
        <v>9</v>
      </c>
      <c r="I7" s="131"/>
      <c r="J7" s="132" t="s">
        <v>10</v>
      </c>
      <c r="K7" s="131"/>
      <c r="L7" s="130" t="str">
        <f>"Balance
June 30, "&amp;RIGHT('Fund 7100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7100 Journal Entries'!$F$7="Governmental Fund",'Fund 7100 Journal Entries'!$K$19,0)</f>
        <v>20207041</v>
      </c>
      <c r="H10" s="3">
        <f>IF('Fund 7100 Journal Entries'!$F$7="Governmental Fund",SUM('Fund 7100 Journal Entries'!$K$37,'Fund 7100 Journal Entries'!$K$85),0)</f>
        <v>1296759</v>
      </c>
      <c r="J10" s="3">
        <f>IF('Fund 7100 Journal Entries'!$F$7="Governmental Fund",SUM('Fund 7100 Journal Entries'!$J$56,'Fund 7100 Journal Entries'!$J$76),0)</f>
        <v>13994751</v>
      </c>
      <c r="L10" s="134">
        <f>SUM(F10+H10-J10)</f>
        <v>7509049</v>
      </c>
      <c r="N10" s="3">
        <f>IF('Fund 7100 Journal Entries'!$F$7="Governmental Fund",'Fund 7100 Journal Entries'!$J$61,0)</f>
        <v>3472991</v>
      </c>
      <c r="P10" s="134">
        <f>L10-N10</f>
        <v>4036058</v>
      </c>
      <c r="Q10" s="129"/>
    </row>
    <row r="11" spans="2:17" ht="19.5" thickTop="1" thickBot="1" x14ac:dyDescent="0.3">
      <c r="B11" s="128"/>
      <c r="C11" s="208" t="s">
        <v>14</v>
      </c>
      <c r="D11" s="208"/>
      <c r="F11" s="135">
        <f>SUM(F10:F10)</f>
        <v>20207041</v>
      </c>
      <c r="H11" s="135">
        <f>SUM(H10:H10)</f>
        <v>1296759</v>
      </c>
      <c r="J11" s="135">
        <f>SUM(J10:J10)</f>
        <v>13994751</v>
      </c>
      <c r="L11" s="135">
        <f>SUM(L10:L10)</f>
        <v>7509049</v>
      </c>
      <c r="N11" s="135">
        <f>SUM(N10:N10)</f>
        <v>3472991</v>
      </c>
      <c r="P11" s="135">
        <f>SUM(P10:P10)</f>
        <v>4036058</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7100 Journal Entries'!$F$7="Proprietary - Internal Service Fund",'Fund 7100 Journal Entries'!$K$19,0)</f>
        <v>0</v>
      </c>
      <c r="H14" s="3">
        <f>IF('Fund 7100 Journal Entries'!$F$7="Proprietary - Internal Service Fund",SUM('Fund 7100 Journal Entries'!$K$37,'Fund 7100 Journal Entries'!$K$85),0)</f>
        <v>0</v>
      </c>
      <c r="J14" s="3">
        <f>IF('Fund 7100 Journal Entries'!$F$7="Proprietary - Internal Service Fund",SUM('Fund 7100 Journal Entries'!$J$56,'Fund 7100 Journal Entries'!$J$76),0)</f>
        <v>0</v>
      </c>
      <c r="L14" s="134">
        <f>SUM(F14+H14-J14)</f>
        <v>0</v>
      </c>
      <c r="N14" s="3">
        <f>IF('Fund 7100 Journal Entries'!$F$7="Proprietary - Internal Service Fund",'Fund 7100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7100 Journal Entries'!$F$7="Proprietary - Enterprise Fund",'Fund 7100 Journal Entries'!$K$19,0)</f>
        <v>0</v>
      </c>
      <c r="H18" s="3">
        <f>IF('Fund 7100 Journal Entries'!$F$7="Proprietary - Enterprise Fund",SUM('Fund 7100 Journal Entries'!$K$37,'Fund 7100 Journal Entries'!$K$85),0)</f>
        <v>0</v>
      </c>
      <c r="J18" s="3">
        <f>IF('Fund 7100 Journal Entries'!$F$7="Proprietary - Enterprise Fund",SUM('Fund 7100 Journal Entries'!$J$56,'Fund 7100 Journal Entries'!$J$76),0)</f>
        <v>0</v>
      </c>
      <c r="L18" s="134">
        <f>SUM(F18+H18-J18)</f>
        <v>0</v>
      </c>
      <c r="N18" s="3">
        <f>IF('Fund 7100 Journal Entries'!$F$7="Proprietary - Enterprise Fund",'Fund 7100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N64" sqref="N64"/>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7100 Journal Entries'!$F$7="Governmental Fund",ROUND('Fund 7100 Journal Entries'!$K$19,0),0)</f>
        <v>20207041</v>
      </c>
      <c r="C17" s="21" t="s">
        <v>1551</v>
      </c>
      <c r="D17" s="10">
        <f>IF('Fund 7100 Journal Entries'!$F$7="Governmental Fund",ROUND('Fund 7100 Journal Entries'!$K$37,0),0)</f>
        <v>1296759</v>
      </c>
      <c r="E17" s="22" t="s">
        <v>1553</v>
      </c>
      <c r="F17" s="10">
        <f>IF('Fund 7100 Journal Entries'!$F$7="Governmental Fund",ROUND('Fund 7100 Journal Entries'!$J$56,0),0)</f>
        <v>13994751</v>
      </c>
      <c r="G17" s="22" t="s">
        <v>1553</v>
      </c>
      <c r="H17" s="10">
        <f>IF('Fund 7100 Journal Entries'!$F$7="Governmental Fund",ROUND('Fund 7100 Journal Entries'!$J$76,0),0)</f>
        <v>0</v>
      </c>
      <c r="I17" s="22" t="s">
        <v>1551</v>
      </c>
      <c r="J17" s="10">
        <f>IF('Fund 7100 Journal Entries'!$F$7="Governmental Fund",ROUND('Fund 7100 Journal Entries'!$K$85,0),0)</f>
        <v>0</v>
      </c>
      <c r="K17" s="22" t="s">
        <v>1555</v>
      </c>
      <c r="L17" s="11">
        <f>+B17+D17-F17-H17+J17</f>
        <v>7509049</v>
      </c>
      <c r="M17" s="22"/>
      <c r="N17" s="12">
        <f>ROUND(SUM('Department Note Disclosure'!$B$16:$B$39),0)</f>
        <v>7509049</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7100 Journal Entries'!$F$7="Proprietary - Internal Service Fund",ROUND('Fund 7100 Journal Entries'!$K$19,0),0)</f>
        <v>0</v>
      </c>
      <c r="C25" s="21" t="s">
        <v>1551</v>
      </c>
      <c r="D25" s="10">
        <f>IF('Fund 7100 Journal Entries'!$F$7="Proprietary - Internal Service Fund",ROUND('Fund 7100 Journal Entries'!$K$37,0),0)</f>
        <v>0</v>
      </c>
      <c r="E25" s="22" t="s">
        <v>1553</v>
      </c>
      <c r="F25" s="10">
        <f>IF('Fund 7100 Journal Entries'!$F$7="Proprietary - Internal Service Fund",ROUND('Fund 7100 Journal Entries'!$J$56,0),0)</f>
        <v>0</v>
      </c>
      <c r="G25" s="22" t="s">
        <v>1553</v>
      </c>
      <c r="H25" s="10">
        <f>IF('Fund 7100 Journal Entries'!$F$7="Proprietary - Internal Service Fund",ROUND('Fund 7100 Journal Entries'!$J$76,0),0)</f>
        <v>0</v>
      </c>
      <c r="I25" s="22" t="s">
        <v>1551</v>
      </c>
      <c r="J25" s="10">
        <f>IF('Fund 7100 Journal Entries'!$F$7="Proprietary - Internal Service Fund",ROUND('Fund 7100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7100 Journal Entries'!$F$7="Proprietary - Enterprise Fund",ROUND('Fund 7100 Journal Entries'!$K$19,0),0)</f>
        <v>0</v>
      </c>
      <c r="C34" s="21" t="s">
        <v>1551</v>
      </c>
      <c r="D34" s="10">
        <f>IF('Fund 7100 Journal Entries'!$F$7="Proprietary - Enterprise Fund",ROUND('Fund 7100 Journal Entries'!$K$37,0),0)</f>
        <v>0</v>
      </c>
      <c r="E34" s="22" t="s">
        <v>1553</v>
      </c>
      <c r="F34" s="10">
        <f>IF('Fund 7100 Journal Entries'!$F$7="Proprietary - Enterprise Fund",ROUND('Fund 7100 Journal Entries'!$J$56,0),0)</f>
        <v>0</v>
      </c>
      <c r="G34" s="22" t="s">
        <v>1553</v>
      </c>
      <c r="H34" s="10">
        <f>IF('Fund 7100 Journal Entries'!$F$7="Proprietary - Enterprise Fund",ROUND('Fund 7100 Journal Entries'!$J$76,0),0)</f>
        <v>0</v>
      </c>
      <c r="I34" s="22" t="s">
        <v>1551</v>
      </c>
      <c r="J34" s="10">
        <f>IF('Fund 7100 Journal Entries'!$F$7="Proprietary - Enterprise Fund",ROUND('Fund 7100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7100 Journal Entries'!$F$7="Governmental Fund",ROUND('Fund 7100 Journal Entries'!$K$62,0),0)</f>
        <v>3472991</v>
      </c>
      <c r="C42" s="160"/>
      <c r="D42" s="159"/>
      <c r="E42" s="159"/>
      <c r="F42" s="159"/>
      <c r="G42" s="145"/>
      <c r="H42" s="159"/>
      <c r="I42" s="149"/>
      <c r="J42" s="159"/>
      <c r="K42" s="145"/>
      <c r="L42" s="158"/>
      <c r="M42" s="23"/>
      <c r="N42" s="12">
        <f>ROUND('Department Note Disclosure'!$B$16,0)</f>
        <v>3472991</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7100 Journal Entries'!$F$7="Proprietary - Internal Service Fund",ROUND('Fund 7100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7100 Journal Entries'!$F$7="Proprietary - Enterprise Fund",ROUND('Fund 7100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20207041</v>
      </c>
      <c r="I64" s="25" t="s">
        <v>1555</v>
      </c>
      <c r="J64" s="14">
        <f>SUM(D64)</f>
        <v>20207041</v>
      </c>
      <c r="L64" s="164" t="str">
        <f>CONCATENATE("Balance July 1, ",LEFT('Department Note Disclosure'!$B$11,4))</f>
        <v>Balance July 1, 2023</v>
      </c>
      <c r="N64" s="14">
        <f>ROUND('SBITA Liabilities'!$F$10,0)</f>
        <v>20207041</v>
      </c>
      <c r="P64" s="13">
        <f>J64-N64</f>
        <v>0</v>
      </c>
    </row>
    <row r="65" spans="1:16383" x14ac:dyDescent="0.25">
      <c r="B65" s="162" t="s">
        <v>1620</v>
      </c>
      <c r="D65" s="14">
        <f>$D$17</f>
        <v>1296759</v>
      </c>
      <c r="E65" s="165" t="s">
        <v>1551</v>
      </c>
      <c r="F65" s="150" t="s">
        <v>1646</v>
      </c>
      <c r="H65" s="14">
        <f>J17</f>
        <v>0</v>
      </c>
      <c r="I65" s="25" t="s">
        <v>1555</v>
      </c>
      <c r="J65" s="14">
        <f>SUM(D65,H65)</f>
        <v>1296759</v>
      </c>
      <c r="L65" s="164" t="s">
        <v>9</v>
      </c>
      <c r="N65" s="14">
        <f>ROUND('SBITA Liabilities'!$H$10,0)</f>
        <v>1296759</v>
      </c>
      <c r="P65" s="13">
        <f>J65-N65</f>
        <v>0</v>
      </c>
    </row>
    <row r="66" spans="1:16383" x14ac:dyDescent="0.25">
      <c r="B66" s="162" t="s">
        <v>1554</v>
      </c>
      <c r="D66" s="14">
        <f>$F$17</f>
        <v>13994751</v>
      </c>
      <c r="E66" s="165" t="s">
        <v>1551</v>
      </c>
      <c r="F66" s="150" t="s">
        <v>1645</v>
      </c>
      <c r="H66" s="14">
        <f>H17</f>
        <v>0</v>
      </c>
      <c r="I66" s="25" t="s">
        <v>1555</v>
      </c>
      <c r="J66" s="14">
        <f>SUM(D66,H66)</f>
        <v>13994751</v>
      </c>
      <c r="L66" s="164" t="s">
        <v>10</v>
      </c>
      <c r="N66" s="14">
        <f>ROUND('SBITA Liabilities'!$J$10,0)</f>
        <v>13994751</v>
      </c>
      <c r="P66" s="13">
        <f>J66-N66</f>
        <v>0</v>
      </c>
    </row>
    <row r="67" spans="1:16383" x14ac:dyDescent="0.25">
      <c r="B67" s="162" t="s">
        <v>1558</v>
      </c>
      <c r="D67" s="14">
        <f>$B$42</f>
        <v>3472991</v>
      </c>
      <c r="I67" s="25" t="s">
        <v>1555</v>
      </c>
      <c r="J67" s="14">
        <f>SUM(D67)</f>
        <v>3472991</v>
      </c>
      <c r="L67" s="164" t="s">
        <v>11</v>
      </c>
      <c r="N67" s="14">
        <f>ROUND('SBITA Liabilities'!$N$10,0)</f>
        <v>3472991</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7100 Journal Entries</vt:lpstr>
      <vt:lpstr>Department Note Disclosure</vt:lpstr>
      <vt:lpstr>SBITA Liabilities</vt:lpstr>
      <vt:lpstr>Check Figures </vt:lpstr>
      <vt:lpstr>Drop Down Menus</vt:lpstr>
      <vt:lpstr>GAAP02Aindex</vt:lpstr>
      <vt:lpstr>'Department Note Disclosure'!Print_Area</vt:lpstr>
      <vt:lpstr>'Fund 7100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2025-03-06T19:18:16Z</dcterms:modified>
</cp:coreProperties>
</file>