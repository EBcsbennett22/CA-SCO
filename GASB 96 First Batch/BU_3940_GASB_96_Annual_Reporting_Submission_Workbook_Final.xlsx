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93C44B68-D2ED-4D58-8277-5511FD663036}"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Fund 0193 Journal Entries" sheetId="12" r:id="rId2"/>
    <sheet name="Fund 0439 Journal Entries" sheetId="13" r:id="rId3"/>
    <sheet name="Fund 3339 Journal Entries" sheetId="14" r:id="rId4"/>
    <sheet name="Department Note Disclosure" sheetId="3" r:id="rId5"/>
    <sheet name="SBITA Liabilities" sheetId="4" r:id="rId6"/>
    <sheet name="Check Figures " sheetId="9" r:id="rId7"/>
    <sheet name="Drop Down Menus" sheetId="1" state="hidden" r:id="rId8"/>
    <sheet name="GAAP02Aindex" sheetId="7" state="hidden" r:id="rId9"/>
  </sheets>
  <externalReferences>
    <externalReference r:id="rId10"/>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'Department Note Disclosure'!$A$3:$D$101</definedName>
    <definedName name="_xlnm.Print_Area" localSheetId="0">'Fund 0001 Journal Entries'!$A$1:$K$99</definedName>
    <definedName name="_xlnm.Print_Area" localSheetId="1">'Fund 0193 Journal Entries'!$A$1:$K$99</definedName>
    <definedName name="_xlnm.Print_Area" localSheetId="2">'Fund 0439 Journal Entries'!$A$1:$K$99</definedName>
    <definedName name="_xlnm.Print_Area" localSheetId="3">'Fund 3339 Journal Entries'!$A$1:$K$99</definedName>
    <definedName name="_xlnm.Print_Area" localSheetId="5">'SBITA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2" i="2" l="1"/>
  <c r="K57" i="2"/>
  <c r="C16" i="3"/>
  <c r="N10" i="4"/>
  <c r="B42" i="9"/>
  <c r="J17" i="9"/>
  <c r="J10" i="4"/>
  <c r="H17" i="9"/>
  <c r="F17" i="9"/>
  <c r="H10" i="4"/>
  <c r="D17" i="9"/>
  <c r="K86" i="14" l="1"/>
  <c r="J86" i="14"/>
  <c r="L86" i="14" s="1"/>
  <c r="L81" i="14"/>
  <c r="K81" i="14"/>
  <c r="J81" i="14"/>
  <c r="K70" i="14"/>
  <c r="J68" i="14"/>
  <c r="J70" i="14" s="1"/>
  <c r="L70" i="14" s="1"/>
  <c r="J63" i="14"/>
  <c r="K62" i="14"/>
  <c r="K97" i="14" s="1"/>
  <c r="K58" i="14"/>
  <c r="J58" i="14"/>
  <c r="L57" i="14"/>
  <c r="J53" i="14"/>
  <c r="K53" i="14"/>
  <c r="B51" i="14"/>
  <c r="L50" i="14"/>
  <c r="J47" i="14"/>
  <c r="K47" i="14"/>
  <c r="L47" i="14" s="1"/>
  <c r="K39" i="14"/>
  <c r="J39" i="14"/>
  <c r="K31" i="14"/>
  <c r="J31" i="14"/>
  <c r="A26" i="14"/>
  <c r="S21" i="14"/>
  <c r="Q20" i="14"/>
  <c r="S20" i="14" s="1"/>
  <c r="S19" i="14"/>
  <c r="K19" i="14"/>
  <c r="K96" i="14" s="1"/>
  <c r="S18" i="14"/>
  <c r="K18" i="14"/>
  <c r="S17" i="14"/>
  <c r="P16" i="14"/>
  <c r="S16" i="14" s="1"/>
  <c r="S15" i="14"/>
  <c r="J15" i="14"/>
  <c r="K94" i="14" s="1"/>
  <c r="B14" i="14"/>
  <c r="A12" i="14"/>
  <c r="F8" i="14"/>
  <c r="C80" i="14" s="1"/>
  <c r="K86" i="13"/>
  <c r="J86" i="13"/>
  <c r="L86" i="13" s="1"/>
  <c r="L81" i="13"/>
  <c r="K81" i="13"/>
  <c r="J81" i="13"/>
  <c r="K70" i="13"/>
  <c r="J70" i="13"/>
  <c r="J63" i="13"/>
  <c r="K97" i="13"/>
  <c r="K58" i="13"/>
  <c r="J58" i="13"/>
  <c r="L57" i="13"/>
  <c r="J53" i="13"/>
  <c r="K52" i="13"/>
  <c r="K53" i="13" s="1"/>
  <c r="B51" i="13"/>
  <c r="L50" i="13"/>
  <c r="J47" i="13"/>
  <c r="K47" i="13"/>
  <c r="L47" i="13" s="1"/>
  <c r="K39" i="13"/>
  <c r="J39" i="13"/>
  <c r="K31" i="13"/>
  <c r="J31" i="13"/>
  <c r="A26" i="13"/>
  <c r="S21" i="13"/>
  <c r="Q20" i="13"/>
  <c r="K20" i="13" s="1"/>
  <c r="S19" i="13"/>
  <c r="K19" i="13"/>
  <c r="K96" i="13" s="1"/>
  <c r="S18" i="13"/>
  <c r="K18" i="13"/>
  <c r="S17" i="13"/>
  <c r="P16" i="13"/>
  <c r="S16" i="13" s="1"/>
  <c r="S15" i="13"/>
  <c r="J15" i="13"/>
  <c r="K94" i="13" s="1"/>
  <c r="B14" i="13"/>
  <c r="A12" i="13"/>
  <c r="F8" i="13"/>
  <c r="C80" i="13" s="1"/>
  <c r="K86" i="12"/>
  <c r="J86" i="12"/>
  <c r="L86" i="12" s="1"/>
  <c r="L81" i="12"/>
  <c r="K81" i="12"/>
  <c r="J81" i="12"/>
  <c r="K70" i="12"/>
  <c r="J70" i="12"/>
  <c r="J63" i="12"/>
  <c r="K62" i="12"/>
  <c r="K97" i="12" s="1"/>
  <c r="K58" i="12"/>
  <c r="J58" i="12"/>
  <c r="L57" i="12"/>
  <c r="J53" i="12"/>
  <c r="K53" i="12"/>
  <c r="B51" i="12"/>
  <c r="L50" i="12"/>
  <c r="J47" i="12"/>
  <c r="K47" i="12"/>
  <c r="L47" i="12" s="1"/>
  <c r="K39" i="12"/>
  <c r="J39" i="12"/>
  <c r="K31" i="12"/>
  <c r="J31" i="12"/>
  <c r="A26" i="12"/>
  <c r="S21" i="12"/>
  <c r="Q20" i="12"/>
  <c r="S20" i="12" s="1"/>
  <c r="K20" i="12"/>
  <c r="S19" i="12"/>
  <c r="K19" i="12"/>
  <c r="K96" i="12" s="1"/>
  <c r="S18" i="12"/>
  <c r="K18" i="12"/>
  <c r="S17" i="12"/>
  <c r="P16" i="12"/>
  <c r="J16" i="12" s="1"/>
  <c r="S15" i="12"/>
  <c r="J15" i="12"/>
  <c r="K94" i="12" s="1"/>
  <c r="B14" i="12"/>
  <c r="A12" i="12"/>
  <c r="F8" i="12"/>
  <c r="C80" i="12" s="1"/>
  <c r="L70" i="13" l="1"/>
  <c r="L70" i="12"/>
  <c r="L58" i="14"/>
  <c r="L39" i="14"/>
  <c r="L31" i="14"/>
  <c r="K20" i="14"/>
  <c r="L53" i="13"/>
  <c r="L58" i="13"/>
  <c r="K63" i="13"/>
  <c r="L63" i="13" s="1"/>
  <c r="L39" i="13"/>
  <c r="L31" i="13"/>
  <c r="S20" i="13"/>
  <c r="L58" i="12"/>
  <c r="L39" i="12"/>
  <c r="L31" i="12"/>
  <c r="L53" i="14"/>
  <c r="C38" i="14"/>
  <c r="J16" i="14"/>
  <c r="C52" i="14"/>
  <c r="B78" i="14"/>
  <c r="C30" i="14"/>
  <c r="K95" i="14"/>
  <c r="K63" i="14"/>
  <c r="L63" i="14" s="1"/>
  <c r="C38" i="13"/>
  <c r="J16" i="13"/>
  <c r="K21" i="13" s="1"/>
  <c r="K22" i="13" s="1"/>
  <c r="C52" i="13"/>
  <c r="B78" i="13"/>
  <c r="C30" i="13"/>
  <c r="K95" i="13"/>
  <c r="L53" i="12"/>
  <c r="K21" i="12"/>
  <c r="K22" i="12" s="1"/>
  <c r="B78" i="12"/>
  <c r="S16" i="12"/>
  <c r="C38" i="12"/>
  <c r="C52" i="12"/>
  <c r="J17" i="12"/>
  <c r="J22" i="12" s="1"/>
  <c r="K63" i="12"/>
  <c r="L63" i="12" s="1"/>
  <c r="C30" i="12"/>
  <c r="K95" i="12"/>
  <c r="K21" i="14" l="1"/>
  <c r="K22" i="14" s="1"/>
  <c r="L22" i="12"/>
  <c r="J17" i="14"/>
  <c r="J22" i="14" s="1"/>
  <c r="J17" i="13"/>
  <c r="J22" i="13" s="1"/>
  <c r="L22" i="13" s="1"/>
  <c r="L22" i="14" l="1"/>
  <c r="N18" i="4"/>
  <c r="K19" i="2"/>
  <c r="K18" i="2"/>
  <c r="J15" i="2"/>
  <c r="K94" i="2" s="1"/>
  <c r="S21" i="2"/>
  <c r="S19" i="2"/>
  <c r="S18" i="2"/>
  <c r="S17" i="2"/>
  <c r="S15" i="2"/>
  <c r="L57" i="2"/>
  <c r="K96" i="2" l="1"/>
  <c r="F10" i="4"/>
  <c r="B17" i="9"/>
  <c r="L50" i="2"/>
  <c r="J14" i="4" l="1"/>
  <c r="H18" i="4"/>
  <c r="H14" i="4"/>
  <c r="L84" i="9" l="1"/>
  <c r="L74" i="9"/>
  <c r="L64" i="9"/>
  <c r="H34" i="9"/>
  <c r="H86" i="9" s="1"/>
  <c r="J34" i="9"/>
  <c r="H85" i="9" s="1"/>
  <c r="J25" i="9"/>
  <c r="H75" i="9" s="1"/>
  <c r="H25" i="9"/>
  <c r="H76" i="9" s="1"/>
  <c r="H66" i="9"/>
  <c r="H65" i="9"/>
  <c r="K62" i="2"/>
  <c r="K97" i="2" s="1"/>
  <c r="K46" i="2"/>
  <c r="K95" i="2" s="1"/>
  <c r="J18" i="4" l="1"/>
  <c r="Q20" i="2"/>
  <c r="P16" i="2"/>
  <c r="S16" i="2" l="1"/>
  <c r="J16" i="2"/>
  <c r="K20" i="2"/>
  <c r="S20" i="2"/>
  <c r="D89" i="3"/>
  <c r="D58" i="3"/>
  <c r="K21" i="2" l="1"/>
  <c r="K22" i="2" s="1"/>
  <c r="J17" i="2"/>
  <c r="J22" i="2" s="1"/>
  <c r="D27" i="3"/>
  <c r="B25" i="9" l="1"/>
  <c r="D25" i="9"/>
  <c r="F25" i="9"/>
  <c r="B34" i="9"/>
  <c r="D34" i="9"/>
  <c r="F34" i="9"/>
  <c r="B49" i="9"/>
  <c r="B56" i="9"/>
  <c r="N14" i="4"/>
  <c r="F14" i="4"/>
  <c r="N74" i="9" s="1"/>
  <c r="F18" i="4"/>
  <c r="K53" i="2"/>
  <c r="L25" i="9" l="1"/>
  <c r="L34" i="9"/>
  <c r="C5" i="4"/>
  <c r="D86" i="3"/>
  <c r="D55" i="3"/>
  <c r="D24" i="3"/>
  <c r="L17" i="9" l="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B78" i="2" s="1"/>
  <c r="N85" i="9" l="1"/>
  <c r="C30" i="2"/>
  <c r="C80"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s="1"/>
</calcChain>
</file>

<file path=xl/sharedStrings.xml><?xml version="1.0" encoding="utf-8"?>
<sst xmlns="http://schemas.openxmlformats.org/spreadsheetml/2006/main" count="7846" uniqueCount="1656">
  <si>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</si>
  <si>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</si>
  <si>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</si>
  <si>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</si>
  <si>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</si>
  <si>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</si>
  <si>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</si>
  <si>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</si>
  <si>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</si>
  <si>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</si>
  <si>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</si>
  <si>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</si>
  <si>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</si>
  <si>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</si>
  <si>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</si>
  <si>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</si>
  <si>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</si>
  <si>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</si>
  <si>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</si>
  <si>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</si>
  <si>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</si>
  <si>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</si>
  <si>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</si>
  <si>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</si>
  <si>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</si>
  <si>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</si>
  <si>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</si>
  <si>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</si>
  <si>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</si>
  <si>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</si>
  <si>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</si>
  <si>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</si>
  <si>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</si>
  <si>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</si>
  <si>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</si>
  <si>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</si>
  <si>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</si>
  <si>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</si>
  <si>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</si>
  <si>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</si>
  <si>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</si>
  <si>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</si>
  <si>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</si>
  <si>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</si>
  <si>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</si>
  <si>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</si>
  <si>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</si>
  <si>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</si>
  <si>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</si>
  <si>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</si>
  <si>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</si>
  <si>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</si>
  <si>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</si>
  <si>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</si>
  <si>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</si>
  <si>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</si>
  <si>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</si>
  <si>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</si>
  <si>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</si>
  <si>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</si>
  <si>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</si>
  <si>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</si>
  <si>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</si>
  <si>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</si>
  <si>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</si>
  <si>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</si>
  <si>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</si>
  <si>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</si>
  <si>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</si>
  <si>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</si>
  <si>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</si>
  <si>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</si>
  <si>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</si>
  <si>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</si>
  <si>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</si>
  <si>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</si>
  <si>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</si>
  <si>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</si>
  <si>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</si>
  <si>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</si>
  <si>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</si>
  <si>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</si>
  <si>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</si>
  <si>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</si>
  <si>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</si>
  <si>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</si>
  <si>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</si>
  <si>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</si>
  <si>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</si>
  <si>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</si>
  <si>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</si>
  <si>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</si>
  <si>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</si>
  <si>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</si>
  <si>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</si>
  <si>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</si>
  <si>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</si>
  <si>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</si>
  <si>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</si>
  <si>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</si>
  <si>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</si>
  <si>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</si>
  <si>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</si>
  <si>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</si>
  <si>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</si>
  <si>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</si>
  <si>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</si>
  <si>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</si>
  <si>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</si>
  <si>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</si>
  <si>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</si>
  <si>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</si>
  <si>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</si>
  <si>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</si>
  <si>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</si>
  <si>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</si>
  <si>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</si>
  <si>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</si>
  <si>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</si>
  <si>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</si>
  <si>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</si>
  <si>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</si>
  <si>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</si>
  <si>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</si>
  <si>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</si>
  <si>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</si>
  <si>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</si>
  <si>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</si>
  <si>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</si>
  <si>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</si>
  <si>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</si>
  <si>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</si>
  <si>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</si>
  <si>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</si>
  <si>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</si>
  <si>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</si>
  <si>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</si>
  <si>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</si>
  <si>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</si>
  <si>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</si>
  <si>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</si>
  <si>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</si>
  <si>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</si>
  <si>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</si>
  <si>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</si>
  <si>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</si>
  <si>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</si>
  <si>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</si>
  <si>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</si>
  <si>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</si>
  <si>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</si>
  <si>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</si>
  <si>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</si>
  <si>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</si>
  <si>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</si>
  <si>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</si>
  <si>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</si>
  <si>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</si>
  <si>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</si>
  <si>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</si>
  <si>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</si>
  <si>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</si>
  <si>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</si>
  <si>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</si>
  <si>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</si>
  <si>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</si>
  <si>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</si>
  <si>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</si>
  <si>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</si>
  <si>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</si>
  <si>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</si>
  <si>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</si>
  <si>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</si>
  <si>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</si>
  <si>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</si>
  <si>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</si>
  <si>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</si>
  <si>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</si>
  <si>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</si>
  <si>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</si>
  <si>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</si>
  <si>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</si>
  <si>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</si>
  <si>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</si>
  <si>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</si>
  <si>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</si>
  <si>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</si>
  <si>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</si>
  <si>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</si>
  <si>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</si>
  <si>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</si>
  <si>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</si>
  <si>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</si>
  <si>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</si>
  <si>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</si>
  <si>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</si>
  <si>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</si>
  <si>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</si>
  <si>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</si>
  <si>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</si>
  <si>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</si>
  <si>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</si>
  <si>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</si>
  <si>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</si>
  <si>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</si>
  <si>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</si>
  <si>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</si>
  <si>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</si>
  <si>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</si>
  <si>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</si>
  <si>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</si>
  <si>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</si>
  <si>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</si>
  <si>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</si>
  <si>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</si>
  <si>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</si>
  <si>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</si>
  <si>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</si>
  <si>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</si>
  <si>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</si>
  <si>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</si>
  <si>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</si>
  <si>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</si>
  <si>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</si>
  <si>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</si>
  <si>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</si>
  <si>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</si>
  <si>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</si>
  <si>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</si>
  <si>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</si>
  <si>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</si>
  <si>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</si>
  <si>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</si>
  <si>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</si>
  <si>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</si>
  <si>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</si>
  <si>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</si>
  <si>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</si>
  <si>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</si>
  <si>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</si>
  <si>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</si>
  <si>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</si>
  <si>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</si>
  <si>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</si>
  <si>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</si>
  <si>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</si>
  <si>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</si>
  <si>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</si>
  <si>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</si>
  <si>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</si>
  <si>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</si>
  <si>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</si>
  <si>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</si>
  <si>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</si>
  <si>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</si>
  <si>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</si>
  <si>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</si>
  <si>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</si>
  <si>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</si>
  <si>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</si>
  <si>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</si>
  <si>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</si>
  <si>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</si>
  <si>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</si>
  <si>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</si>
  <si>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</si>
  <si>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</si>
  <si>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</si>
  <si>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</si>
  <si>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</si>
  <si>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</si>
  <si>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</si>
  <si>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</si>
  <si>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</si>
  <si>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</si>
  <si>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</si>
  <si>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</si>
  <si>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</si>
  <si>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</si>
  <si>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</si>
  <si>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</si>
  <si>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</si>
  <si>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</si>
  <si>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</si>
  <si>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</si>
  <si>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</si>
  <si>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</si>
  <si>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</si>
  <si>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</si>
  <si>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</si>
  <si>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</si>
  <si>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</si>
  <si>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</si>
  <si>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</si>
  <si>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</si>
  <si>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</si>
  <si>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</si>
  <si>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</si>
  <si>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</si>
  <si>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</si>
  <si>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</si>
  <si>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</si>
  <si>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</si>
  <si>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</si>
  <si>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</si>
  <si>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</si>
  <si>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</si>
  <si>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</si>
  <si>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</si>
  <si>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</si>
  <si>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</si>
  <si>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</si>
  <si>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</si>
  <si>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</si>
  <si>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</si>
  <si>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</si>
  <si>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</si>
  <si>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</si>
  <si>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</si>
  <si>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</si>
  <si>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</si>
  <si>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</si>
  <si>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</si>
  <si>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</si>
  <si>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</si>
  <si>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</si>
  <si>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</si>
  <si>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</si>
  <si>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</si>
  <si>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</si>
  <si>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</si>
  <si>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</si>
  <si>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</si>
  <si>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</si>
  <si>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</si>
  <si>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</si>
  <si>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</si>
  <si>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</si>
  <si>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</si>
  <si>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</si>
  <si>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</si>
  <si>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</si>
  <si>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</si>
  <si>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</si>
  <si>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</si>
  <si>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</si>
  <si>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</si>
  <si>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</si>
  <si>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</si>
  <si>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</si>
  <si>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</si>
  <si>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</si>
  <si>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</si>
  <si>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</si>
  <si>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</si>
  <si>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</si>
  <si>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</si>
  <si>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</si>
  <si>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</si>
  <si>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</si>
  <si>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</si>
  <si>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</si>
  <si>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</si>
  <si>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</si>
  <si>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</si>
  <si>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</si>
  <si>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</si>
  <si>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</si>
  <si>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</si>
  <si>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</si>
  <si>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</si>
  <si>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</si>
  <si>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</si>
  <si>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</si>
  <si>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</si>
  <si>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</si>
  <si>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</si>
  <si>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</si>
  <si>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</si>
  <si>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</si>
  <si>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</si>
  <si>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</si>
  <si>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</si>
  <si>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</si>
  <si>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</si>
  <si>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</si>
  <si>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</si>
  <si>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</si>
  <si>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</si>
  <si>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</si>
  <si>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</si>
  <si>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</si>
  <si>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</si>
  <si>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</si>
  <si>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</si>
  <si>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</si>
  <si>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</si>
  <si>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</si>
  <si>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</si>
  <si>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</si>
  <si>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</si>
  <si>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</si>
  <si>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</si>
  <si>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</si>
  <si>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</si>
  <si>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</si>
  <si>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</si>
  <si>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</si>
  <si>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</si>
  <si>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</si>
  <si>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</si>
  <si>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</si>
  <si>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</si>
  <si>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</si>
  <si>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</si>
  <si>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</si>
  <si>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</si>
  <si>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</si>
  <si>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</si>
  <si>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</si>
  <si>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</si>
  <si>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</si>
  <si>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</si>
  <si>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</si>
  <si>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</si>
  <si>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</si>
  <si>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</si>
  <si>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</si>
  <si>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</si>
  <si>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</si>
  <si>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</si>
  <si>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</si>
  <si>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</si>
  <si>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</si>
  <si>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</si>
  <si>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</si>
  <si>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</si>
  <si>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</si>
  <si>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</si>
  <si>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</si>
  <si>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</si>
  <si>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</si>
  <si>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</si>
  <si>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</si>
  <si>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</si>
  <si>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</si>
  <si>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</si>
  <si>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</si>
  <si>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</si>
  <si>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</si>
  <si>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</si>
  <si>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</si>
  <si>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</si>
  <si>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</si>
  <si>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</si>
  <si>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</si>
  <si>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</si>
  <si>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</si>
  <si>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</si>
  <si>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</si>
  <si>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</si>
  <si>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</si>
  <si>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</si>
  <si>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</si>
  <si>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</si>
  <si>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</si>
  <si>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</si>
  <si>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</si>
  <si>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</si>
  <si>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</si>
  <si>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</si>
  <si>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</si>
  <si>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</si>
  <si>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</si>
  <si>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</si>
  <si>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</si>
  <si>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</si>
  <si>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</si>
  <si>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</si>
  <si>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</si>
  <si>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</si>
  <si>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</si>
  <si>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</si>
  <si>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</si>
  <si>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</si>
  <si>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</si>
  <si>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</si>
  <si>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</si>
  <si>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</si>
  <si>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</si>
  <si>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</si>
  <si>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</si>
  <si>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</si>
  <si>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</si>
  <si>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</si>
  <si>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</si>
  <si>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</si>
  <si>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</si>
  <si>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</si>
  <si>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</si>
  <si>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</si>
  <si>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</si>
  <si>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</si>
  <si>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</si>
  <si>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</si>
  <si>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</si>
  <si>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</si>
  <si>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</si>
  <si>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</si>
  <si>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</si>
  <si>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</si>
  <si>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</si>
  <si>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</si>
  <si>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</si>
  <si>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</si>
  <si>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</si>
  <si>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</si>
  <si>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</si>
  <si>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</si>
  <si>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</si>
  <si>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</si>
  <si>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</si>
  <si>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</si>
  <si>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</si>
  <si>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</si>
  <si>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</si>
  <si>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</si>
  <si>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</si>
  <si>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</si>
  <si>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</si>
  <si>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</si>
  <si>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</si>
  <si>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</si>
  <si>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</si>
  <si>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</si>
  <si>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</si>
  <si>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</si>
  <si>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</si>
  <si>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</si>
  <si>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</si>
  <si>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</si>
  <si>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</si>
  <si>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</si>
  <si>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</si>
  <si>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</si>
  <si>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</si>
  <si>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</si>
  <si>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</si>
  <si>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</si>
  <si>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</si>
  <si>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</si>
  <si>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</si>
  <si>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</si>
  <si>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</si>
  <si>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</si>
  <si>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</si>
  <si>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</si>
  <si>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</si>
  <si>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</si>
  <si>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</si>
  <si>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</si>
  <si>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</si>
  <si>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</si>
  <si>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</si>
  <si>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</si>
  <si>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</si>
  <si>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</si>
  <si>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</si>
  <si>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</si>
  <si>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</si>
  <si>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</si>
  <si>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</si>
  <si>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</si>
  <si>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</si>
  <si>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</si>
  <si>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</si>
  <si>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</si>
  <si>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</si>
  <si>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</si>
  <si>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</si>
  <si>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</si>
  <si>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</si>
  <si>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</si>
  <si>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</si>
  <si>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</si>
  <si>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</si>
  <si>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</si>
  <si>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</si>
  <si>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</si>
  <si>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</si>
  <si>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</si>
  <si>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</si>
  <si>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</si>
  <si>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</si>
  <si>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</si>
  <si>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</si>
  <si>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</si>
  <si>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</si>
  <si>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</si>
  <si>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</si>
  <si>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</si>
  <si>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</si>
  <si>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</si>
  <si>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</si>
  <si>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</si>
  <si>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</si>
  <si>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</si>
  <si>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</si>
  <si>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</si>
  <si>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</si>
  <si>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</si>
  <si>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</si>
  <si>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</si>
  <si>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</si>
  <si>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</si>
  <si>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</si>
  <si>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</si>
  <si>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</si>
  <si>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</si>
  <si>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</si>
  <si>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</si>
  <si>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</si>
  <si>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</si>
  <si>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</si>
  <si>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</si>
  <si>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</si>
  <si>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</si>
  <si>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</si>
  <si>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</si>
  <si>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</si>
  <si>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</si>
  <si>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</si>
  <si>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</si>
  <si>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</si>
  <si>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</si>
  <si>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</si>
  <si>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</si>
  <si>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</si>
  <si>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</si>
  <si>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</si>
  <si>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</si>
  <si>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</si>
  <si>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</si>
  <si>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</si>
  <si>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</si>
  <si>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</si>
  <si>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</si>
  <si>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</si>
  <si>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</si>
  <si>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</si>
  <si>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</si>
  <si>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</si>
  <si>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</si>
  <si>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</si>
  <si>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</si>
  <si>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</si>
  <si>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</si>
  <si>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</si>
  <si>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</si>
  <si>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</si>
  <si>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</si>
  <si>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</si>
  <si>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</si>
  <si>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</si>
  <si>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</si>
  <si>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</si>
  <si>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</si>
  <si>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</si>
  <si>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</si>
  <si>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</si>
  <si>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</si>
  <si>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</si>
  <si>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</si>
  <si>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</si>
  <si>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</si>
  <si>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</si>
  <si>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</si>
  <si>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</si>
  <si>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</si>
  <si>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</si>
  <si>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</si>
  <si>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</si>
  <si>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</si>
  <si>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</si>
  <si>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</si>
  <si>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</si>
  <si>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</si>
  <si>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</si>
  <si>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</si>
  <si>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</si>
  <si>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</si>
  <si>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</si>
  <si>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</si>
  <si>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</si>
  <si>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</si>
  <si>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</si>
  <si>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</si>
  <si>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</si>
  <si>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</si>
  <si>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</si>
  <si>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</si>
  <si>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</si>
  <si>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</si>
  <si>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</si>
  <si>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</si>
  <si>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</si>
  <si>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</si>
  <si>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</si>
  <si>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</si>
  <si>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</si>
  <si>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</si>
  <si>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</si>
  <si>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</si>
  <si>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</si>
  <si>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</si>
  <si>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</si>
  <si>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</si>
  <si>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</si>
  <si>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</si>
  <si>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</si>
  <si>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</si>
  <si>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</si>
  <si>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</si>
  <si>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</si>
  <si>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</si>
  <si>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</si>
  <si>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</si>
  <si>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</si>
  <si>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</si>
  <si>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</si>
  <si>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</si>
  <si>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</si>
  <si>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</si>
  <si>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</si>
  <si>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</si>
  <si>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</si>
  <si>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</si>
  <si>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</si>
  <si>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</si>
  <si>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</si>
  <si>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</si>
  <si>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</si>
  <si>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</si>
  <si>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</si>
  <si>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</si>
  <si>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</si>
  <si>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</si>
  <si>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</si>
  <si>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</si>
  <si>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</si>
  <si>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</si>
  <si>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</si>
  <si>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</si>
  <si>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</si>
  <si>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</si>
  <si>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</si>
  <si>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</si>
  <si>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</si>
  <si>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</si>
  <si>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</si>
  <si>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</si>
  <si>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</si>
  <si>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</si>
  <si>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</si>
  <si>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</si>
  <si>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</si>
  <si>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</si>
  <si>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</si>
  <si>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</si>
  <si>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</si>
  <si>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</si>
  <si>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</si>
  <si>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</si>
  <si>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</si>
  <si>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</si>
  <si>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</si>
  <si>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</si>
  <si>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</si>
  <si>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</si>
  <si>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</si>
  <si>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</si>
  <si>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</si>
  <si>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</si>
  <si>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</si>
  <si>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</si>
  <si>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</si>
  <si>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</si>
  <si>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</si>
  <si>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</si>
  <si>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</si>
  <si>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</si>
  <si>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</si>
  <si>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</si>
  <si>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</si>
  <si>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</si>
  <si>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</si>
  <si>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</si>
  <si>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</si>
  <si>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</si>
  <si>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</si>
  <si>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</si>
  <si>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</si>
  <si>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</si>
  <si>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</si>
  <si>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</si>
  <si>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</si>
  <si>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</si>
  <si>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</si>
  <si>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</si>
  <si>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</si>
  <si>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</si>
  <si>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</si>
  <si>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</si>
  <si>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</si>
  <si>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</si>
  <si>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</si>
  <si>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</si>
  <si>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</si>
  <si>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</si>
  <si>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</si>
  <si>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</si>
  <si>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</si>
  <si>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</si>
  <si>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</si>
  <si>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</si>
  <si>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</si>
  <si>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</si>
  <si>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</si>
  <si>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</si>
  <si>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</si>
  <si>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</si>
  <si>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</si>
  <si>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</si>
  <si>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</si>
  <si>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</si>
  <si>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</si>
  <si>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</si>
  <si>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</si>
  <si>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</si>
  <si>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</si>
  <si>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</si>
  <si>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</si>
  <si>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</si>
  <si>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</si>
  <si>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</si>
  <si>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</si>
  <si>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</si>
  <si>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</si>
  <si>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</si>
  <si>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</si>
  <si>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</si>
  <si>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</si>
  <si>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</si>
  <si>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</si>
  <si>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</si>
  <si>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</si>
  <si>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</si>
  <si>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</si>
  <si>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</si>
  <si>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</si>
  <si>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</si>
  <si>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</si>
  <si>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</si>
  <si>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</si>
  <si>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</si>
  <si>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</si>
  <si>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</si>
  <si>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</si>
  <si>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</si>
  <si>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</si>
  <si>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</si>
  <si>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</si>
  <si>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</si>
  <si>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</si>
  <si>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</si>
  <si>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</si>
  <si>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</si>
  <si>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</si>
  <si>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</si>
  <si>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</si>
  <si>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</si>
  <si>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</si>
  <si>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</si>
  <si>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</si>
  <si>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</si>
  <si>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</si>
  <si>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</si>
  <si>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</si>
  <si>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</si>
  <si>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</si>
  <si>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</si>
  <si>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</si>
  <si>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</si>
  <si>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</si>
  <si>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</si>
  <si>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</si>
  <si>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</si>
  <si>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</si>
  <si>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</si>
  <si>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</si>
  <si>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</si>
  <si>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</si>
  <si>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</si>
  <si>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</si>
  <si>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</si>
  <si>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</si>
  <si>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</si>
  <si>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</si>
  <si>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</si>
  <si>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</si>
  <si>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</si>
  <si>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</si>
  <si>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</si>
  <si>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</si>
  <si>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</si>
  <si>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</si>
  <si>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</si>
  <si>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</si>
  <si>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</si>
  <si>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</si>
  <si>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</si>
  <si>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</si>
  <si>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</si>
  <si>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</si>
  <si>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</si>
  <si>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</si>
  <si>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</si>
  <si>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</si>
  <si>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</si>
  <si>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</si>
  <si>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</si>
  <si>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</si>
  <si>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</si>
  <si>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</si>
  <si>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</si>
  <si>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</si>
  <si>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</si>
  <si>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</si>
  <si>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</si>
  <si>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</si>
  <si>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</si>
  <si>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</si>
  <si>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</si>
  <si>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</si>
  <si>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</si>
  <si>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</si>
  <si>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</si>
  <si>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</si>
  <si>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</si>
  <si>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</si>
  <si>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</si>
  <si>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</si>
  <si>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</si>
  <si>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</si>
  <si>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</si>
  <si>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</si>
  <si>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</si>
  <si>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</si>
  <si>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</si>
  <si>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</si>
  <si>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</si>
  <si>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</si>
  <si>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</si>
  <si>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</si>
  <si>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</si>
  <si>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</si>
  <si>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</si>
  <si>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</si>
  <si>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</si>
  <si>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</si>
  <si>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</si>
  <si>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</si>
  <si>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</si>
  <si>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</si>
  <si>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</si>
  <si>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</si>
  <si>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</si>
  <si>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</si>
  <si>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</si>
  <si>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</si>
  <si>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</si>
  <si>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</si>
  <si>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</si>
  <si>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</si>
  <si>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</si>
  <si>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</si>
  <si>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</si>
  <si>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</si>
  <si>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</si>
  <si>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</si>
  <si>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</si>
  <si>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</si>
  <si>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</si>
  <si>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</si>
  <si>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</si>
  <si>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</si>
  <si>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</si>
  <si>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</si>
  <si>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</si>
  <si>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</si>
  <si>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</si>
  <si>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</si>
  <si>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</si>
  <si>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</si>
  <si>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</si>
  <si>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</si>
  <si>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</si>
  <si>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</si>
  <si>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</si>
  <si>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</si>
  <si>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</si>
  <si>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</si>
  <si>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</si>
  <si>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</si>
  <si>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</si>
  <si>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</si>
  <si>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</si>
  <si>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</si>
  <si>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</si>
  <si>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</si>
  <si>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</si>
  <si>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</si>
  <si>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</si>
  <si>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</si>
  <si>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</si>
  <si>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</si>
  <si>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</si>
  <si>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</si>
  <si>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</si>
  <si>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</si>
  <si>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</si>
  <si>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</si>
  <si>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</si>
  <si>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</si>
  <si>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</si>
  <si>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</si>
  <si>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</si>
  <si>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</si>
  <si>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</si>
  <si>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</si>
  <si>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</si>
  <si>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</si>
  <si>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</si>
  <si>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</si>
  <si>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</si>
  <si>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</si>
  <si>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</si>
  <si>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</si>
  <si>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</si>
  <si>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</si>
  <si>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</si>
  <si>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</si>
  <si>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</si>
  <si>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</si>
  <si>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</si>
  <si>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</si>
  <si>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</si>
  <si>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</si>
  <si>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</si>
  <si>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</si>
  <si>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</si>
  <si>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</si>
  <si>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</si>
  <si>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</si>
  <si>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</si>
  <si>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</si>
  <si>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</si>
  <si>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</si>
  <si>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</si>
  <si>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</si>
  <si>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</si>
  <si>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</si>
  <si>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</si>
  <si>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</si>
  <si>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</si>
  <si>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</si>
  <si>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</si>
  <si>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</si>
  <si>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</si>
  <si>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</si>
  <si>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</si>
  <si>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</si>
  <si>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</si>
  <si>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</si>
  <si>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</si>
  <si>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</si>
  <si>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</si>
  <si>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</si>
  <si>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</si>
  <si>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</si>
  <si>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</si>
  <si>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</si>
  <si>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</si>
  <si>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</si>
  <si>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</si>
  <si>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</si>
  <si>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</si>
  <si>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</si>
  <si>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</si>
  <si>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</si>
  <si>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</si>
  <si>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</si>
  <si>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</si>
  <si>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</si>
  <si>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</si>
  <si>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</si>
  <si>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</si>
  <si>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</si>
  <si>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</si>
  <si>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</si>
  <si>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</si>
  <si>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</si>
  <si>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</si>
  <si>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</si>
  <si>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</si>
  <si>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</si>
  <si>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</si>
  <si>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</si>
  <si>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</si>
  <si>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</si>
  <si>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</si>
  <si>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</si>
  <si>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</si>
  <si>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</si>
  <si>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</si>
  <si>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</si>
  <si>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</si>
  <si>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</si>
  <si>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</si>
  <si>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</si>
  <si>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</si>
  <si>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</si>
  <si>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</si>
  <si>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</si>
  <si>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</si>
  <si>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</si>
  <si>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</si>
  <si>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</si>
  <si>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</si>
  <si>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</si>
  <si>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</si>
  <si>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</si>
  <si>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</si>
  <si>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</si>
  <si>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</si>
  <si>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</si>
  <si>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</si>
  <si>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</si>
  <si>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</si>
  <si>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</si>
  <si>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</si>
  <si>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</si>
  <si>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</si>
  <si>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</si>
  <si>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</si>
  <si>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</si>
  <si>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</si>
  <si>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</si>
  <si>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</si>
  <si>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</si>
  <si>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</si>
  <si>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</si>
  <si>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</si>
  <si>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</si>
  <si>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</si>
  <si>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</si>
  <si>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</si>
  <si>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</si>
  <si>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</si>
  <si>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</si>
  <si>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</si>
  <si>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</si>
  <si>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</si>
  <si>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</si>
  <si>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</si>
  <si>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</si>
  <si>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</si>
  <si>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</si>
  <si>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</si>
  <si>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</si>
  <si>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</si>
  <si>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</si>
  <si>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</si>
  <si>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</si>
  <si>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</si>
  <si>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</si>
  <si>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</si>
  <si>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</si>
  <si>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</si>
  <si>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</si>
  <si>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</si>
  <si>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</si>
  <si>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</si>
  <si>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</si>
  <si>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</si>
  <si>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</si>
  <si>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</si>
  <si>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</si>
  <si>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</si>
  <si>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</si>
  <si>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</si>
  <si>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</si>
  <si>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</si>
  <si>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</si>
  <si>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</si>
  <si>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</si>
  <si>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</si>
  <si>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</si>
  <si>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</si>
  <si>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</si>
  <si>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</si>
  <si>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</si>
  <si>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</si>
  <si>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</si>
  <si>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</si>
  <si>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</si>
  <si>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</si>
  <si>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</si>
  <si>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</si>
  <si>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</si>
  <si>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</si>
  <si>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</si>
  <si>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</si>
  <si>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</si>
  <si>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</si>
  <si>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</si>
  <si>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</si>
  <si>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</si>
  <si>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</si>
  <si>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</si>
  <si>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</si>
  <si>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</si>
  <si>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</si>
  <si>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</si>
  <si>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</si>
  <si>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</si>
  <si>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</si>
  <si>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</si>
  <si>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</si>
  <si>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</si>
  <si>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</si>
  <si>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</si>
  <si>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</si>
  <si>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</si>
  <si>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</si>
  <si>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</si>
  <si>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</si>
  <si>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</si>
  <si>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</si>
  <si>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</si>
  <si>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</si>
  <si>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</si>
  <si>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</si>
  <si>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</si>
  <si>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</si>
  <si>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</si>
  <si>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</si>
  <si>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</si>
  <si>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</si>
  <si>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</si>
  <si>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</si>
  <si>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</si>
  <si>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</si>
  <si>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</si>
  <si>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</si>
  <si>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</si>
  <si>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</si>
  <si>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</si>
  <si>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</si>
  <si>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</si>
  <si>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</si>
  <si>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</si>
  <si>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</si>
  <si>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</si>
  <si>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</si>
  <si>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</si>
  <si>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</si>
  <si>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</si>
  <si>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</si>
  <si>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</si>
  <si>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</si>
  <si>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</si>
  <si>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</si>
  <si>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</si>
  <si>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</si>
  <si>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</si>
  <si>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</si>
  <si>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</si>
  <si>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</si>
  <si>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</si>
  <si>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</si>
  <si>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</si>
  <si>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</si>
  <si>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</si>
  <si>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</si>
  <si>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</si>
  <si>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</si>
  <si>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</si>
  <si>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</si>
  <si>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</si>
  <si>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</si>
  <si>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</si>
  <si>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</si>
  <si>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</si>
  <si>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</si>
  <si>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</si>
  <si>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</si>
  <si>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</si>
  <si>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</si>
  <si>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</si>
  <si>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</si>
  <si>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</si>
  <si>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</si>
  <si>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</si>
  <si>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</si>
  <si>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</si>
  <si>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</si>
  <si>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</si>
  <si>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</si>
  <si>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</si>
  <si>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</si>
  <si>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</si>
  <si>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</si>
  <si>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</si>
  <si>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</si>
  <si>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</si>
  <si>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</si>
  <si>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</si>
  <si>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</si>
  <si>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</si>
  <si>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</si>
  <si>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</si>
  <si>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</si>
  <si>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</si>
  <si>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</si>
  <si>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</si>
  <si>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</si>
  <si>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</si>
  <si>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</si>
  <si>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</si>
  <si>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</si>
  <si>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</si>
  <si>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</si>
  <si>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</si>
  <si>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</si>
  <si>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</si>
  <si>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</si>
  <si>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</si>
  <si>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</si>
  <si>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</si>
  <si>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</si>
  <si>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</si>
  <si>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</si>
  <si>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</si>
  <si>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</si>
  <si>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</si>
  <si>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</si>
  <si>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</si>
  <si>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</si>
  <si>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</si>
  <si>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</si>
  <si>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</si>
  <si>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</si>
  <si>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</si>
  <si>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</si>
  <si>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</si>
  <si>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</si>
  <si>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</si>
  <si>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</si>
  <si>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</si>
  <si>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</si>
  <si>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</si>
  <si>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</si>
  <si>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</si>
  <si>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</si>
  <si>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</si>
  <si>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</si>
  <si>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</si>
  <si>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</si>
  <si>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</si>
  <si>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</si>
  <si>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</si>
  <si>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</si>
  <si>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</si>
  <si>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</si>
  <si>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</si>
  <si>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</si>
  <si>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</si>
  <si>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</si>
  <si>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</si>
  <si>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</si>
  <si>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</si>
  <si>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</si>
  <si>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</si>
  <si>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</si>
  <si>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</si>
  <si>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</si>
  <si>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</si>
  <si>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</si>
  <si>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</si>
  <si>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</si>
  <si>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</si>
  <si>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</si>
  <si>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</si>
  <si>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</si>
  <si>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</si>
  <si>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</si>
  <si>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</si>
  <si>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</si>
  <si>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</si>
  <si>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</si>
  <si>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</si>
  <si>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</si>
  <si>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</si>
  <si>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</si>
  <si>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</si>
  <si>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</si>
  <si>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</si>
  <si>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</si>
  <si>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</si>
  <si>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</si>
  <si>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</si>
  <si>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</si>
  <si>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</si>
  <si>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</si>
  <si>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</si>
  <si>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</si>
  <si>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</si>
  <si>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</si>
  <si>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</si>
  <si>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</si>
  <si>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</si>
  <si>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</si>
  <si>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</si>
  <si>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</si>
  <si>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</si>
  <si>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</si>
  <si>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</si>
  <si>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</si>
  <si>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</si>
  <si>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</si>
  <si>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</si>
  <si>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</si>
  <si>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</si>
  <si>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</si>
  <si>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</si>
  <si>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</si>
  <si>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</si>
  <si>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</si>
  <si>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</si>
  <si>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</si>
  <si>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</si>
  <si>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</si>
  <si>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</si>
  <si>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</si>
  <si>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</si>
  <si>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</si>
  <si>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</si>
  <si>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</si>
  <si>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</si>
  <si>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</si>
  <si>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</si>
  <si>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</si>
  <si>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</si>
  <si>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</si>
  <si>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</si>
  <si>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</si>
  <si>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</si>
  <si>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</si>
  <si>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</si>
  <si>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</si>
  <si>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</si>
  <si>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</si>
  <si>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</si>
  <si>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</si>
  <si>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</si>
  <si>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</si>
  <si>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</si>
  <si>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</si>
  <si>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</si>
  <si>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</si>
  <si>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</si>
  <si>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</si>
  <si>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</si>
  <si>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</si>
  <si>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</si>
  <si>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</si>
  <si>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</si>
  <si>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</si>
  <si>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</si>
  <si>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</si>
  <si>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</si>
  <si>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</si>
  <si>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</si>
  <si>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</si>
  <si>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</si>
  <si>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</si>
  <si>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</si>
  <si>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</si>
  <si>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</si>
  <si>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</si>
  <si>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</si>
  <si>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</si>
  <si>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</si>
  <si>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</si>
  <si>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</si>
  <si>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</si>
  <si>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</si>
  <si>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</si>
  <si>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</si>
  <si>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</si>
  <si>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</si>
  <si>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</si>
  <si>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</si>
  <si>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</si>
  <si>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</si>
  <si>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</si>
  <si>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</si>
  <si>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</si>
  <si>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</si>
  <si>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</si>
  <si>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</si>
  <si>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</si>
  <si>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</si>
  <si>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</si>
  <si>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</si>
  <si>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</si>
  <si>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</si>
  <si>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</si>
  <si>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</si>
  <si>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</si>
  <si>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</si>
  <si>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</si>
  <si>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</si>
  <si>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</si>
  <si>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</si>
  <si>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</si>
  <si>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</si>
  <si>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</si>
  <si>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</si>
  <si>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</si>
  <si>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</si>
  <si>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</si>
  <si>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</si>
  <si>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</si>
  <si>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</si>
  <si>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</si>
  <si>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</si>
  <si>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</si>
  <si>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</si>
  <si>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</si>
  <si>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</si>
  <si>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</si>
  <si>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</si>
  <si>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</si>
  <si>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</si>
  <si>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</si>
  <si>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</si>
  <si>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</si>
  <si>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</si>
  <si>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</si>
  <si>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</si>
  <si>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</si>
  <si>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</si>
  <si>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</si>
  <si>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</si>
  <si>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</si>
  <si>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</si>
  <si>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</si>
  <si>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</si>
  <si>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</si>
  <si>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</si>
  <si>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</si>
  <si>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</si>
  <si>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</si>
  <si>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</si>
  <si>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</si>
  <si>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</si>
  <si>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</si>
  <si>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</si>
  <si>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</si>
  <si>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</si>
  <si>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</si>
  <si>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</si>
  <si>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</si>
  <si>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</si>
  <si>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</si>
  <si>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</si>
  <si>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</si>
  <si>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</si>
  <si>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</si>
  <si>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</si>
  <si>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</si>
  <si>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</si>
  <si>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</si>
  <si>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</si>
  <si>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</si>
  <si>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</si>
  <si>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</si>
  <si>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</si>
  <si>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</si>
  <si>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</si>
  <si>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</si>
  <si>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</si>
  <si>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</si>
  <si>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</si>
  <si>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</si>
  <si>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</si>
  <si>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</si>
  <si>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</si>
  <si>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</si>
  <si>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</si>
  <si>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</si>
  <si>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</si>
  <si>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</si>
  <si>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</si>
  <si>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</si>
  <si>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</si>
  <si>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</si>
  <si>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</si>
  <si>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</si>
  <si>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</si>
  <si>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</si>
  <si>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</si>
  <si>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</si>
  <si>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</si>
  <si>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</si>
  <si>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</si>
  <si>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</si>
  <si>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</si>
  <si>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</si>
  <si>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</si>
  <si>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</si>
  <si>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</si>
  <si>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</si>
  <si>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</si>
  <si>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</si>
  <si>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</si>
  <si>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</si>
  <si>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</si>
  <si>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</si>
  <si>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</si>
  <si>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</si>
  <si>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</si>
  <si>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</si>
  <si>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</si>
  <si>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</si>
  <si>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</si>
  <si>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</si>
  <si>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</si>
  <si>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</si>
  <si>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</si>
  <si>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</si>
  <si>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</si>
  <si>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</si>
  <si>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State Water Resources Control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</si>
</sst>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N21" sqref="N21"/>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710</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1</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RESOURCES</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8493742</v>
      </c>
      <c r="K15" s="42"/>
      <c r="M15" s="105">
        <v>8493742</v>
      </c>
      <c r="P15" s="105">
        <v>8493742</v>
      </c>
      <c r="S15" s="43">
        <f>M15-P15</f>
        <v>0</v>
      </c>
      <c r="T15" s="44" t="s">
        <v>1634</v>
      </c>
    </row>
    <row r="16" spans="1:25" ht="16.5" customHeight="1" x14ac:dyDescent="0.2">
      <c r="A16" s="45"/>
      <c r="B16" s="178" t="s">
        <v>1582</v>
      </c>
      <c r="C16" s="178"/>
      <c r="D16" s="178"/>
      <c r="E16" s="178"/>
      <c r="F16" s="178"/>
      <c r="G16" s="178"/>
      <c r="H16" s="178"/>
      <c r="I16" s="178"/>
      <c r="J16" s="41">
        <f>ROUND(P16,0)</f>
        <v>1505416</v>
      </c>
      <c r="K16" s="42"/>
      <c r="M16" s="105">
        <v>0</v>
      </c>
      <c r="P16" s="46">
        <f>IF(SUM($Q$18:$Q$19)&gt;$P$15,SUM($Q$18:$Q$19)-$P$15,0)</f>
        <v>1505416</v>
      </c>
      <c r="S16" s="43">
        <f>M16-P16</f>
        <v>-1505416</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1620172</v>
      </c>
      <c r="N18" s="105">
        <v>1620172</v>
      </c>
      <c r="Q18" s="105">
        <v>1620172</v>
      </c>
      <c r="S18" s="43">
        <f>N18-Q18</f>
        <v>0</v>
      </c>
      <c r="T18" s="47" t="s">
        <v>1635</v>
      </c>
    </row>
    <row r="19" spans="1:25" ht="16.5" customHeight="1" x14ac:dyDescent="0.25">
      <c r="A19" s="45"/>
      <c r="B19" s="49"/>
      <c r="C19" s="178" t="s">
        <v>1618</v>
      </c>
      <c r="D19" s="178"/>
      <c r="E19" s="178"/>
      <c r="F19" s="178"/>
      <c r="G19" s="178"/>
      <c r="H19" s="178"/>
      <c r="I19" s="178"/>
      <c r="J19" s="42"/>
      <c r="K19" s="41">
        <f>ROUND(N19,0)</f>
        <v>8378986</v>
      </c>
      <c r="N19" s="105">
        <v>8378986</v>
      </c>
      <c r="Q19" s="105">
        <v>8378986</v>
      </c>
      <c r="S19" s="43">
        <f>N19-Q19</f>
        <v>0</v>
      </c>
      <c r="T19" s="47" t="s">
        <v>1635</v>
      </c>
      <c r="X19" s="18"/>
    </row>
    <row r="20" spans="1:25" ht="16.5" customHeight="1" x14ac:dyDescent="0.25">
      <c r="A20" s="45"/>
      <c r="B20" s="49"/>
      <c r="C20" s="178" t="s">
        <v>1584</v>
      </c>
      <c r="D20" s="178"/>
      <c r="E20" s="178"/>
      <c r="F20" s="178"/>
      <c r="G20" s="178"/>
      <c r="H20" s="178"/>
      <c r="I20" s="178"/>
      <c r="K20" s="41">
        <f>ROUND(Q20,0)</f>
        <v>0</v>
      </c>
      <c r="N20" s="105">
        <v>0</v>
      </c>
      <c r="Q20" s="46">
        <f>IF(SUM($Q$18:$Q$19)&lt;$P$15,-SUM($Q$18:$Q$19)+$P$15,0)</f>
        <v>0</v>
      </c>
      <c r="S20" s="43">
        <f>N20-Q20</f>
        <v>0</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9999158</v>
      </c>
      <c r="K22" s="51">
        <f>ROUND(SUM(K18:K21),0)</f>
        <v>9999158</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v>236798</v>
      </c>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c r="L29" s="37"/>
      <c r="M29" s="37"/>
      <c r="N29" s="37"/>
      <c r="O29" s="37"/>
      <c r="P29" s="37"/>
      <c r="Q29" s="37"/>
      <c r="R29" s="37"/>
      <c r="S29" s="37"/>
      <c r="T29" s="37"/>
    </row>
    <row r="30" spans="1:25" ht="16.5" customHeight="1" x14ac:dyDescent="0.25">
      <c r="A30" s="45"/>
      <c r="B30" s="49"/>
      <c r="C30" s="178" t="str">
        <f>VLOOKUP($F$8,'Drop Down Menus'!$D$2:$G$10,4,FALSE)</f>
        <v>Cr: Acct 0820 - NAT RES &amp; ENVIRON (GAAP ADJ)</v>
      </c>
      <c r="D30" s="178"/>
      <c r="E30" s="178"/>
      <c r="F30" s="178"/>
      <c r="G30" s="178"/>
      <c r="H30" s="178"/>
      <c r="I30" s="178"/>
      <c r="J30" s="42"/>
      <c r="K30" s="105">
        <v>236798</v>
      </c>
    </row>
    <row r="31" spans="1:25" ht="16.5" customHeight="1" x14ac:dyDescent="0.2">
      <c r="A31" s="65"/>
      <c r="B31" s="50"/>
      <c r="C31" s="50"/>
      <c r="D31" s="50"/>
      <c r="E31" s="50"/>
      <c r="F31" s="50"/>
      <c r="G31" s="50"/>
      <c r="H31" s="50"/>
      <c r="I31" s="50"/>
      <c r="J31" s="51">
        <f>ROUND(SUM(J28:J30),2)</f>
        <v>236798</v>
      </c>
      <c r="K31" s="51">
        <f>ROUND(SUM(K28:K30),2)</f>
        <v>236798</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v>236798</v>
      </c>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c r="K35" s="68"/>
    </row>
    <row r="36" spans="1:20" ht="16.5" customHeight="1" x14ac:dyDescent="0.2">
      <c r="A36" s="45"/>
      <c r="B36" s="69"/>
      <c r="C36" s="178" t="s">
        <v>1575</v>
      </c>
      <c r="D36" s="178"/>
      <c r="E36" s="178"/>
      <c r="F36" s="178"/>
      <c r="G36" s="178"/>
      <c r="H36" s="178"/>
      <c r="I36" s="178"/>
      <c r="J36" s="68"/>
      <c r="K36" s="105">
        <v>236798</v>
      </c>
    </row>
    <row r="37" spans="1:20" ht="16.5" customHeight="1" x14ac:dyDescent="0.2">
      <c r="A37" s="45"/>
      <c r="C37" s="178" t="s">
        <v>1618</v>
      </c>
      <c r="D37" s="178"/>
      <c r="E37" s="178"/>
      <c r="F37" s="178"/>
      <c r="G37" s="178"/>
      <c r="H37" s="178"/>
      <c r="I37" s="178"/>
      <c r="J37" s="68"/>
      <c r="K37" s="105"/>
    </row>
    <row r="38" spans="1:20" ht="16.5" customHeight="1" x14ac:dyDescent="0.25">
      <c r="A38" s="45"/>
      <c r="B38" s="49"/>
      <c r="C38" s="178" t="str">
        <f>VLOOKUP($F$8,'Drop Down Menus'!$D$2:$G$10,4,FALSE)</f>
        <v>Cr: Acct 0820 - NAT RES &amp; ENVIRON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236798</v>
      </c>
      <c r="K39" s="51">
        <f>ROUND(SUM(K36:K38),2)</f>
        <v>236798</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3944537</v>
      </c>
      <c r="K45" s="78"/>
    </row>
    <row r="46" spans="1:20" ht="16.5" customHeight="1" x14ac:dyDescent="0.2">
      <c r="A46" s="45"/>
      <c r="B46" s="69"/>
      <c r="C46" s="178" t="s">
        <v>1581</v>
      </c>
      <c r="D46" s="178"/>
      <c r="E46" s="178"/>
      <c r="F46" s="178"/>
      <c r="G46" s="178"/>
      <c r="H46" s="178"/>
      <c r="I46" s="178"/>
      <c r="J46" s="68"/>
      <c r="K46" s="105">
        <f>J45</f>
        <v>3944537</v>
      </c>
    </row>
    <row r="47" spans="1:20" ht="16.5" customHeight="1" x14ac:dyDescent="0.2">
      <c r="A47" s="65"/>
      <c r="B47" s="50"/>
      <c r="C47" s="50"/>
      <c r="D47" s="50"/>
      <c r="E47" s="50"/>
      <c r="F47" s="50"/>
      <c r="G47" s="50"/>
      <c r="H47" s="50"/>
      <c r="I47" s="50"/>
      <c r="J47" s="79">
        <f>ROUND(SUM(J45:J45),2)</f>
        <v>3944537</v>
      </c>
      <c r="K47" s="79">
        <f>ROUND(SUM(K46),2)</f>
        <v>3944537</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2734621</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200548</v>
      </c>
      <c r="K51" s="81"/>
    </row>
    <row r="52" spans="1:20" ht="16.5" customHeight="1" x14ac:dyDescent="0.25">
      <c r="A52" s="45"/>
      <c r="B52" s="49"/>
      <c r="C52" s="178" t="str">
        <f>VLOOKUP($F$8,'Drop Down Menus'!$D$2:$G$10,4,FALSE)</f>
        <v>Cr: Acct 0820 - NAT RES &amp; ENVIRON (GAAP ADJ)</v>
      </c>
      <c r="D52" s="178"/>
      <c r="E52" s="178"/>
      <c r="F52" s="178"/>
      <c r="G52" s="178"/>
      <c r="H52" s="178"/>
      <c r="I52" s="178"/>
      <c r="J52" s="81"/>
      <c r="K52" s="107">
        <f>J50+J51</f>
        <v>2935169</v>
      </c>
    </row>
    <row r="53" spans="1:20" ht="16.5" customHeight="1" x14ac:dyDescent="0.2">
      <c r="A53" s="65"/>
      <c r="B53" s="50"/>
      <c r="C53" s="50"/>
      <c r="D53" s="50"/>
      <c r="E53" s="50"/>
      <c r="F53" s="50"/>
      <c r="G53" s="50"/>
      <c r="H53" s="50"/>
      <c r="I53" s="50"/>
      <c r="J53" s="79">
        <f>ROUND(SUM(J50:J51),2)</f>
        <v>2935169</v>
      </c>
      <c r="K53" s="79">
        <f>ROUND(SUM(K52,),2)</f>
        <v>2935169</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v>2734621</v>
      </c>
      <c r="K56" s="68"/>
    </row>
    <row r="57" spans="1:20" ht="16.5" customHeight="1" x14ac:dyDescent="0.25">
      <c r="A57" s="45"/>
      <c r="B57" s="49"/>
      <c r="C57" s="178" t="s">
        <v>1607</v>
      </c>
      <c r="D57" s="178"/>
      <c r="E57" s="178"/>
      <c r="F57" s="178"/>
      <c r="G57" s="178"/>
      <c r="H57" s="178"/>
      <c r="I57" s="178"/>
      <c r="J57" s="68"/>
      <c r="K57" s="105">
        <f>J56</f>
        <v>2734621</v>
      </c>
      <c r="L57" s="27" t="str">
        <f>IF($J$50=$K$57,"","&lt;- Accts 0848 must agree")</f>
        <v/>
      </c>
    </row>
    <row r="58" spans="1:20" ht="16.5" customHeight="1" x14ac:dyDescent="0.2">
      <c r="A58" s="65"/>
      <c r="B58" s="50"/>
      <c r="C58" s="50"/>
      <c r="D58" s="50"/>
      <c r="E58" s="50"/>
      <c r="F58" s="50"/>
      <c r="G58" s="50"/>
      <c r="H58" s="50"/>
      <c r="I58" s="50"/>
      <c r="J58" s="79">
        <f>ROUND(SUM(J56:J56),2)</f>
        <v>2734621</v>
      </c>
      <c r="K58" s="79">
        <f>ROUND(SUM(K57),2)</f>
        <v>2734621</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5644365</v>
      </c>
      <c r="K61" s="78"/>
    </row>
    <row r="62" spans="1:20" ht="16.5" customHeight="1" x14ac:dyDescent="0.25">
      <c r="A62" s="45"/>
      <c r="B62" s="49"/>
      <c r="C62" s="178" t="s">
        <v>1616</v>
      </c>
      <c r="D62" s="178"/>
      <c r="E62" s="178"/>
      <c r="F62" s="178"/>
      <c r="G62" s="178"/>
      <c r="H62" s="178"/>
      <c r="I62" s="178"/>
      <c r="J62" s="78"/>
      <c r="K62" s="105">
        <f>J61</f>
        <v>5644365</v>
      </c>
    </row>
    <row r="63" spans="1:20" ht="16.5" customHeight="1" x14ac:dyDescent="0.2">
      <c r="A63" s="45"/>
      <c r="B63" s="192" t="s">
        <v>1615</v>
      </c>
      <c r="C63" s="192"/>
      <c r="D63" s="192"/>
      <c r="E63" s="192"/>
      <c r="F63" s="192"/>
      <c r="G63" s="192"/>
      <c r="H63" s="192"/>
      <c r="I63" s="192"/>
      <c r="J63" s="79">
        <f>ROUND(SUM(J61:J61),2)</f>
        <v>5644365</v>
      </c>
      <c r="K63" s="79">
        <f>ROUND(SUM(K62),2)</f>
        <v>5644365</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v>0</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v>0</v>
      </c>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1619</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Menus'!$D$2:$G$10,3,FALSE)</f>
        <v>Dr: Acct 0820 - NAT RES &amp; ENVIRON (GAAP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0820 - NAT RES &amp; ENVIRON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8730540</v>
      </c>
      <c r="N94" s="104"/>
    </row>
    <row r="95" spans="1:20" ht="16.5" customHeight="1" x14ac:dyDescent="0.25">
      <c r="D95" s="49" t="s">
        <v>1631</v>
      </c>
      <c r="E95" s="100"/>
      <c r="F95" s="100"/>
      <c r="G95" s="100"/>
      <c r="H95" s="27"/>
      <c r="I95" s="100"/>
      <c r="J95" s="100"/>
      <c r="K95" s="103">
        <f>-K18-K46+J68+J77</f>
        <v>-5564709</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-5644365</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8"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7"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5C187-9906-46DF-AF25-FB941E7C7EAB}">
  <sheetPr>
    <tabColor rgb="FF92D050"/>
    <pageSetUpPr fitToPage="1"/>
  </sheetPr>
  <dimension ref="A1:XFC115"/>
  <sheetViews>
    <sheetView topLeftCell="A4" zoomScale="70" zoomScaleNormal="70" workbookViewId="0">
      <selection activeCell="K36" sqref="K36"/>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710</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193</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RESOURCES</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749499</v>
      </c>
      <c r="K15" s="42"/>
      <c r="M15" s="105">
        <v>749499</v>
      </c>
      <c r="P15" s="105">
        <v>749499</v>
      </c>
      <c r="S15" s="43">
        <f>M15-P15</f>
        <v>0</v>
      </c>
      <c r="T15" s="44" t="s">
        <v>1634</v>
      </c>
    </row>
    <row r="16" spans="1:25" ht="16.5" customHeight="1" x14ac:dyDescent="0.2">
      <c r="A16" s="45"/>
      <c r="B16" s="178" t="s">
        <v>1582</v>
      </c>
      <c r="C16" s="178"/>
      <c r="D16" s="178"/>
      <c r="E16" s="178"/>
      <c r="F16" s="178"/>
      <c r="G16" s="178"/>
      <c r="H16" s="178"/>
      <c r="I16" s="178"/>
      <c r="J16" s="41">
        <f>ROUND(P16,0)</f>
        <v>0</v>
      </c>
      <c r="K16" s="42"/>
      <c r="M16" s="105">
        <v>0</v>
      </c>
      <c r="P16" s="46">
        <f>IF(SUM($Q$18:$Q$19)&gt;$P$15,SUM($Q$18:$Q$19)-$P$15,0)</f>
        <v>0</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349978</v>
      </c>
      <c r="N18" s="105">
        <v>349978</v>
      </c>
      <c r="Q18" s="105">
        <v>349978</v>
      </c>
      <c r="S18" s="43">
        <f>N18-Q18</f>
        <v>0</v>
      </c>
      <c r="T18" s="47" t="s">
        <v>1635</v>
      </c>
    </row>
    <row r="19" spans="1:25" ht="16.5" customHeight="1" x14ac:dyDescent="0.25">
      <c r="A19" s="45"/>
      <c r="B19" s="49"/>
      <c r="C19" s="178" t="s">
        <v>1618</v>
      </c>
      <c r="D19" s="178"/>
      <c r="E19" s="178"/>
      <c r="F19" s="178"/>
      <c r="G19" s="178"/>
      <c r="H19" s="178"/>
      <c r="I19" s="178"/>
      <c r="J19" s="42"/>
      <c r="K19" s="41">
        <f>ROUND(N19,0)</f>
        <v>215022</v>
      </c>
      <c r="N19" s="105">
        <v>215022</v>
      </c>
      <c r="Q19" s="105">
        <v>215022</v>
      </c>
      <c r="S19" s="43">
        <f>N19-Q19</f>
        <v>0</v>
      </c>
      <c r="T19" s="47" t="s">
        <v>1635</v>
      </c>
      <c r="X19" s="18"/>
    </row>
    <row r="20" spans="1:25" ht="16.5" customHeight="1" x14ac:dyDescent="0.25">
      <c r="A20" s="45"/>
      <c r="B20" s="49"/>
      <c r="C20" s="178" t="s">
        <v>1584</v>
      </c>
      <c r="D20" s="178"/>
      <c r="E20" s="178"/>
      <c r="F20" s="178"/>
      <c r="G20" s="178"/>
      <c r="H20" s="178"/>
      <c r="I20" s="178"/>
      <c r="K20" s="41">
        <f>ROUND(Q20,0)</f>
        <v>184499</v>
      </c>
      <c r="N20" s="105"/>
      <c r="Q20" s="46">
        <f>IF(SUM($Q$18:$Q$19)&lt;$P$15,-SUM($Q$18:$Q$19)+$P$15,0)</f>
        <v>184499</v>
      </c>
      <c r="S20" s="43">
        <f>N20-Q20</f>
        <v>-184499</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749499</v>
      </c>
      <c r="K22" s="51">
        <f>ROUND(SUM(K18:K21),0)</f>
        <v>749499</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v>78933</v>
      </c>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c r="L29" s="37"/>
      <c r="M29" s="37"/>
      <c r="N29" s="37"/>
      <c r="O29" s="37"/>
      <c r="P29" s="37"/>
      <c r="Q29" s="37"/>
      <c r="R29" s="37"/>
      <c r="S29" s="37"/>
      <c r="T29" s="37"/>
    </row>
    <row r="30" spans="1:25" ht="16.5" customHeight="1" x14ac:dyDescent="0.25">
      <c r="A30" s="45"/>
      <c r="B30" s="49"/>
      <c r="C30" s="178" t="str">
        <f>VLOOKUP($F$8,'Drop Down Menus'!$D$2:$G$10,4,FALSE)</f>
        <v>Cr: Acct 0820 - NAT RES &amp; ENVIRON (GAAP ADJ)</v>
      </c>
      <c r="D30" s="178"/>
      <c r="E30" s="178"/>
      <c r="F30" s="178"/>
      <c r="G30" s="178"/>
      <c r="H30" s="178"/>
      <c r="I30" s="178"/>
      <c r="J30" s="42"/>
      <c r="K30" s="105">
        <v>78933</v>
      </c>
    </row>
    <row r="31" spans="1:25" ht="16.5" customHeight="1" x14ac:dyDescent="0.2">
      <c r="A31" s="65"/>
      <c r="B31" s="50"/>
      <c r="C31" s="50"/>
      <c r="D31" s="50"/>
      <c r="E31" s="50"/>
      <c r="F31" s="50"/>
      <c r="G31" s="50"/>
      <c r="H31" s="50"/>
      <c r="I31" s="50"/>
      <c r="J31" s="51">
        <f>ROUND(SUM(J28:J30),2)</f>
        <v>78933</v>
      </c>
      <c r="K31" s="51">
        <f>ROUND(SUM(K28:K30),2)</f>
        <v>78933</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v>78933</v>
      </c>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c r="K35" s="68"/>
    </row>
    <row r="36" spans="1:20" ht="16.5" customHeight="1" x14ac:dyDescent="0.2">
      <c r="A36" s="45"/>
      <c r="B36" s="69"/>
      <c r="C36" s="178" t="s">
        <v>1575</v>
      </c>
      <c r="D36" s="178"/>
      <c r="E36" s="178"/>
      <c r="F36" s="178"/>
      <c r="G36" s="178"/>
      <c r="H36" s="178"/>
      <c r="I36" s="178"/>
      <c r="J36" s="68"/>
      <c r="K36" s="105">
        <v>78933</v>
      </c>
    </row>
    <row r="37" spans="1:20" ht="16.5" customHeight="1" x14ac:dyDescent="0.2">
      <c r="A37" s="45"/>
      <c r="C37" s="178" t="s">
        <v>1618</v>
      </c>
      <c r="D37" s="178"/>
      <c r="E37" s="178"/>
      <c r="F37" s="178"/>
      <c r="G37" s="178"/>
      <c r="H37" s="178"/>
      <c r="I37" s="178"/>
      <c r="J37" s="68"/>
      <c r="K37" s="105"/>
    </row>
    <row r="38" spans="1:20" ht="16.5" customHeight="1" x14ac:dyDescent="0.25">
      <c r="A38" s="45"/>
      <c r="B38" s="49"/>
      <c r="C38" s="178" t="str">
        <f>VLOOKUP($F$8,'Drop Down Menus'!$D$2:$G$10,4,FALSE)</f>
        <v>Cr: Acct 0820 - NAT RES &amp; ENVIRON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78933</v>
      </c>
      <c r="K39" s="51">
        <f>ROUND(SUM(K36:K38),2)</f>
        <v>78933</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335816</v>
      </c>
      <c r="K45" s="78"/>
    </row>
    <row r="46" spans="1:20" ht="16.5" customHeight="1" x14ac:dyDescent="0.2">
      <c r="A46" s="45"/>
      <c r="B46" s="69"/>
      <c r="C46" s="178" t="s">
        <v>1581</v>
      </c>
      <c r="D46" s="178"/>
      <c r="E46" s="178"/>
      <c r="F46" s="178"/>
      <c r="G46" s="178"/>
      <c r="H46" s="178"/>
      <c r="I46" s="178"/>
      <c r="J46" s="68"/>
      <c r="K46" s="105">
        <v>335816</v>
      </c>
    </row>
    <row r="47" spans="1:20" ht="16.5" customHeight="1" x14ac:dyDescent="0.2">
      <c r="A47" s="65"/>
      <c r="B47" s="50"/>
      <c r="C47" s="50"/>
      <c r="D47" s="50"/>
      <c r="E47" s="50"/>
      <c r="F47" s="50"/>
      <c r="G47" s="50"/>
      <c r="H47" s="50"/>
      <c r="I47" s="50"/>
      <c r="J47" s="79">
        <f>ROUND(SUM(J45:J45),2)</f>
        <v>335816</v>
      </c>
      <c r="K47" s="79">
        <f>ROUND(SUM(K46),2)</f>
        <v>335816</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207422</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178</v>
      </c>
      <c r="K51" s="81"/>
    </row>
    <row r="52" spans="1:20" ht="16.5" customHeight="1" x14ac:dyDescent="0.25">
      <c r="A52" s="45"/>
      <c r="B52" s="49"/>
      <c r="C52" s="178" t="str">
        <f>VLOOKUP($F$8,'Drop Down Menus'!$D$2:$G$10,4,FALSE)</f>
        <v>Cr: Acct 0820 - NAT RES &amp; ENVIRON (GAAP ADJ)</v>
      </c>
      <c r="D52" s="178"/>
      <c r="E52" s="178"/>
      <c r="F52" s="178"/>
      <c r="G52" s="178"/>
      <c r="H52" s="178"/>
      <c r="I52" s="178"/>
      <c r="J52" s="81"/>
      <c r="K52" s="107">
        <v>207600</v>
      </c>
    </row>
    <row r="53" spans="1:20" ht="16.5" customHeight="1" x14ac:dyDescent="0.2">
      <c r="A53" s="65"/>
      <c r="B53" s="50"/>
      <c r="C53" s="50"/>
      <c r="D53" s="50"/>
      <c r="E53" s="50"/>
      <c r="F53" s="50"/>
      <c r="G53" s="50"/>
      <c r="H53" s="50"/>
      <c r="I53" s="50"/>
      <c r="J53" s="79">
        <f>ROUND(SUM(J50:J51),2)</f>
        <v>207600</v>
      </c>
      <c r="K53" s="79">
        <f>ROUND(SUM(K52,),2)</f>
        <v>207600</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v>207422</v>
      </c>
      <c r="K56" s="68"/>
    </row>
    <row r="57" spans="1:20" ht="16.5" customHeight="1" x14ac:dyDescent="0.25">
      <c r="A57" s="45"/>
      <c r="B57" s="49"/>
      <c r="C57" s="178" t="s">
        <v>1607</v>
      </c>
      <c r="D57" s="178"/>
      <c r="E57" s="178"/>
      <c r="F57" s="178"/>
      <c r="G57" s="178"/>
      <c r="H57" s="178"/>
      <c r="I57" s="178"/>
      <c r="J57" s="68"/>
      <c r="K57" s="105">
        <v>207422</v>
      </c>
      <c r="L57" s="27" t="str">
        <f>IF($J$50=$K$57,"","&lt;- Accts 0848 must agree")</f>
        <v/>
      </c>
    </row>
    <row r="58" spans="1:20" ht="16.5" customHeight="1" x14ac:dyDescent="0.2">
      <c r="A58" s="65"/>
      <c r="B58" s="50"/>
      <c r="C58" s="50"/>
      <c r="D58" s="50"/>
      <c r="E58" s="50"/>
      <c r="F58" s="50"/>
      <c r="G58" s="50"/>
      <c r="H58" s="50"/>
      <c r="I58" s="50"/>
      <c r="J58" s="79">
        <f>ROUND(SUM(J56:J56),2)</f>
        <v>207422</v>
      </c>
      <c r="K58" s="79">
        <f>ROUND(SUM(K57),2)</f>
        <v>207422</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7600</v>
      </c>
      <c r="K61" s="78"/>
    </row>
    <row r="62" spans="1:20" ht="16.5" customHeight="1" x14ac:dyDescent="0.25">
      <c r="A62" s="45"/>
      <c r="B62" s="49"/>
      <c r="C62" s="178" t="s">
        <v>1616</v>
      </c>
      <c r="D62" s="178"/>
      <c r="E62" s="178"/>
      <c r="F62" s="178"/>
      <c r="G62" s="178"/>
      <c r="H62" s="178"/>
      <c r="I62" s="178"/>
      <c r="J62" s="78"/>
      <c r="K62" s="105">
        <f>J61</f>
        <v>7600</v>
      </c>
    </row>
    <row r="63" spans="1:20" ht="16.5" customHeight="1" x14ac:dyDescent="0.2">
      <c r="A63" s="45"/>
      <c r="B63" s="192" t="s">
        <v>1615</v>
      </c>
      <c r="C63" s="192"/>
      <c r="D63" s="192"/>
      <c r="E63" s="192"/>
      <c r="F63" s="192"/>
      <c r="G63" s="192"/>
      <c r="H63" s="192"/>
      <c r="I63" s="192"/>
      <c r="J63" s="79">
        <f>ROUND(SUM(J61:J61),2)</f>
        <v>7600</v>
      </c>
      <c r="K63" s="79">
        <f>ROUND(SUM(K62),2)</f>
        <v>7600</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v>0</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v>0</v>
      </c>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1619</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Menus'!$D$2:$G$10,3,FALSE)</f>
        <v>Dr: Acct 0820 - NAT RES &amp; ENVIRON (GAAP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0820 - NAT RES &amp; ENVIRON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828432</v>
      </c>
      <c r="N94" s="104"/>
    </row>
    <row r="95" spans="1:20" ht="16.5" customHeight="1" x14ac:dyDescent="0.25">
      <c r="D95" s="49" t="s">
        <v>1631</v>
      </c>
      <c r="E95" s="100"/>
      <c r="F95" s="100"/>
      <c r="G95" s="100"/>
      <c r="H95" s="27"/>
      <c r="I95" s="100"/>
      <c r="J95" s="100"/>
      <c r="K95" s="103">
        <f>-K18-K46+J68+J77</f>
        <v>-685794</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-7600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5"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30F252D5-0F34-430A-B549-F353BAA7B54F}">
      <formula1>0</formula1>
    </dataValidation>
    <dataValidation type="whole" operator="greaterThanOrEqual" allowBlank="1" showErrorMessage="1" errorTitle="Whole Numbers Only" error="Enter amounts as whole numbers only." promptTitle="Whole Numbers" prompt="Enter whole numbers only." sqref="J15:J17 K18:K21" xr:uid="{975A6D28-12DE-4E19-889C-4367FD9FD9E2}">
      <formula1>0</formula1>
    </dataValidation>
    <dataValidation type="textLength" operator="equal" allowBlank="1" showInputMessage="1" showErrorMessage="1" errorTitle="4-Digit Org Code" error="Enter the Org Code/BU as 4 digits." sqref="F5" xr:uid="{CF5CA020-EBE8-4296-870F-A2DA90251210}">
      <formula1>4</formula1>
    </dataValidation>
    <dataValidation type="textLength" operator="lessThan" allowBlank="1" showInputMessage="1" showErrorMessage="1" sqref="E11 A6:A8" xr:uid="{D7ECB400-5092-4FF0-B19A-2A0197F13472}">
      <formula1>0</formula1>
    </dataValidation>
    <dataValidation operator="lessThan" allowBlank="1" showInputMessage="1" showErrorMessage="1" sqref="A3:A5 A7:A8 A11" xr:uid="{9204230B-9EBD-4099-83B3-7EC51E94E500}"/>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A56B0A6B-215C-41AD-A954-35108B351FA8}">
          <x14:formula1>
            <xm:f>'Drop Down Menus'!$B$1:$B$3</xm:f>
          </x14:formula1>
          <xm:sqref>F7</xm:sqref>
        </x14:dataValidation>
        <x14:dataValidation type="list" allowBlank="1" showInputMessage="1" showErrorMessage="1" xr:uid="{E87A95BC-3D31-4E6F-AFA4-E61C15C645A1}">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85EDB-7851-4006-BBE2-AA00E6F7E7E9}">
  <sheetPr>
    <tabColor rgb="FF92D050"/>
    <pageSetUpPr fitToPage="1"/>
  </sheetPr>
  <dimension ref="A1:XFC115"/>
  <sheetViews>
    <sheetView topLeftCell="A42" zoomScale="70" zoomScaleNormal="70" workbookViewId="0">
      <selection activeCell="N35" sqref="N35"/>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710</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439</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RESOURCES</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53274</v>
      </c>
      <c r="K15" s="42"/>
      <c r="M15" s="105">
        <v>53274</v>
      </c>
      <c r="P15" s="105">
        <v>53274</v>
      </c>
      <c r="S15" s="43">
        <f>M15-P15</f>
        <v>0</v>
      </c>
      <c r="T15" s="44" t="s">
        <v>1634</v>
      </c>
    </row>
    <row r="16" spans="1:25" ht="16.5" customHeight="1" x14ac:dyDescent="0.2">
      <c r="A16" s="45"/>
      <c r="B16" s="178" t="s">
        <v>1582</v>
      </c>
      <c r="C16" s="178"/>
      <c r="D16" s="178"/>
      <c r="E16" s="178"/>
      <c r="F16" s="178"/>
      <c r="G16" s="178"/>
      <c r="H16" s="178"/>
      <c r="I16" s="178"/>
      <c r="J16" s="41">
        <f>ROUND(P16,0)</f>
        <v>0</v>
      </c>
      <c r="K16" s="42"/>
      <c r="M16" s="105">
        <v>0</v>
      </c>
      <c r="P16" s="46">
        <f>IF(SUM($Q$18:$Q$19)&gt;$P$15,SUM($Q$18:$Q$19)-$P$15,0)</f>
        <v>0</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5832</v>
      </c>
      <c r="N18" s="105">
        <v>5832</v>
      </c>
      <c r="Q18" s="105">
        <v>5832</v>
      </c>
      <c r="S18" s="43">
        <f>N18-Q18</f>
        <v>0</v>
      </c>
      <c r="T18" s="47" t="s">
        <v>1635</v>
      </c>
    </row>
    <row r="19" spans="1:25" ht="16.5" customHeight="1" x14ac:dyDescent="0.25">
      <c r="A19" s="45"/>
      <c r="B19" s="49"/>
      <c r="C19" s="178" t="s">
        <v>1618</v>
      </c>
      <c r="D19" s="178"/>
      <c r="E19" s="178"/>
      <c r="F19" s="178"/>
      <c r="G19" s="178"/>
      <c r="H19" s="178"/>
      <c r="I19" s="178"/>
      <c r="J19" s="42"/>
      <c r="K19" s="41">
        <f>ROUND(N19,0)</f>
        <v>15022</v>
      </c>
      <c r="N19" s="105">
        <v>15022</v>
      </c>
      <c r="Q19" s="105">
        <v>15022</v>
      </c>
      <c r="S19" s="43">
        <f>N19-Q19</f>
        <v>0</v>
      </c>
      <c r="T19" s="47" t="s">
        <v>1635</v>
      </c>
      <c r="X19" s="18"/>
    </row>
    <row r="20" spans="1:25" ht="16.5" customHeight="1" x14ac:dyDescent="0.25">
      <c r="A20" s="45"/>
      <c r="B20" s="49"/>
      <c r="C20" s="178" t="s">
        <v>1584</v>
      </c>
      <c r="D20" s="178"/>
      <c r="E20" s="178"/>
      <c r="F20" s="178"/>
      <c r="G20" s="178"/>
      <c r="H20" s="178"/>
      <c r="I20" s="178"/>
      <c r="K20" s="41">
        <f>ROUND(Q20,0)</f>
        <v>32420</v>
      </c>
      <c r="N20" s="105"/>
      <c r="Q20" s="46">
        <f>IF(SUM($Q$18:$Q$19)&lt;$P$15,-SUM($Q$18:$Q$19)+$P$15,0)</f>
        <v>32420</v>
      </c>
      <c r="S20" s="43">
        <f>N20-Q20</f>
        <v>-32420</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53274</v>
      </c>
      <c r="K22" s="51">
        <f>ROUND(SUM(K18:K21),0)</f>
        <v>53274</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v>78933</v>
      </c>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c r="L29" s="37"/>
      <c r="M29" s="37"/>
      <c r="N29" s="37"/>
      <c r="O29" s="37"/>
      <c r="P29" s="37"/>
      <c r="Q29" s="37"/>
      <c r="R29" s="37"/>
      <c r="S29" s="37"/>
      <c r="T29" s="37"/>
    </row>
    <row r="30" spans="1:25" ht="16.5" customHeight="1" x14ac:dyDescent="0.25">
      <c r="A30" s="45"/>
      <c r="B30" s="49"/>
      <c r="C30" s="178" t="str">
        <f>VLOOKUP($F$8,'Drop Down Menus'!$D$2:$G$10,4,FALSE)</f>
        <v>Cr: Acct 0820 - NAT RES &amp; ENVIRON (GAAP ADJ)</v>
      </c>
      <c r="D30" s="178"/>
      <c r="E30" s="178"/>
      <c r="F30" s="178"/>
      <c r="G30" s="178"/>
      <c r="H30" s="178"/>
      <c r="I30" s="178"/>
      <c r="J30" s="42"/>
      <c r="K30" s="105">
        <v>78933</v>
      </c>
    </row>
    <row r="31" spans="1:25" ht="16.5" customHeight="1" x14ac:dyDescent="0.2">
      <c r="A31" s="65"/>
      <c r="B31" s="50"/>
      <c r="C31" s="50"/>
      <c r="D31" s="50"/>
      <c r="E31" s="50"/>
      <c r="F31" s="50"/>
      <c r="G31" s="50"/>
      <c r="H31" s="50"/>
      <c r="I31" s="50"/>
      <c r="J31" s="51">
        <f>ROUND(SUM(J28:J30),2)</f>
        <v>78933</v>
      </c>
      <c r="K31" s="51">
        <f>ROUND(SUM(K28:K30),2)</f>
        <v>78933</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v>78933</v>
      </c>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c r="K35" s="68"/>
    </row>
    <row r="36" spans="1:20" ht="16.5" customHeight="1" x14ac:dyDescent="0.2">
      <c r="A36" s="45"/>
      <c r="B36" s="69"/>
      <c r="C36" s="178" t="s">
        <v>1575</v>
      </c>
      <c r="D36" s="178"/>
      <c r="E36" s="178"/>
      <c r="F36" s="178"/>
      <c r="G36" s="178"/>
      <c r="H36" s="178"/>
      <c r="I36" s="178"/>
      <c r="J36" s="68"/>
      <c r="K36" s="105">
        <v>78933</v>
      </c>
    </row>
    <row r="37" spans="1:20" ht="16.5" customHeight="1" x14ac:dyDescent="0.2">
      <c r="A37" s="45"/>
      <c r="C37" s="178" t="s">
        <v>1618</v>
      </c>
      <c r="D37" s="178"/>
      <c r="E37" s="178"/>
      <c r="F37" s="178"/>
      <c r="G37" s="178"/>
      <c r="H37" s="178"/>
      <c r="I37" s="178"/>
      <c r="J37" s="68"/>
      <c r="K37" s="105"/>
    </row>
    <row r="38" spans="1:20" ht="16.5" customHeight="1" x14ac:dyDescent="0.25">
      <c r="A38" s="45"/>
      <c r="B38" s="49"/>
      <c r="C38" s="178" t="str">
        <f>VLOOKUP($F$8,'Drop Down Menus'!$D$2:$G$10,4,FALSE)</f>
        <v>Cr: Acct 0820 - NAT RES &amp; ENVIRON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78933</v>
      </c>
      <c r="K39" s="51">
        <f>ROUND(SUM(K36:K38),2)</f>
        <v>78933</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32704</v>
      </c>
      <c r="K45" s="78"/>
    </row>
    <row r="46" spans="1:20" ht="16.5" customHeight="1" x14ac:dyDescent="0.2">
      <c r="A46" s="45"/>
      <c r="B46" s="69"/>
      <c r="C46" s="178" t="s">
        <v>1581</v>
      </c>
      <c r="D46" s="178"/>
      <c r="E46" s="178"/>
      <c r="F46" s="178"/>
      <c r="G46" s="178"/>
      <c r="H46" s="178"/>
      <c r="I46" s="178"/>
      <c r="J46" s="68"/>
      <c r="K46" s="105">
        <v>32704</v>
      </c>
    </row>
    <row r="47" spans="1:20" ht="16.5" customHeight="1" x14ac:dyDescent="0.2">
      <c r="A47" s="65"/>
      <c r="B47" s="50"/>
      <c r="C47" s="50"/>
      <c r="D47" s="50"/>
      <c r="E47" s="50"/>
      <c r="F47" s="50"/>
      <c r="G47" s="50"/>
      <c r="H47" s="50"/>
      <c r="I47" s="50"/>
      <c r="J47" s="79">
        <f>ROUND(SUM(J45:J45),2)</f>
        <v>32704</v>
      </c>
      <c r="K47" s="79">
        <f>ROUND(SUM(K46),2)</f>
        <v>32704</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7422</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178</v>
      </c>
      <c r="K51" s="81"/>
    </row>
    <row r="52" spans="1:20" ht="16.5" customHeight="1" x14ac:dyDescent="0.25">
      <c r="A52" s="45"/>
      <c r="B52" s="49"/>
      <c r="C52" s="178" t="str">
        <f>VLOOKUP($F$8,'Drop Down Menus'!$D$2:$G$10,4,FALSE)</f>
        <v>Cr: Acct 0820 - NAT RES &amp; ENVIRON (GAAP ADJ)</v>
      </c>
      <c r="D52" s="178"/>
      <c r="E52" s="178"/>
      <c r="F52" s="178"/>
      <c r="G52" s="178"/>
      <c r="H52" s="178"/>
      <c r="I52" s="178"/>
      <c r="J52" s="81"/>
      <c r="K52" s="107">
        <f>+J50+J51</f>
        <v>7600</v>
      </c>
    </row>
    <row r="53" spans="1:20" ht="16.5" customHeight="1" x14ac:dyDescent="0.2">
      <c r="A53" s="65"/>
      <c r="B53" s="50"/>
      <c r="C53" s="50"/>
      <c r="D53" s="50"/>
      <c r="E53" s="50"/>
      <c r="F53" s="50"/>
      <c r="G53" s="50"/>
      <c r="H53" s="50"/>
      <c r="I53" s="50"/>
      <c r="J53" s="79">
        <f>ROUND(SUM(J50:J51),2)</f>
        <v>7600</v>
      </c>
      <c r="K53" s="79">
        <f>ROUND(SUM(K52,),2)</f>
        <v>7600</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v>7422</v>
      </c>
      <c r="K56" s="68"/>
    </row>
    <row r="57" spans="1:20" ht="16.5" customHeight="1" x14ac:dyDescent="0.25">
      <c r="A57" s="45"/>
      <c r="B57" s="49"/>
      <c r="C57" s="178" t="s">
        <v>1607</v>
      </c>
      <c r="D57" s="178"/>
      <c r="E57" s="178"/>
      <c r="F57" s="178"/>
      <c r="G57" s="178"/>
      <c r="H57" s="178"/>
      <c r="I57" s="178"/>
      <c r="J57" s="68"/>
      <c r="K57" s="105">
        <v>7422</v>
      </c>
      <c r="L57" s="27" t="str">
        <f>IF($J$50=$K$57,"","&lt;- Accts 0848 must agree")</f>
        <v/>
      </c>
    </row>
    <row r="58" spans="1:20" ht="16.5" customHeight="1" x14ac:dyDescent="0.2">
      <c r="A58" s="65"/>
      <c r="B58" s="50"/>
      <c r="C58" s="50"/>
      <c r="D58" s="50"/>
      <c r="E58" s="50"/>
      <c r="F58" s="50"/>
      <c r="G58" s="50"/>
      <c r="H58" s="50"/>
      <c r="I58" s="50"/>
      <c r="J58" s="79">
        <f>ROUND(SUM(J56:J56),2)</f>
        <v>7422</v>
      </c>
      <c r="K58" s="79">
        <f>ROUND(SUM(K57),2)</f>
        <v>7422</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7600</v>
      </c>
      <c r="K61" s="78"/>
    </row>
    <row r="62" spans="1:20" ht="16.5" customHeight="1" x14ac:dyDescent="0.25">
      <c r="A62" s="45"/>
      <c r="B62" s="49"/>
      <c r="C62" s="178" t="s">
        <v>1616</v>
      </c>
      <c r="D62" s="178"/>
      <c r="E62" s="178"/>
      <c r="F62" s="178"/>
      <c r="G62" s="178"/>
      <c r="H62" s="178"/>
      <c r="I62" s="178"/>
      <c r="J62" s="78"/>
      <c r="K62" s="105">
        <v>7600</v>
      </c>
    </row>
    <row r="63" spans="1:20" ht="16.5" customHeight="1" x14ac:dyDescent="0.2">
      <c r="A63" s="45"/>
      <c r="B63" s="192" t="s">
        <v>1615</v>
      </c>
      <c r="C63" s="192"/>
      <c r="D63" s="192"/>
      <c r="E63" s="192"/>
      <c r="F63" s="192"/>
      <c r="G63" s="192"/>
      <c r="H63" s="192"/>
      <c r="I63" s="192"/>
      <c r="J63" s="79">
        <f>ROUND(SUM(J61:J61),2)</f>
        <v>7600</v>
      </c>
      <c r="K63" s="79">
        <f>ROUND(SUM(K62),2)</f>
        <v>7600</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v>0</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v>0</v>
      </c>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1619</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Menus'!$D$2:$G$10,3,FALSE)</f>
        <v>Dr: Acct 0820 - NAT RES &amp; ENVIRON (GAAP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0820 - NAT RES &amp; ENVIRON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132207</v>
      </c>
      <c r="N94" s="104"/>
    </row>
    <row r="95" spans="1:20" ht="16.5" customHeight="1" x14ac:dyDescent="0.25">
      <c r="D95" s="49" t="s">
        <v>1631</v>
      </c>
      <c r="E95" s="100"/>
      <c r="F95" s="100"/>
      <c r="G95" s="100"/>
      <c r="H95" s="27"/>
      <c r="I95" s="100"/>
      <c r="J95" s="100"/>
      <c r="K95" s="103">
        <f>-K18-K46+J68+J77</f>
        <v>-38536</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-7600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2" operator="equal">
      <formula>"&lt;- Debits and Credits do not equal each other."</formula>
    </cfRule>
  </conditionalFormatting>
  <dataValidations count="5">
    <dataValidation operator="lessThan" allowBlank="1" showInputMessage="1" showErrorMessage="1" sqref="A3:A5 A7:A8 A11" xr:uid="{6473AD04-7337-4261-8693-FD771B7C643B}"/>
    <dataValidation type="textLength" operator="lessThan" allowBlank="1" showInputMessage="1" showErrorMessage="1" sqref="E11 A6:A8" xr:uid="{2C5774C7-B4CF-4C4D-B3EB-93B30FBEF70F}">
      <formula1>0</formula1>
    </dataValidation>
    <dataValidation type="textLength" operator="equal" allowBlank="1" showInputMessage="1" showErrorMessage="1" errorTitle="4-Digit Org Code" error="Enter the Org Code/BU as 4 digits." sqref="F5" xr:uid="{49FE7147-6994-48DD-9741-3ED74509BDC2}">
      <formula1>4</formula1>
    </dataValidation>
    <dataValidation type="whole" operator="greaterThanOrEqual" allowBlank="1" showErrorMessage="1" errorTitle="Whole Numbers Only" error="Enter amounts as whole numbers only." promptTitle="Whole Numbers" prompt="Enter whole numbers only." sqref="J15:J17 K18:K21" xr:uid="{F40220AD-2737-4C43-881A-28BF9B3BC8C3}">
      <formula1>0</formula1>
    </dataValidation>
    <dataValidation type="whole" operator="greaterThanOrEqual" allowBlank="1" showInputMessage="1" showErrorMessage="1" sqref="M15:M17 N18:N21 P15 Q18:Q19 J28 K85 K29:K30 J34:J35 J45 K46 J50:J51 K52 J56 K57 J61 K62 J68 K69 J76:J78 K79:K80 J84 K36:K38" xr:uid="{4FCF3971-BF16-4815-966A-6298478F57BA}">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1DEC3083-93CC-4631-8DB1-58C561939DE7}">
          <x14:formula1>
            <xm:f>'Drop Down Menus'!$A$1:$A$101</xm:f>
          </x14:formula1>
          <xm:sqref>F3</xm:sqref>
        </x14:dataValidation>
        <x14:dataValidation type="list" allowBlank="1" showInputMessage="1" showErrorMessage="1" xr:uid="{D74AD7A8-3C95-40B6-A332-49B14B8F5130}">
          <x14:formula1>
            <xm:f>'Drop Down Menus'!$B$1:$B$3</xm:f>
          </x14:formula1>
          <xm:sqref>F7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52570-9762-4F88-BC40-E9948FAB1506}">
  <sheetPr>
    <tabColor rgb="FF92D050"/>
    <pageSetUpPr fitToPage="1"/>
  </sheetPr>
  <dimension ref="A1:XFC115"/>
  <sheetViews>
    <sheetView topLeftCell="A34" zoomScale="70" zoomScaleNormal="70" workbookViewId="0">
      <selection sqref="A1:K1"/>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710</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3339</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RESOURCES</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508800</v>
      </c>
      <c r="K15" s="42"/>
      <c r="M15" s="105">
        <v>508800</v>
      </c>
      <c r="P15" s="105">
        <v>508800</v>
      </c>
      <c r="S15" s="43">
        <f>M15-P15</f>
        <v>0</v>
      </c>
      <c r="T15" s="44" t="s">
        <v>1634</v>
      </c>
    </row>
    <row r="16" spans="1:25" ht="16.5" customHeight="1" x14ac:dyDescent="0.2">
      <c r="A16" s="45"/>
      <c r="B16" s="178" t="s">
        <v>1582</v>
      </c>
      <c r="C16" s="178"/>
      <c r="D16" s="178"/>
      <c r="E16" s="178"/>
      <c r="F16" s="178"/>
      <c r="G16" s="178"/>
      <c r="H16" s="178"/>
      <c r="I16" s="178"/>
      <c r="J16" s="41">
        <f>ROUND(P16,0)</f>
        <v>0</v>
      </c>
      <c r="K16" s="42"/>
      <c r="M16" s="105">
        <v>0</v>
      </c>
      <c r="P16" s="46">
        <f>IF(SUM($Q$18:$Q$19)&gt;$P$15,SUM($Q$18:$Q$19)-$P$15,0)</f>
        <v>0</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113067</v>
      </c>
      <c r="N18" s="105">
        <v>113067</v>
      </c>
      <c r="Q18" s="105">
        <v>113067</v>
      </c>
      <c r="S18" s="43">
        <f>N18-Q18</f>
        <v>0</v>
      </c>
      <c r="T18" s="47" t="s">
        <v>1635</v>
      </c>
    </row>
    <row r="19" spans="1:25" ht="16.5" customHeight="1" x14ac:dyDescent="0.25">
      <c r="A19" s="45"/>
      <c r="B19" s="49"/>
      <c r="C19" s="178" t="s">
        <v>1618</v>
      </c>
      <c r="D19" s="178"/>
      <c r="E19" s="178"/>
      <c r="F19" s="178"/>
      <c r="G19" s="178"/>
      <c r="H19" s="178"/>
      <c r="I19" s="178"/>
      <c r="J19" s="42"/>
      <c r="K19" s="41">
        <f>ROUND(N19,0)</f>
        <v>0</v>
      </c>
      <c r="N19" s="105">
        <v>0</v>
      </c>
      <c r="Q19" s="105"/>
      <c r="S19" s="43">
        <f>N19-Q19</f>
        <v>0</v>
      </c>
      <c r="T19" s="47" t="s">
        <v>1635</v>
      </c>
      <c r="X19" s="18"/>
    </row>
    <row r="20" spans="1:25" ht="16.5" customHeight="1" x14ac:dyDescent="0.25">
      <c r="A20" s="45"/>
      <c r="B20" s="49"/>
      <c r="C20" s="178" t="s">
        <v>1584</v>
      </c>
      <c r="D20" s="178"/>
      <c r="E20" s="178"/>
      <c r="F20" s="178"/>
      <c r="G20" s="178"/>
      <c r="H20" s="178"/>
      <c r="I20" s="178"/>
      <c r="K20" s="41">
        <f>ROUND(Q20,0)</f>
        <v>395733</v>
      </c>
      <c r="N20" s="105"/>
      <c r="Q20" s="46">
        <f>IF(SUM($Q$18:$Q$19)&lt;$P$15,-SUM($Q$18:$Q$19)+$P$15,0)</f>
        <v>395733</v>
      </c>
      <c r="S20" s="43">
        <f>N20-Q20</f>
        <v>-395733</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508800</v>
      </c>
      <c r="K22" s="51">
        <f>ROUND(SUM(K18:K21),0)</f>
        <v>508800</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v>0</v>
      </c>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v>0</v>
      </c>
      <c r="L29" s="37"/>
      <c r="M29" s="37"/>
      <c r="N29" s="37"/>
      <c r="O29" s="37"/>
      <c r="P29" s="37"/>
      <c r="Q29" s="37"/>
      <c r="R29" s="37"/>
      <c r="S29" s="37"/>
      <c r="T29" s="37"/>
    </row>
    <row r="30" spans="1:25" ht="16.5" customHeight="1" x14ac:dyDescent="0.25">
      <c r="A30" s="45"/>
      <c r="B30" s="49"/>
      <c r="C30" s="178" t="str">
        <f>VLOOKUP($F$8,'Drop Down Menus'!$D$2:$G$10,4,FALSE)</f>
        <v>Cr: Acct 0820 - NAT RES &amp; ENVIRON (GAAP ADJ)</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0</v>
      </c>
      <c r="K31" s="51">
        <f>ROUND(SUM(K28:K30),2)</f>
        <v>0</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c r="K35" s="68"/>
    </row>
    <row r="36" spans="1:20" ht="16.5" customHeight="1" x14ac:dyDescent="0.2">
      <c r="A36" s="45"/>
      <c r="B36" s="69"/>
      <c r="C36" s="178" t="s">
        <v>1575</v>
      </c>
      <c r="D36" s="178"/>
      <c r="E36" s="178"/>
      <c r="F36" s="178"/>
      <c r="G36" s="178"/>
      <c r="H36" s="178"/>
      <c r="I36" s="178"/>
      <c r="J36" s="68"/>
      <c r="K36" s="105"/>
    </row>
    <row r="37" spans="1:20" ht="16.5" customHeight="1" x14ac:dyDescent="0.2">
      <c r="A37" s="45"/>
      <c r="C37" s="178" t="s">
        <v>1618</v>
      </c>
      <c r="D37" s="178"/>
      <c r="E37" s="178"/>
      <c r="F37" s="178"/>
      <c r="G37" s="178"/>
      <c r="H37" s="178"/>
      <c r="I37" s="178"/>
      <c r="J37" s="68"/>
      <c r="K37" s="105"/>
    </row>
    <row r="38" spans="1:20" ht="16.5" customHeight="1" x14ac:dyDescent="0.25">
      <c r="A38" s="45"/>
      <c r="B38" s="49"/>
      <c r="C38" s="178" t="str">
        <f>VLOOKUP($F$8,'Drop Down Menus'!$D$2:$G$10,4,FALSE)</f>
        <v>Cr: Acct 0820 - NAT RES &amp; ENVIRON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0</v>
      </c>
      <c r="K39" s="51">
        <f>ROUND(SUM(K36:K38),2)</f>
        <v>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169600</v>
      </c>
      <c r="K45" s="78"/>
    </row>
    <row r="46" spans="1:20" ht="16.5" customHeight="1" x14ac:dyDescent="0.2">
      <c r="A46" s="45"/>
      <c r="B46" s="69"/>
      <c r="C46" s="178" t="s">
        <v>1581</v>
      </c>
      <c r="D46" s="178"/>
      <c r="E46" s="178"/>
      <c r="F46" s="178"/>
      <c r="G46" s="178"/>
      <c r="H46" s="178"/>
      <c r="I46" s="178"/>
      <c r="J46" s="68"/>
      <c r="K46" s="105">
        <v>169600</v>
      </c>
    </row>
    <row r="47" spans="1:20" ht="16.5" customHeight="1" x14ac:dyDescent="0.2">
      <c r="A47" s="65"/>
      <c r="B47" s="50"/>
      <c r="C47" s="50"/>
      <c r="D47" s="50"/>
      <c r="E47" s="50"/>
      <c r="F47" s="50"/>
      <c r="G47" s="50"/>
      <c r="H47" s="50"/>
      <c r="I47" s="50"/>
      <c r="J47" s="79">
        <f>ROUND(SUM(J45:J45),2)</f>
        <v>169600</v>
      </c>
      <c r="K47" s="79">
        <f>ROUND(SUM(K46),2)</f>
        <v>169600</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0</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c r="K51" s="81"/>
    </row>
    <row r="52" spans="1:20" ht="16.5" customHeight="1" x14ac:dyDescent="0.25">
      <c r="A52" s="45"/>
      <c r="B52" s="49"/>
      <c r="C52" s="178" t="str">
        <f>VLOOKUP($F$8,'Drop Down Menus'!$D$2:$G$10,4,FALSE)</f>
        <v>Cr: Acct 0820 - NAT RES &amp; ENVIRON (GAAP ADJ)</v>
      </c>
      <c r="D52" s="178"/>
      <c r="E52" s="178"/>
      <c r="F52" s="178"/>
      <c r="G52" s="178"/>
      <c r="H52" s="178"/>
      <c r="I52" s="178"/>
      <c r="J52" s="81"/>
      <c r="K52" s="107">
        <v>0</v>
      </c>
    </row>
    <row r="53" spans="1:20" ht="16.5" customHeight="1" x14ac:dyDescent="0.2">
      <c r="A53" s="65"/>
      <c r="B53" s="50"/>
      <c r="C53" s="50"/>
      <c r="D53" s="50"/>
      <c r="E53" s="50"/>
      <c r="F53" s="50"/>
      <c r="G53" s="50"/>
      <c r="H53" s="50"/>
      <c r="I53" s="50"/>
      <c r="J53" s="79">
        <f>ROUND(SUM(J50:J51),2)</f>
        <v>0</v>
      </c>
      <c r="K53" s="79">
        <f>ROUND(SUM(K52,),2)</f>
        <v>0</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v>0</v>
      </c>
      <c r="K56" s="68"/>
    </row>
    <row r="57" spans="1:20" ht="16.5" customHeight="1" x14ac:dyDescent="0.25">
      <c r="A57" s="45"/>
      <c r="B57" s="49"/>
      <c r="C57" s="178" t="s">
        <v>1607</v>
      </c>
      <c r="D57" s="178"/>
      <c r="E57" s="178"/>
      <c r="F57" s="178"/>
      <c r="G57" s="178"/>
      <c r="H57" s="178"/>
      <c r="I57" s="178"/>
      <c r="J57" s="68"/>
      <c r="K57" s="105">
        <v>0</v>
      </c>
      <c r="L57" s="27" t="str">
        <f>IF($J$50=$K$57,"","&lt;- Accts 0848 must agree")</f>
        <v/>
      </c>
    </row>
    <row r="58" spans="1:20" ht="16.5" customHeight="1" x14ac:dyDescent="0.2">
      <c r="A58" s="65"/>
      <c r="B58" s="50"/>
      <c r="C58" s="50"/>
      <c r="D58" s="50"/>
      <c r="E58" s="50"/>
      <c r="F58" s="50"/>
      <c r="G58" s="50"/>
      <c r="H58" s="50"/>
      <c r="I58" s="50"/>
      <c r="J58" s="79">
        <f>ROUND(SUM(J56:J56),2)</f>
        <v>0</v>
      </c>
      <c r="K58" s="79">
        <f>ROUND(SUM(K57),2)</f>
        <v>0</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0</v>
      </c>
      <c r="K61" s="78"/>
    </row>
    <row r="62" spans="1:20" ht="16.5" customHeight="1" x14ac:dyDescent="0.25">
      <c r="A62" s="45"/>
      <c r="B62" s="49"/>
      <c r="C62" s="178" t="s">
        <v>1616</v>
      </c>
      <c r="D62" s="178"/>
      <c r="E62" s="178"/>
      <c r="F62" s="178"/>
      <c r="G62" s="178"/>
      <c r="H62" s="178"/>
      <c r="I62" s="178"/>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f>K69</f>
        <v>0</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1619</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Menus'!$D$2:$G$10,3,FALSE)</f>
        <v>Dr: Acct 0820 - NAT RES &amp; ENVIRON (GAAP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0820 - NAT RES &amp; ENVIRON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508800</v>
      </c>
      <c r="N94" s="104"/>
    </row>
    <row r="95" spans="1:20" ht="16.5" customHeight="1" x14ac:dyDescent="0.25">
      <c r="D95" s="49" t="s">
        <v>1631</v>
      </c>
      <c r="E95" s="100"/>
      <c r="F95" s="100"/>
      <c r="G95" s="100"/>
      <c r="H95" s="27"/>
      <c r="I95" s="100"/>
      <c r="J95" s="100"/>
      <c r="K95" s="103">
        <f>-K18-K46+J68+J77</f>
        <v>-282667</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8A218F25-32E3-4EB9-AA8D-56308C8D390D}">
      <formula1>0</formula1>
    </dataValidation>
    <dataValidation type="whole" operator="greaterThanOrEqual" allowBlank="1" showErrorMessage="1" errorTitle="Whole Numbers Only" error="Enter amounts as whole numbers only." promptTitle="Whole Numbers" prompt="Enter whole numbers only." sqref="J15:J17 K18:K21" xr:uid="{24383282-FEBB-4891-AAEA-11B036F9A0BF}">
      <formula1>0</formula1>
    </dataValidation>
    <dataValidation type="textLength" operator="equal" allowBlank="1" showInputMessage="1" showErrorMessage="1" errorTitle="4-Digit Org Code" error="Enter the Org Code/BU as 4 digits." sqref="F5" xr:uid="{A6059353-D66C-4C55-8DD7-55CD1B410388}">
      <formula1>4</formula1>
    </dataValidation>
    <dataValidation type="textLength" operator="lessThan" allowBlank="1" showInputMessage="1" showErrorMessage="1" sqref="E11 A6:A8" xr:uid="{3ECF01D0-7788-46D5-9DCE-5AFED9860E96}">
      <formula1>0</formula1>
    </dataValidation>
    <dataValidation operator="lessThan" allowBlank="1" showInputMessage="1" showErrorMessage="1" sqref="A3:A5 A7:A8 A11" xr:uid="{42F92772-3594-4C18-9EA1-445FA244DCD6}"/>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7FB90966-CDA6-4605-A9D6-895BE2E8F21F}">
          <x14:formula1>
            <xm:f>'Drop Down Menus'!$B$1:$B$3</xm:f>
          </x14:formula1>
          <xm:sqref>F7</xm:sqref>
        </x14:dataValidation>
        <x14:dataValidation type="list" allowBlank="1" showInputMessage="1" showErrorMessage="1" xr:uid="{50DE47D8-AD60-4E3D-B41C-A2EE7F5B31E6}">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D49" sqref="D49"/>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v>3940</v>
      </c>
      <c r="C12" s="201"/>
    </row>
    <row r="13" spans="1:11" ht="15.75" x14ac:dyDescent="0.25">
      <c r="A13" s="113" t="s">
        <v>1594</v>
      </c>
      <c r="B13" s="205" t="s">
        <v>1655</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5659565</v>
      </c>
      <c r="C16" s="2">
        <f>187186+3596+1178+11215</f>
        <v>203175</v>
      </c>
      <c r="D16" s="207" t="s">
        <v>1536</v>
      </c>
      <c r="E16" s="118"/>
      <c r="F16" s="118"/>
      <c r="G16" s="118"/>
      <c r="H16" s="118"/>
      <c r="I16" s="118"/>
      <c r="J16" s="118"/>
      <c r="K16" s="118"/>
    </row>
    <row r="17" spans="1:11" ht="15" customHeight="1" x14ac:dyDescent="0.2">
      <c r="A17" s="115" t="str">
        <f>LEFT(A16,4)+1&amp;"–"&amp;RIGHT(A16,4)+1</f>
        <v>2025–2026</v>
      </c>
      <c r="B17" s="2"/>
      <c r="C17" s="2"/>
      <c r="D17" s="207"/>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f>B12</f>
        <v>3940</v>
      </c>
      <c r="C43" s="203"/>
    </row>
    <row r="44" spans="1:11" ht="15.75" x14ac:dyDescent="0.25">
      <c r="A44" s="113" t="s">
        <v>1594</v>
      </c>
      <c r="B44" s="204" t="str">
        <f>B13</f>
        <v>State Water Resources Control Board</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f>B12</f>
        <v>3940</v>
      </c>
      <c r="C74" s="203"/>
    </row>
    <row r="75" spans="1:4" ht="15.75" x14ac:dyDescent="0.25">
      <c r="A75" s="113" t="s">
        <v>1594</v>
      </c>
      <c r="B75" s="204" t="str">
        <f>B13</f>
        <v>State Water Resources Control Board</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3940 State Water Resources Control Board</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'Fund 0001 Journal Entries'!K19+'Fund 0193 Journal Entries'!K19+'Fund 0439 Journal Entries'!K19+'Fund 3339 Journal Entries'!K19</f>
        <v>8609030</v>
      </c>
      <c r="H10" s="3">
        <f>'Fund 0001 Journal Entries'!K37+'Fund 0193 Journal Entries'!K37+'Fund 0439 Journal Entries'!K37+'Fund 3339 Journal Entries'!K37+'Fund 0001 Journal Entries'!K85+'Fund 0193 Journal Entries'!K85+'Fund 0439 Journal Entries'!K85+'Fund 3339 Journal Entries'!K85</f>
        <v>0</v>
      </c>
      <c r="J10" s="3">
        <f>'Fund 0001 Journal Entries'!J56+'Fund 0193 Journal Entries'!J56+'Fund 0439 Journal Entries'!J56+'Fund 3339 Journal Entries'!J56+'Fund 0001 Journal Entries'!J76+'Fund 0193 Journal Entries'!J76+'Fund 0439 Journal Entries'!J76+'Fund 3339 Journal Entries'!J76</f>
        <v>2949465</v>
      </c>
      <c r="L10" s="134">
        <f>SUM(F10+H10-J10)</f>
        <v>5659565</v>
      </c>
      <c r="N10" s="3">
        <f>'Fund 0001 Journal Entries'!J61+'Fund 0193 Journal Entries'!J61+'Fund 0439 Journal Entries'!J61+'Fund 3339 Journal Entries'!J61</f>
        <v>5659565</v>
      </c>
      <c r="P10" s="134">
        <f>L10-N10</f>
        <v>0</v>
      </c>
      <c r="Q10" s="129"/>
    </row>
    <row r="11" spans="2:17" ht="19.5" thickTop="1" thickBot="1" x14ac:dyDescent="0.3">
      <c r="B11" s="128"/>
      <c r="C11" s="208" t="s">
        <v>14</v>
      </c>
      <c r="D11" s="208"/>
      <c r="F11" s="135">
        <f>SUM(F10:F10)</f>
        <v>8609030</v>
      </c>
      <c r="H11" s="135">
        <f>SUM(H10:H10)</f>
        <v>0</v>
      </c>
      <c r="J11" s="135">
        <f>SUM(J10:J10)</f>
        <v>2949465</v>
      </c>
      <c r="L11" s="135">
        <f>SUM(L10:L10)</f>
        <v>5659565</v>
      </c>
      <c r="N11" s="135">
        <f>SUM(N10:N10)</f>
        <v>5659565</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A3" sqref="A3"/>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'Fund 0001 Journal Entries'!K19+'Fund 0193 Journal Entries'!K19+'Fund 0439 Journal Entries'!K19+'Fund 3339 Journal Entries'!K19</f>
        <v>8609030</v>
      </c>
      <c r="C17" s="21" t="s">
        <v>1551</v>
      </c>
      <c r="D17" s="10">
        <f>'Fund 0001 Journal Entries'!K37+'Fund 0193 Journal Entries'!K37+'Fund 0439 Journal Entries'!K37+'Fund 3339 Journal Entries'!K37</f>
        <v>0</v>
      </c>
      <c r="E17" s="22" t="s">
        <v>1553</v>
      </c>
      <c r="F17" s="10">
        <f>'Fund 0001 Journal Entries'!J56+'Fund 0193 Journal Entries'!J56+'Fund 0439 Journal Entries'!J56+'Fund 3339 Journal Entries'!J56</f>
        <v>2949465</v>
      </c>
      <c r="G17" s="22" t="s">
        <v>1553</v>
      </c>
      <c r="H17" s="10">
        <f>'Fund 0001 Journal Entries'!J76+'Fund 0193 Journal Entries'!J76+'Fund 0439 Journal Entries'!J76+'Fund 3339 Journal Entries'!J76</f>
        <v>0</v>
      </c>
      <c r="I17" s="22" t="s">
        <v>1551</v>
      </c>
      <c r="J17" s="10">
        <f>'Fund 0001 Journal Entries'!K85+'Fund 0193 Journal Entries'!K85+'Fund 0439 Journal Entries'!K85+'Fund 3339 Journal Entries'!K85</f>
        <v>0</v>
      </c>
      <c r="K17" s="22" t="s">
        <v>1555</v>
      </c>
      <c r="L17" s="11">
        <f>+B17+D17-F17-H17+J17</f>
        <v>5659565</v>
      </c>
      <c r="M17" s="22"/>
      <c r="N17" s="12">
        <f>ROUND(SUM('Department Note Disclosure'!$B$16:$B$39),0)</f>
        <v>5659565</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+B34+D34-F34-H34+J34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'Fund 0001 Journal Entries'!J61+'Fund 0193 Journal Entries'!J61+'Fund 0439 Journal Entries'!J61+'Fund 3339 Journal Entries'!J61</f>
        <v>5659565</v>
      </c>
      <c r="C42" s="160"/>
      <c r="D42" s="159"/>
      <c r="E42" s="159"/>
      <c r="F42" s="159"/>
      <c r="G42" s="145"/>
      <c r="H42" s="159"/>
      <c r="I42" s="149"/>
      <c r="J42" s="159"/>
      <c r="K42" s="145"/>
      <c r="L42" s="158"/>
      <c r="M42" s="23"/>
      <c r="N42" s="12">
        <f>ROUND('Department Note Disclosure'!$B$16,0)</f>
        <v>5659565</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8609030</v>
      </c>
      <c r="I64" s="25" t="s">
        <v>1555</v>
      </c>
      <c r="J64" s="14">
        <f>SUM(D64)</f>
        <v>8609030</v>
      </c>
      <c r="L64" s="164" t="str">
        <f>CONCATENATE("Balance July 1, ",LEFT('Department Note Disclosure'!$B$11,4))</f>
        <v>Balance July 1, 2023</v>
      </c>
      <c r="N64" s="14">
        <f>ROUND('SBITA Liabilities'!$F$10,0)</f>
        <v>8609030</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2949465</v>
      </c>
      <c r="E66" s="165" t="s">
        <v>1551</v>
      </c>
      <c r="F66" s="150" t="s">
        <v>1645</v>
      </c>
      <c r="H66" s="14">
        <f>H17</f>
        <v>0</v>
      </c>
      <c r="I66" s="25" t="s">
        <v>1555</v>
      </c>
      <c r="J66" s="14">
        <f>SUM(D66,H66)</f>
        <v>2949465</v>
      </c>
      <c r="L66" s="164" t="s">
        <v>10</v>
      </c>
      <c r="N66" s="14">
        <f>ROUND('SBITA Liabilities'!$J$10,0)</f>
        <v>2949465</v>
      </c>
      <c r="P66" s="13">
        <f>J66-N66</f>
        <v>0</v>
      </c>
    </row>
    <row r="67" spans="1:16383" x14ac:dyDescent="0.25">
      <c r="B67" s="162" t="s">
        <v>1558</v>
      </c>
      <c r="D67" s="14">
        <f>$B$42</f>
        <v>5659565</v>
      </c>
      <c r="I67" s="25" t="s">
        <v>1555</v>
      </c>
      <c r="J67" s="14">
        <f>SUM(D67)</f>
        <v>5659565</v>
      </c>
      <c r="L67" s="164" t="s">
        <v>11</v>
      </c>
      <c r="N67" s="14">
        <f>ROUND('SBITA Liabilities'!$N$10,0)</f>
        <v>5659565</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Fund 0001 Journal Entries</vt:lpstr>
      <vt:lpstr>Fund 0193 Journal Entries</vt:lpstr>
      <vt:lpstr>Fund 0439 Journal Entries</vt:lpstr>
      <vt:lpstr>Fund 3339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0193 Journal Entries'!Print_Area</vt:lpstr>
      <vt:lpstr>'Fund 0439 Journal Entries'!Print_Area</vt:lpstr>
      <vt:lpstr>'Fund 3339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2024-12-30T21:46:22Z</cp:lastPrinted>
  <dcterms:created xsi:type="dcterms:W3CDTF">2023-03-08T17:19:33Z</dcterms:created>
  <dcterms:modified xsi:type="dcterms:W3CDTF">2025-02-26T21:30:51Z</dcterms:modified>
</cp:coreProperties>
</file>