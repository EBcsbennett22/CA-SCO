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70D6EE1D-317E-4963-9771-535750115221}"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2" l="1"/>
  <c r="K57" i="2"/>
  <c r="S15" i="2" l="1"/>
  <c r="N18" i="4"/>
  <c r="K19" i="2"/>
  <c r="F10" i="4" s="1"/>
  <c r="K18" i="2"/>
  <c r="J15" i="2"/>
  <c r="K94" i="2" s="1"/>
  <c r="S21" i="2"/>
  <c r="S19" i="2"/>
  <c r="S18" i="2"/>
  <c r="S17" i="2"/>
  <c r="L57" i="2"/>
  <c r="L50" i="2" l="1"/>
  <c r="K96" i="2" l="1"/>
  <c r="J14" i="4"/>
  <c r="H18" i="4"/>
  <c r="H14" i="4"/>
  <c r="H10" i="4"/>
  <c r="L84" i="9" l="1"/>
  <c r="L74" i="9"/>
  <c r="L64" i="9"/>
  <c r="H34" i="9"/>
  <c r="H86" i="9" s="1"/>
  <c r="J34" i="9"/>
  <c r="H85" i="9" s="1"/>
  <c r="J25" i="9"/>
  <c r="H75" i="9" s="1"/>
  <c r="H25" i="9"/>
  <c r="H76" i="9" s="1"/>
  <c r="H17" i="9"/>
  <c r="H66" i="9" s="1"/>
  <c r="J17" i="9"/>
  <c r="H65" i="9" s="1"/>
  <c r="K62" i="2"/>
  <c r="K97" i="2" s="1"/>
  <c r="K52" i="2"/>
  <c r="K46" i="2"/>
  <c r="K95" i="2" s="1"/>
  <c r="J10" i="4" l="1"/>
  <c r="J18" i="4"/>
  <c r="Q20" i="2"/>
  <c r="P16" i="2"/>
  <c r="S16" i="2" l="1"/>
  <c r="J16" i="2"/>
  <c r="S20" i="2"/>
  <c r="K20" i="2"/>
  <c r="D89" i="3"/>
  <c r="D58" i="3"/>
  <c r="K21" i="2" l="1"/>
  <c r="K22" i="2" s="1"/>
  <c r="J17" i="2"/>
  <c r="J22" i="2" s="1"/>
  <c r="D27" i="3"/>
  <c r="B17" i="9" l="1"/>
  <c r="D17" i="9"/>
  <c r="B25" i="9"/>
  <c r="D25" i="9"/>
  <c r="F25" i="9"/>
  <c r="B34" i="9"/>
  <c r="D34" i="9"/>
  <c r="F34" i="9"/>
  <c r="B49" i="9"/>
  <c r="B56" i="9"/>
  <c r="N10" i="4"/>
  <c r="N14" i="4"/>
  <c r="F14" i="4"/>
  <c r="N74" i="9" s="1"/>
  <c r="F18" i="4"/>
  <c r="K53" i="2"/>
  <c r="L34" i="9" l="1"/>
  <c r="L25" i="9"/>
  <c r="C5" i="4"/>
  <c r="D86" i="3"/>
  <c r="D55" i="3"/>
  <c r="D24" i="3"/>
  <c r="B42" i="9" l="1"/>
  <c r="F17" i="9"/>
  <c r="L17" i="9" s="1"/>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B78" i="2" s="1"/>
  <c r="N85" i="9" l="1"/>
  <c r="C30" i="2"/>
  <c r="C80" i="2"/>
  <c r="J39" i="2"/>
  <c r="K39" i="2"/>
  <c r="L39" i="2" l="1"/>
  <c r="F7" i="4"/>
  <c r="L7" i="4"/>
  <c r="K31" i="2"/>
  <c r="J31" i="2"/>
  <c r="L31" i="2" l="1"/>
  <c r="C4" i="4"/>
  <c r="D81" i="3"/>
  <c r="D75" i="9" l="1"/>
  <c r="J75" i="9" l="1"/>
  <c r="P75" i="9" s="1"/>
  <c r="D85" i="9"/>
  <c r="J85" i="9" s="1"/>
  <c r="P85" i="9" s="1"/>
  <c r="D84" i="9"/>
  <c r="J84" i="9" s="1"/>
  <c r="P84" i="9" s="1"/>
  <c r="D74" i="9"/>
  <c r="J74" i="9" s="1"/>
  <c r="P74" i="9" l="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l="1"/>
  <c r="P64" i="9" s="1"/>
  <c r="J76" i="9"/>
  <c r="P76" i="9" s="1"/>
  <c r="N86" i="9"/>
  <c r="J19" i="4"/>
  <c r="L18" i="4"/>
  <c r="D86" i="9"/>
  <c r="J86" i="9" s="1"/>
  <c r="P34" i="9"/>
  <c r="D35" i="9" s="1"/>
  <c r="D21" i="3"/>
  <c r="P86" i="9" l="1"/>
  <c r="K47" i="2"/>
  <c r="L47" i="2" s="1"/>
  <c r="K63" i="2"/>
  <c r="L63" i="2" s="1"/>
  <c r="P18" i="4"/>
  <c r="P19" i="4" s="1"/>
  <c r="L19" i="4"/>
  <c r="D67" i="9"/>
  <c r="J67" i="9" s="1"/>
  <c r="D77" i="9"/>
  <c r="P25" i="9"/>
  <c r="D27" i="9" s="1"/>
  <c r="J77" i="9" l="1"/>
  <c r="P77" i="9" s="1"/>
  <c r="D78" i="9" s="1"/>
  <c r="P67" i="9"/>
  <c r="D87" i="9"/>
  <c r="P57" i="9"/>
  <c r="B57" i="9" s="1"/>
  <c r="P42" i="9"/>
  <c r="B43" i="9" s="1"/>
  <c r="P50" i="9"/>
  <c r="B50" i="9" s="1"/>
  <c r="J87" i="9" l="1"/>
  <c r="P87" i="9" s="1"/>
  <c r="D88" i="9" s="1"/>
  <c r="D66" i="9"/>
  <c r="J66" i="9" l="1"/>
  <c r="P66" i="9" s="1"/>
  <c r="D65" i="9"/>
  <c r="J65" i="9" s="1"/>
  <c r="P17" i="9"/>
  <c r="D18" i="9" s="1"/>
  <c r="P65" i="9" l="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68" i="2"/>
  <c r="J70" i="2" s="1"/>
  <c r="L70" i="2" s="1"/>
</calcChain>
</file>

<file path=xl/sharedStrings.xml><?xml version="1.0" encoding="utf-8"?>
<sst xmlns="http://schemas.openxmlformats.org/spreadsheetml/2006/main" count="7628" uniqueCount="1656">
  <si>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</si>
  <si>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</si>
  <si>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</si>
  <si>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</si>
  <si>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</si>
  <si>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</si>
  <si>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</si>
  <si>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</si>
  <si>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</si>
  <si>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</si>
  <si>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</si>
  <si>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</si>
  <si>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</si>
  <si>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</si>
  <si>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</si>
  <si>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</si>
  <si>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</si>
  <si>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</si>
  <si>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</si>
  <si>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</si>
  <si>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</si>
  <si>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</si>
  <si>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</si>
  <si>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</si>
  <si>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</si>
  <si>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</si>
  <si>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</si>
  <si>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</si>
  <si>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</si>
  <si>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</si>
  <si>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</si>
  <si>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</si>
  <si>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</si>
  <si>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</si>
  <si>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</si>
  <si>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</si>
  <si>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</si>
  <si>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</si>
  <si>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</si>
  <si>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</si>
  <si>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</si>
  <si>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</si>
  <si>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</si>
  <si>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</si>
  <si>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</si>
  <si>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</si>
  <si>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</si>
  <si>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</si>
  <si>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</si>
  <si>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</si>
  <si>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</si>
  <si>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</si>
  <si>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</si>
  <si>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</si>
  <si>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</si>
  <si>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</si>
  <si>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</si>
  <si>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</si>
  <si>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</si>
  <si>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</si>
  <si>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</si>
  <si>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</si>
  <si>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</si>
  <si>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</si>
  <si>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</si>
  <si>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</si>
  <si>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</si>
  <si>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</si>
  <si>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</si>
  <si>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</si>
  <si>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</si>
  <si>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</si>
  <si>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</si>
  <si>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</si>
  <si>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</si>
  <si>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</si>
  <si>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</si>
  <si>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</si>
  <si>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</si>
  <si>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</si>
  <si>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</si>
  <si>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</si>
  <si>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</si>
  <si>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</si>
  <si>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</si>
  <si>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</si>
  <si>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</si>
  <si>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</si>
  <si>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</si>
  <si>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</si>
  <si>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</si>
  <si>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</si>
  <si>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</si>
  <si>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</si>
  <si>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</si>
  <si>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</si>
  <si>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</si>
  <si>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</si>
  <si>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</si>
  <si>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</si>
  <si>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</si>
  <si>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</si>
  <si>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</si>
  <si>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</si>
  <si>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</si>
  <si>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</si>
  <si>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</si>
  <si>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</si>
  <si>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</si>
  <si>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</si>
  <si>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</si>
  <si>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</si>
  <si>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</si>
  <si>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</si>
  <si>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</si>
  <si>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</si>
  <si>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</si>
  <si>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</si>
  <si>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</si>
  <si>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</si>
  <si>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</si>
  <si>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</si>
  <si>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</si>
  <si>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</si>
  <si>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</si>
  <si>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</si>
  <si>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</si>
  <si>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</si>
  <si>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</si>
  <si>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</si>
  <si>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</si>
  <si>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</si>
  <si>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</si>
  <si>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</si>
  <si>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</si>
  <si>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</si>
  <si>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</si>
  <si>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</si>
  <si>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</si>
  <si>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</si>
  <si>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</si>
  <si>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</si>
  <si>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</si>
  <si>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</si>
  <si>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</si>
  <si>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</si>
  <si>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</si>
  <si>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</si>
  <si>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</si>
  <si>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</si>
  <si>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</si>
  <si>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</si>
  <si>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</si>
  <si>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</si>
  <si>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</si>
  <si>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</si>
  <si>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</si>
  <si>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</si>
  <si>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</si>
  <si>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</si>
  <si>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</si>
  <si>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</si>
  <si>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</si>
  <si>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</si>
  <si>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</si>
  <si>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</si>
  <si>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</si>
  <si>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</si>
  <si>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</si>
  <si>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</si>
  <si>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</si>
  <si>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</si>
  <si>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</si>
  <si>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</si>
  <si>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</si>
  <si>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</si>
  <si>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</si>
  <si>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</si>
  <si>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</si>
  <si>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</si>
  <si>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</si>
  <si>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</si>
  <si>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</si>
  <si>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</si>
  <si>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</si>
  <si>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</si>
  <si>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</si>
  <si>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</si>
  <si>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</si>
  <si>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</si>
  <si>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</si>
  <si>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</si>
  <si>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</si>
  <si>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</si>
  <si>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</si>
  <si>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</si>
  <si>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</si>
  <si>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</si>
  <si>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</si>
  <si>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</si>
  <si>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</si>
  <si>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</si>
  <si>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</si>
  <si>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</si>
  <si>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</si>
  <si>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</si>
  <si>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</si>
  <si>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</si>
  <si>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</si>
  <si>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</si>
  <si>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</si>
  <si>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</si>
  <si>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</si>
  <si>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</si>
  <si>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</si>
  <si>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</si>
  <si>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</si>
  <si>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</si>
  <si>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</si>
  <si>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</si>
  <si>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</si>
  <si>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</si>
  <si>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</si>
  <si>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</si>
  <si>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</si>
  <si>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</si>
  <si>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</si>
  <si>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</si>
  <si>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</si>
  <si>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</si>
  <si>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</si>
  <si>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</si>
  <si>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</si>
  <si>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</si>
  <si>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</si>
  <si>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</si>
  <si>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</si>
  <si>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</si>
  <si>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</si>
  <si>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</si>
  <si>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</si>
  <si>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</si>
  <si>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</si>
  <si>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</si>
  <si>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</si>
  <si>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</si>
  <si>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</si>
  <si>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</si>
  <si>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</si>
  <si>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</si>
  <si>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</si>
  <si>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</si>
  <si>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</si>
  <si>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</si>
  <si>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</si>
  <si>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</si>
  <si>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</si>
  <si>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</si>
  <si>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</si>
  <si>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</si>
  <si>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</si>
  <si>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</si>
  <si>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</si>
  <si>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</si>
  <si>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</si>
  <si>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</si>
  <si>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</si>
  <si>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</si>
  <si>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</si>
  <si>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</si>
  <si>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</si>
  <si>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</si>
  <si>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</si>
  <si>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</si>
  <si>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</si>
  <si>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</si>
  <si>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</si>
  <si>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</si>
  <si>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</si>
  <si>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</si>
  <si>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</si>
  <si>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</si>
  <si>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</si>
  <si>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</si>
  <si>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</si>
  <si>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</si>
  <si>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</si>
  <si>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</si>
  <si>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</si>
  <si>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</si>
  <si>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</si>
  <si>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</si>
  <si>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</si>
  <si>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</si>
  <si>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</si>
  <si>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</si>
  <si>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</si>
  <si>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</si>
  <si>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</si>
  <si>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</si>
  <si>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</si>
  <si>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</si>
  <si>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</si>
  <si>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</si>
  <si>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</si>
  <si>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</si>
  <si>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</si>
  <si>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</si>
  <si>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</si>
  <si>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</si>
  <si>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</si>
  <si>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</si>
  <si>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</si>
  <si>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</si>
  <si>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</si>
  <si>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</si>
  <si>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</si>
  <si>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</si>
  <si>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</si>
  <si>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</si>
  <si>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</si>
  <si>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</si>
  <si>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</si>
  <si>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</si>
  <si>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</si>
  <si>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</si>
  <si>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</si>
  <si>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</si>
  <si>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</si>
  <si>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</si>
  <si>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</si>
  <si>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</si>
  <si>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</si>
  <si>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</si>
  <si>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</si>
  <si>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</si>
  <si>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</si>
  <si>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</si>
  <si>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</si>
  <si>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</si>
  <si>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</si>
  <si>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</si>
  <si>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</si>
  <si>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</si>
  <si>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</si>
  <si>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</si>
  <si>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</si>
  <si>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</si>
  <si>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</si>
  <si>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</si>
  <si>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</si>
  <si>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</si>
  <si>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</si>
  <si>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</si>
  <si>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</si>
  <si>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</si>
  <si>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</si>
  <si>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</si>
  <si>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</si>
  <si>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</si>
  <si>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</si>
  <si>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</si>
  <si>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</si>
  <si>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</si>
  <si>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</si>
  <si>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</si>
  <si>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</si>
  <si>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</si>
  <si>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</si>
  <si>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</si>
  <si>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</si>
  <si>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</si>
  <si>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</si>
  <si>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</si>
  <si>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</si>
  <si>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</si>
  <si>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</si>
  <si>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</si>
  <si>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</si>
  <si>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</si>
  <si>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</si>
  <si>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</si>
  <si>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</si>
  <si>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</si>
  <si>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</si>
  <si>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</si>
  <si>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</si>
  <si>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</si>
  <si>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</si>
  <si>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</si>
  <si>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</si>
  <si>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</si>
  <si>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</si>
  <si>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</si>
  <si>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</si>
  <si>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</si>
  <si>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</si>
  <si>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</si>
  <si>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</si>
  <si>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</si>
  <si>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</si>
  <si>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</si>
  <si>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</si>
  <si>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</si>
  <si>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</si>
  <si>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</si>
  <si>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</si>
  <si>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</si>
  <si>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</si>
  <si>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</si>
  <si>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</si>
  <si>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</si>
  <si>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</si>
  <si>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</si>
  <si>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</si>
  <si>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</si>
  <si>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</si>
  <si>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</si>
  <si>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</si>
  <si>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</si>
  <si>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</si>
  <si>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</si>
  <si>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</si>
  <si>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</si>
  <si>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</si>
  <si>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</si>
  <si>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</si>
  <si>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</si>
  <si>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</si>
  <si>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</si>
  <si>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</si>
  <si>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</si>
  <si>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</si>
  <si>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</si>
  <si>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</si>
  <si>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</si>
  <si>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</si>
  <si>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</si>
  <si>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</si>
  <si>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</si>
  <si>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</si>
  <si>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</si>
  <si>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</si>
  <si>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</si>
  <si>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</si>
  <si>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</si>
  <si>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</si>
  <si>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</si>
  <si>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</si>
  <si>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</si>
  <si>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</si>
  <si>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</si>
  <si>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</si>
  <si>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</si>
  <si>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</si>
  <si>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</si>
  <si>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</si>
  <si>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</si>
  <si>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</si>
  <si>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</si>
  <si>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</si>
  <si>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</si>
  <si>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</si>
  <si>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</si>
  <si>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</si>
  <si>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</si>
  <si>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</si>
  <si>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</si>
  <si>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</si>
  <si>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</si>
  <si>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</si>
  <si>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</si>
  <si>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</si>
  <si>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</si>
  <si>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</si>
  <si>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</si>
  <si>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</si>
  <si>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</si>
  <si>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</si>
  <si>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</si>
  <si>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</si>
  <si>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</si>
  <si>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</si>
  <si>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</si>
  <si>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</si>
  <si>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</si>
  <si>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</si>
  <si>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</si>
  <si>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</si>
  <si>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</si>
  <si>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</si>
  <si>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</si>
  <si>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</si>
  <si>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</si>
  <si>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</si>
  <si>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</si>
  <si>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</si>
  <si>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</si>
  <si>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</si>
  <si>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</si>
  <si>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</si>
  <si>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</si>
  <si>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</si>
  <si>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</si>
  <si>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</si>
  <si>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</si>
  <si>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</si>
  <si>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</si>
  <si>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</si>
  <si>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</si>
  <si>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</si>
  <si>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</si>
  <si>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</si>
  <si>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</si>
  <si>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</si>
  <si>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</si>
  <si>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</si>
  <si>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</si>
  <si>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</si>
  <si>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</si>
  <si>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</si>
  <si>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</si>
  <si>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</si>
  <si>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</si>
  <si>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</si>
  <si>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</si>
  <si>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</si>
  <si>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</si>
  <si>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</si>
  <si>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</si>
  <si>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</si>
  <si>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</si>
  <si>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</si>
  <si>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</si>
  <si>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</si>
  <si>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</si>
  <si>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</si>
  <si>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</si>
  <si>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</si>
  <si>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</si>
  <si>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</si>
  <si>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</si>
  <si>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</si>
  <si>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</si>
  <si>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</si>
  <si>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</si>
  <si>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</si>
  <si>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</si>
  <si>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</si>
  <si>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</si>
  <si>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</si>
  <si>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</si>
  <si>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</si>
  <si>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</si>
  <si>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</si>
  <si>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</si>
  <si>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</si>
  <si>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</si>
  <si>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</si>
  <si>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</si>
  <si>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</si>
  <si>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</si>
  <si>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</si>
  <si>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</si>
  <si>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</si>
  <si>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</si>
  <si>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</si>
  <si>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</si>
  <si>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</si>
  <si>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</si>
  <si>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</si>
  <si>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</si>
  <si>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</si>
  <si>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</si>
  <si>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</si>
  <si>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</si>
  <si>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</si>
  <si>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</si>
  <si>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</si>
  <si>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</si>
  <si>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</si>
  <si>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</si>
  <si>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</si>
  <si>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</si>
  <si>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</si>
  <si>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</si>
  <si>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</si>
  <si>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</si>
  <si>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</si>
  <si>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</si>
  <si>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</si>
  <si>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</si>
  <si>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</si>
  <si>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</si>
  <si>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</si>
  <si>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</si>
  <si>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</si>
  <si>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</si>
  <si>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</si>
  <si>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</si>
  <si>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</si>
  <si>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</si>
  <si>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</si>
  <si>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</si>
  <si>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</si>
  <si>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</si>
  <si>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</si>
  <si>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</si>
  <si>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</si>
  <si>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</si>
  <si>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</si>
  <si>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</si>
  <si>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</si>
  <si>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</si>
  <si>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</si>
  <si>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</si>
  <si>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</si>
  <si>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</si>
  <si>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</si>
  <si>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</si>
  <si>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</si>
  <si>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</si>
  <si>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</si>
  <si>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</si>
  <si>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</si>
  <si>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</si>
  <si>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</si>
  <si>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</si>
  <si>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</si>
  <si>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</si>
  <si>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</si>
  <si>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</si>
  <si>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</si>
  <si>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</si>
  <si>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</si>
  <si>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</si>
  <si>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</si>
  <si>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</si>
  <si>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</si>
  <si>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</si>
  <si>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</si>
  <si>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</si>
  <si>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</si>
  <si>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</si>
  <si>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</si>
  <si>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</si>
  <si>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</si>
  <si>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</si>
  <si>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</si>
  <si>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</si>
  <si>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</si>
  <si>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</si>
  <si>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</si>
  <si>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</si>
  <si>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</si>
  <si>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</si>
  <si>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</si>
  <si>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</si>
  <si>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</si>
  <si>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</si>
  <si>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</si>
  <si>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</si>
  <si>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</si>
  <si>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</si>
  <si>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</si>
  <si>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</si>
  <si>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</si>
  <si>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</si>
  <si>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</si>
  <si>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</si>
  <si>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</si>
  <si>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</si>
  <si>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</si>
  <si>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</si>
  <si>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</si>
  <si>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</si>
  <si>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</si>
  <si>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</si>
  <si>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</si>
  <si>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</si>
  <si>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</si>
  <si>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</si>
  <si>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</si>
  <si>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</si>
  <si>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</si>
  <si>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</si>
  <si>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</si>
  <si>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</si>
  <si>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</si>
  <si>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</si>
  <si>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</si>
  <si>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</si>
  <si>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</si>
  <si>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</si>
  <si>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</si>
  <si>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</si>
  <si>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</si>
  <si>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</si>
  <si>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</si>
  <si>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</si>
  <si>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</si>
  <si>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</si>
  <si>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</si>
  <si>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</si>
  <si>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</si>
  <si>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</si>
  <si>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</si>
  <si>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</si>
  <si>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</si>
  <si>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</si>
  <si>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</si>
  <si>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</si>
  <si>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</si>
  <si>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</si>
  <si>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</si>
  <si>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</si>
  <si>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</si>
  <si>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</si>
  <si>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</si>
  <si>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</si>
  <si>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</si>
  <si>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</si>
  <si>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</si>
  <si>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</si>
  <si>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</si>
  <si>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</si>
  <si>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</si>
  <si>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</si>
  <si>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</si>
  <si>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</si>
  <si>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</si>
  <si>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</si>
  <si>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</si>
  <si>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</si>
  <si>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</si>
  <si>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</si>
  <si>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</si>
  <si>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</si>
  <si>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</si>
  <si>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</si>
  <si>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</si>
  <si>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</si>
  <si>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</si>
  <si>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</si>
  <si>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</si>
  <si>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</si>
  <si>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</si>
  <si>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</si>
  <si>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</si>
  <si>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</si>
  <si>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</si>
  <si>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</si>
  <si>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</si>
  <si>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</si>
  <si>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</si>
  <si>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</si>
  <si>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</si>
  <si>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</si>
  <si>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</si>
  <si>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</si>
  <si>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</si>
  <si>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</si>
  <si>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</si>
  <si>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</si>
  <si>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</si>
  <si>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</si>
  <si>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</si>
  <si>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</si>
  <si>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</si>
  <si>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</si>
  <si>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</si>
  <si>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</si>
  <si>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</si>
  <si>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</si>
  <si>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</si>
  <si>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</si>
  <si>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</si>
  <si>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</si>
  <si>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</si>
  <si>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</si>
  <si>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</si>
  <si>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</si>
  <si>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</si>
  <si>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</si>
  <si>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</si>
  <si>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</si>
  <si>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</si>
  <si>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</si>
  <si>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</si>
  <si>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</si>
  <si>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</si>
  <si>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</si>
  <si>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</si>
  <si>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</si>
  <si>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</si>
  <si>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</si>
  <si>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</si>
  <si>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</si>
  <si>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</si>
  <si>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</si>
  <si>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</si>
  <si>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</si>
  <si>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</si>
  <si>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</si>
  <si>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</si>
  <si>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</si>
  <si>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</si>
  <si>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</si>
  <si>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</si>
  <si>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</si>
  <si>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</si>
  <si>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</si>
  <si>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</si>
  <si>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</si>
  <si>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</si>
  <si>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</si>
  <si>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</si>
  <si>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</si>
  <si>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</si>
  <si>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</si>
  <si>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</si>
  <si>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</si>
  <si>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</si>
  <si>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</si>
  <si>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</si>
  <si>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</si>
  <si>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</si>
  <si>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</si>
  <si>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</si>
  <si>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</si>
  <si>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</si>
  <si>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</si>
  <si>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</si>
  <si>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</si>
  <si>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</si>
  <si>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</si>
  <si>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</si>
  <si>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</si>
  <si>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</si>
  <si>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</si>
  <si>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</si>
  <si>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</si>
  <si>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</si>
  <si>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</si>
  <si>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</si>
  <si>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</si>
  <si>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</si>
  <si>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</si>
  <si>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</si>
  <si>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</si>
  <si>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</si>
  <si>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</si>
  <si>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</si>
  <si>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</si>
  <si>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</si>
  <si>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</si>
  <si>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</si>
  <si>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</si>
  <si>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</si>
  <si>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</si>
  <si>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</si>
  <si>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</si>
  <si>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</si>
  <si>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</si>
  <si>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</si>
  <si>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</si>
  <si>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</si>
  <si>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</si>
  <si>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</si>
  <si>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</si>
  <si>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</si>
  <si>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</si>
  <si>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</si>
  <si>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</si>
  <si>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</si>
  <si>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</si>
  <si>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</si>
  <si>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</si>
  <si>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</si>
  <si>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</si>
  <si>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</si>
  <si>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</si>
  <si>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</si>
  <si>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</si>
  <si>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</si>
  <si>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</si>
  <si>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</si>
  <si>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</si>
  <si>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</si>
  <si>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</si>
  <si>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</si>
  <si>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</si>
  <si>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</si>
  <si>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</si>
  <si>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</si>
  <si>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</si>
  <si>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</si>
  <si>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</si>
  <si>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</si>
  <si>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</si>
  <si>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</si>
  <si>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</si>
  <si>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</si>
  <si>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</si>
  <si>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</si>
  <si>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</si>
  <si>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</si>
  <si>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</si>
  <si>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</si>
  <si>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</si>
  <si>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</si>
  <si>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</si>
  <si>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</si>
  <si>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</si>
  <si>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</si>
  <si>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</si>
  <si>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</si>
  <si>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</si>
  <si>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</si>
  <si>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</si>
  <si>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</si>
  <si>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</si>
  <si>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</si>
  <si>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</si>
  <si>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</si>
  <si>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</si>
  <si>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</si>
  <si>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</si>
  <si>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</si>
  <si>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</si>
  <si>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</si>
  <si>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</si>
  <si>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</si>
  <si>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</si>
  <si>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</si>
  <si>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</si>
  <si>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</si>
  <si>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</si>
  <si>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</si>
  <si>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</si>
  <si>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</si>
  <si>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</si>
  <si>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</si>
  <si>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</si>
  <si>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</si>
  <si>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</si>
  <si>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</si>
  <si>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</si>
  <si>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</si>
  <si>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</si>
  <si>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</si>
  <si>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</si>
  <si>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</si>
  <si>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</si>
  <si>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</si>
  <si>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</si>
  <si>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</si>
  <si>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</si>
  <si>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</si>
  <si>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</si>
  <si>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</si>
  <si>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</si>
  <si>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</si>
  <si>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</si>
  <si>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</si>
  <si>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</si>
  <si>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</si>
  <si>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</si>
  <si>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</si>
  <si>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</si>
  <si>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</si>
  <si>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</si>
  <si>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</si>
  <si>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</si>
  <si>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</si>
  <si>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</si>
  <si>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</si>
  <si>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</si>
  <si>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</si>
  <si>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</si>
  <si>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</si>
  <si>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</si>
  <si>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</si>
  <si>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</si>
  <si>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</si>
  <si>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</si>
  <si>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</si>
  <si>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</si>
  <si>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</si>
  <si>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</si>
  <si>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</si>
  <si>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</si>
  <si>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</si>
  <si>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</si>
  <si>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</si>
  <si>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</si>
  <si>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</si>
  <si>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</si>
  <si>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</si>
  <si>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</si>
  <si>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</si>
  <si>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</si>
  <si>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</si>
  <si>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</si>
  <si>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</si>
  <si>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</si>
  <si>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</si>
  <si>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</si>
  <si>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</si>
  <si>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</si>
  <si>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</si>
  <si>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</si>
  <si>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</si>
  <si>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</si>
  <si>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</si>
  <si>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</si>
  <si>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</si>
  <si>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</si>
  <si>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</si>
  <si>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</si>
  <si>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</si>
  <si>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</si>
  <si>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</si>
  <si>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</si>
  <si>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</si>
  <si>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</si>
  <si>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</si>
  <si>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</si>
  <si>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</si>
  <si>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</si>
  <si>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</si>
  <si>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</si>
  <si>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</si>
  <si>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</si>
  <si>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</si>
  <si>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</si>
  <si>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</si>
  <si>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</si>
  <si>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</si>
  <si>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</si>
  <si>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</si>
  <si>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</si>
  <si>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</si>
  <si>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</si>
  <si>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</si>
  <si>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</si>
  <si>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</si>
  <si>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</si>
  <si>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</si>
  <si>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</si>
  <si>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</si>
  <si>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</si>
  <si>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</si>
  <si>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</si>
  <si>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</si>
  <si>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</si>
  <si>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</si>
  <si>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</si>
  <si>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</si>
  <si>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</si>
  <si>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</si>
  <si>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</si>
  <si>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</si>
  <si>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</si>
  <si>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</si>
  <si>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</si>
  <si>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</si>
  <si>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</si>
  <si>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</si>
  <si>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</si>
  <si>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</si>
  <si>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</si>
  <si>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</si>
  <si>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</si>
  <si>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</si>
  <si>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</si>
  <si>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</si>
  <si>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</si>
  <si>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</si>
  <si>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</si>
  <si>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</si>
  <si>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</si>
  <si>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</si>
  <si>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</si>
  <si>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</si>
  <si>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</si>
  <si>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</si>
  <si>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</si>
  <si>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</si>
  <si>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</si>
  <si>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</si>
  <si>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</si>
  <si>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</si>
  <si>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</si>
  <si>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</si>
  <si>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</si>
  <si>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</si>
  <si>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</si>
  <si>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</si>
  <si>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</si>
  <si>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</si>
  <si>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</si>
  <si>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</si>
  <si>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</si>
  <si>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</si>
  <si>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</si>
  <si>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</si>
  <si>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</si>
  <si>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</si>
  <si>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</si>
  <si>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</si>
  <si>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</si>
  <si>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</si>
  <si>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</si>
  <si>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</si>
  <si>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</si>
  <si>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</si>
  <si>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</si>
  <si>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</si>
  <si>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</si>
  <si>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</si>
  <si>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</si>
  <si>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</si>
  <si>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</si>
  <si>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</si>
  <si>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</si>
  <si>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</si>
  <si>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</si>
  <si>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</si>
  <si>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</si>
  <si>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</si>
  <si>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</si>
  <si>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</si>
  <si>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</si>
  <si>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</si>
  <si>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</si>
  <si>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</si>
  <si>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</si>
  <si>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</si>
  <si>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</si>
  <si>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</si>
  <si>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</si>
  <si>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</si>
  <si>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</si>
  <si>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</si>
  <si>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</si>
  <si>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</si>
  <si>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</si>
  <si>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</si>
  <si>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</si>
  <si>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</si>
  <si>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</si>
  <si>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</si>
  <si>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</si>
  <si>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</si>
  <si>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</si>
  <si>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</si>
  <si>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</si>
  <si>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</si>
  <si>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</si>
  <si>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</si>
  <si>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</si>
  <si>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</si>
  <si>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</si>
  <si>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</si>
  <si>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</si>
  <si>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</si>
  <si>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</si>
  <si>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</si>
  <si>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</si>
  <si>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</si>
  <si>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</si>
  <si>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</si>
  <si>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</si>
  <si>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</si>
  <si>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</si>
  <si>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</si>
  <si>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</si>
  <si>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</si>
  <si>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</si>
  <si>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</si>
  <si>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</si>
  <si>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</si>
  <si>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</si>
  <si>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</si>
  <si>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</si>
  <si>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</si>
  <si>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</si>
  <si>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</si>
  <si>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</si>
  <si>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</si>
  <si>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</si>
  <si>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</si>
  <si>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</si>
  <si>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</si>
  <si>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</si>
  <si>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</si>
  <si>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</si>
  <si>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</si>
  <si>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</si>
  <si>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</si>
  <si>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</si>
  <si>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</si>
  <si>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</si>
  <si>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</si>
  <si>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</si>
  <si>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</si>
  <si>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</si>
  <si>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</si>
  <si>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</si>
  <si>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</si>
  <si>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</si>
  <si>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</si>
  <si>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</si>
  <si>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</si>
  <si>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</si>
  <si>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</si>
  <si>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</si>
  <si>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</si>
  <si>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</si>
  <si>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</si>
  <si>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</si>
  <si>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</si>
  <si>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</si>
  <si>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</si>
  <si>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</si>
  <si>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</si>
  <si>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</si>
  <si>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</si>
  <si>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</si>
  <si>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</si>
  <si>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</si>
  <si>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</si>
  <si>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</si>
  <si>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</si>
  <si>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</si>
  <si>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</si>
  <si>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</si>
  <si>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</si>
  <si>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</si>
  <si>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</si>
  <si>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</si>
  <si>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</si>
  <si>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</si>
  <si>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</si>
  <si>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</si>
  <si>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</si>
  <si>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</si>
  <si>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</si>
  <si>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</si>
  <si>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</si>
  <si>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</si>
  <si>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</si>
  <si>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</si>
  <si>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</si>
  <si>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</si>
  <si>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</si>
  <si>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</si>
  <si>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</si>
  <si>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</si>
  <si>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</si>
  <si>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</si>
  <si>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</si>
  <si>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</si>
  <si>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</si>
  <si>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</si>
  <si>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</si>
  <si>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</si>
  <si>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</si>
  <si>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</si>
  <si>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</si>
  <si>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</si>
  <si>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</si>
  <si>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</si>
  <si>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</si>
  <si>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</si>
  <si>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</si>
  <si>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</si>
  <si>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</si>
  <si>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</si>
  <si>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</si>
  <si>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</si>
  <si>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</si>
  <si>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</si>
  <si>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</si>
  <si>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</si>
  <si>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</si>
  <si>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</si>
  <si>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</si>
  <si>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</si>
  <si>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</si>
  <si>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</si>
  <si>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</si>
  <si>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</si>
  <si>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</si>
  <si>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</si>
  <si>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</si>
  <si>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</si>
  <si>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</si>
  <si>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</si>
  <si>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</si>
  <si>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</si>
  <si>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</si>
  <si>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</si>
  <si>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</si>
  <si>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</si>
  <si>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</si>
  <si>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</si>
  <si>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</si>
  <si>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</si>
  <si>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</si>
  <si>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</si>
  <si>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</si>
  <si>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</si>
  <si>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</si>
  <si>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</si>
  <si>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</si>
  <si>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</si>
  <si>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</si>
  <si>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</si>
  <si>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</si>
  <si>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</si>
  <si>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</si>
  <si>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</si>
  <si>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</si>
  <si>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</si>
  <si>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</si>
  <si>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</si>
  <si>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</si>
  <si>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</si>
  <si>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</si>
  <si>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</si>
  <si>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</si>
  <si>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</si>
  <si>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</si>
  <si>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</si>
  <si>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</si>
  <si>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</si>
  <si>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</si>
  <si>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</si>
  <si>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</si>
  <si>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</si>
  <si>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</si>
  <si>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</si>
  <si>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</si>
  <si>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</si>
  <si>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</si>
  <si>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</si>
  <si>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</si>
  <si>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</si>
  <si>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</si>
  <si>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</si>
  <si>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</si>
  <si>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</si>
  <si>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</si>
  <si>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</si>
  <si>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</si>
  <si>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</si>
  <si>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</si>
  <si>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</si>
  <si>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</si>
  <si>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</si>
  <si>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</si>
  <si>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</si>
  <si>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</si>
  <si>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</si>
  <si>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</si>
  <si>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</si>
  <si>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</si>
  <si>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</si>
  <si>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</si>
  <si>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</si>
  <si>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</si>
  <si>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</si>
  <si>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</si>
  <si>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</si>
  <si>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</si>
  <si>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</si>
  <si>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</si>
  <si>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</si>
  <si>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</si>
  <si>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</si>
  <si>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</si>
  <si>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</si>
  <si>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</si>
  <si>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</si>
  <si>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</si>
  <si>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</si>
  <si>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</si>
  <si>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</si>
  <si>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</si>
  <si>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</si>
  <si>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</si>
  <si>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</si>
  <si>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</si>
  <si>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</si>
  <si>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</si>
  <si>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</si>
  <si>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</si>
  <si>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</si>
  <si>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</si>
  <si>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</si>
  <si>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</si>
  <si>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</si>
  <si>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</si>
  <si>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</si>
  <si>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</si>
  <si>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</si>
  <si>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</si>
  <si>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</si>
  <si>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</si>
  <si>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</si>
  <si>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</si>
  <si>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</si>
  <si>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</si>
  <si>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</si>
  <si>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</si>
  <si>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</si>
  <si>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</si>
  <si>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</si>
  <si>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</si>
  <si>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</si>
  <si>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</si>
  <si>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</si>
  <si>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</si>
  <si>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</si>
  <si>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</si>
  <si>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</si>
  <si>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</si>
  <si>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</si>
  <si>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</si>
  <si>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</si>
  <si>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</si>
  <si>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</si>
  <si>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</si>
  <si>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</si>
  <si>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</si>
  <si>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</si>
  <si>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</si>
  <si>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</si>
  <si>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</si>
  <si>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</si>
  <si>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</si>
  <si>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</si>
  <si>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</si>
  <si>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</si>
  <si>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</si>
  <si>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</si>
  <si>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</si>
  <si>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</si>
  <si>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</si>
  <si>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</si>
  <si>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</si>
  <si>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</si>
  <si>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</si>
  <si>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</si>
  <si>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</si>
  <si>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</si>
  <si>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</si>
  <si>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</si>
  <si>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</si>
  <si>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</si>
  <si>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</si>
  <si>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</si>
  <si>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</si>
  <si>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</si>
  <si>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</si>
  <si>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</si>
  <si>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</si>
  <si>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</si>
  <si>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</si>
  <si>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</si>
  <si>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</si>
  <si>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</si>
  <si>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</si>
  <si>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</si>
  <si>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</si>
  <si>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</si>
  <si>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</si>
  <si>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</si>
  <si>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</si>
  <si>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</si>
  <si>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</si>
  <si>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</si>
  <si>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</si>
  <si>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</si>
  <si>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</si>
  <si>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</si>
  <si>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</si>
  <si>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</si>
  <si>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</si>
  <si>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</si>
  <si>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</si>
  <si>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</si>
  <si>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</si>
  <si>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</si>
  <si>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</si>
  <si>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</si>
  <si>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</si>
  <si>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</si>
  <si>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</si>
  <si>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</si>
  <si>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</si>
  <si>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</si>
  <si>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</si>
  <si>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</si>
  <si>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</si>
  <si>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</si>
  <si>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</si>
  <si>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</si>
  <si>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</si>
  <si>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</si>
  <si>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</si>
  <si>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</si>
  <si>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</si>
  <si>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</si>
  <si>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</si>
  <si>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</si>
  <si>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</si>
  <si>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</si>
  <si>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</si>
  <si>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</si>
  <si>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</si>
  <si>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</si>
  <si>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</si>
  <si>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</si>
  <si>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</si>
  <si>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</si>
  <si>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</si>
  <si>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</si>
  <si>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</si>
  <si>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</si>
  <si>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</si>
  <si>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</si>
  <si>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</si>
  <si>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</si>
  <si>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</si>
  <si>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</si>
  <si>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</si>
  <si>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</si>
  <si>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</si>
  <si>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</si>
  <si>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</si>
  <si>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</si>
  <si>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</si>
  <si>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</si>
  <si>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</si>
  <si>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</si>
  <si>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</si>
  <si>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</si>
  <si>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</si>
  <si>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</si>
  <si>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</si>
  <si>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</si>
  <si>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</si>
  <si>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</si>
  <si>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</si>
  <si>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</si>
  <si>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</si>
  <si>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</si>
  <si>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</si>
  <si>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</si>
  <si>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</si>
  <si>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</si>
  <si>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</si>
  <si>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</si>
  <si>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</si>
  <si>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</si>
  <si>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</si>
  <si>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</si>
  <si>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</si>
  <si>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</si>
  <si>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</si>
  <si>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</si>
  <si>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</si>
  <si>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</si>
  <si>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</si>
  <si>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</si>
  <si>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</si>
  <si>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</si>
  <si>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</si>
  <si>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</si>
  <si>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</si>
  <si>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</si>
  <si>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</si>
  <si>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</si>
  <si>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</si>
  <si>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</si>
  <si>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</si>
  <si>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</si>
  <si>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</si>
  <si>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</si>
  <si>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</si>
  <si>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</si>
  <si>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</si>
  <si>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</si>
  <si>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</si>
  <si>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</si>
  <si>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</si>
  <si>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</si>
  <si>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</si>
  <si>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</si>
  <si>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</si>
  <si>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</si>
  <si>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</si>
  <si>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</si>
  <si>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</si>
  <si>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</si>
  <si>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</si>
  <si>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</si>
  <si>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</si>
  <si>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</si>
  <si>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</si>
  <si>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</si>
  <si>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</si>
  <si>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</si>
  <si>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</si>
  <si>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</si>
  <si>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</si>
  <si>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</si>
  <si>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</si>
  <si>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</si>
  <si>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</si>
  <si>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</si>
  <si>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</si>
  <si>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</si>
  <si>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</si>
  <si>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</si>
  <si>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</si>
  <si>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</si>
  <si>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</si>
  <si>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</si>
  <si>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</si>
  <si>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</si>
  <si>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</si>
  <si>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</si>
  <si>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</si>
  <si>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</si>
  <si>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</si>
  <si>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</si>
  <si>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</si>
  <si>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</si>
  <si>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</si>
  <si>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</si>
  <si>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</si>
  <si>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</si>
  <si>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</si>
  <si>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</si>
  <si>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</si>
  <si>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</si>
  <si>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</si>
  <si>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</si>
  <si>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</si>
  <si>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</si>
  <si>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</si>
  <si>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Department of Rehabilitation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</si>
</sst>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0" x14ac:knownFonts="1">
    <font>
      <sz val="11"/>
      <color theme="1"/>
      <name val="Calibri"/>
      <family val="2"/>
      <scheme val="minor"/>
    </font>
    <font>
      <sz val="12"/>
      <color theme="1"/>
      <name val="Arial"/>
      <family val="2"/>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0" fontId="24" fillId="0" borderId="0" applyNumberFormat="0" applyFill="0" applyBorder="0" applyAlignment="0" applyProtection="0"/>
  </cellStyleXfs>
  <cellXfs count="220">
    <xf numFmtId="0" fontId="0" fillId="0" borderId="0" xfId="0"/>
    <xf numFmtId="0" fontId="5" fillId="0" borderId="0" xfId="0" applyFont="1"/>
    <xf numFmtId="165" fontId="7" fillId="2" borderId="2" xfId="2" applyNumberFormat="1" applyFont="1" applyFill="1" applyBorder="1" applyProtection="1">
      <protection locked="0"/>
    </xf>
    <xf numFmtId="42" fontId="13" fillId="2" borderId="0" xfId="0" applyNumberFormat="1" applyFont="1" applyFill="1" applyProtection="1">
      <protection locked="0"/>
    </xf>
    <xf numFmtId="0" fontId="16" fillId="4" borderId="2" xfId="0" applyFont="1" applyFill="1" applyBorder="1" applyAlignment="1">
      <alignment horizontal="center" vertical="center"/>
    </xf>
    <xf numFmtId="0" fontId="17" fillId="0" borderId="12" xfId="0" applyFont="1" applyBorder="1" applyAlignment="1">
      <alignment vertical="center"/>
    </xf>
    <xf numFmtId="49" fontId="0" fillId="0" borderId="0" xfId="0" applyNumberFormat="1"/>
    <xf numFmtId="0" fontId="5" fillId="0" borderId="0" xfId="0" quotePrefix="1" applyFont="1"/>
    <xf numFmtId="0" fontId="18" fillId="0" borderId="12" xfId="0" applyFont="1" applyBorder="1" applyAlignment="1">
      <alignment vertical="center"/>
    </xf>
    <xf numFmtId="49" fontId="5" fillId="0" borderId="0" xfId="0" quotePrefix="1" applyNumberFormat="1" applyFont="1"/>
    <xf numFmtId="166" fontId="22" fillId="2" borderId="2" xfId="1" applyNumberFormat="1" applyFont="1" applyFill="1" applyBorder="1" applyAlignment="1" applyProtection="1">
      <alignment vertical="top"/>
      <protection locked="0"/>
    </xf>
    <xf numFmtId="166" fontId="22" fillId="0" borderId="2" xfId="1" applyNumberFormat="1" applyFont="1" applyBorder="1" applyAlignment="1" applyProtection="1">
      <alignment vertical="top"/>
    </xf>
    <xf numFmtId="166" fontId="22"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166" fontId="2" fillId="0" borderId="2" xfId="1" applyNumberFormat="1" applyBorder="1" applyProtection="1"/>
    <xf numFmtId="44" fontId="7" fillId="2" borderId="1" xfId="2" applyFont="1" applyFill="1" applyBorder="1" applyAlignment="1" applyProtection="1">
      <alignment horizontal="left" vertical="top"/>
      <protection locked="0"/>
    </xf>
    <xf numFmtId="44" fontId="7" fillId="2" borderId="0" xfId="2" applyFont="1" applyFill="1" applyAlignment="1" applyProtection="1">
      <alignment horizontal="left" vertical="top"/>
      <protection locked="0"/>
    </xf>
    <xf numFmtId="0" fontId="7" fillId="2" borderId="0" xfId="0" applyFont="1" applyFill="1" applyProtection="1">
      <protection locked="0"/>
    </xf>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165" fontId="4" fillId="0" borderId="0" xfId="0" applyNumberFormat="1" applyFont="1" applyAlignment="1" applyProtection="1">
      <alignment horizontal="left"/>
      <protection hidden="1"/>
    </xf>
    <xf numFmtId="166" fontId="22" fillId="0" borderId="0" xfId="1" applyNumberFormat="1" applyFont="1" applyAlignment="1" applyProtection="1">
      <alignment horizontal="center" vertical="top"/>
    </xf>
    <xf numFmtId="166" fontId="22" fillId="0" borderId="0" xfId="1" quotePrefix="1" applyNumberFormat="1" applyFont="1" applyAlignment="1" applyProtection="1">
      <alignment horizontal="center" vertical="top"/>
    </xf>
    <xf numFmtId="43" fontId="22" fillId="0" borderId="0" xfId="1" quotePrefix="1" applyFont="1" applyAlignment="1" applyProtection="1">
      <alignment horizontal="center" vertical="top"/>
    </xf>
    <xf numFmtId="43" fontId="22" fillId="0" borderId="0" xfId="1" applyFont="1" applyAlignment="1" applyProtection="1">
      <alignment horizontal="center" vertical="top"/>
    </xf>
    <xf numFmtId="166" fontId="44" fillId="0" borderId="0" xfId="1" quotePrefix="1" applyNumberFormat="1" applyFont="1" applyAlignment="1" applyProtection="1">
      <alignment horizontal="center" vertical="top"/>
    </xf>
    <xf numFmtId="0" fontId="3" fillId="0" borderId="0" xfId="0" applyFont="1" applyAlignment="1" applyProtection="1">
      <alignment vertical="top" wrapText="1"/>
      <protection hidden="1"/>
    </xf>
    <xf numFmtId="0" fontId="5" fillId="0" borderId="0" xfId="0" applyFont="1" applyAlignment="1" applyProtection="1">
      <alignment vertical="top"/>
      <protection hidden="1"/>
    </xf>
    <xf numFmtId="0" fontId="6" fillId="0" borderId="0" xfId="0" applyFont="1" applyAlignment="1" applyProtection="1">
      <alignment vertical="center" wrapText="1"/>
      <protection hidden="1"/>
    </xf>
    <xf numFmtId="0" fontId="3" fillId="0" borderId="0" xfId="0" applyFont="1" applyAlignment="1" applyProtection="1">
      <alignment horizontal="left" vertical="top"/>
      <protection hidden="1"/>
    </xf>
    <xf numFmtId="49" fontId="5" fillId="0" borderId="0" xfId="0" applyNumberFormat="1" applyFont="1" applyAlignment="1" applyProtection="1">
      <alignment vertical="top"/>
      <protection hidden="1"/>
    </xf>
    <xf numFmtId="0" fontId="7" fillId="0" borderId="0" xfId="0" applyFont="1" applyAlignment="1" applyProtection="1">
      <alignment horizontal="left" vertical="top"/>
      <protection hidden="1"/>
    </xf>
    <xf numFmtId="0" fontId="7" fillId="0" borderId="0" xfId="0" quotePrefix="1" applyFont="1" applyAlignment="1" applyProtection="1">
      <alignment horizontal="left" vertical="top"/>
      <protection hidden="1"/>
    </xf>
    <xf numFmtId="164" fontId="7" fillId="0" borderId="0" xfId="0" quotePrefix="1" applyNumberFormat="1" applyFont="1" applyAlignment="1" applyProtection="1">
      <alignment horizontal="left" vertical="top"/>
      <protection hidden="1"/>
    </xf>
    <xf numFmtId="164" fontId="7" fillId="0" borderId="0" xfId="0" quotePrefix="1" applyNumberFormat="1" applyFont="1" applyAlignment="1" applyProtection="1">
      <alignment vertical="top"/>
      <protection hidden="1"/>
    </xf>
    <xf numFmtId="0" fontId="33" fillId="7" borderId="0" xfId="0" applyFont="1" applyFill="1" applyAlignment="1" applyProtection="1">
      <alignment horizontal="left"/>
      <protection hidden="1"/>
    </xf>
    <xf numFmtId="0" fontId="7" fillId="0" borderId="0" xfId="0" applyFont="1" applyAlignment="1" applyProtection="1">
      <alignment horizontal="center"/>
      <protection hidden="1"/>
    </xf>
    <xf numFmtId="0" fontId="7" fillId="0" borderId="0" xfId="0" applyFont="1" applyAlignment="1" applyProtection="1">
      <alignment vertical="top"/>
      <protection hidden="1"/>
    </xf>
    <xf numFmtId="0" fontId="7" fillId="0" borderId="15" xfId="0" applyFont="1" applyBorder="1" applyAlignment="1" applyProtection="1">
      <alignment horizontal="center" vertical="top" wrapText="1"/>
      <protection hidden="1"/>
    </xf>
    <xf numFmtId="0" fontId="39" fillId="0" borderId="0" xfId="0" applyFont="1" applyAlignment="1" applyProtection="1">
      <alignment vertical="top"/>
      <protection hidden="1"/>
    </xf>
    <xf numFmtId="0" fontId="39" fillId="0" borderId="2" xfId="0" applyFont="1" applyBorder="1" applyAlignment="1" applyProtection="1">
      <alignment horizontal="center" vertical="top"/>
      <protection hidden="1"/>
    </xf>
    <xf numFmtId="166" fontId="4" fillId="7" borderId="0" xfId="1" applyNumberFormat="1" applyFont="1" applyFill="1" applyProtection="1">
      <protection hidden="1"/>
    </xf>
    <xf numFmtId="44" fontId="5" fillId="0" borderId="0" xfId="2" applyFont="1" applyProtection="1">
      <protection hidden="1"/>
    </xf>
    <xf numFmtId="38" fontId="5" fillId="0" borderId="0" xfId="0" applyNumberFormat="1" applyFont="1" applyAlignment="1" applyProtection="1">
      <alignment vertical="top"/>
      <protection hidden="1"/>
    </xf>
    <xf numFmtId="0" fontId="29" fillId="0" borderId="0" xfId="0" applyFont="1" applyAlignment="1" applyProtection="1">
      <alignment vertical="top"/>
      <protection hidden="1"/>
    </xf>
    <xf numFmtId="0" fontId="7" fillId="0" borderId="0" xfId="0" applyFont="1" applyAlignment="1" applyProtection="1">
      <alignment vertical="top" wrapText="1"/>
      <protection hidden="1"/>
    </xf>
    <xf numFmtId="165" fontId="5" fillId="7" borderId="0" xfId="1" applyNumberFormat="1" applyFont="1" applyFill="1" applyAlignment="1" applyProtection="1">
      <alignment vertical="top"/>
      <protection hidden="1"/>
    </xf>
    <xf numFmtId="0" fontId="45" fillId="0" borderId="0" xfId="0" applyFont="1" applyAlignment="1" applyProtection="1">
      <alignment vertical="top"/>
      <protection hidden="1"/>
    </xf>
    <xf numFmtId="165" fontId="5" fillId="0" borderId="0" xfId="0" applyNumberFormat="1" applyFont="1" applyAlignment="1" applyProtection="1">
      <alignment vertical="top"/>
      <protection hidden="1"/>
    </xf>
    <xf numFmtId="165" fontId="3" fillId="0" borderId="0" xfId="0" applyNumberFormat="1" applyFont="1" applyProtection="1">
      <protection hidden="1"/>
    </xf>
    <xf numFmtId="165" fontId="32" fillId="0" borderId="0" xfId="0" applyNumberFormat="1" applyFont="1" applyProtection="1">
      <protection hidden="1"/>
    </xf>
    <xf numFmtId="165" fontId="7" fillId="0" borderId="0" xfId="2" applyNumberFormat="1" applyFont="1" applyFill="1" applyProtection="1">
      <protection hidden="1"/>
    </xf>
    <xf numFmtId="166" fontId="5" fillId="0" borderId="0" xfId="0" applyNumberFormat="1" applyFont="1" applyAlignment="1" applyProtection="1">
      <alignment vertical="top"/>
      <protection hidden="1"/>
    </xf>
    <xf numFmtId="165" fontId="29" fillId="0" borderId="0" xfId="0" applyNumberFormat="1" applyFont="1" applyProtection="1">
      <protection hidden="1"/>
    </xf>
    <xf numFmtId="44" fontId="11" fillId="0" borderId="0" xfId="2" applyFont="1" applyProtection="1">
      <protection hidden="1"/>
    </xf>
    <xf numFmtId="0" fontId="5" fillId="0" borderId="0" xfId="0" applyFont="1" applyProtection="1">
      <protection hidden="1"/>
    </xf>
    <xf numFmtId="165" fontId="36" fillId="0" borderId="0" xfId="0" applyNumberFormat="1" applyFont="1" applyAlignment="1" applyProtection="1">
      <alignment horizontal="left"/>
      <protection hidden="1"/>
    </xf>
    <xf numFmtId="165" fontId="43" fillId="0" borderId="0" xfId="0" applyNumberFormat="1" applyFont="1" applyAlignment="1" applyProtection="1">
      <alignment horizontal="left"/>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165" fontId="33" fillId="7" borderId="0" xfId="0" applyNumberFormat="1" applyFont="1" applyFill="1" applyProtection="1">
      <protection hidden="1"/>
    </xf>
    <xf numFmtId="165" fontId="34" fillId="7" borderId="0" xfId="0" applyNumberFormat="1" applyFont="1" applyFill="1" applyProtection="1">
      <protection hidden="1"/>
    </xf>
    <xf numFmtId="165" fontId="34" fillId="7" borderId="0" xfId="2" applyNumberFormat="1" applyFont="1" applyFill="1" applyProtection="1">
      <protection hidden="1"/>
    </xf>
    <xf numFmtId="165" fontId="34" fillId="7" borderId="0" xfId="0" applyNumberFormat="1" applyFont="1" applyFill="1" applyAlignment="1" applyProtection="1">
      <alignment horizontal="left"/>
      <protection hidden="1"/>
    </xf>
    <xf numFmtId="0" fontId="7" fillId="0" borderId="0" xfId="0" applyFont="1" applyAlignment="1" applyProtection="1">
      <alignment horizontal="center" vertical="top" wrapText="1"/>
      <protection hidden="1"/>
    </xf>
    <xf numFmtId="165" fontId="29" fillId="0" borderId="0" xfId="0" applyNumberFormat="1" applyFont="1" applyAlignment="1" applyProtection="1">
      <alignment horizontal="left"/>
      <protection hidden="1"/>
    </xf>
    <xf numFmtId="165" fontId="35" fillId="0" borderId="0" xfId="0" applyNumberFormat="1" applyFont="1" applyProtection="1">
      <protection hidden="1"/>
    </xf>
    <xf numFmtId="165" fontId="5" fillId="0" borderId="0" xfId="2" applyNumberFormat="1" applyFont="1" applyFill="1" applyProtection="1">
      <protection hidden="1"/>
    </xf>
    <xf numFmtId="0" fontId="4" fillId="0" borderId="0" xfId="0" applyFont="1" applyAlignment="1" applyProtection="1">
      <alignment vertical="top"/>
      <protection hidden="1"/>
    </xf>
    <xf numFmtId="165" fontId="32" fillId="0" borderId="0" xfId="0" applyNumberFormat="1" applyFont="1" applyAlignment="1" applyProtection="1">
      <alignment vertical="top" wrapText="1"/>
      <protection hidden="1"/>
    </xf>
    <xf numFmtId="165" fontId="29" fillId="0" borderId="0" xfId="0" applyNumberFormat="1" applyFont="1" applyAlignment="1" applyProtection="1">
      <alignment wrapText="1"/>
      <protection hidden="1"/>
    </xf>
    <xf numFmtId="165" fontId="11" fillId="7" borderId="0" xfId="0" applyNumberFormat="1" applyFont="1" applyFill="1" applyProtection="1">
      <protection hidden="1"/>
    </xf>
    <xf numFmtId="165" fontId="31" fillId="7" borderId="0" xfId="0" applyNumberFormat="1" applyFont="1" applyFill="1" applyProtection="1">
      <protection hidden="1"/>
    </xf>
    <xf numFmtId="165" fontId="31" fillId="7" borderId="0" xfId="2" applyNumberFormat="1" applyFont="1" applyFill="1" applyProtection="1">
      <protection hidden="1"/>
    </xf>
    <xf numFmtId="165" fontId="31" fillId="7" borderId="0" xfId="0" applyNumberFormat="1" applyFont="1" applyFill="1" applyAlignment="1" applyProtection="1">
      <alignment horizontal="left"/>
      <protection hidden="1"/>
    </xf>
    <xf numFmtId="0" fontId="35" fillId="0" borderId="0" xfId="0" applyFont="1" applyAlignment="1" applyProtection="1">
      <alignment horizontal="left"/>
      <protection hidden="1"/>
    </xf>
    <xf numFmtId="165" fontId="31" fillId="0" borderId="0" xfId="2" applyNumberFormat="1" applyFont="1" applyFill="1" applyProtection="1">
      <protection hidden="1"/>
    </xf>
    <xf numFmtId="165" fontId="5" fillId="0" borderId="0" xfId="2" applyNumberFormat="1" applyFont="1" applyProtection="1">
      <protection hidden="1"/>
    </xf>
    <xf numFmtId="165" fontId="7" fillId="0" borderId="0" xfId="2" applyNumberFormat="1" applyFont="1" applyProtection="1">
      <protection hidden="1"/>
    </xf>
    <xf numFmtId="165" fontId="32" fillId="0" borderId="0" xfId="0" applyNumberFormat="1" applyFont="1" applyAlignment="1" applyProtection="1">
      <alignment horizontal="left"/>
      <protection hidden="1"/>
    </xf>
    <xf numFmtId="165" fontId="5" fillId="0" borderId="0" xfId="0" applyNumberFormat="1" applyFont="1" applyProtection="1">
      <protection hidden="1"/>
    </xf>
    <xf numFmtId="165" fontId="10" fillId="0" borderId="0" xfId="0" applyNumberFormat="1" applyFont="1" applyProtection="1">
      <protection hidden="1"/>
    </xf>
    <xf numFmtId="165" fontId="10" fillId="0" borderId="0" xfId="2" applyNumberFormat="1" applyFont="1" applyProtection="1">
      <protection hidden="1"/>
    </xf>
    <xf numFmtId="165" fontId="10" fillId="0" borderId="0" xfId="0" applyNumberFormat="1" applyFont="1" applyAlignment="1" applyProtection="1">
      <alignment horizontal="left"/>
      <protection hidden="1"/>
    </xf>
    <xf numFmtId="44" fontId="7" fillId="0" borderId="0" xfId="2" applyFont="1" applyProtection="1">
      <protection hidden="1"/>
    </xf>
    <xf numFmtId="165" fontId="7" fillId="0" borderId="0" xfId="2" applyNumberFormat="1" applyFont="1" applyAlignment="1" applyProtection="1">
      <alignment vertical="top"/>
      <protection hidden="1"/>
    </xf>
    <xf numFmtId="165" fontId="5" fillId="0" borderId="0" xfId="1" applyNumberFormat="1" applyFont="1" applyProtection="1">
      <protection hidden="1"/>
    </xf>
    <xf numFmtId="165" fontId="4" fillId="0" borderId="0" xfId="0" applyNumberFormat="1" applyFont="1" applyProtection="1">
      <protection hidden="1"/>
    </xf>
    <xf numFmtId="165" fontId="5" fillId="0" borderId="0" xfId="1" applyNumberFormat="1" applyFont="1" applyAlignment="1" applyProtection="1">
      <alignment vertical="top"/>
      <protection hidden="1"/>
    </xf>
    <xf numFmtId="0" fontId="33" fillId="7" borderId="0" xfId="0" applyFont="1" applyFill="1" applyAlignment="1" applyProtection="1">
      <alignment horizontal="left" vertical="center"/>
      <protection hidden="1"/>
    </xf>
    <xf numFmtId="165" fontId="33" fillId="7" borderId="0" xfId="0" applyNumberFormat="1" applyFont="1" applyFill="1" applyAlignment="1" applyProtection="1">
      <alignment vertical="center"/>
      <protection hidden="1"/>
    </xf>
    <xf numFmtId="165" fontId="34" fillId="7" borderId="0" xfId="0" applyNumberFormat="1" applyFont="1" applyFill="1" applyAlignment="1" applyProtection="1">
      <alignment vertical="center"/>
      <protection hidden="1"/>
    </xf>
    <xf numFmtId="165" fontId="34" fillId="7" borderId="0" xfId="2" applyNumberFormat="1" applyFont="1" applyFill="1" applyAlignment="1" applyProtection="1">
      <alignment vertical="center"/>
      <protection hidden="1"/>
    </xf>
    <xf numFmtId="165" fontId="34" fillId="7" borderId="0" xfId="0" applyNumberFormat="1" applyFont="1" applyFill="1" applyAlignment="1" applyProtection="1">
      <alignment horizontal="left" vertical="center"/>
      <protection hidden="1"/>
    </xf>
    <xf numFmtId="0" fontId="33" fillId="0" borderId="16" xfId="0" applyFont="1" applyBorder="1" applyAlignment="1" applyProtection="1">
      <alignment horizontal="left"/>
      <protection hidden="1"/>
    </xf>
    <xf numFmtId="165" fontId="33" fillId="0" borderId="18" xfId="0" applyNumberFormat="1" applyFont="1" applyBorder="1" applyProtection="1">
      <protection hidden="1"/>
    </xf>
    <xf numFmtId="165" fontId="34" fillId="0" borderId="18" xfId="0" applyNumberFormat="1" applyFont="1" applyBorder="1" applyProtection="1">
      <protection hidden="1"/>
    </xf>
    <xf numFmtId="165" fontId="34" fillId="0" borderId="18" xfId="2" applyNumberFormat="1" applyFont="1" applyFill="1" applyBorder="1" applyProtection="1">
      <protection hidden="1"/>
    </xf>
    <xf numFmtId="165" fontId="34" fillId="0" borderId="17" xfId="2" applyNumberFormat="1" applyFont="1" applyFill="1" applyBorder="1" applyProtection="1">
      <protection hidden="1"/>
    </xf>
    <xf numFmtId="0" fontId="0" fillId="0" borderId="0" xfId="0" applyProtection="1">
      <protection hidden="1"/>
    </xf>
    <xf numFmtId="0" fontId="8" fillId="0" borderId="0" xfId="0" applyFont="1" applyAlignment="1" applyProtection="1">
      <alignment horizontal="center" vertical="top"/>
      <protection hidden="1"/>
    </xf>
    <xf numFmtId="43" fontId="5" fillId="0" borderId="0" xfId="0" applyNumberFormat="1" applyFont="1" applyAlignment="1" applyProtection="1">
      <alignment vertical="top"/>
      <protection hidden="1"/>
    </xf>
    <xf numFmtId="166" fontId="5" fillId="7" borderId="0" xfId="0" applyNumberFormat="1" applyFont="1" applyFill="1" applyAlignment="1" applyProtection="1">
      <alignment vertical="top"/>
      <protection hidden="1"/>
    </xf>
    <xf numFmtId="44" fontId="5" fillId="0" borderId="0" xfId="0" applyNumberFormat="1" applyFont="1" applyAlignment="1" applyProtection="1">
      <alignment vertical="top"/>
      <protection hidden="1"/>
    </xf>
    <xf numFmtId="165" fontId="5" fillId="2" borderId="0" xfId="2" applyNumberFormat="1" applyFont="1" applyFill="1" applyProtection="1">
      <protection locked="0" hidden="1"/>
    </xf>
    <xf numFmtId="165" fontId="5" fillId="2" borderId="0" xfId="2" applyNumberFormat="1" applyFont="1" applyFill="1" applyAlignment="1" applyProtection="1">
      <protection locked="0" hidden="1"/>
    </xf>
    <xf numFmtId="165" fontId="5" fillId="2" borderId="0" xfId="0" applyNumberFormat="1" applyFont="1" applyFill="1" applyProtection="1">
      <protection locked="0" hidden="1"/>
    </xf>
    <xf numFmtId="165" fontId="4" fillId="2" borderId="0" xfId="2" applyNumberFormat="1" applyFont="1" applyFill="1" applyProtection="1">
      <protection locked="0" hidden="1"/>
    </xf>
    <xf numFmtId="0" fontId="3" fillId="0" borderId="0" xfId="0" applyFont="1" applyAlignment="1">
      <alignment vertical="top" wrapText="1"/>
    </xf>
    <xf numFmtId="0" fontId="3" fillId="0" borderId="0" xfId="0" applyFont="1" applyAlignment="1">
      <alignment horizontal="center"/>
    </xf>
    <xf numFmtId="0" fontId="7" fillId="0" borderId="0" xfId="0" applyFont="1" applyAlignment="1">
      <alignment horizontal="left" vertical="top" wrapText="1"/>
    </xf>
    <xf numFmtId="0" fontId="9"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2" xfId="0" applyFont="1" applyBorder="1"/>
    <xf numFmtId="0" fontId="8" fillId="0" borderId="0" xfId="0" applyFont="1" applyAlignment="1">
      <alignment horizontal="left"/>
    </xf>
    <xf numFmtId="0" fontId="5" fillId="0" borderId="0" xfId="0" applyFont="1" applyAlignment="1">
      <alignment horizontal="left" vertical="top" wrapText="1"/>
    </xf>
    <xf numFmtId="0" fontId="7" fillId="0" borderId="0" xfId="0" applyFont="1" applyAlignment="1">
      <alignment horizontal="left"/>
    </xf>
    <xf numFmtId="0" fontId="8" fillId="0" borderId="0" xfId="0" applyFont="1" applyAlignment="1">
      <alignment horizontal="left" vertical="top"/>
    </xf>
    <xf numFmtId="0" fontId="5" fillId="0" borderId="0" xfId="0" applyFont="1" applyAlignment="1">
      <alignment horizontal="left" vertical="top"/>
    </xf>
    <xf numFmtId="0" fontId="8" fillId="0" borderId="0" xfId="0" applyFont="1" applyAlignment="1">
      <alignment horizontal="left" vertical="top" wrapText="1"/>
    </xf>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5" fillId="3" borderId="0" xfId="0" applyFont="1" applyFill="1" applyAlignment="1">
      <alignment horizontal="left"/>
    </xf>
    <xf numFmtId="42" fontId="13" fillId="3" borderId="0" xfId="0" applyNumberFormat="1" applyFont="1" applyFill="1"/>
    <xf numFmtId="42" fontId="13" fillId="3" borderId="9" xfId="0" applyNumberFormat="1" applyFont="1" applyFill="1" applyBorder="1"/>
    <xf numFmtId="0" fontId="13" fillId="3" borderId="0" xfId="0" quotePrefix="1" applyFont="1" applyFill="1"/>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0" fontId="21" fillId="0" borderId="0" xfId="3" applyFont="1"/>
    <xf numFmtId="0" fontId="21" fillId="0" borderId="0" xfId="3" applyFont="1" applyAlignment="1">
      <alignment horizontal="center"/>
    </xf>
    <xf numFmtId="0" fontId="2" fillId="0" borderId="0" xfId="3"/>
    <xf numFmtId="0" fontId="22" fillId="0" borderId="0" xfId="3" applyFont="1" applyAlignment="1">
      <alignment horizontal="left" vertical="top" wrapText="1"/>
    </xf>
    <xf numFmtId="0" fontId="22" fillId="0" borderId="0" xfId="3" applyFont="1" applyAlignment="1">
      <alignment horizontal="center" vertical="top" wrapText="1"/>
    </xf>
    <xf numFmtId="0" fontId="23" fillId="0" borderId="13" xfId="3" applyFont="1" applyBorder="1" applyAlignment="1">
      <alignment horizontal="center" vertical="top" wrapText="1"/>
    </xf>
    <xf numFmtId="0" fontId="23" fillId="0" borderId="0" xfId="3" applyFont="1" applyAlignment="1">
      <alignment horizontal="center" vertical="top" wrapText="1"/>
    </xf>
    <xf numFmtId="0" fontId="23" fillId="0" borderId="0" xfId="3" applyFont="1" applyAlignment="1">
      <alignment vertical="top" wrapText="1"/>
    </xf>
    <xf numFmtId="0" fontId="23" fillId="0" borderId="0" xfId="3" applyFont="1" applyAlignment="1">
      <alignment horizontal="center" vertical="top"/>
    </xf>
    <xf numFmtId="0" fontId="25" fillId="0" borderId="0" xfId="3" applyFont="1" applyAlignment="1">
      <alignment horizontal="center" vertical="top" wrapText="1"/>
    </xf>
    <xf numFmtId="0" fontId="25" fillId="0" borderId="0" xfId="3" quotePrefix="1" applyFont="1" applyAlignment="1">
      <alignment horizontal="center" vertical="top" wrapText="1"/>
    </xf>
    <xf numFmtId="0" fontId="26" fillId="0" borderId="0" xfId="3" quotePrefix="1" applyFont="1" applyAlignment="1">
      <alignment horizontal="center" vertical="top" wrapText="1"/>
    </xf>
    <xf numFmtId="0" fontId="26" fillId="0" borderId="0" xfId="3" applyFont="1" applyAlignment="1">
      <alignment horizontal="center" vertical="top" wrapText="1"/>
    </xf>
    <xf numFmtId="0" fontId="30" fillId="0" borderId="0" xfId="3" applyFont="1" applyAlignment="1">
      <alignment horizontal="center" vertical="top" wrapText="1"/>
    </xf>
    <xf numFmtId="0" fontId="22" fillId="0" borderId="0" xfId="3" applyFont="1" applyAlignment="1">
      <alignment vertical="top"/>
    </xf>
    <xf numFmtId="0" fontId="22" fillId="0" borderId="0" xfId="3" applyFont="1" applyAlignment="1">
      <alignment horizontal="center" vertical="top"/>
    </xf>
    <xf numFmtId="0" fontId="28" fillId="0" borderId="0" xfId="3" applyFont="1" applyAlignment="1">
      <alignment vertical="top"/>
    </xf>
    <xf numFmtId="0" fontId="22" fillId="0" borderId="0" xfId="3" applyFont="1" applyAlignment="1">
      <alignment vertical="top" wrapText="1"/>
    </xf>
    <xf numFmtId="0" fontId="23" fillId="0" borderId="0" xfId="3" applyFont="1" applyAlignment="1">
      <alignment vertical="top"/>
    </xf>
    <xf numFmtId="0" fontId="23" fillId="0" borderId="1" xfId="3" applyFont="1" applyBorder="1" applyAlignment="1">
      <alignment vertical="top"/>
    </xf>
    <xf numFmtId="0" fontId="23" fillId="0" borderId="0" xfId="3" applyFont="1" applyAlignment="1">
      <alignment horizontal="left" vertical="top" wrapText="1"/>
    </xf>
    <xf numFmtId="0" fontId="25" fillId="0" borderId="0" xfId="3" applyFont="1" applyAlignment="1">
      <alignment horizontal="left" vertical="top" wrapText="1"/>
    </xf>
    <xf numFmtId="0" fontId="2" fillId="0" borderId="0" xfId="3" applyAlignment="1">
      <alignment horizontal="center"/>
    </xf>
    <xf numFmtId="0" fontId="30" fillId="0" borderId="0" xfId="3" applyFont="1"/>
    <xf numFmtId="0" fontId="44" fillId="0" borderId="0" xfId="3" applyFont="1" applyAlignment="1">
      <alignment horizontal="center"/>
    </xf>
    <xf numFmtId="0" fontId="25" fillId="0" borderId="0" xfId="3" applyFont="1" applyAlignment="1">
      <alignment vertical="top"/>
    </xf>
    <xf numFmtId="0" fontId="19" fillId="0" borderId="0" xfId="3" applyFont="1"/>
    <xf numFmtId="0" fontId="19" fillId="6" borderId="0" xfId="3" applyFont="1" applyFill="1"/>
    <xf numFmtId="0" fontId="2" fillId="6" borderId="0" xfId="3" applyFill="1"/>
    <xf numFmtId="0" fontId="2" fillId="6" borderId="0" xfId="3" applyFill="1" applyAlignment="1">
      <alignment horizontal="center"/>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3" borderId="0" xfId="0" applyFont="1" applyFill="1"/>
    <xf numFmtId="165" fontId="36" fillId="0" borderId="0" xfId="0" applyNumberFormat="1" applyFont="1" applyAlignment="1" applyProtection="1">
      <alignment horizontal="left"/>
      <protection hidden="1"/>
    </xf>
    <xf numFmtId="165" fontId="40" fillId="0" borderId="0" xfId="0" applyNumberFormat="1" applyFont="1" applyAlignment="1" applyProtection="1">
      <alignment horizontal="left" wrapText="1"/>
      <protection hidden="1"/>
    </xf>
    <xf numFmtId="165" fontId="35" fillId="0" borderId="14" xfId="0" applyNumberFormat="1" applyFont="1" applyBorder="1" applyAlignment="1" applyProtection="1">
      <alignment horizontal="left"/>
      <protection hidden="1"/>
    </xf>
    <xf numFmtId="165" fontId="35" fillId="0" borderId="0" xfId="0" applyNumberFormat="1" applyFont="1" applyAlignment="1" applyProtection="1">
      <alignment horizontal="left"/>
      <protection hidden="1"/>
    </xf>
    <xf numFmtId="0" fontId="35" fillId="0" borderId="14" xfId="0" applyFont="1" applyBorder="1" applyAlignment="1" applyProtection="1">
      <alignment horizontal="left"/>
      <protection hidden="1"/>
    </xf>
    <xf numFmtId="0" fontId="35" fillId="0" borderId="0" xfId="0" applyFont="1" applyAlignment="1" applyProtection="1">
      <alignment horizontal="left"/>
      <protection hidden="1"/>
    </xf>
    <xf numFmtId="165" fontId="4" fillId="0" borderId="0" xfId="0" applyNumberFormat="1" applyFont="1" applyAlignment="1" applyProtection="1">
      <alignment horizontal="left"/>
      <protection hidden="1"/>
    </xf>
    <xf numFmtId="165" fontId="35" fillId="0" borderId="14" xfId="0" applyNumberFormat="1" applyFont="1" applyBorder="1" applyProtection="1">
      <protection hidden="1"/>
    </xf>
    <xf numFmtId="165" fontId="35" fillId="0" borderId="0" xfId="0" applyNumberFormat="1" applyFont="1" applyProtection="1">
      <protection hidden="1"/>
    </xf>
    <xf numFmtId="0" fontId="3" fillId="0" borderId="0" xfId="0" applyFont="1" applyAlignment="1" applyProtection="1">
      <alignment horizontal="left" vertical="top"/>
      <protection hidden="1"/>
    </xf>
    <xf numFmtId="164" fontId="7" fillId="0" borderId="0" xfId="0" quotePrefix="1" applyNumberFormat="1" applyFont="1" applyAlignment="1" applyProtection="1">
      <alignment horizontal="left" vertical="top"/>
      <protection hidden="1"/>
    </xf>
    <xf numFmtId="164" fontId="7" fillId="2" borderId="0" xfId="0" quotePrefix="1" applyNumberFormat="1" applyFont="1" applyFill="1" applyAlignment="1" applyProtection="1">
      <alignment horizontal="left" vertical="top"/>
      <protection locked="0" hidden="1"/>
    </xf>
    <xf numFmtId="0" fontId="33" fillId="7" borderId="0" xfId="0" applyFont="1" applyFill="1" applyAlignment="1" applyProtection="1">
      <alignment horizontal="left"/>
      <protection hidden="1"/>
    </xf>
    <xf numFmtId="0" fontId="7" fillId="2" borderId="0" xfId="0" applyFont="1" applyFill="1" applyAlignment="1" applyProtection="1">
      <alignment horizontal="left" vertical="top"/>
      <protection locked="0" hidden="1"/>
    </xf>
    <xf numFmtId="0" fontId="37" fillId="0" borderId="0" xfId="0" applyFont="1" applyAlignment="1" applyProtection="1">
      <alignment horizontal="center" vertical="top" wrapText="1"/>
      <protection hidden="1"/>
    </xf>
    <xf numFmtId="0" fontId="39" fillId="0" borderId="0" xfId="0" applyFont="1" applyAlignment="1" applyProtection="1">
      <alignment horizontal="left" vertical="center" wrapText="1"/>
      <protection hidden="1"/>
    </xf>
    <xf numFmtId="49" fontId="7" fillId="2" borderId="0" xfId="1" applyNumberFormat="1" applyFont="1" applyFill="1" applyBorder="1" applyAlignment="1" applyProtection="1">
      <alignment horizontal="left"/>
      <protection locked="0" hidden="1"/>
    </xf>
    <xf numFmtId="0" fontId="7" fillId="0" borderId="0" xfId="0" applyFont="1" applyAlignment="1" applyProtection="1">
      <alignment horizontal="left" vertical="top"/>
      <protection hidden="1"/>
    </xf>
    <xf numFmtId="0" fontId="39" fillId="0" borderId="16" xfId="0" applyFont="1" applyBorder="1" applyAlignment="1" applyProtection="1">
      <alignment horizontal="center" vertical="top"/>
      <protection hidden="1"/>
    </xf>
    <xf numFmtId="0" fontId="39" fillId="0" borderId="17" xfId="0" applyFont="1" applyBorder="1" applyAlignment="1" applyProtection="1">
      <alignment horizontal="center" vertical="top"/>
      <protection hidden="1"/>
    </xf>
    <xf numFmtId="0" fontId="12" fillId="0" borderId="0" xfId="0" applyFont="1" applyAlignment="1">
      <alignment horizontal="center" wrapText="1"/>
    </xf>
    <xf numFmtId="0" fontId="12" fillId="0" borderId="0" xfId="0" applyFont="1" applyAlignment="1">
      <alignment horizontal="center"/>
    </xf>
    <xf numFmtId="0" fontId="4" fillId="0" borderId="0" xfId="0" applyFont="1" applyAlignment="1">
      <alignment horizontal="left"/>
    </xf>
    <xf numFmtId="164" fontId="4" fillId="0" borderId="0" xfId="0" applyNumberFormat="1" applyFont="1" applyAlignment="1">
      <alignment horizontal="left"/>
    </xf>
    <xf numFmtId="0" fontId="5" fillId="0" borderId="0" xfId="0" applyFont="1" applyAlignment="1">
      <alignment horizontal="left" vertical="top" wrapText="1"/>
    </xf>
    <xf numFmtId="0" fontId="5" fillId="0" borderId="1" xfId="0" applyFont="1" applyBorder="1" applyAlignment="1">
      <alignment horizontal="left" vertical="top" wrapText="1"/>
    </xf>
    <xf numFmtId="0" fontId="5" fillId="0" borderId="0" xfId="0" applyFont="1" applyAlignment="1">
      <alignment horizontal="center" vertical="center" wrapText="1"/>
    </xf>
    <xf numFmtId="0" fontId="7" fillId="2" borderId="0" xfId="0" applyFont="1" applyFill="1" applyAlignment="1" applyProtection="1">
      <alignment horizontal="left"/>
      <protection locked="0"/>
    </xf>
    <xf numFmtId="0" fontId="4" fillId="0" borderId="0" xfId="0" applyFont="1" applyAlignment="1">
      <alignment horizontal="left" vertical="top" wrapText="1"/>
    </xf>
    <xf numFmtId="0" fontId="47" fillId="0" borderId="0" xfId="0" applyFont="1" applyAlignment="1">
      <alignment horizontal="left" vertical="top" wrapText="1"/>
    </xf>
    <xf numFmtId="0" fontId="4" fillId="0" borderId="0" xfId="0" applyFont="1" applyAlignment="1">
      <alignment horizontal="center" vertical="top" wrapText="1"/>
    </xf>
    <xf numFmtId="0" fontId="7" fillId="2" borderId="0" xfId="0" applyFont="1" applyFill="1" applyProtection="1">
      <protection locked="0"/>
    </xf>
    <xf numFmtId="164" fontId="7" fillId="2" borderId="0" xfId="0" applyNumberFormat="1" applyFont="1" applyFill="1" applyAlignment="1" applyProtection="1">
      <alignment horizontal="left"/>
      <protection locked="0"/>
    </xf>
    <xf numFmtId="0" fontId="15" fillId="3" borderId="0" xfId="0" applyFont="1" applyFill="1" applyAlignment="1">
      <alignment horizontal="left"/>
    </xf>
    <xf numFmtId="0" fontId="14" fillId="3" borderId="0" xfId="0" applyFont="1" applyFill="1" applyAlignment="1">
      <alignment horizontal="center"/>
    </xf>
    <xf numFmtId="0" fontId="14" fillId="0" borderId="0" xfId="0" applyFont="1" applyAlignment="1">
      <alignment horizontal="center"/>
    </xf>
    <xf numFmtId="0" fontId="23" fillId="0" borderId="0" xfId="3" applyFont="1" applyAlignment="1">
      <alignment horizontal="left" vertical="top"/>
    </xf>
    <xf numFmtId="0" fontId="20" fillId="5" borderId="0" xfId="3" applyFont="1" applyFill="1" applyAlignment="1">
      <alignment horizontal="left"/>
    </xf>
    <xf numFmtId="0" fontId="19" fillId="6" borderId="0" xfId="3" applyFont="1" applyFill="1" applyAlignment="1">
      <alignment horizontal="left"/>
    </xf>
    <xf numFmtId="0" fontId="27" fillId="2" borderId="0" xfId="3" applyFont="1" applyFill="1" applyAlignment="1">
      <alignment horizontal="left" vertical="top" wrapText="1"/>
    </xf>
    <xf numFmtId="0" fontId="23" fillId="0" borderId="13" xfId="3" applyFont="1" applyBorder="1" applyAlignment="1">
      <alignment horizontal="left" vertical="top"/>
    </xf>
    <xf numFmtId="0" fontId="23" fillId="0" borderId="13" xfId="3" applyFont="1" applyBorder="1" applyAlignment="1">
      <alignment horizontal="center" vertical="top" wrapText="1"/>
    </xf>
    <xf numFmtId="0" fontId="23" fillId="0" borderId="13" xfId="3" applyFont="1" applyBorder="1" applyAlignment="1">
      <alignment horizontal="center" vertical="top"/>
    </xf>
    <xf numFmtId="0" fontId="22" fillId="0" borderId="0" xfId="3" applyFont="1" applyAlignment="1">
      <alignment horizontal="left" vertical="top" wrapText="1"/>
    </xf>
    <xf numFmtId="0" fontId="23"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K37" sqref="K37"/>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801</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1</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HEALTH AND HUMAN SERVICES</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2493398</v>
      </c>
      <c r="K15" s="42"/>
      <c r="M15" s="105">
        <v>2493398</v>
      </c>
      <c r="P15" s="105">
        <v>3137960</v>
      </c>
      <c r="S15" s="43">
        <f>M15-P15</f>
        <v>-644562</v>
      </c>
      <c r="T15" s="44" t="s">
        <v>1634</v>
      </c>
    </row>
    <row r="16" spans="1:25" ht="16.5" customHeight="1" x14ac:dyDescent="0.2">
      <c r="A16" s="45"/>
      <c r="B16" s="181" t="s">
        <v>1582</v>
      </c>
      <c r="C16" s="181"/>
      <c r="D16" s="181"/>
      <c r="E16" s="181"/>
      <c r="F16" s="181"/>
      <c r="G16" s="181"/>
      <c r="H16" s="181"/>
      <c r="I16" s="181"/>
      <c r="J16" s="41">
        <f>ROUND(P16,0)</f>
        <v>0</v>
      </c>
      <c r="K16" s="42"/>
      <c r="M16" s="105"/>
      <c r="P16" s="46">
        <f>IF(SUM($Q$18:$Q$19)&gt;$P$15,SUM($Q$18:$Q$19)-$P$15,0)</f>
        <v>0</v>
      </c>
      <c r="S16" s="43">
        <f>M16-P16</f>
        <v>0</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748591</v>
      </c>
      <c r="N18" s="105">
        <v>748591</v>
      </c>
      <c r="Q18" s="105">
        <v>1975832</v>
      </c>
      <c r="S18" s="43">
        <f>N18-Q18</f>
        <v>-1227241</v>
      </c>
      <c r="T18" s="47" t="s">
        <v>1635</v>
      </c>
    </row>
    <row r="19" spans="1:25" ht="16.5" customHeight="1" x14ac:dyDescent="0.25">
      <c r="A19" s="45"/>
      <c r="B19" s="49"/>
      <c r="C19" s="181" t="s">
        <v>1618</v>
      </c>
      <c r="D19" s="181"/>
      <c r="E19" s="181"/>
      <c r="F19" s="181"/>
      <c r="G19" s="181"/>
      <c r="H19" s="181"/>
      <c r="I19" s="181"/>
      <c r="J19" s="42"/>
      <c r="K19" s="41">
        <f>ROUND(N19,0)</f>
        <v>1331430</v>
      </c>
      <c r="N19" s="105">
        <v>1331430</v>
      </c>
      <c r="Q19" s="105">
        <v>906352</v>
      </c>
      <c r="S19" s="43">
        <f>N19-Q19</f>
        <v>425078</v>
      </c>
      <c r="T19" s="47" t="s">
        <v>1635</v>
      </c>
      <c r="X19" s="18"/>
    </row>
    <row r="20" spans="1:25" ht="16.5" customHeight="1" x14ac:dyDescent="0.25">
      <c r="A20" s="45"/>
      <c r="B20" s="49"/>
      <c r="C20" s="181" t="s">
        <v>1584</v>
      </c>
      <c r="D20" s="181"/>
      <c r="E20" s="181"/>
      <c r="F20" s="181"/>
      <c r="G20" s="181"/>
      <c r="H20" s="181"/>
      <c r="I20" s="181"/>
      <c r="K20" s="41">
        <f>ROUND(Q20,0)</f>
        <v>255776</v>
      </c>
      <c r="N20" s="105">
        <v>413377</v>
      </c>
      <c r="Q20" s="46">
        <f>IF(SUM($Q$18:$Q$19)&lt;$P$15,-SUM($Q$18:$Q$19)+$P$15,0)</f>
        <v>255776</v>
      </c>
      <c r="S20" s="43">
        <f>N20-Q20</f>
        <v>157601</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157601</v>
      </c>
      <c r="N21" s="105"/>
      <c r="S21" s="43">
        <f>N21-Q21</f>
        <v>0</v>
      </c>
      <c r="T21" s="47" t="s">
        <v>1635</v>
      </c>
      <c r="Y21" s="19"/>
    </row>
    <row r="22" spans="1:25" ht="16.5" customHeight="1" x14ac:dyDescent="0.2">
      <c r="A22" s="45"/>
      <c r="B22" s="50"/>
      <c r="C22" s="50"/>
      <c r="D22" s="50"/>
      <c r="E22" s="50"/>
      <c r="F22" s="50"/>
      <c r="G22" s="50"/>
      <c r="H22" s="50"/>
      <c r="I22" s="50"/>
      <c r="J22" s="51">
        <f>ROUND(SUM(J15:J17),0)</f>
        <v>2493398</v>
      </c>
      <c r="K22" s="51">
        <f>ROUND(SUM(K18:K21),0)</f>
        <v>2493398</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c r="L29" s="37"/>
      <c r="M29" s="37"/>
      <c r="N29" s="37"/>
      <c r="O29" s="37"/>
      <c r="P29" s="37"/>
      <c r="Q29" s="37"/>
      <c r="R29" s="37"/>
      <c r="S29" s="37"/>
      <c r="T29" s="37"/>
    </row>
    <row r="30" spans="1:25" ht="16.5" customHeight="1" x14ac:dyDescent="0.25">
      <c r="A30" s="45"/>
      <c r="B30" s="49"/>
      <c r="C30" s="181" t="str">
        <f>VLOOKUP($F$8,'Drop Down Menus'!$D$2:$G$10,4,FALSE)</f>
        <v>Cr: Acct 0815 - HLTH&amp;HUM SV SV.LAB(GAAP ADJ)</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0</v>
      </c>
      <c r="K31" s="51">
        <f>ROUND(SUM(K28:K30),2)</f>
        <v>0</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c r="K35" s="68"/>
    </row>
    <row r="36" spans="1:20" ht="16.5" customHeight="1" x14ac:dyDescent="0.2">
      <c r="A36" s="45"/>
      <c r="B36" s="69"/>
      <c r="C36" s="181" t="s">
        <v>1575</v>
      </c>
      <c r="D36" s="181"/>
      <c r="E36" s="181"/>
      <c r="F36" s="181"/>
      <c r="G36" s="181"/>
      <c r="H36" s="181"/>
      <c r="I36" s="181"/>
      <c r="J36" s="68"/>
      <c r="K36" s="105"/>
    </row>
    <row r="37" spans="1:20" ht="16.5" customHeight="1" x14ac:dyDescent="0.2">
      <c r="A37" s="45"/>
      <c r="C37" s="181" t="s">
        <v>1618</v>
      </c>
      <c r="D37" s="181"/>
      <c r="E37" s="181"/>
      <c r="F37" s="181"/>
      <c r="G37" s="181"/>
      <c r="H37" s="181"/>
      <c r="I37" s="181"/>
      <c r="J37" s="68"/>
      <c r="K37" s="105"/>
    </row>
    <row r="38" spans="1:20" ht="16.5" customHeight="1" x14ac:dyDescent="0.25">
      <c r="A38" s="45"/>
      <c r="B38" s="49"/>
      <c r="C38" s="181" t="str">
        <f>VLOOKUP($F$8,'Drop Down Menus'!$D$2:$G$10,4,FALSE)</f>
        <v>Cr: Acct 0815 - HLTH&amp;HUM SV SV.LAB(GAAP ADJ)</v>
      </c>
      <c r="D38" s="181"/>
      <c r="E38" s="181"/>
      <c r="F38" s="181"/>
      <c r="G38" s="181"/>
      <c r="H38" s="181"/>
      <c r="I38" s="181"/>
      <c r="J38" s="68"/>
      <c r="K38" s="105"/>
    </row>
    <row r="39" spans="1:20" ht="16.5" customHeight="1" x14ac:dyDescent="0.2">
      <c r="A39" s="45"/>
      <c r="B39" s="70"/>
      <c r="C39" s="70"/>
      <c r="D39" s="70"/>
      <c r="E39" s="70"/>
      <c r="F39" s="70"/>
      <c r="G39" s="70"/>
      <c r="H39" s="70"/>
      <c r="I39" s="70"/>
      <c r="J39" s="51">
        <f>ROUND(SUM(J34:J35),2)</f>
        <v>0</v>
      </c>
      <c r="K39" s="51">
        <f>ROUND(SUM(K36:K38),2)</f>
        <v>0</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958319.64206155727</v>
      </c>
      <c r="K45" s="78"/>
    </row>
    <row r="46" spans="1:20" ht="16.5" customHeight="1" x14ac:dyDescent="0.2">
      <c r="A46" s="45"/>
      <c r="B46" s="69"/>
      <c r="C46" s="181" t="s">
        <v>1581</v>
      </c>
      <c r="D46" s="181"/>
      <c r="E46" s="181"/>
      <c r="F46" s="181"/>
      <c r="G46" s="181"/>
      <c r="H46" s="181"/>
      <c r="I46" s="181"/>
      <c r="J46" s="68"/>
      <c r="K46" s="105">
        <f>J45</f>
        <v>958319.64206155727</v>
      </c>
    </row>
    <row r="47" spans="1:20" ht="16.5" customHeight="1" x14ac:dyDescent="0.2">
      <c r="A47" s="65"/>
      <c r="B47" s="50"/>
      <c r="C47" s="50"/>
      <c r="D47" s="50"/>
      <c r="E47" s="50"/>
      <c r="F47" s="50"/>
      <c r="G47" s="50"/>
      <c r="H47" s="50"/>
      <c r="I47" s="50"/>
      <c r="J47" s="79">
        <f>ROUND(SUM(J45:J45),2)</f>
        <v>958319.64</v>
      </c>
      <c r="K47" s="79">
        <f>ROUND(SUM(K46),2)</f>
        <v>958319.64</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995784.52096732135</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21272.899032678662</v>
      </c>
      <c r="K51" s="81"/>
    </row>
    <row r="52" spans="1:20" ht="16.5" customHeight="1" x14ac:dyDescent="0.25">
      <c r="A52" s="45"/>
      <c r="B52" s="49"/>
      <c r="C52" s="181" t="str">
        <f>VLOOKUP($F$8,'Drop Down Menus'!$D$2:$G$10,4,FALSE)</f>
        <v>Cr: Acct 0815 - HLTH&amp;HUM SV SV.LAB(GAAP ADJ)</v>
      </c>
      <c r="D52" s="181"/>
      <c r="E52" s="181"/>
      <c r="F52" s="181"/>
      <c r="G52" s="181"/>
      <c r="H52" s="181"/>
      <c r="I52" s="181"/>
      <c r="J52" s="81"/>
      <c r="K52" s="107">
        <f>+J50+J51</f>
        <v>1017057.42</v>
      </c>
    </row>
    <row r="53" spans="1:20" ht="16.5" customHeight="1" x14ac:dyDescent="0.2">
      <c r="A53" s="65"/>
      <c r="B53" s="50"/>
      <c r="C53" s="50"/>
      <c r="D53" s="50"/>
      <c r="E53" s="50"/>
      <c r="F53" s="50"/>
      <c r="G53" s="50"/>
      <c r="H53" s="50"/>
      <c r="I53" s="50"/>
      <c r="J53" s="79">
        <f>ROUND(SUM(J50:J51),2)</f>
        <v>1017057.42</v>
      </c>
      <c r="K53" s="79">
        <f>ROUND(SUM(K52,),2)</f>
        <v>1017057.42</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995784.52096732135</v>
      </c>
      <c r="K56" s="68"/>
    </row>
    <row r="57" spans="1:20" ht="16.5" customHeight="1" x14ac:dyDescent="0.25">
      <c r="A57" s="45"/>
      <c r="B57" s="49"/>
      <c r="C57" s="181" t="s">
        <v>1607</v>
      </c>
      <c r="D57" s="181"/>
      <c r="E57" s="181"/>
      <c r="F57" s="181"/>
      <c r="G57" s="181"/>
      <c r="H57" s="181"/>
      <c r="I57" s="181"/>
      <c r="J57" s="68"/>
      <c r="K57" s="105">
        <f>J50</f>
        <v>995784.52096732135</v>
      </c>
      <c r="L57" s="27" t="str">
        <f>IF($J$50=$K$57,"","&lt;- Accts 0848 must agree")</f>
        <v/>
      </c>
    </row>
    <row r="58" spans="1:20" ht="16.5" customHeight="1" x14ac:dyDescent="0.2">
      <c r="A58" s="65"/>
      <c r="B58" s="50"/>
      <c r="C58" s="50"/>
      <c r="D58" s="50"/>
      <c r="E58" s="50"/>
      <c r="F58" s="50"/>
      <c r="G58" s="50"/>
      <c r="H58" s="50"/>
      <c r="I58" s="50"/>
      <c r="J58" s="79">
        <f>ROUND(SUM(J56:J56),2)</f>
        <v>995784.52</v>
      </c>
      <c r="K58" s="79">
        <f>ROUND(SUM(K57),2)</f>
        <v>995784.52</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199621.0242583997</v>
      </c>
      <c r="K61" s="78"/>
    </row>
    <row r="62" spans="1:20" ht="16.5" customHeight="1" x14ac:dyDescent="0.25">
      <c r="A62" s="45"/>
      <c r="B62" s="49"/>
      <c r="C62" s="181" t="s">
        <v>1616</v>
      </c>
      <c r="D62" s="181"/>
      <c r="E62" s="181"/>
      <c r="F62" s="181"/>
      <c r="G62" s="181"/>
      <c r="H62" s="181"/>
      <c r="I62" s="181"/>
      <c r="J62" s="78"/>
      <c r="K62" s="105">
        <f>J61</f>
        <v>199621.0242583997</v>
      </c>
    </row>
    <row r="63" spans="1:20" ht="16.5" customHeight="1" x14ac:dyDescent="0.2">
      <c r="A63" s="45"/>
      <c r="B63" s="176" t="s">
        <v>1615</v>
      </c>
      <c r="C63" s="176"/>
      <c r="D63" s="176"/>
      <c r="E63" s="176"/>
      <c r="F63" s="176"/>
      <c r="G63" s="176"/>
      <c r="H63" s="176"/>
      <c r="I63" s="176"/>
      <c r="J63" s="79">
        <f>ROUND(SUM(J61:J61),2)</f>
        <v>199621.02</v>
      </c>
      <c r="K63" s="79">
        <f>ROUND(SUM(K62),2)</f>
        <v>199621.02</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f>K69</f>
        <v>0</v>
      </c>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1619</v>
      </c>
      <c r="C76" s="181"/>
      <c r="D76" s="181"/>
      <c r="E76" s="181"/>
      <c r="F76" s="181"/>
      <c r="G76" s="181"/>
      <c r="H76" s="181"/>
      <c r="I76" s="181"/>
      <c r="J76" s="108"/>
      <c r="K76" s="48"/>
    </row>
    <row r="77" spans="1:20" ht="16.5" customHeight="1" x14ac:dyDescent="0.2">
      <c r="B77" s="181" t="s">
        <v>1588</v>
      </c>
      <c r="C77" s="181"/>
      <c r="D77" s="181"/>
      <c r="E77" s="181"/>
      <c r="F77" s="181"/>
      <c r="G77" s="181"/>
      <c r="H77" s="181"/>
      <c r="I77" s="181"/>
      <c r="J77" s="108"/>
      <c r="K77" s="48"/>
    </row>
    <row r="78" spans="1:20" ht="16.5" customHeight="1" x14ac:dyDescent="0.2">
      <c r="B78" s="181" t="str">
        <f>VLOOKUP($F$8,'Drop Down Menus'!$D$2:$G$10,3,FALSE)</f>
        <v>Dr: Acct 0815 - HLTH&amp;HUM SV SV.LAB(GAAP ADJ)</v>
      </c>
      <c r="C78" s="181"/>
      <c r="D78" s="181"/>
      <c r="E78" s="181"/>
      <c r="F78" s="181"/>
      <c r="G78" s="181"/>
      <c r="H78" s="181"/>
      <c r="I78" s="181"/>
      <c r="J78" s="108"/>
      <c r="K78" s="48"/>
    </row>
    <row r="79" spans="1:20" ht="16.5" customHeight="1" x14ac:dyDescent="0.2">
      <c r="C79" s="181" t="s">
        <v>1589</v>
      </c>
      <c r="D79" s="181"/>
      <c r="E79" s="181"/>
      <c r="F79" s="181"/>
      <c r="G79" s="181"/>
      <c r="H79" s="181"/>
      <c r="I79" s="181"/>
      <c r="J79" s="48"/>
      <c r="K79" s="108"/>
    </row>
    <row r="80" spans="1:20" ht="16.5" customHeight="1" x14ac:dyDescent="0.2">
      <c r="C80" s="181" t="str">
        <f>VLOOKUP($F$8,'Drop Down Menus'!$D$2:$G$10,4,FALSE)</f>
        <v>Cr: Acct 0815 - HLTH&amp;HUM SV SV.LAB(GAAP ADJ)</v>
      </c>
      <c r="D80" s="181"/>
      <c r="E80" s="181"/>
      <c r="F80" s="181"/>
      <c r="G80" s="181"/>
      <c r="H80" s="181"/>
      <c r="I80" s="181"/>
      <c r="J80" s="48"/>
      <c r="K80" s="108"/>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c r="K84" s="48"/>
    </row>
    <row r="85" spans="1:20" ht="16.5" customHeight="1" x14ac:dyDescent="0.2">
      <c r="C85" s="181" t="s">
        <v>1618</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2493398</v>
      </c>
      <c r="N94" s="104"/>
    </row>
    <row r="95" spans="1:20" ht="16.5" customHeight="1" x14ac:dyDescent="0.25">
      <c r="D95" s="49" t="s">
        <v>1631</v>
      </c>
      <c r="E95" s="100"/>
      <c r="F95" s="100"/>
      <c r="G95" s="100"/>
      <c r="H95" s="27"/>
      <c r="I95" s="100"/>
      <c r="J95" s="100"/>
      <c r="K95" s="103">
        <f>-K18-K46+J68+J77</f>
        <v>-1706910.6420615572</v>
      </c>
      <c r="N95" s="102"/>
    </row>
    <row r="96" spans="1:20" ht="16.5" customHeight="1" x14ac:dyDescent="0.25">
      <c r="D96" s="49" t="s">
        <v>1629</v>
      </c>
      <c r="E96" s="100"/>
      <c r="F96" s="100"/>
      <c r="G96" s="100"/>
      <c r="H96" s="27"/>
      <c r="I96" s="100"/>
      <c r="J96" s="100"/>
      <c r="K96" s="103">
        <f>-K19-K37+J56+J61+J76-K85</f>
        <v>-136024.45477427894</v>
      </c>
    </row>
    <row r="97" spans="1:11" ht="16.5" customHeight="1" x14ac:dyDescent="0.25">
      <c r="D97" s="49" t="s">
        <v>1630</v>
      </c>
      <c r="E97" s="100"/>
      <c r="F97" s="100"/>
      <c r="G97" s="100"/>
      <c r="H97" s="27"/>
      <c r="I97" s="100"/>
      <c r="J97" s="100"/>
      <c r="K97" s="103">
        <f>-K62</f>
        <v>-199621.0242583997</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C36" sqref="C36"/>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1611</v>
      </c>
      <c r="B1" s="201"/>
      <c r="C1" s="201"/>
      <c r="D1" s="201"/>
    </row>
    <row r="2" spans="1:11" ht="21.75" customHeight="1" x14ac:dyDescent="0.2">
      <c r="A2" s="201"/>
      <c r="B2" s="201"/>
      <c r="C2" s="201"/>
      <c r="D2" s="201"/>
      <c r="E2" s="109"/>
      <c r="F2" s="109"/>
      <c r="G2" s="109"/>
      <c r="H2" s="109"/>
      <c r="I2" s="109"/>
      <c r="J2" s="109"/>
    </row>
    <row r="3" spans="1:11" ht="45" customHeight="1" x14ac:dyDescent="0.25">
      <c r="A3" s="204" t="s">
        <v>1609</v>
      </c>
      <c r="B3" s="204"/>
      <c r="C3" s="204"/>
      <c r="D3" s="204"/>
      <c r="E3" s="110"/>
      <c r="F3" s="110"/>
      <c r="G3" s="110"/>
      <c r="H3" s="110"/>
      <c r="I3" s="110"/>
      <c r="J3" s="110"/>
      <c r="K3" s="110"/>
    </row>
    <row r="4" spans="1:11" ht="15.75" customHeight="1" x14ac:dyDescent="0.25">
      <c r="A4" s="205" t="s">
        <v>1610</v>
      </c>
      <c r="B4" s="205"/>
      <c r="C4" s="205"/>
      <c r="D4" s="205"/>
      <c r="E4" s="110"/>
      <c r="F4" s="110"/>
      <c r="G4" s="110"/>
      <c r="H4" s="110"/>
      <c r="I4" s="110"/>
      <c r="J4" s="110"/>
      <c r="K4" s="110"/>
    </row>
    <row r="5" spans="1:11" ht="15.75" customHeight="1" x14ac:dyDescent="0.25">
      <c r="A5" s="203" t="s">
        <v>4</v>
      </c>
      <c r="B5" s="203"/>
      <c r="C5" s="203"/>
      <c r="D5" s="111"/>
      <c r="E5" s="110"/>
      <c r="F5" s="110"/>
      <c r="G5" s="110"/>
      <c r="H5" s="110"/>
      <c r="I5" s="110"/>
      <c r="J5" s="110"/>
      <c r="K5" s="110"/>
    </row>
    <row r="6" spans="1:11" ht="15.75" customHeight="1" x14ac:dyDescent="0.25">
      <c r="A6" s="203"/>
      <c r="B6" s="203"/>
      <c r="C6" s="203"/>
      <c r="D6" s="111"/>
      <c r="E6" s="110"/>
      <c r="F6" s="110"/>
      <c r="G6" s="110"/>
      <c r="H6" s="110"/>
      <c r="I6" s="110"/>
      <c r="J6" s="110"/>
      <c r="K6" s="110"/>
    </row>
    <row r="7" spans="1:11" ht="15.75" customHeight="1" x14ac:dyDescent="0.25">
      <c r="A7" s="203" t="s">
        <v>5</v>
      </c>
      <c r="B7" s="203"/>
      <c r="C7" s="203"/>
      <c r="D7" s="111"/>
      <c r="E7" s="110"/>
      <c r="F7" s="110"/>
      <c r="G7" s="110"/>
      <c r="H7" s="110"/>
      <c r="I7" s="110"/>
      <c r="J7" s="110"/>
      <c r="K7" s="110"/>
    </row>
    <row r="8" spans="1:11" ht="15.75" customHeight="1" x14ac:dyDescent="0.25">
      <c r="A8" s="203"/>
      <c r="B8" s="203"/>
      <c r="C8" s="203"/>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6" t="s">
        <v>16</v>
      </c>
      <c r="C11" s="206"/>
    </row>
    <row r="12" spans="1:11" ht="15" customHeight="1" x14ac:dyDescent="0.25">
      <c r="A12" s="113" t="s">
        <v>1595</v>
      </c>
      <c r="B12" s="207">
        <v>5160</v>
      </c>
      <c r="C12" s="207"/>
    </row>
    <row r="13" spans="1:11" ht="15.75" x14ac:dyDescent="0.25">
      <c r="A13" s="113" t="s">
        <v>1594</v>
      </c>
      <c r="B13" s="202" t="s">
        <v>1655</v>
      </c>
      <c r="C13" s="202"/>
      <c r="E13" s="114"/>
      <c r="F13" s="114"/>
      <c r="G13" s="114"/>
      <c r="H13" s="114"/>
      <c r="I13" s="114"/>
      <c r="J13" s="114"/>
      <c r="K13" s="114"/>
    </row>
    <row r="14" spans="1:11" ht="32.25" customHeight="1" x14ac:dyDescent="0.2">
      <c r="A14" s="195" t="s">
        <v>1647</v>
      </c>
      <c r="B14" s="196"/>
      <c r="C14" s="196"/>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199621.0242583997</v>
      </c>
      <c r="C16" s="2">
        <v>6432.6157416002843</v>
      </c>
      <c r="D16" s="199" t="s">
        <v>1536</v>
      </c>
      <c r="E16" s="118"/>
      <c r="F16" s="118"/>
      <c r="G16" s="118"/>
      <c r="H16" s="118"/>
      <c r="I16" s="118"/>
      <c r="J16" s="118"/>
      <c r="K16" s="118"/>
    </row>
    <row r="17" spans="1:11" ht="15" customHeight="1" x14ac:dyDescent="0.2">
      <c r="A17" s="115" t="str">
        <f>LEFT(A16,4)+1&amp;"–"&amp;RIGHT(A16,4)+1</f>
        <v>2025–2026</v>
      </c>
      <c r="B17" s="2">
        <v>136024.11599536103</v>
      </c>
      <c r="C17" s="2">
        <v>1344.9640046389668</v>
      </c>
      <c r="D17" s="199"/>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0"/>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0"/>
      <c r="E25" s="119"/>
      <c r="F25" s="119"/>
      <c r="G25" s="119"/>
      <c r="H25" s="119"/>
      <c r="I25" s="119"/>
      <c r="J25" s="119"/>
      <c r="K25" s="119"/>
    </row>
    <row r="26" spans="1:11" ht="15" customHeight="1" x14ac:dyDescent="0.2">
      <c r="A26" s="115" t="str">
        <f t="shared" si="0"/>
        <v>2054–2059</v>
      </c>
      <c r="B26" s="2"/>
      <c r="C26" s="2"/>
      <c r="D26" s="15" t="s">
        <v>115</v>
      </c>
      <c r="E26" s="120"/>
      <c r="F26" s="120"/>
      <c r="G26" s="120"/>
      <c r="H26" s="120"/>
      <c r="I26" s="120"/>
    </row>
    <row r="27" spans="1:11" ht="15" customHeight="1" x14ac:dyDescent="0.2">
      <c r="A27" s="115" t="str">
        <f t="shared" si="0"/>
        <v>2059–2064</v>
      </c>
      <c r="B27" s="2"/>
      <c r="C27" s="2"/>
      <c r="D27" s="200"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0"/>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0"/>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197" t="str">
        <f>B11</f>
        <v>2023–2024</v>
      </c>
      <c r="C42" s="197"/>
    </row>
    <row r="43" spans="1:11" ht="15.75" customHeight="1" x14ac:dyDescent="0.25">
      <c r="A43" s="113" t="s">
        <v>1595</v>
      </c>
      <c r="B43" s="198">
        <f>B12</f>
        <v>5160</v>
      </c>
      <c r="C43" s="198"/>
    </row>
    <row r="44" spans="1:11" ht="15.75" x14ac:dyDescent="0.25">
      <c r="A44" s="113" t="s">
        <v>1594</v>
      </c>
      <c r="B44" s="197" t="str">
        <f>B13</f>
        <v>Department of Rehabilitation</v>
      </c>
      <c r="C44" s="197"/>
    </row>
    <row r="45" spans="1:11" ht="32.25" customHeight="1" x14ac:dyDescent="0.2">
      <c r="A45" s="195" t="s">
        <v>1647</v>
      </c>
      <c r="B45" s="196"/>
      <c r="C45" s="196"/>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200" t="s">
        <v>1536</v>
      </c>
    </row>
    <row r="48" spans="1:11" ht="15" customHeight="1" x14ac:dyDescent="0.2">
      <c r="A48" s="115" t="str">
        <f>LEFT(A47,4)+1&amp;"–"&amp;RIGHT(A47,4)+1</f>
        <v>2025–2026</v>
      </c>
      <c r="B48" s="2"/>
      <c r="C48" s="2"/>
      <c r="D48" s="200"/>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0"/>
    </row>
    <row r="54" spans="1:4" ht="15" customHeight="1" x14ac:dyDescent="0.2">
      <c r="A54" s="115" t="str">
        <f t="shared" si="1"/>
        <v>2039–2044</v>
      </c>
      <c r="B54" s="2"/>
      <c r="C54" s="2"/>
      <c r="D54" s="15"/>
    </row>
    <row r="55" spans="1:4" ht="15" customHeight="1" x14ac:dyDescent="0.2">
      <c r="A55" s="11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0"/>
    </row>
    <row r="57" spans="1:4" ht="15.75" customHeight="1" x14ac:dyDescent="0.2">
      <c r="A57" s="115" t="str">
        <f t="shared" si="1"/>
        <v>2054–2059</v>
      </c>
      <c r="B57" s="2"/>
      <c r="C57" s="2"/>
      <c r="D57" s="15"/>
    </row>
    <row r="58" spans="1:4" ht="15.75" customHeight="1" x14ac:dyDescent="0.2">
      <c r="A58" s="11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0"/>
    </row>
    <row r="60" spans="1:4" x14ac:dyDescent="0.2">
      <c r="A60" s="115" t="str">
        <f t="shared" si="1"/>
        <v>2069–2074</v>
      </c>
      <c r="B60" s="2"/>
      <c r="C60" s="2"/>
      <c r="D60" s="17"/>
    </row>
    <row r="61" spans="1:4" ht="15" customHeight="1" x14ac:dyDescent="0.2">
      <c r="A61" s="11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0"/>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197" t="str">
        <f>B11</f>
        <v>2023–2024</v>
      </c>
      <c r="C73" s="197"/>
    </row>
    <row r="74" spans="1:4" ht="15.75" customHeight="1" x14ac:dyDescent="0.25">
      <c r="A74" s="113" t="s">
        <v>1595</v>
      </c>
      <c r="B74" s="198">
        <f>B12</f>
        <v>5160</v>
      </c>
      <c r="C74" s="198"/>
    </row>
    <row r="75" spans="1:4" ht="15.75" x14ac:dyDescent="0.25">
      <c r="A75" s="113" t="s">
        <v>1594</v>
      </c>
      <c r="B75" s="197" t="str">
        <f>B13</f>
        <v>Department of Rehabilitation</v>
      </c>
      <c r="C75" s="197"/>
    </row>
    <row r="76" spans="1:4" ht="32.25" customHeight="1" x14ac:dyDescent="0.2">
      <c r="A76" s="195" t="s">
        <v>1647</v>
      </c>
      <c r="B76" s="196"/>
      <c r="C76" s="196"/>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199" t="s">
        <v>1536</v>
      </c>
    </row>
    <row r="79" spans="1:4" ht="15" customHeight="1" x14ac:dyDescent="0.2">
      <c r="A79" s="115" t="str">
        <f>LEFT(A78,4)+1&amp;"–"&amp;RIGHT(A78,4)+1</f>
        <v>2025–2026</v>
      </c>
      <c r="B79" s="2"/>
      <c r="C79" s="2"/>
      <c r="D79" s="199"/>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0"/>
    </row>
    <row r="85" spans="1:4" x14ac:dyDescent="0.2">
      <c r="A85" s="115" t="str">
        <f t="shared" si="2"/>
        <v>2039–2044</v>
      </c>
      <c r="B85" s="2"/>
      <c r="C85" s="2"/>
      <c r="D85" s="15"/>
    </row>
    <row r="86" spans="1:4" ht="15" customHeight="1" x14ac:dyDescent="0.2">
      <c r="A86" s="11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0"/>
    </row>
    <row r="88" spans="1:4" ht="15" customHeight="1" x14ac:dyDescent="0.2">
      <c r="A88" s="115" t="str">
        <f t="shared" si="2"/>
        <v>2054–2059</v>
      </c>
      <c r="B88" s="2"/>
      <c r="C88" s="2"/>
      <c r="D88" s="15"/>
    </row>
    <row r="89" spans="1:4" ht="15.75" customHeight="1" x14ac:dyDescent="0.2">
      <c r="A89" s="11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0"/>
    </row>
    <row r="91" spans="1:4" x14ac:dyDescent="0.2">
      <c r="A91" s="115" t="str">
        <f t="shared" si="2"/>
        <v>2069–2074</v>
      </c>
      <c r="B91" s="2"/>
      <c r="C91" s="2"/>
      <c r="D91" s="17"/>
    </row>
    <row r="92" spans="1:4" ht="15" customHeight="1" x14ac:dyDescent="0.2">
      <c r="A92" s="11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0"/>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C3" sqref="C3:P3"/>
    </sheetView>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5160 Department of Rehabilitation</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f>
        <v>1331430</v>
      </c>
      <c r="H10" s="3">
        <f>IF('Fund 0001 Journal Entries'!$F$7="Governmental Fund",SUM('Fund 0001 Journal Entries'!$K$37,'Fund 0001 Journal Entries'!$K$85),0)</f>
        <v>0</v>
      </c>
      <c r="J10" s="3">
        <f>IF('Fund 0001 Journal Entries'!$F$7="Governmental Fund",SUM('Fund 0001 Journal Entries'!$J$56,'Fund 0001 Journal Entries'!$J$76),0)</f>
        <v>995784.52096732135</v>
      </c>
      <c r="L10" s="134">
        <f>SUM(F10+H10-J10)</f>
        <v>335645.47903267865</v>
      </c>
      <c r="N10" s="3">
        <f>IF('Fund 0001 Journal Entries'!$F$7="Governmental Fund",'Fund 0001 Journal Entries'!$J$61,0)</f>
        <v>199621.0242583997</v>
      </c>
      <c r="P10" s="134">
        <f>L10-N10</f>
        <v>136024.45477427894</v>
      </c>
      <c r="Q10" s="129"/>
    </row>
    <row r="11" spans="2:17" ht="19.5" thickTop="1" thickBot="1" x14ac:dyDescent="0.3">
      <c r="B11" s="128"/>
      <c r="C11" s="208" t="s">
        <v>14</v>
      </c>
      <c r="D11" s="208"/>
      <c r="F11" s="135">
        <f>SUM(F10:F10)</f>
        <v>1331430</v>
      </c>
      <c r="H11" s="135">
        <f>SUM(H10:H10)</f>
        <v>0</v>
      </c>
      <c r="J11" s="135">
        <f>SUM(J10:J10)</f>
        <v>995784.52096732135</v>
      </c>
      <c r="L11" s="135">
        <f>SUM(L10:L10)</f>
        <v>335645.47903267865</v>
      </c>
      <c r="N11" s="135">
        <f>SUM(N10:N10)</f>
        <v>199621.0242583997</v>
      </c>
      <c r="P11" s="135">
        <f>SUM(P10:P10)</f>
        <v>136024.45477427894</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B17" sqref="B17"/>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2" t="s">
        <v>1548</v>
      </c>
      <c r="B1" s="212"/>
      <c r="C1" s="212"/>
      <c r="D1" s="212"/>
      <c r="E1" s="212"/>
      <c r="F1" s="212"/>
      <c r="G1" s="212"/>
      <c r="H1" s="212"/>
      <c r="I1" s="212"/>
      <c r="J1" s="212"/>
      <c r="K1" s="212"/>
      <c r="L1" s="212"/>
      <c r="M1" s="212"/>
      <c r="N1" s="212"/>
      <c r="O1" s="212"/>
      <c r="P1" s="212"/>
      <c r="Q1" s="212"/>
    </row>
    <row r="2" spans="1:17" s="141" customFormat="1" ht="15.75" x14ac:dyDescent="0.25">
      <c r="A2" s="212" t="s">
        <v>1550</v>
      </c>
      <c r="B2" s="212"/>
      <c r="C2" s="212"/>
      <c r="D2" s="212"/>
      <c r="E2" s="212"/>
      <c r="F2" s="212"/>
      <c r="G2" s="212"/>
      <c r="H2" s="212"/>
      <c r="I2" s="212"/>
      <c r="J2" s="212"/>
      <c r="K2" s="212"/>
      <c r="L2" s="212"/>
      <c r="M2" s="212"/>
      <c r="N2" s="212"/>
      <c r="O2" s="212"/>
      <c r="P2" s="212"/>
      <c r="Q2" s="212"/>
    </row>
    <row r="3" spans="1:17" s="141" customFormat="1" ht="15.75" x14ac:dyDescent="0.25">
      <c r="C3" s="142"/>
      <c r="E3" s="142"/>
      <c r="G3" s="142"/>
      <c r="I3" s="142"/>
      <c r="K3" s="142"/>
      <c r="M3" s="142"/>
      <c r="O3" s="142"/>
    </row>
    <row r="4" spans="1:17" x14ac:dyDescent="0.25">
      <c r="A4" s="213" t="s">
        <v>1549</v>
      </c>
      <c r="B4" s="213"/>
      <c r="C4" s="213"/>
      <c r="D4" s="213"/>
      <c r="E4" s="213"/>
      <c r="F4" s="213"/>
      <c r="G4" s="213"/>
      <c r="H4" s="213"/>
      <c r="I4" s="213"/>
      <c r="J4" s="213"/>
      <c r="K4" s="213"/>
      <c r="L4" s="213"/>
      <c r="M4" s="213"/>
      <c r="N4" s="213"/>
      <c r="O4" s="213"/>
      <c r="P4" s="213"/>
      <c r="Q4" s="213"/>
    </row>
    <row r="5" spans="1:17" ht="15" customHeight="1" x14ac:dyDescent="0.25">
      <c r="A5" s="218" t="s">
        <v>1562</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1614</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1559</v>
      </c>
      <c r="B11" s="213"/>
      <c r="C11" s="213"/>
      <c r="D11" s="213"/>
      <c r="E11" s="213"/>
      <c r="F11" s="213"/>
      <c r="G11" s="213"/>
      <c r="H11" s="213"/>
      <c r="I11" s="213"/>
      <c r="J11" s="213"/>
      <c r="K11" s="213"/>
      <c r="L11" s="213"/>
      <c r="M11" s="213"/>
      <c r="N11" s="213"/>
      <c r="O11" s="213"/>
      <c r="P11" s="213"/>
      <c r="Q11" s="213"/>
    </row>
    <row r="12" spans="1:17" x14ac:dyDescent="0.25">
      <c r="A12" s="211" t="s">
        <v>1642</v>
      </c>
      <c r="B12" s="211"/>
      <c r="C12" s="211"/>
      <c r="D12" s="211"/>
      <c r="E12" s="211"/>
      <c r="F12" s="211"/>
      <c r="G12" s="211"/>
      <c r="H12" s="211"/>
      <c r="I12" s="211"/>
      <c r="J12" s="211"/>
      <c r="K12" s="211"/>
      <c r="L12" s="211"/>
      <c r="M12" s="211"/>
      <c r="N12" s="211"/>
      <c r="O12" s="211"/>
      <c r="P12" s="211"/>
      <c r="Q12" s="211"/>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6" t="s">
        <v>1617</v>
      </c>
      <c r="C14" s="216"/>
      <c r="D14" s="216"/>
      <c r="E14" s="216"/>
      <c r="F14" s="216"/>
      <c r="G14" s="216"/>
      <c r="H14" s="216"/>
      <c r="I14" s="216"/>
      <c r="J14" s="216"/>
      <c r="K14" s="216"/>
      <c r="L14" s="216"/>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0001 Journal Entries'!$F$7="Governmental Fund",ROUND('Fund 0001 Journal Entries'!$K$19,0),0)</f>
        <v>1331430</v>
      </c>
      <c r="C17" s="21" t="s">
        <v>1551</v>
      </c>
      <c r="D17" s="10">
        <f>IF('Fund 0001 Journal Entries'!$F$7="Governmental Fund",ROUND('Fund 0001 Journal Entries'!$K$37,0),0)</f>
        <v>0</v>
      </c>
      <c r="E17" s="22" t="s">
        <v>1553</v>
      </c>
      <c r="F17" s="10">
        <f>IF('Fund 0001 Journal Entries'!$F$7="Governmental Fund",ROUND('Fund 0001 Journal Entries'!$J$56,0),0)</f>
        <v>995785</v>
      </c>
      <c r="G17" s="22" t="s">
        <v>1553</v>
      </c>
      <c r="H17" s="10">
        <f>IF('Fund 0001 Journal Entries'!$F$7="Governmental Fund",ROUND('Fund 0001 Journal Entries'!$J$76,0),0)</f>
        <v>0</v>
      </c>
      <c r="I17" s="22" t="s">
        <v>1551</v>
      </c>
      <c r="J17" s="10">
        <f>IF('Fund 0001 Journal Entries'!$F$7="Governmental Fund",ROUND('Fund 0001 Journal Entries'!$K$85,0),0)</f>
        <v>0</v>
      </c>
      <c r="K17" s="22" t="s">
        <v>1555</v>
      </c>
      <c r="L17" s="11">
        <f>+B17+D17-F17-H17+J17</f>
        <v>335645</v>
      </c>
      <c r="M17" s="22"/>
      <c r="N17" s="12">
        <f>ROUND(SUM('Department Note Disclosure'!$B$16:$B$39),0)</f>
        <v>335645</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1" t="s">
        <v>1643</v>
      </c>
      <c r="B20" s="211"/>
      <c r="C20" s="211"/>
      <c r="D20" s="211"/>
      <c r="E20" s="211"/>
      <c r="F20" s="211"/>
      <c r="G20" s="211"/>
      <c r="H20" s="211"/>
      <c r="I20" s="211"/>
      <c r="J20" s="211"/>
      <c r="K20" s="211"/>
      <c r="L20" s="211"/>
      <c r="M20" s="211"/>
      <c r="N20" s="211"/>
      <c r="O20" s="211"/>
      <c r="P20" s="211"/>
      <c r="Q20" s="211"/>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7" t="s">
        <v>1617</v>
      </c>
      <c r="C22" s="217"/>
      <c r="D22" s="217"/>
      <c r="E22" s="217"/>
      <c r="F22" s="217"/>
      <c r="G22" s="217"/>
      <c r="H22" s="217"/>
      <c r="I22" s="217"/>
      <c r="J22" s="217"/>
      <c r="K22" s="217"/>
      <c r="L22" s="217"/>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0001 Journal Entries'!$F$7="Proprietary - Internal Service Fund",ROUND('Fund 0001 Journal Entries'!$K$19,0),0)</f>
        <v>0</v>
      </c>
      <c r="C25" s="21" t="s">
        <v>1551</v>
      </c>
      <c r="D25" s="10">
        <f>IF('Fund 0001 Journal Entries'!$F$7="Proprietary - Internal Service Fund",ROUND('Fund 0001 Journal Entries'!$K$37,0),0)</f>
        <v>0</v>
      </c>
      <c r="E25" s="22" t="s">
        <v>1553</v>
      </c>
      <c r="F25" s="10">
        <f>IF('Fund 0001 Journal Entries'!$F$7="Proprietary - Internal Service Fund",ROUND('Fund 0001 Journal Entries'!$J$56,0),0)</f>
        <v>0</v>
      </c>
      <c r="G25" s="22" t="s">
        <v>1553</v>
      </c>
      <c r="H25" s="10">
        <f>IF('Fund 0001 Journal Entries'!$F$7="Proprietary - Internal Service Fund",ROUND('Fund 0001 Journal Entries'!$J$76,0),0)</f>
        <v>0</v>
      </c>
      <c r="I25" s="22" t="s">
        <v>1551</v>
      </c>
      <c r="J25" s="10">
        <f>IF('Fund 0001 Journal Entries'!$F$7="Proprietary - Internal Service Fund",ROUND('Fund 0001 Journal Entries'!$K$85,0),0)</f>
        <v>0</v>
      </c>
      <c r="K25" s="22" t="s">
        <v>1555</v>
      </c>
      <c r="L25" s="11">
        <f>+B25+D25-F25-H25+J25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1" t="s">
        <v>1644</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7" t="s">
        <v>1617</v>
      </c>
      <c r="C31" s="217"/>
      <c r="D31" s="217"/>
      <c r="E31" s="217"/>
      <c r="F31" s="217"/>
      <c r="G31" s="217"/>
      <c r="H31" s="217"/>
      <c r="I31" s="217"/>
      <c r="J31" s="217"/>
      <c r="K31" s="217"/>
      <c r="L31" s="217"/>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0001 Journal Entries'!$F$7="Proprietary - Enterprise Fund",ROUND('Fund 0001 Journal Entries'!$K$19,0),0)</f>
        <v>0</v>
      </c>
      <c r="C34" s="21" t="s">
        <v>1551</v>
      </c>
      <c r="D34" s="10">
        <f>IF('Fund 0001 Journal Entries'!$F$7="Proprietary - Enterprise Fund",ROUND('Fund 0001 Journal Entries'!$K$37,0),0)</f>
        <v>0</v>
      </c>
      <c r="E34" s="22" t="s">
        <v>1553</v>
      </c>
      <c r="F34" s="10">
        <f>IF('Fund 0001 Journal Entries'!$F$7="Proprietary - Enterprise Fund",ROUND('Fund 0001 Journal Entries'!$J$56,0),0)</f>
        <v>0</v>
      </c>
      <c r="G34" s="22" t="s">
        <v>1553</v>
      </c>
      <c r="H34" s="10">
        <f>IF('Fund 0001 Journal Entries'!$F$7="Proprietary - Enterprise Fund",ROUND('Fund 0001 Journal Entries'!$J$76,0),0)</f>
        <v>0</v>
      </c>
      <c r="I34" s="22" t="s">
        <v>1551</v>
      </c>
      <c r="J34" s="10">
        <f>IF('Fund 0001 Journal Entries'!$F$7="Proprietary - Enterprise Fund",ROUND('Fund 0001 Journal Entries'!$K$85,0),0)</f>
        <v>0</v>
      </c>
      <c r="K34" s="22" t="s">
        <v>1555</v>
      </c>
      <c r="L34" s="11">
        <f>+B34+D34-F34-H34+J34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3" t="s">
        <v>1560</v>
      </c>
      <c r="B37" s="213"/>
      <c r="C37" s="213"/>
      <c r="D37" s="213"/>
      <c r="E37" s="213"/>
      <c r="F37" s="213"/>
      <c r="G37" s="213"/>
      <c r="H37" s="213"/>
      <c r="I37" s="213"/>
      <c r="J37" s="213"/>
      <c r="K37" s="213"/>
      <c r="L37" s="213"/>
      <c r="M37" s="213"/>
      <c r="N37" s="213"/>
      <c r="O37" s="213"/>
      <c r="P37" s="213"/>
      <c r="Q37" s="213"/>
    </row>
    <row r="38" spans="1:17" ht="15" customHeight="1" x14ac:dyDescent="0.25">
      <c r="A38" s="211" t="s">
        <v>1642</v>
      </c>
      <c r="B38" s="211"/>
      <c r="C38" s="211"/>
      <c r="D38" s="211"/>
      <c r="E38" s="211"/>
      <c r="F38" s="211"/>
      <c r="G38" s="211"/>
      <c r="H38" s="211"/>
      <c r="I38" s="211"/>
      <c r="J38" s="211"/>
      <c r="K38" s="211"/>
      <c r="L38" s="211"/>
      <c r="M38" s="211"/>
      <c r="N38" s="211"/>
      <c r="O38" s="211"/>
      <c r="P38" s="211"/>
      <c r="Q38" s="211"/>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5" t="s">
        <v>1617</v>
      </c>
      <c r="C40" s="215"/>
      <c r="D40" s="215"/>
      <c r="E40" s="215"/>
      <c r="F40" s="215"/>
      <c r="G40" s="215"/>
      <c r="H40" s="144"/>
      <c r="I40" s="145"/>
      <c r="J40" s="144"/>
      <c r="K40" s="145"/>
      <c r="L40" s="144"/>
      <c r="M40" s="145"/>
      <c r="N40" s="146" t="s">
        <v>1556</v>
      </c>
      <c r="O40" s="147"/>
      <c r="P40" s="148"/>
      <c r="Q40" s="144"/>
    </row>
    <row r="41" spans="1:17" ht="15" customHeight="1" x14ac:dyDescent="0.25">
      <c r="A41" s="144"/>
      <c r="B41" s="150" t="s">
        <v>1558</v>
      </c>
      <c r="C41" s="219" t="s">
        <v>1639</v>
      </c>
      <c r="D41" s="219"/>
      <c r="E41" s="219"/>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0001 Journal Entries'!$F$7="Governmental Fund",ROUND('Fund 0001 Journal Entries'!$K$62,0),0)</f>
        <v>199621</v>
      </c>
      <c r="C42" s="160"/>
      <c r="D42" s="159"/>
      <c r="E42" s="159"/>
      <c r="F42" s="159"/>
      <c r="G42" s="145"/>
      <c r="H42" s="159"/>
      <c r="I42" s="149"/>
      <c r="J42" s="159"/>
      <c r="K42" s="145"/>
      <c r="L42" s="158"/>
      <c r="M42" s="23"/>
      <c r="N42" s="12">
        <f>ROUND('Department Note Disclosure'!$B$16,0)</f>
        <v>199621</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1" t="s">
        <v>1643</v>
      </c>
      <c r="B45" s="211"/>
      <c r="C45" s="211"/>
      <c r="D45" s="211"/>
      <c r="E45" s="211"/>
      <c r="F45" s="211"/>
      <c r="G45" s="211"/>
      <c r="H45" s="211"/>
      <c r="I45" s="211"/>
      <c r="J45" s="211"/>
      <c r="K45" s="211"/>
      <c r="L45" s="211"/>
      <c r="M45" s="211"/>
      <c r="N45" s="211"/>
      <c r="O45" s="211"/>
      <c r="P45" s="211"/>
      <c r="Q45" s="211"/>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5" t="s">
        <v>1617</v>
      </c>
      <c r="C47" s="215"/>
      <c r="D47" s="215"/>
      <c r="E47" s="215"/>
      <c r="F47" s="215"/>
      <c r="G47" s="215"/>
      <c r="H47" s="144"/>
      <c r="I47" s="145"/>
      <c r="J47" s="144"/>
      <c r="K47" s="145"/>
      <c r="L47" s="144"/>
      <c r="M47" s="145"/>
      <c r="N47" s="146" t="s">
        <v>1556</v>
      </c>
      <c r="O47" s="147"/>
      <c r="P47" s="148"/>
      <c r="Q47" s="144"/>
    </row>
    <row r="48" spans="1:17" ht="15" customHeight="1" x14ac:dyDescent="0.25">
      <c r="A48" s="144"/>
      <c r="B48" s="150" t="s">
        <v>1558</v>
      </c>
      <c r="C48" s="219" t="s">
        <v>1639</v>
      </c>
      <c r="D48" s="219"/>
      <c r="E48" s="219"/>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1" t="s">
        <v>1644</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5" t="s">
        <v>1617</v>
      </c>
      <c r="C54" s="215"/>
      <c r="D54" s="215"/>
      <c r="E54" s="215"/>
      <c r="F54" s="215"/>
      <c r="G54" s="215"/>
      <c r="H54" s="159"/>
      <c r="I54" s="159"/>
      <c r="J54" s="159"/>
      <c r="K54" s="159"/>
      <c r="L54" s="159"/>
      <c r="M54" s="145"/>
      <c r="N54" s="146" t="s">
        <v>1556</v>
      </c>
      <c r="O54" s="147"/>
      <c r="P54" s="148"/>
      <c r="Q54" s="144"/>
    </row>
    <row r="55" spans="1:16383" x14ac:dyDescent="0.25">
      <c r="A55" s="144"/>
      <c r="B55" s="150" t="s">
        <v>1558</v>
      </c>
      <c r="C55" s="219" t="s">
        <v>1639</v>
      </c>
      <c r="D55" s="219"/>
      <c r="E55" s="219"/>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3" t="s">
        <v>1561</v>
      </c>
      <c r="B59" s="213"/>
      <c r="C59" s="213"/>
      <c r="D59" s="213"/>
      <c r="E59" s="213"/>
      <c r="F59" s="213"/>
      <c r="G59" s="213"/>
      <c r="H59" s="213"/>
      <c r="I59" s="213"/>
      <c r="J59" s="213"/>
      <c r="K59" s="213"/>
      <c r="L59" s="213"/>
      <c r="M59" s="213"/>
      <c r="N59" s="213"/>
      <c r="O59" s="213"/>
      <c r="P59" s="213"/>
      <c r="Q59" s="213"/>
    </row>
    <row r="60" spans="1:16383" ht="15" customHeight="1" x14ac:dyDescent="0.25">
      <c r="A60" s="211" t="s">
        <v>1642</v>
      </c>
      <c r="B60" s="211"/>
      <c r="C60" s="211"/>
      <c r="D60" s="211"/>
      <c r="E60" s="211"/>
      <c r="F60" s="211"/>
      <c r="G60" s="211"/>
      <c r="H60" s="211"/>
      <c r="I60" s="211"/>
      <c r="J60" s="211"/>
      <c r="K60" s="211"/>
      <c r="L60" s="211"/>
      <c r="M60" s="211"/>
      <c r="N60" s="211"/>
      <c r="O60" s="211"/>
      <c r="P60" s="211"/>
      <c r="Q60" s="211"/>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6" t="s">
        <v>1617</v>
      </c>
      <c r="C62" s="216"/>
      <c r="D62" s="216"/>
      <c r="E62" s="216"/>
      <c r="F62" s="216"/>
      <c r="G62" s="216"/>
      <c r="H62" s="216"/>
      <c r="I62" s="147"/>
      <c r="J62" s="146" t="s">
        <v>1641</v>
      </c>
      <c r="K62" s="147"/>
      <c r="L62" s="216" t="s">
        <v>118</v>
      </c>
      <c r="M62" s="216"/>
      <c r="N62" s="216"/>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1331430</v>
      </c>
      <c r="I64" s="25" t="s">
        <v>1555</v>
      </c>
      <c r="J64" s="14">
        <f>SUM(D64)</f>
        <v>1331430</v>
      </c>
      <c r="L64" s="164" t="str">
        <f>CONCATENATE("Balance July 1, ",LEFT('Department Note Disclosure'!$B$11,4))</f>
        <v>Balance July 1, 2023</v>
      </c>
      <c r="N64" s="14">
        <f>ROUND('SBITA Liabilities'!$F$10,0)</f>
        <v>1331430</v>
      </c>
      <c r="P64" s="13">
        <f>J64-N64</f>
        <v>0</v>
      </c>
    </row>
    <row r="65" spans="1:16383" x14ac:dyDescent="0.25">
      <c r="B65" s="162" t="s">
        <v>1620</v>
      </c>
      <c r="D65" s="14">
        <f>$D$17</f>
        <v>0</v>
      </c>
      <c r="E65" s="165" t="s">
        <v>1551</v>
      </c>
      <c r="F65" s="150" t="s">
        <v>1646</v>
      </c>
      <c r="H65" s="14">
        <f>J17</f>
        <v>0</v>
      </c>
      <c r="I65" s="25" t="s">
        <v>1555</v>
      </c>
      <c r="J65" s="14">
        <f>SUM(D65,H65)</f>
        <v>0</v>
      </c>
      <c r="L65" s="164" t="s">
        <v>9</v>
      </c>
      <c r="N65" s="14">
        <f>ROUND('SBITA Liabilities'!$H$10,0)</f>
        <v>0</v>
      </c>
      <c r="P65" s="13">
        <f>J65-N65</f>
        <v>0</v>
      </c>
    </row>
    <row r="66" spans="1:16383" x14ac:dyDescent="0.25">
      <c r="B66" s="162" t="s">
        <v>1554</v>
      </c>
      <c r="D66" s="14">
        <f>$F$17</f>
        <v>995785</v>
      </c>
      <c r="E66" s="165" t="s">
        <v>1551</v>
      </c>
      <c r="F66" s="150" t="s">
        <v>1645</v>
      </c>
      <c r="H66" s="14">
        <f>H17</f>
        <v>0</v>
      </c>
      <c r="I66" s="25" t="s">
        <v>1555</v>
      </c>
      <c r="J66" s="14">
        <f>SUM(D66,H66)</f>
        <v>995785</v>
      </c>
      <c r="L66" s="164" t="s">
        <v>10</v>
      </c>
      <c r="N66" s="14">
        <f>ROUND('SBITA Liabilities'!$J$10,0)</f>
        <v>995785</v>
      </c>
      <c r="P66" s="13">
        <f>J66-N66</f>
        <v>0</v>
      </c>
    </row>
    <row r="67" spans="1:16383" x14ac:dyDescent="0.25">
      <c r="B67" s="162" t="s">
        <v>1558</v>
      </c>
      <c r="D67" s="14">
        <f>$B$42</f>
        <v>199621</v>
      </c>
      <c r="I67" s="25" t="s">
        <v>1555</v>
      </c>
      <c r="J67" s="14">
        <f>SUM(D67)</f>
        <v>199621</v>
      </c>
      <c r="L67" s="164" t="s">
        <v>11</v>
      </c>
      <c r="N67" s="14">
        <f>ROUND('SBITA Liabilities'!$N$10,0)</f>
        <v>199621</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1" t="s">
        <v>1643</v>
      </c>
      <c r="B70" s="211"/>
      <c r="C70" s="211"/>
      <c r="D70" s="211"/>
      <c r="E70" s="211"/>
      <c r="F70" s="211"/>
      <c r="G70" s="211"/>
      <c r="H70" s="211"/>
      <c r="I70" s="211"/>
      <c r="J70" s="211"/>
      <c r="K70" s="211"/>
      <c r="L70" s="211"/>
      <c r="M70" s="211"/>
      <c r="N70" s="211"/>
      <c r="O70" s="211"/>
      <c r="P70" s="211"/>
      <c r="Q70" s="211"/>
    </row>
    <row r="71" spans="1:16383" ht="6" customHeight="1" x14ac:dyDescent="0.25">
      <c r="B71" s="167"/>
    </row>
    <row r="72" spans="1:16383" ht="15" customHeight="1" x14ac:dyDescent="0.25">
      <c r="B72" s="216" t="s">
        <v>1617</v>
      </c>
      <c r="C72" s="216"/>
      <c r="D72" s="216"/>
      <c r="E72" s="216"/>
      <c r="F72" s="216"/>
      <c r="G72" s="216"/>
      <c r="H72" s="216"/>
      <c r="I72" s="147"/>
      <c r="J72" s="146" t="s">
        <v>1641</v>
      </c>
      <c r="K72" s="147"/>
      <c r="L72" s="216" t="s">
        <v>118</v>
      </c>
      <c r="M72" s="216"/>
      <c r="N72" s="216"/>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1" t="s">
        <v>1644</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67"/>
    </row>
    <row r="82" spans="1:17" ht="15" customHeight="1" x14ac:dyDescent="0.25">
      <c r="B82" s="216" t="s">
        <v>1617</v>
      </c>
      <c r="C82" s="216"/>
      <c r="D82" s="216"/>
      <c r="E82" s="216"/>
      <c r="F82" s="216"/>
      <c r="G82" s="216"/>
      <c r="H82" s="216"/>
      <c r="I82" s="147"/>
      <c r="J82" s="146" t="s">
        <v>1641</v>
      </c>
      <c r="K82" s="147"/>
      <c r="L82" s="217" t="s">
        <v>118</v>
      </c>
      <c r="M82" s="217"/>
      <c r="N82" s="217"/>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8mrgR3FT9IGoG1tfZKyQR8LByXjzDPFbl3f02eQntG7DFwf3MbOlIsK4b1uwxF1cx0WoaRdIOhh+t/KGD2As5A==" saltValue="RshJZZsw/Lai5jEaGOB0P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2025-02-26T21:55:03Z</dcterms:modified>
</cp:coreProperties>
</file>